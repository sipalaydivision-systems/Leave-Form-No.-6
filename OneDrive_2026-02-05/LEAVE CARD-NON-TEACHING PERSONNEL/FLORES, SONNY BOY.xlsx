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FA01BEA-E47E-4C21-BE2B-1DBE97010D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FINAL" sheetId="14" r:id="rId1"/>
    <sheet name="NEGATIVE" sheetId="12" r:id="rId2"/>
    <sheet name="Leave Card OLD" sheetId="6" r:id="rId3"/>
    <sheet name="Sheet1" sheetId="7" r:id="rId4"/>
    <sheet name="Sheet4" sheetId="11" r:id="rId5"/>
    <sheet name="Sheet1 (2)" sheetId="8" r:id="rId6"/>
  </sheets>
  <definedNames>
    <definedName name="_xlnm.Print_Area" localSheetId="0">'Leave Card FINAL'!$A$1:$K$114</definedName>
    <definedName name="_xlnm.Print_Area" localSheetId="2">'Leave Card OLD'!$A$1:$J$69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4" l="1"/>
  <c r="J106" i="14"/>
  <c r="K106" i="14"/>
  <c r="J13" i="14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J85" i="14" s="1"/>
  <c r="J86" i="14" s="1"/>
  <c r="J87" i="14" s="1"/>
  <c r="J88" i="14" s="1"/>
  <c r="J89" i="14" s="1"/>
  <c r="J90" i="14" s="1"/>
  <c r="J91" i="14" s="1"/>
  <c r="J92" i="14" s="1"/>
  <c r="J93" i="14" s="1"/>
  <c r="J94" i="14" s="1"/>
  <c r="J95" i="14" s="1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I13" i="14"/>
  <c r="K13" i="14" l="1"/>
  <c r="I14" i="14"/>
  <c r="I15" i="14" s="1"/>
  <c r="I16" i="14" s="1"/>
  <c r="K15" i="14" l="1"/>
  <c r="K14" i="14"/>
  <c r="I17" i="14"/>
  <c r="K16" i="14"/>
  <c r="K17" i="14" l="1"/>
  <c r="I18" i="14"/>
  <c r="I19" i="14" l="1"/>
  <c r="K18" i="14"/>
  <c r="K19" i="14" l="1"/>
  <c r="I20" i="14"/>
  <c r="I21" i="14" l="1"/>
  <c r="K20" i="14"/>
  <c r="K21" i="14" l="1"/>
  <c r="I22" i="14"/>
  <c r="I23" i="14" l="1"/>
  <c r="K22" i="14"/>
  <c r="K23" i="14" l="1"/>
  <c r="I24" i="14"/>
  <c r="I25" i="14" l="1"/>
  <c r="K24" i="14"/>
  <c r="K25" i="14" l="1"/>
  <c r="I26" i="14"/>
  <c r="I27" i="14" l="1"/>
  <c r="K26" i="14"/>
  <c r="K27" i="14" l="1"/>
  <c r="I28" i="14"/>
  <c r="I29" i="14" l="1"/>
  <c r="K28" i="14"/>
  <c r="K29" i="14" l="1"/>
  <c r="I30" i="14"/>
  <c r="I31" i="14" l="1"/>
  <c r="K30" i="14"/>
  <c r="K31" i="14" l="1"/>
  <c r="I32" i="14"/>
  <c r="I33" i="14" l="1"/>
  <c r="K32" i="14"/>
  <c r="K33" i="14" l="1"/>
  <c r="I34" i="14"/>
  <c r="I35" i="14" l="1"/>
  <c r="K34" i="14"/>
  <c r="K35" i="14" l="1"/>
  <c r="I36" i="14"/>
  <c r="I37" i="14" l="1"/>
  <c r="K36" i="14"/>
  <c r="K37" i="14" l="1"/>
  <c r="I38" i="14"/>
  <c r="I39" i="14" l="1"/>
  <c r="K38" i="14"/>
  <c r="K39" i="14" l="1"/>
  <c r="I40" i="14"/>
  <c r="I41" i="14" l="1"/>
  <c r="K40" i="14"/>
  <c r="K41" i="14" l="1"/>
  <c r="I42" i="14"/>
  <c r="I43" i="14" l="1"/>
  <c r="K42" i="14"/>
  <c r="K43" i="14" l="1"/>
  <c r="I44" i="14"/>
  <c r="I45" i="14" l="1"/>
  <c r="K44" i="14"/>
  <c r="K45" i="14" l="1"/>
  <c r="I46" i="14"/>
  <c r="I47" i="14" l="1"/>
  <c r="K46" i="14"/>
  <c r="K47" i="14" l="1"/>
  <c r="I48" i="14"/>
  <c r="I49" i="14" l="1"/>
  <c r="K48" i="14"/>
  <c r="K49" i="14" l="1"/>
  <c r="I50" i="14"/>
  <c r="I51" i="14" l="1"/>
  <c r="K50" i="14"/>
  <c r="K51" i="14" l="1"/>
  <c r="I52" i="14"/>
  <c r="I53" i="14" l="1"/>
  <c r="K52" i="14"/>
  <c r="K53" i="14" l="1"/>
  <c r="I54" i="14"/>
  <c r="I55" i="14" l="1"/>
  <c r="K54" i="14"/>
  <c r="K55" i="14" l="1"/>
  <c r="I56" i="14"/>
  <c r="I57" i="14" l="1"/>
  <c r="K56" i="14"/>
  <c r="K57" i="14" l="1"/>
  <c r="I58" i="14"/>
  <c r="I59" i="14" l="1"/>
  <c r="K58" i="14"/>
  <c r="K59" i="14" l="1"/>
  <c r="I60" i="14"/>
  <c r="I61" i="14" l="1"/>
  <c r="K60" i="14"/>
  <c r="K61" i="14" l="1"/>
  <c r="I62" i="14"/>
  <c r="I63" i="14" s="1"/>
  <c r="K63" i="14" l="1"/>
  <c r="I64" i="14"/>
  <c r="K62" i="14"/>
  <c r="I65" i="14" l="1"/>
  <c r="K64" i="14"/>
  <c r="I96" i="12"/>
  <c r="J96" i="12"/>
  <c r="J95" i="12"/>
  <c r="I22" i="12"/>
  <c r="I23" i="12" s="1"/>
  <c r="J22" i="12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K65" i="14" l="1"/>
  <c r="I66" i="14"/>
  <c r="K96" i="12"/>
  <c r="K22" i="12"/>
  <c r="K23" i="12"/>
  <c r="I24" i="12"/>
  <c r="K66" i="14" l="1"/>
  <c r="I67" i="14"/>
  <c r="K24" i="12"/>
  <c r="I25" i="12"/>
  <c r="B52" i="6"/>
  <c r="I68" i="14" l="1"/>
  <c r="K67" i="14"/>
  <c r="I26" i="12"/>
  <c r="K25" i="12"/>
  <c r="B59" i="6"/>
  <c r="I69" i="14" l="1"/>
  <c r="K68" i="14"/>
  <c r="K26" i="12"/>
  <c r="I27" i="12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H13" i="6"/>
  <c r="H14" i="6" s="1"/>
  <c r="H15" i="6" s="1"/>
  <c r="H16" i="6" s="1"/>
  <c r="H17" i="6" s="1"/>
  <c r="J17" i="6" s="1"/>
  <c r="I70" i="14" l="1"/>
  <c r="K69" i="14"/>
  <c r="J15" i="6"/>
  <c r="I54" i="6"/>
  <c r="I55" i="6" s="1"/>
  <c r="I56" i="6" s="1"/>
  <c r="I57" i="6" s="1"/>
  <c r="I58" i="6" s="1"/>
  <c r="I59" i="6" s="1"/>
  <c r="I60" i="6" s="1"/>
  <c r="I61" i="6" s="1"/>
  <c r="I62" i="6" s="1"/>
  <c r="I63" i="6" s="1"/>
  <c r="I53" i="6"/>
  <c r="H18" i="6"/>
  <c r="K27" i="12"/>
  <c r="I28" i="12"/>
  <c r="J16" i="6"/>
  <c r="H19" i="6"/>
  <c r="J18" i="6"/>
  <c r="J14" i="6"/>
  <c r="I71" i="14" l="1"/>
  <c r="I72" i="14" s="1"/>
  <c r="K70" i="14"/>
  <c r="K28" i="12"/>
  <c r="I29" i="12"/>
  <c r="J19" i="6"/>
  <c r="H20" i="6"/>
  <c r="J13" i="6"/>
  <c r="K72" i="14" l="1"/>
  <c r="I73" i="14"/>
  <c r="K71" i="14"/>
  <c r="I30" i="12"/>
  <c r="K29" i="12"/>
  <c r="H21" i="6"/>
  <c r="J20" i="6"/>
  <c r="K73" i="14" l="1"/>
  <c r="I74" i="14"/>
  <c r="K30" i="12"/>
  <c r="I31" i="12"/>
  <c r="H22" i="6"/>
  <c r="J21" i="6"/>
  <c r="K74" i="14" l="1"/>
  <c r="I75" i="14"/>
  <c r="K31" i="12"/>
  <c r="I32" i="12"/>
  <c r="H23" i="6"/>
  <c r="J22" i="6"/>
  <c r="K75" i="14" l="1"/>
  <c r="I76" i="14"/>
  <c r="K32" i="12"/>
  <c r="I33" i="12"/>
  <c r="H24" i="6"/>
  <c r="J23" i="6"/>
  <c r="K76" i="14" l="1"/>
  <c r="I77" i="14"/>
  <c r="I78" i="14" s="1"/>
  <c r="K33" i="12"/>
  <c r="I34" i="12"/>
  <c r="H25" i="6"/>
  <c r="J24" i="6"/>
  <c r="K78" i="14" l="1"/>
  <c r="I79" i="14"/>
  <c r="K77" i="14"/>
  <c r="K34" i="12"/>
  <c r="I35" i="12"/>
  <c r="H26" i="6"/>
  <c r="J25" i="6"/>
  <c r="I80" i="14" l="1"/>
  <c r="K79" i="14"/>
  <c r="K35" i="12"/>
  <c r="I36" i="12"/>
  <c r="H27" i="6"/>
  <c r="J26" i="6"/>
  <c r="I81" i="14" l="1"/>
  <c r="K80" i="14"/>
  <c r="K36" i="12"/>
  <c r="I37" i="12"/>
  <c r="H28" i="6"/>
  <c r="J27" i="6"/>
  <c r="K81" i="14" l="1"/>
  <c r="I82" i="14"/>
  <c r="K37" i="12"/>
  <c r="I38" i="12"/>
  <c r="H29" i="6"/>
  <c r="J28" i="6"/>
  <c r="I83" i="14" l="1"/>
  <c r="K82" i="14"/>
  <c r="K38" i="12"/>
  <c r="I39" i="12"/>
  <c r="H30" i="6"/>
  <c r="J29" i="6"/>
  <c r="K83" i="14" l="1"/>
  <c r="I84" i="14"/>
  <c r="K39" i="12"/>
  <c r="I40" i="12"/>
  <c r="H31" i="6"/>
  <c r="J30" i="6"/>
  <c r="K84" i="14" l="1"/>
  <c r="I85" i="14"/>
  <c r="K40" i="12"/>
  <c r="I41" i="12"/>
  <c r="J31" i="6"/>
  <c r="H32" i="6"/>
  <c r="K85" i="14" l="1"/>
  <c r="I86" i="14"/>
  <c r="K41" i="12"/>
  <c r="I42" i="12"/>
  <c r="H33" i="6"/>
  <c r="J32" i="6"/>
  <c r="K86" i="14" l="1"/>
  <c r="I87" i="14"/>
  <c r="K42" i="12"/>
  <c r="I43" i="12"/>
  <c r="H34" i="6"/>
  <c r="J33" i="6"/>
  <c r="I88" i="14" l="1"/>
  <c r="K87" i="14"/>
  <c r="K43" i="12"/>
  <c r="I44" i="12"/>
  <c r="H35" i="6"/>
  <c r="J34" i="6"/>
  <c r="K88" i="14" l="1"/>
  <c r="I89" i="14"/>
  <c r="K44" i="12"/>
  <c r="I45" i="12"/>
  <c r="J35" i="6"/>
  <c r="H36" i="6"/>
  <c r="K89" i="14" l="1"/>
  <c r="I90" i="14"/>
  <c r="K45" i="12"/>
  <c r="I46" i="12"/>
  <c r="H37" i="6"/>
  <c r="J36" i="6"/>
  <c r="K90" i="14" l="1"/>
  <c r="I91" i="14"/>
  <c r="K46" i="12"/>
  <c r="I47" i="12"/>
  <c r="J37" i="6"/>
  <c r="H38" i="6"/>
  <c r="K91" i="14" l="1"/>
  <c r="I92" i="14"/>
  <c r="K47" i="12"/>
  <c r="I48" i="12"/>
  <c r="H39" i="6"/>
  <c r="J38" i="6"/>
  <c r="K92" i="14" l="1"/>
  <c r="I93" i="14"/>
  <c r="K48" i="12"/>
  <c r="I49" i="12"/>
  <c r="H40" i="6"/>
  <c r="J39" i="6"/>
  <c r="K93" i="14" l="1"/>
  <c r="I94" i="14"/>
  <c r="K49" i="12"/>
  <c r="I50" i="12"/>
  <c r="H41" i="6"/>
  <c r="J40" i="6"/>
  <c r="I95" i="14" l="1"/>
  <c r="K94" i="14"/>
  <c r="I51" i="12"/>
  <c r="K50" i="12"/>
  <c r="H42" i="6"/>
  <c r="J41" i="6"/>
  <c r="I96" i="14" l="1"/>
  <c r="I97" i="14" s="1"/>
  <c r="K95" i="14"/>
  <c r="K51" i="12"/>
  <c r="I52" i="12"/>
  <c r="H43" i="6"/>
  <c r="J42" i="6"/>
  <c r="I98" i="14" l="1"/>
  <c r="K97" i="14"/>
  <c r="K96" i="14"/>
  <c r="I53" i="12"/>
  <c r="K52" i="12"/>
  <c r="H44" i="6"/>
  <c r="J43" i="6"/>
  <c r="I99" i="14" l="1"/>
  <c r="K98" i="14"/>
  <c r="I54" i="12"/>
  <c r="K53" i="12"/>
  <c r="H45" i="6"/>
  <c r="J44" i="6"/>
  <c r="I100" i="14" l="1"/>
  <c r="K99" i="14"/>
  <c r="K54" i="12"/>
  <c r="I55" i="12"/>
  <c r="J45" i="6"/>
  <c r="H46" i="6"/>
  <c r="I101" i="14" l="1"/>
  <c r="K100" i="14"/>
  <c r="I56" i="12"/>
  <c r="K55" i="12"/>
  <c r="H47" i="6"/>
  <c r="J46" i="6"/>
  <c r="K101" i="14" l="1"/>
  <c r="I102" i="14"/>
  <c r="K56" i="12"/>
  <c r="I57" i="12"/>
  <c r="J47" i="6"/>
  <c r="H48" i="6"/>
  <c r="K102" i="14" l="1"/>
  <c r="I103" i="14"/>
  <c r="I58" i="12"/>
  <c r="K57" i="12"/>
  <c r="H49" i="6"/>
  <c r="J48" i="6"/>
  <c r="I104" i="14" l="1"/>
  <c r="K103" i="14"/>
  <c r="I59" i="12"/>
  <c r="K58" i="12"/>
  <c r="J49" i="6"/>
  <c r="H50" i="6"/>
  <c r="K104" i="14" l="1"/>
  <c r="I105" i="14"/>
  <c r="K105" i="14" s="1"/>
  <c r="K59" i="12"/>
  <c r="I60" i="12"/>
  <c r="H51" i="6"/>
  <c r="J50" i="6"/>
  <c r="I61" i="12" l="1"/>
  <c r="K60" i="12"/>
  <c r="H52" i="6"/>
  <c r="H53" i="6" s="1"/>
  <c r="J53" i="6" s="1"/>
  <c r="J51" i="6"/>
  <c r="K61" i="12" l="1"/>
  <c r="I62" i="12"/>
  <c r="H54" i="6"/>
  <c r="J52" i="6"/>
  <c r="K62" i="12" l="1"/>
  <c r="I63" i="12"/>
  <c r="I64" i="12" s="1"/>
  <c r="H55" i="6"/>
  <c r="J54" i="6"/>
  <c r="K64" i="12" l="1"/>
  <c r="I65" i="12"/>
  <c r="K63" i="12"/>
  <c r="H56" i="6"/>
  <c r="J55" i="6"/>
  <c r="K65" i="12" l="1"/>
  <c r="I66" i="12"/>
  <c r="J56" i="6"/>
  <c r="H57" i="6"/>
  <c r="K66" i="12" l="1"/>
  <c r="I67" i="12"/>
  <c r="H58" i="6"/>
  <c r="J57" i="6"/>
  <c r="I68" i="12" l="1"/>
  <c r="K67" i="12"/>
  <c r="J58" i="6"/>
  <c r="H59" i="6"/>
  <c r="H60" i="6" s="1"/>
  <c r="K68" i="12" l="1"/>
  <c r="I69" i="12"/>
  <c r="J60" i="6"/>
  <c r="H61" i="6"/>
  <c r="J59" i="6"/>
  <c r="K69" i="12" l="1"/>
  <c r="I70" i="12"/>
  <c r="H62" i="6"/>
  <c r="J61" i="6"/>
  <c r="K70" i="12" l="1"/>
  <c r="I71" i="12"/>
  <c r="H63" i="6"/>
  <c r="J63" i="6" s="1"/>
  <c r="J62" i="6"/>
  <c r="K71" i="12" l="1"/>
  <c r="I72" i="12"/>
  <c r="K72" i="12" l="1"/>
  <c r="I73" i="12"/>
  <c r="K73" i="12" l="1"/>
  <c r="I74" i="12"/>
  <c r="K74" i="12" l="1"/>
  <c r="I75" i="12"/>
  <c r="I76" i="12" l="1"/>
  <c r="K75" i="12"/>
  <c r="K76" i="12" l="1"/>
  <c r="I77" i="12"/>
  <c r="K77" i="12" l="1"/>
  <c r="I78" i="12"/>
  <c r="I79" i="12" l="1"/>
  <c r="K78" i="12"/>
  <c r="I80" i="12" l="1"/>
  <c r="K79" i="12"/>
  <c r="K80" i="12" l="1"/>
  <c r="I81" i="12"/>
  <c r="I82" i="12" l="1"/>
  <c r="K81" i="12"/>
  <c r="I83" i="12" l="1"/>
  <c r="K82" i="12"/>
  <c r="K83" i="12" l="1"/>
  <c r="I84" i="12"/>
  <c r="K84" i="12" l="1"/>
  <c r="I85" i="12"/>
  <c r="K85" i="12" l="1"/>
  <c r="I86" i="12"/>
  <c r="K86" i="12" l="1"/>
  <c r="I87" i="12"/>
  <c r="K87" i="12" l="1"/>
  <c r="I88" i="12"/>
  <c r="K88" i="12" l="1"/>
  <c r="I89" i="12"/>
  <c r="K89" i="12" l="1"/>
  <c r="I90" i="12"/>
  <c r="K90" i="12" l="1"/>
  <c r="I91" i="12"/>
  <c r="I92" i="12" l="1"/>
  <c r="K91" i="12"/>
  <c r="I93" i="12" l="1"/>
  <c r="K92" i="12"/>
  <c r="K93" i="12" l="1"/>
  <c r="I94" i="12"/>
  <c r="K94" i="12" l="1"/>
  <c r="I95" i="12"/>
  <c r="K95" i="12" s="1"/>
</calcChain>
</file>

<file path=xl/sharedStrings.xml><?xml version="1.0" encoding="utf-8"?>
<sst xmlns="http://schemas.openxmlformats.org/spreadsheetml/2006/main" count="420" uniqueCount="190">
  <si>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</si>
  <si>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</si>
  <si>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</si>
  <si>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</si>
  <si>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</si>
  <si>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</si>
  <si>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</si>
  <si>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</si>
  <si>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</si>
  <si>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</si>
  <si>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</si>
  <si>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LESS: 01/6-7/2022</t>
  </si>
  <si>
    <t>ADD: 01/01/2022 - 01/31/2022</t>
  </si>
  <si>
    <t>LESS: 02/18/2022</t>
  </si>
  <si>
    <t>ADD: 02/01/2022 - 02/28/2022</t>
  </si>
  <si>
    <t>LESS: 02/08/2022</t>
  </si>
  <si>
    <t>LESS: 03/09 AND 16/2022</t>
  </si>
  <si>
    <t>ADD: 03/01/2022 - 03/31/2022</t>
  </si>
  <si>
    <t>LESS: 04/07/2022</t>
  </si>
  <si>
    <t>LESS: 03/18/2022</t>
  </si>
  <si>
    <t>LESS: 04/01/2022</t>
  </si>
  <si>
    <t>ADD: 04/01/2022 - 04/30/2022</t>
  </si>
  <si>
    <t>LESS: 04/08 &amp; 19/22</t>
  </si>
  <si>
    <t>LESS: 04/27 &amp; 28/22</t>
  </si>
  <si>
    <t>ADD: 05/01/2022 - 05/31/2022</t>
  </si>
  <si>
    <t>LESS: 05/04/22</t>
  </si>
  <si>
    <t>LESS: 05/10, 11 &amp;12/22</t>
  </si>
  <si>
    <t>ADD: 06/01/2022 - 07/31/2022</t>
  </si>
  <si>
    <t>LESS: 07/18/22</t>
  </si>
  <si>
    <t>LESS: 08/11/22</t>
  </si>
  <si>
    <t>ADD: 08/01/2022 - 08/31/2022</t>
  </si>
  <si>
    <t>LESS: MONETIZATION 2022</t>
  </si>
  <si>
    <t>ADD: 09/01/2022 - 12/31/2022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</si>
  <si>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</si>
  <si>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</si>
  <si>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</si>
  <si>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</si>
  <si>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</si>
  <si>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</si>
  <si>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</si>
  <si>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</si>
  <si>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</si>
  <si>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07/15/2019 - 07/31/2019</t>
  </si>
  <si>
    <t>ADD: 08/01/2019 - 12/31/2019</t>
  </si>
  <si>
    <t>ADD: 01/01/2020 - 12/31/2020</t>
  </si>
  <si>
    <t>LESS: 01/08/2020</t>
  </si>
  <si>
    <t>LESS: 01/24/2020</t>
  </si>
  <si>
    <t>LESS: 02/17 &amp; 18(AM)/2020</t>
  </si>
  <si>
    <t>LESS: 03/18/2020</t>
  </si>
  <si>
    <t>LESS: MONETIZATION 2020</t>
  </si>
  <si>
    <t xml:space="preserve">LESS: FL 2020 </t>
  </si>
  <si>
    <t>LESS: 01/15/2020</t>
  </si>
  <si>
    <t>ADD: 01/01/2021 - 12/31/2021</t>
  </si>
  <si>
    <t>LESS: 05/19-21/2021</t>
  </si>
  <si>
    <t>LESS: 09/09 &amp; 10/2021</t>
  </si>
  <si>
    <t>LESS: 09/16 &amp; 17/2021</t>
  </si>
  <si>
    <t>LESS: MONETIZATION 2021</t>
  </si>
  <si>
    <t>LESS: 12/10 &amp; 13/2021</t>
  </si>
  <si>
    <t>LESS: FL 2021</t>
  </si>
  <si>
    <t>LESS: 05/3 &amp; 4/23</t>
  </si>
  <si>
    <t>LESS: 05/16/23</t>
  </si>
  <si>
    <t>ADD: 05/01/2023 - 08/31/2023</t>
  </si>
  <si>
    <t>LESS: 08/14 - 18/23</t>
  </si>
  <si>
    <t>Certified Correct:</t>
  </si>
  <si>
    <t>MA. LUISA B. CATIGAN</t>
  </si>
  <si>
    <t>Administrative Officer IV</t>
  </si>
  <si>
    <t>HRMO</t>
  </si>
  <si>
    <t>LESS: MONETIZATION 2023</t>
  </si>
  <si>
    <t>ADD: 09/01/2023-11/30/2023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</si>
  <si>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</si>
  <si>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</si>
  <si>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</si>
  <si>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</si>
  <si>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</si>
  <si>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</si>
  <si>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</si>
  <si>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</si>
  <si>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</si>
  <si>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</si>
  <si>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</si>
  <si>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NAME          :  FLORES, SONNY BOY A.</t>
  </si>
  <si>
    <t>POSITION   : SEPS</t>
  </si>
  <si>
    <t>SCHOOL/OFFICE : SGOD</t>
  </si>
  <si>
    <t>COMELEC CERTIFICATION</t>
  </si>
  <si>
    <t>BARANGAY AND SK ELECTIONS</t>
  </si>
  <si>
    <t>NATIONAL AND LOCAL ELECTIONS</t>
  </si>
  <si>
    <t>LESS: 10/6,13,23,24,25,26,27/2023</t>
  </si>
  <si>
    <t>LESS: 10/6,13,23,24,25</t>
  </si>
  <si>
    <t>LESS: 08/14-18;22-25;29-31/2023</t>
  </si>
  <si>
    <t>LESS: 07/24-27,31/2023</t>
  </si>
  <si>
    <t>LESS: 09/4-8;11-15;18/2023</t>
  </si>
  <si>
    <t>LESS: 09/19-20;26-29/2023</t>
  </si>
  <si>
    <t>ADD: 12/01/2023-12/31/2023</t>
  </si>
  <si>
    <t>ADD: 01/01/2024-01/31/2024</t>
  </si>
  <si>
    <t>LESS: 01/8,9 &amp;29/2024</t>
  </si>
  <si>
    <t>FOR CHECKING AND CLARIFICATION OF LEAVE</t>
  </si>
  <si>
    <t>ADD: 01/01/2023 -03/31/2023</t>
  </si>
  <si>
    <t>ADD: 04/01/2023-04/14/2023</t>
  </si>
  <si>
    <t>LAWOP</t>
  </si>
  <si>
    <t>LESS: 03/01/2023</t>
  </si>
  <si>
    <t>LESS: 05/3-4/2023</t>
  </si>
  <si>
    <t>LESS: 06/01/2023</t>
  </si>
  <si>
    <t>LESS: 07/27/2023</t>
  </si>
  <si>
    <t>LESS: 09/01&amp;04/2023</t>
  </si>
  <si>
    <t>ADD: 12/01-31/2023</t>
  </si>
  <si>
    <t>2007 BARANGAY AND SK ELECTIONS</t>
  </si>
  <si>
    <t>2004 NATIONAL AND LOCAL ELECTIONS</t>
  </si>
  <si>
    <t>2010 NATIONAL AND LOCAL ELECTIONS</t>
  </si>
  <si>
    <t>2013 NATIONAL AND LOCAL ELECTIONS</t>
  </si>
  <si>
    <t>2016 NATIONAL AND LOCAL ELECTIONS</t>
  </si>
  <si>
    <t>2018 BARANGAY AND SK ELECTIONS</t>
  </si>
  <si>
    <t>2019 NATIONAL AND LOCAL ELECTIONS</t>
  </si>
  <si>
    <t>ADD: JANUARY 2023</t>
  </si>
  <si>
    <t>ADD: FEBRUARY 2023</t>
  </si>
  <si>
    <t>ADD:MARCH 2023</t>
  </si>
  <si>
    <t>ADD: APRIL 2023</t>
  </si>
  <si>
    <t>ADD: MAY 2023</t>
  </si>
  <si>
    <t>ADD: JUNE 2023</t>
  </si>
  <si>
    <t>ADD: JULY 2023</t>
  </si>
  <si>
    <t>ADD: AUGUST 2023</t>
  </si>
  <si>
    <t>ADD:SEPTEMBER 2023</t>
  </si>
  <si>
    <t>ADD: OCTOBER 2023</t>
  </si>
  <si>
    <t>ADD: NOVEMBER 2023</t>
  </si>
  <si>
    <t>LESS: 01/01-31/2023</t>
  </si>
  <si>
    <t>LESS: 02/01-15/2023</t>
  </si>
  <si>
    <t>LAWOP 02/16-28/2023</t>
  </si>
  <si>
    <t>LESS: 03/01-02/2023</t>
  </si>
  <si>
    <t>LAWOP 03/03-31/2023</t>
  </si>
  <si>
    <t>LESS: 04/03/2023</t>
  </si>
  <si>
    <t>LAWOP 04/4-14/2023</t>
  </si>
  <si>
    <t>LESS: 08/14-23/2023</t>
  </si>
  <si>
    <t>LAWOP 08/24-31/2023</t>
  </si>
  <si>
    <t>LAWOP 09/05-15/2023</t>
  </si>
  <si>
    <t>LESS: 10/06/2023</t>
  </si>
  <si>
    <t>LESS: 11/3,6,7/2023</t>
  </si>
  <si>
    <t>LAWOP 11/08-20/2023</t>
  </si>
  <si>
    <t>LESS: FL 2022</t>
  </si>
  <si>
    <t>LESS: FL 2023</t>
  </si>
  <si>
    <t>ADD: JAN.-JULY 31, 2024</t>
  </si>
  <si>
    <t>LESS: 07/15-16/2024</t>
  </si>
  <si>
    <t>LESS: MONETIZATION 2024</t>
  </si>
  <si>
    <t xml:space="preserve">               HRMO</t>
  </si>
  <si>
    <t>TOTAL: 5 DAYS SERVICE CREDITS           FORMULA: 30 (5 DAYS) /69 (PVP)</t>
  </si>
  <si>
    <t>TOTAL: 30  DAYS SERVICE CREDITS                     FORMULA: 30 (30 DAYS) /69 (PVP)</t>
  </si>
  <si>
    <t>ADD: 01/1/2024-07/31/2024</t>
  </si>
  <si>
    <t>LESS: 05/16/2023</t>
  </si>
  <si>
    <t>LESS: 01/8, 9 &amp; 29/2024</t>
  </si>
  <si>
    <t>DATE FILED/RECEIVED</t>
  </si>
  <si>
    <t xml:space="preserve">  </t>
  </si>
  <si>
    <t>LWOP</t>
  </si>
  <si>
    <t>LESS: 03/09 &amp; 16/2022</t>
  </si>
  <si>
    <t>LESS: 01/2-31/2023</t>
  </si>
  <si>
    <t>LESS: 08/14/2023</t>
  </si>
  <si>
    <t xml:space="preserve">ADD: MAY 1-31, 2023 </t>
  </si>
  <si>
    <t xml:space="preserve">ADD: JUNE 1-30, 2023 </t>
  </si>
  <si>
    <t xml:space="preserve">ADD: JULY 1-31, 2023 </t>
  </si>
  <si>
    <t>LESS: 03/2/2023</t>
  </si>
  <si>
    <t xml:space="preserve">ADD: JANUARY 1-31, 2023 </t>
  </si>
  <si>
    <t>LESS: 08/17-18/2023</t>
  </si>
  <si>
    <t>LESS: 08/16/2023</t>
  </si>
  <si>
    <t>LESS: 09/4/2023</t>
  </si>
  <si>
    <t>LESS: 09/1/2023</t>
  </si>
  <si>
    <t>LESS: 08/15/2023</t>
  </si>
  <si>
    <t>LWOP: 03/3-30/2023</t>
  </si>
  <si>
    <t>ADD: MARCH 2023 (10 DAYS)</t>
  </si>
  <si>
    <t>ADD: SEPTEMBER 2023 (21 DAYS)</t>
  </si>
  <si>
    <t xml:space="preserve">ADD: OCTOBER 2023 </t>
  </si>
  <si>
    <t>LESS: 11/3, 6/2023</t>
  </si>
  <si>
    <t>LESS: 11/7/2023</t>
  </si>
  <si>
    <t>LWOP: 11/8-16 &amp; 20/2023</t>
  </si>
  <si>
    <t>ADD: NOVEMBER 2023 (22 DAYS)</t>
  </si>
  <si>
    <t xml:space="preserve">ADD: DECEMBER 2023 </t>
  </si>
  <si>
    <t>LESS: 02/01-14/2023</t>
  </si>
  <si>
    <t>LWOP: 02/15-28/2023</t>
  </si>
  <si>
    <t>ADD: FEBRUARY 2023 (18 DAYS)</t>
  </si>
  <si>
    <t>LESS: 04/3/2023</t>
  </si>
  <si>
    <t>LWOP: 04/4-14/2023</t>
  </si>
  <si>
    <t>ADD: APRIL 2023 (23 DAYS)</t>
  </si>
  <si>
    <t xml:space="preserve">       LWOP:  08/31/2023</t>
  </si>
  <si>
    <t>ADD: AUGUST 2023 (29 DAYS)</t>
  </si>
  <si>
    <t>LWOP: 09/5-15/2023</t>
  </si>
  <si>
    <t>ADD: 08/1/2024-10/31/2024</t>
  </si>
  <si>
    <t>LESS: 11/18-19/2024</t>
  </si>
  <si>
    <t>ADD: 11/1-30/2024</t>
  </si>
  <si>
    <t>LESS: 12/5/2024</t>
  </si>
  <si>
    <t>LESS: MONETIZATION 2024 (15 DAYS)</t>
  </si>
  <si>
    <t>ADD: 12/1-31/2024</t>
  </si>
  <si>
    <t>ADD: 01/1/2025-06/30/2025</t>
  </si>
  <si>
    <t>LESS: MONETIZATION 2025 (16 DAYS)</t>
  </si>
  <si>
    <t>LESS: 06/11/2025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</si>
</sst>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 wrapText="1"/>
    </xf>
    <xf numFmtId="164" fontId="4" fillId="2" borderId="16" xfId="0" applyNumberFormat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10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1" fillId="0" borderId="0" xfId="0" applyFont="1"/>
    <xf numFmtId="0" fontId="0" fillId="2" borderId="1" xfId="0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4" fontId="3" fillId="10" borderId="4" xfId="0" applyNumberFormat="1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2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14" fillId="0" borderId="0" xfId="0" applyFont="1"/>
    <xf numFmtId="164" fontId="0" fillId="2" borderId="1" xfId="0" applyNumberFormat="1" applyFill="1" applyBorder="1" applyAlignment="1">
      <alignment horizontal="center" vertical="center"/>
    </xf>
    <xf numFmtId="164" fontId="0" fillId="2" borderId="31" xfId="0" applyNumberForma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20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49B88-9BF7-43B6-BFF5-F0F9D110DD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67F8EF-3937-4B40-9FD5-A49D56FE679C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FLORES, SONNY BOY A.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880711-E404-4C99-B653-95FF4002A74B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A1DDBC-E3A6-4D49-82A6-3E273046D89B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7</xdr:col>
      <xdr:colOff>173050</xdr:colOff>
      <xdr:row>108</xdr:row>
      <xdr:rowOff>53914</xdr:rowOff>
    </xdr:from>
    <xdr:to>
      <xdr:col>10</xdr:col>
      <xdr:colOff>617113</xdr:colOff>
      <xdr:row>113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772566-F2FA-4B6E-925B-C9F9883A18B9}"/>
            </a:ext>
          </a:extLst>
        </xdr:cNvPr>
        <xdr:cNvSpPr txBox="1"/>
      </xdr:nvSpPr>
      <xdr:spPr>
        <a:xfrm>
          <a:off x="7243015" y="19184407"/>
          <a:ext cx="2758235" cy="10559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0</xdr:row>
      <xdr:rowOff>0</xdr:rowOff>
    </xdr:from>
    <xdr:to>
      <xdr:col>4</xdr:col>
      <xdr:colOff>254000</xdr:colOff>
      <xdr:row>4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90500"/>
          <a:ext cx="828675" cy="78104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0</xdr:col>
      <xdr:colOff>2582741</xdr:colOff>
      <xdr:row>9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3942" y="1694961"/>
          <a:ext cx="2008799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FLORES, SONNY BOY A.</a:t>
          </a: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16683" y="2156557"/>
          <a:ext cx="1989749" cy="326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415193</xdr:colOff>
      <xdr:row>10</xdr:row>
      <xdr:rowOff>42741</xdr:rowOff>
    </xdr:from>
    <xdr:to>
      <xdr:col>4</xdr:col>
      <xdr:colOff>604471</xdr:colOff>
      <xdr:row>11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587018" y="2138241"/>
          <a:ext cx="1256078" cy="288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0</xdr:row>
      <xdr:rowOff>47625</xdr:rowOff>
    </xdr:from>
    <xdr:to>
      <xdr:col>4</xdr:col>
      <xdr:colOff>171450</xdr:colOff>
      <xdr:row>1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47625"/>
          <a:ext cx="619125" cy="6286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FLORES, SONNY BOY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 M&amp; E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 - SDO SIPALAY CITY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371476</xdr:colOff>
      <xdr:row>0</xdr:row>
      <xdr:rowOff>66675</xdr:rowOff>
    </xdr:from>
    <xdr:to>
      <xdr:col>4</xdr:col>
      <xdr:colOff>85726</xdr:colOff>
      <xdr:row>4</xdr:row>
      <xdr:rowOff>41274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2426" y="66675"/>
          <a:ext cx="742950" cy="736599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28</xdr:row>
      <xdr:rowOff>19050</xdr:rowOff>
    </xdr:from>
    <xdr:to>
      <xdr:col>3</xdr:col>
      <xdr:colOff>457200</xdr:colOff>
      <xdr:row>33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0" y="5695950"/>
          <a:ext cx="3895725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10</xdr:row>
      <xdr:rowOff>9525</xdr:rowOff>
    </xdr:from>
    <xdr:to>
      <xdr:col>2</xdr:col>
      <xdr:colOff>19050</xdr:colOff>
      <xdr:row>10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1650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733425</xdr:colOff>
      <xdr:row>11</xdr:row>
      <xdr:rowOff>149225</xdr:rowOff>
    </xdr:from>
    <xdr:to>
      <xdr:col>2</xdr:col>
      <xdr:colOff>9525</xdr:colOff>
      <xdr:row>11</xdr:row>
      <xdr:rowOff>149225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33425" y="2063750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371476</xdr:colOff>
      <xdr:row>0</xdr:row>
      <xdr:rowOff>66676</xdr:rowOff>
    </xdr:from>
    <xdr:to>
      <xdr:col>4</xdr:col>
      <xdr:colOff>104775</xdr:colOff>
      <xdr:row>3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2426" y="66676"/>
          <a:ext cx="761999" cy="6858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23</xdr:row>
      <xdr:rowOff>19050</xdr:rowOff>
    </xdr:from>
    <xdr:to>
      <xdr:col>3</xdr:col>
      <xdr:colOff>457200</xdr:colOff>
      <xdr:row>28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0" y="7505700"/>
          <a:ext cx="4248150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10</xdr:row>
      <xdr:rowOff>9525</xdr:rowOff>
    </xdr:from>
    <xdr:to>
      <xdr:col>2</xdr:col>
      <xdr:colOff>19050</xdr:colOff>
      <xdr:row>10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742950" y="1800225"/>
          <a:ext cx="2457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733425</xdr:colOff>
      <xdr:row>11</xdr:row>
      <xdr:rowOff>149225</xdr:rowOff>
    </xdr:from>
    <xdr:to>
      <xdr:col>2</xdr:col>
      <xdr:colOff>9525</xdr:colOff>
      <xdr:row>11</xdr:row>
      <xdr:rowOff>149225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733425" y="2130425"/>
          <a:ext cx="2457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371476</xdr:colOff>
      <xdr:row>0</xdr:row>
      <xdr:rowOff>66675</xdr:rowOff>
    </xdr:from>
    <xdr:to>
      <xdr:col>4</xdr:col>
      <xdr:colOff>85726</xdr:colOff>
      <xdr:row>4</xdr:row>
      <xdr:rowOff>41274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2426" y="66675"/>
          <a:ext cx="742950" cy="736599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25</xdr:row>
      <xdr:rowOff>19050</xdr:rowOff>
    </xdr:from>
    <xdr:to>
      <xdr:col>3</xdr:col>
      <xdr:colOff>457200</xdr:colOff>
      <xdr:row>30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0" y="6438900"/>
          <a:ext cx="4248150" cy="952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10</xdr:row>
      <xdr:rowOff>9525</xdr:rowOff>
    </xdr:from>
    <xdr:to>
      <xdr:col>2</xdr:col>
      <xdr:colOff>19050</xdr:colOff>
      <xdr:row>10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742950" y="1800225"/>
          <a:ext cx="2457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733425</xdr:colOff>
      <xdr:row>11</xdr:row>
      <xdr:rowOff>149225</xdr:rowOff>
    </xdr:from>
    <xdr:to>
      <xdr:col>2</xdr:col>
      <xdr:colOff>9525</xdr:colOff>
      <xdr:row>11</xdr:row>
      <xdr:rowOff>149225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733425" y="2130425"/>
          <a:ext cx="2457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0C1B-E714-48DD-8A3C-D03E86874514}">
  <sheetPr>
    <pageSetUpPr fitToPage="1"/>
  </sheetPr>
  <dimension ref="A1:L112"/>
  <sheetViews>
    <sheetView tabSelected="1" view="pageBreakPreview" topLeftCell="A95" zoomScale="142" zoomScaleNormal="100" zoomScaleSheetLayoutView="142" workbookViewId="0">
      <selection activeCell="A105" sqref="A105:XFD105"/>
    </sheetView>
  </sheetViews>
  <sheetFormatPr defaultRowHeight="15" x14ac:dyDescent="0.25"/>
  <cols>
    <col min="1" max="1" width="36.5703125" customWidth="1"/>
    <col min="2" max="5" width="11.5703125" customWidth="1"/>
    <col min="6" max="8" width="11.5703125" style="10" customWidth="1"/>
    <col min="9" max="11" width="11.5703125" customWidth="1"/>
    <col min="12" max="12" width="26.42578125" style="65" customWidth="1"/>
  </cols>
  <sheetData>
    <row r="1" spans="1:12" s="1" customFormat="1" ht="52.5" customHeight="1" x14ac:dyDescent="0.25"/>
    <row r="2" spans="1:12" s="1" customFormat="1" ht="10.5" customHeight="1" x14ac:dyDescent="0.25">
      <c r="A2" s="75" t="s">
        <v>34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2" s="1" customFormat="1" ht="15.95" customHeight="1" x14ac:dyDescent="0.25">
      <c r="A3" s="75" t="s">
        <v>35</v>
      </c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12" s="1" customFormat="1" ht="15.95" customHeight="1" x14ac:dyDescent="0.25">
      <c r="A4" s="75" t="s">
        <v>36</v>
      </c>
      <c r="B4" s="75"/>
      <c r="C4" s="75"/>
      <c r="D4" s="75"/>
      <c r="E4" s="75"/>
      <c r="F4" s="75"/>
      <c r="G4" s="75"/>
      <c r="H4" s="75"/>
      <c r="I4" s="75"/>
      <c r="J4" s="75"/>
      <c r="K4" s="75"/>
    </row>
    <row r="5" spans="1:12" s="1" customFormat="1" ht="15.95" customHeight="1" x14ac:dyDescent="0.25">
      <c r="A5" s="75" t="s">
        <v>37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2" s="1" customFormat="1" ht="8.25" customHeight="1" x14ac:dyDescent="0.25"/>
    <row r="7" spans="1:12" s="1" customFormat="1" ht="12" customHeight="1" x14ac:dyDescent="0.25">
      <c r="A7" s="1" t="s">
        <v>38</v>
      </c>
      <c r="B7" s="74" t="s">
        <v>39</v>
      </c>
      <c r="C7" s="74"/>
      <c r="D7" s="74"/>
      <c r="I7" s="4" t="s">
        <v>9</v>
      </c>
      <c r="J7" s="11"/>
      <c r="K7" s="4"/>
    </row>
    <row r="8" spans="1:12" s="1" customFormat="1" ht="12" customHeight="1" x14ac:dyDescent="0.25">
      <c r="B8" s="3"/>
      <c r="C8" s="3"/>
      <c r="I8" s="3"/>
      <c r="J8" s="3"/>
      <c r="K8" s="3"/>
    </row>
    <row r="9" spans="1:12" s="1" customFormat="1" ht="12" customHeight="1" x14ac:dyDescent="0.25">
      <c r="A9" s="1" t="s">
        <v>40</v>
      </c>
      <c r="B9" s="74" t="s">
        <v>41</v>
      </c>
      <c r="C9" s="74"/>
      <c r="D9" s="74"/>
      <c r="I9" s="4" t="s">
        <v>10</v>
      </c>
      <c r="J9" s="5"/>
      <c r="K9" s="4"/>
    </row>
    <row r="10" spans="1:12" ht="23.25" customHeight="1" thickBot="1" x14ac:dyDescent="0.3">
      <c r="A10" s="77" t="s">
        <v>0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/>
    </row>
    <row r="11" spans="1:12" ht="18.75" customHeight="1" x14ac:dyDescent="0.25">
      <c r="A11" s="78" t="s">
        <v>4</v>
      </c>
      <c r="B11" s="80" t="s">
        <v>5</v>
      </c>
      <c r="C11" s="81"/>
      <c r="D11" s="82" t="s">
        <v>6</v>
      </c>
      <c r="E11" s="83"/>
      <c r="F11" s="83"/>
      <c r="G11" s="84"/>
      <c r="H11" s="60"/>
      <c r="I11" s="85" t="s">
        <v>7</v>
      </c>
      <c r="J11" s="86"/>
      <c r="K11" s="87" t="s">
        <v>8</v>
      </c>
      <c r="L11" s="76" t="s">
        <v>147</v>
      </c>
    </row>
    <row r="12" spans="1:12" ht="18.75" customHeight="1" thickBot="1" x14ac:dyDescent="0.3">
      <c r="A12" s="79"/>
      <c r="B12" s="8" t="s">
        <v>1</v>
      </c>
      <c r="C12" s="8" t="s">
        <v>2</v>
      </c>
      <c r="D12" s="8" t="s">
        <v>1</v>
      </c>
      <c r="E12" s="8" t="s">
        <v>2</v>
      </c>
      <c r="F12" s="8" t="s">
        <v>3</v>
      </c>
      <c r="G12" s="8" t="s">
        <v>33</v>
      </c>
      <c r="H12" s="8" t="s">
        <v>149</v>
      </c>
      <c r="I12" s="8" t="s">
        <v>1</v>
      </c>
      <c r="J12" s="8" t="s">
        <v>2</v>
      </c>
      <c r="K12" s="88"/>
      <c r="L12" s="76"/>
    </row>
    <row r="13" spans="1:12" ht="30.75" customHeight="1" x14ac:dyDescent="0.25">
      <c r="A13" s="25" t="s">
        <v>106</v>
      </c>
      <c r="B13" s="50"/>
      <c r="C13" s="50"/>
      <c r="D13" s="50"/>
      <c r="E13" s="50"/>
      <c r="F13" s="50"/>
      <c r="G13" s="50"/>
      <c r="H13" s="50"/>
      <c r="I13" s="63">
        <f>B13</f>
        <v>0</v>
      </c>
      <c r="J13" s="63">
        <f>C13</f>
        <v>0</v>
      </c>
      <c r="K13" s="64">
        <f>SUM(I13:J13)</f>
        <v>0</v>
      </c>
    </row>
    <row r="14" spans="1:12" ht="12" customHeight="1" x14ac:dyDescent="0.25">
      <c r="A14" s="25" t="s">
        <v>105</v>
      </c>
      <c r="B14" s="50"/>
      <c r="C14" s="50"/>
      <c r="D14" s="50"/>
      <c r="E14" s="50"/>
      <c r="F14" s="50"/>
      <c r="G14" s="50"/>
      <c r="H14" s="50"/>
      <c r="I14" s="66">
        <f t="shared" ref="I14:I45" si="0">I13-F14-D14+B14</f>
        <v>0</v>
      </c>
      <c r="J14" s="66">
        <f t="shared" ref="J14:J45" si="1">J13-E14+C14</f>
        <v>0</v>
      </c>
      <c r="K14" s="67">
        <f>SUM(I14:J14)</f>
        <v>0</v>
      </c>
    </row>
    <row r="15" spans="1:12" ht="12" customHeight="1" x14ac:dyDescent="0.25">
      <c r="A15" s="25" t="s">
        <v>107</v>
      </c>
      <c r="B15" s="50"/>
      <c r="C15" s="50"/>
      <c r="D15" s="50"/>
      <c r="E15" s="50"/>
      <c r="F15" s="50"/>
      <c r="G15" s="50"/>
      <c r="H15" s="50"/>
      <c r="I15" s="66">
        <f t="shared" si="0"/>
        <v>0</v>
      </c>
      <c r="J15" s="66">
        <f t="shared" si="1"/>
        <v>0</v>
      </c>
      <c r="K15" s="67">
        <f t="shared" ref="K15:K43" si="2">SUM(I15:J15)</f>
        <v>0</v>
      </c>
    </row>
    <row r="16" spans="1:12" ht="12.75" customHeight="1" x14ac:dyDescent="0.25">
      <c r="A16" s="25" t="s">
        <v>108</v>
      </c>
      <c r="B16" s="50"/>
      <c r="C16" s="50"/>
      <c r="D16" s="50"/>
      <c r="E16" s="50"/>
      <c r="F16" s="50"/>
      <c r="G16" s="50"/>
      <c r="H16" s="50"/>
      <c r="I16" s="66">
        <f t="shared" si="0"/>
        <v>0</v>
      </c>
      <c r="J16" s="66">
        <f t="shared" si="1"/>
        <v>0</v>
      </c>
      <c r="K16" s="67">
        <f t="shared" si="2"/>
        <v>0</v>
      </c>
    </row>
    <row r="17" spans="1:11" ht="12.75" customHeight="1" x14ac:dyDescent="0.25">
      <c r="A17" s="25" t="s">
        <v>109</v>
      </c>
      <c r="B17" s="50"/>
      <c r="C17" s="50"/>
      <c r="D17" s="50"/>
      <c r="E17" s="50"/>
      <c r="F17" s="50"/>
      <c r="G17" s="50"/>
      <c r="H17" s="50"/>
      <c r="I17" s="66">
        <f t="shared" si="0"/>
        <v>0</v>
      </c>
      <c r="J17" s="66">
        <f t="shared" si="1"/>
        <v>0</v>
      </c>
      <c r="K17" s="67">
        <f t="shared" si="2"/>
        <v>0</v>
      </c>
    </row>
    <row r="18" spans="1:11" ht="12" customHeight="1" x14ac:dyDescent="0.25">
      <c r="A18" s="25" t="s">
        <v>110</v>
      </c>
      <c r="B18" s="50"/>
      <c r="C18" s="50"/>
      <c r="D18" s="50"/>
      <c r="E18" s="50"/>
      <c r="F18" s="50"/>
      <c r="G18" s="50"/>
      <c r="H18" s="50"/>
      <c r="I18" s="66">
        <f t="shared" si="0"/>
        <v>0</v>
      </c>
      <c r="J18" s="66">
        <f t="shared" si="1"/>
        <v>0</v>
      </c>
      <c r="K18" s="67">
        <f t="shared" si="2"/>
        <v>0</v>
      </c>
    </row>
    <row r="19" spans="1:11" ht="12" customHeight="1" x14ac:dyDescent="0.25">
      <c r="A19" s="54" t="s">
        <v>143</v>
      </c>
      <c r="B19" s="50">
        <v>6.5220000000000002</v>
      </c>
      <c r="C19" s="50">
        <v>6.5220000000000002</v>
      </c>
      <c r="D19" s="50"/>
      <c r="E19" s="50"/>
      <c r="F19" s="50"/>
      <c r="G19" s="50"/>
      <c r="H19" s="50"/>
      <c r="I19" s="66">
        <f t="shared" si="0"/>
        <v>6.5220000000000002</v>
      </c>
      <c r="J19" s="66">
        <f t="shared" si="1"/>
        <v>6.5220000000000002</v>
      </c>
      <c r="K19" s="67">
        <f t="shared" si="2"/>
        <v>13.044</v>
      </c>
    </row>
    <row r="20" spans="1:11" ht="12" customHeight="1" x14ac:dyDescent="0.25">
      <c r="A20" s="22" t="s">
        <v>42</v>
      </c>
      <c r="B20" s="2">
        <v>0.70799999999999996</v>
      </c>
      <c r="C20" s="2">
        <v>0.70799999999999996</v>
      </c>
      <c r="D20" s="2"/>
      <c r="E20" s="2"/>
      <c r="F20" s="2"/>
      <c r="G20" s="2"/>
      <c r="H20" s="2"/>
      <c r="I20" s="66">
        <f t="shared" si="0"/>
        <v>7.23</v>
      </c>
      <c r="J20" s="66">
        <f t="shared" si="1"/>
        <v>7.23</v>
      </c>
      <c r="K20" s="67">
        <f t="shared" si="2"/>
        <v>14.46</v>
      </c>
    </row>
    <row r="21" spans="1:11" ht="12" customHeight="1" x14ac:dyDescent="0.25">
      <c r="A21" s="22" t="s">
        <v>43</v>
      </c>
      <c r="B21" s="2">
        <v>6.25</v>
      </c>
      <c r="C21" s="2">
        <v>6.25</v>
      </c>
      <c r="D21" s="2"/>
      <c r="E21" s="2"/>
      <c r="F21" s="2"/>
      <c r="G21" s="2"/>
      <c r="H21" s="2"/>
      <c r="I21" s="66">
        <f t="shared" si="0"/>
        <v>13.48</v>
      </c>
      <c r="J21" s="66">
        <f t="shared" si="1"/>
        <v>13.48</v>
      </c>
      <c r="K21" s="67">
        <f t="shared" si="2"/>
        <v>26.96</v>
      </c>
    </row>
    <row r="22" spans="1:11" ht="12" customHeight="1" x14ac:dyDescent="0.25">
      <c r="A22" s="55" t="s">
        <v>111</v>
      </c>
      <c r="B22" s="2"/>
      <c r="C22" s="2"/>
      <c r="D22" s="2"/>
      <c r="E22" s="2"/>
      <c r="F22" s="2"/>
      <c r="G22" s="2"/>
      <c r="H22" s="2"/>
      <c r="I22" s="66">
        <f t="shared" si="0"/>
        <v>13.48</v>
      </c>
      <c r="J22" s="66">
        <f t="shared" si="1"/>
        <v>13.48</v>
      </c>
      <c r="K22" s="67">
        <f t="shared" si="2"/>
        <v>26.96</v>
      </c>
    </row>
    <row r="23" spans="1:11" ht="12" customHeight="1" x14ac:dyDescent="0.25">
      <c r="A23" s="54" t="s">
        <v>142</v>
      </c>
      <c r="B23" s="2">
        <v>1.087</v>
      </c>
      <c r="C23" s="2">
        <v>1.087</v>
      </c>
      <c r="D23" s="2"/>
      <c r="E23" s="2"/>
      <c r="F23" s="2"/>
      <c r="G23" s="2"/>
      <c r="H23" s="2"/>
      <c r="I23" s="66">
        <f t="shared" si="0"/>
        <v>14.567</v>
      </c>
      <c r="J23" s="66">
        <f t="shared" si="1"/>
        <v>14.567</v>
      </c>
      <c r="K23" s="67">
        <f t="shared" si="2"/>
        <v>29.134</v>
      </c>
    </row>
    <row r="24" spans="1:11" ht="12" customHeight="1" x14ac:dyDescent="0.25">
      <c r="A24" s="22" t="s">
        <v>44</v>
      </c>
      <c r="B24" s="2">
        <v>15</v>
      </c>
      <c r="C24" s="2">
        <v>15</v>
      </c>
      <c r="D24" s="2"/>
      <c r="E24" s="2"/>
      <c r="F24" s="2"/>
      <c r="G24" s="2"/>
      <c r="H24" s="2"/>
      <c r="I24" s="66">
        <f t="shared" si="0"/>
        <v>29.567</v>
      </c>
      <c r="J24" s="66">
        <f t="shared" si="1"/>
        <v>29.567</v>
      </c>
      <c r="K24" s="67">
        <f t="shared" si="2"/>
        <v>59.134</v>
      </c>
    </row>
    <row r="25" spans="1:11" ht="12.75" customHeight="1" x14ac:dyDescent="0.25">
      <c r="A25" s="22" t="s">
        <v>45</v>
      </c>
      <c r="B25" s="2"/>
      <c r="C25" s="2"/>
      <c r="D25" s="2"/>
      <c r="E25" s="2"/>
      <c r="F25" s="2">
        <v>1</v>
      </c>
      <c r="G25" s="2"/>
      <c r="H25" s="2"/>
      <c r="I25" s="66">
        <f t="shared" si="0"/>
        <v>28.567</v>
      </c>
      <c r="J25" s="66">
        <f t="shared" si="1"/>
        <v>29.567</v>
      </c>
      <c r="K25" s="67">
        <f t="shared" si="2"/>
        <v>58.134</v>
      </c>
    </row>
    <row r="26" spans="1:11" ht="12" customHeight="1" x14ac:dyDescent="0.25">
      <c r="A26" s="22" t="s">
        <v>51</v>
      </c>
      <c r="B26" s="2"/>
      <c r="C26" s="2"/>
      <c r="D26" s="2"/>
      <c r="E26" s="2"/>
      <c r="F26" s="2">
        <v>1</v>
      </c>
      <c r="G26" s="2"/>
      <c r="H26" s="2"/>
      <c r="I26" s="66">
        <f t="shared" si="0"/>
        <v>27.567</v>
      </c>
      <c r="J26" s="66">
        <f t="shared" si="1"/>
        <v>29.567</v>
      </c>
      <c r="K26" s="67">
        <f t="shared" si="2"/>
        <v>57.134</v>
      </c>
    </row>
    <row r="27" spans="1:11" ht="12" customHeight="1" x14ac:dyDescent="0.25">
      <c r="A27" s="22" t="s">
        <v>46</v>
      </c>
      <c r="B27" s="2"/>
      <c r="C27" s="2"/>
      <c r="D27" s="2"/>
      <c r="E27" s="2"/>
      <c r="F27" s="2">
        <v>1</v>
      </c>
      <c r="G27" s="2"/>
      <c r="H27" s="2"/>
      <c r="I27" s="66">
        <f t="shared" si="0"/>
        <v>26.567</v>
      </c>
      <c r="J27" s="66">
        <f t="shared" si="1"/>
        <v>29.567</v>
      </c>
      <c r="K27" s="67">
        <f t="shared" si="2"/>
        <v>56.134</v>
      </c>
    </row>
    <row r="28" spans="1:11" ht="12" customHeight="1" x14ac:dyDescent="0.25">
      <c r="A28" s="22" t="s">
        <v>47</v>
      </c>
      <c r="B28" s="2"/>
      <c r="C28" s="2"/>
      <c r="D28" s="2"/>
      <c r="E28" s="2">
        <v>1.5</v>
      </c>
      <c r="F28" s="2"/>
      <c r="G28" s="2"/>
      <c r="H28" s="2"/>
      <c r="I28" s="66">
        <f t="shared" si="0"/>
        <v>26.567</v>
      </c>
      <c r="J28" s="66">
        <f t="shared" si="1"/>
        <v>28.067</v>
      </c>
      <c r="K28" s="67">
        <f t="shared" si="2"/>
        <v>54.634</v>
      </c>
    </row>
    <row r="29" spans="1:11" ht="12" customHeight="1" x14ac:dyDescent="0.25">
      <c r="A29" s="22" t="s">
        <v>48</v>
      </c>
      <c r="B29" s="2"/>
      <c r="C29" s="2"/>
      <c r="D29" s="2"/>
      <c r="E29" s="2">
        <v>1</v>
      </c>
      <c r="F29" s="2"/>
      <c r="G29" s="2"/>
      <c r="H29" s="2"/>
      <c r="I29" s="66">
        <f t="shared" si="0"/>
        <v>26.567</v>
      </c>
      <c r="J29" s="66">
        <f t="shared" si="1"/>
        <v>27.067</v>
      </c>
      <c r="K29" s="67">
        <f t="shared" si="2"/>
        <v>53.634</v>
      </c>
    </row>
    <row r="30" spans="1:11" ht="21" customHeight="1" x14ac:dyDescent="0.25">
      <c r="A30" s="22" t="s">
        <v>49</v>
      </c>
      <c r="B30" s="2"/>
      <c r="C30" s="2"/>
      <c r="D30" s="2">
        <v>9</v>
      </c>
      <c r="E30" s="2"/>
      <c r="F30" s="2"/>
      <c r="G30" s="2"/>
      <c r="H30" s="2"/>
      <c r="I30" s="66">
        <f t="shared" si="0"/>
        <v>17.567</v>
      </c>
      <c r="J30" s="66">
        <f t="shared" si="1"/>
        <v>27.067</v>
      </c>
      <c r="K30" s="67">
        <f t="shared" si="2"/>
        <v>44.634</v>
      </c>
    </row>
    <row r="31" spans="1:11" ht="12" customHeight="1" x14ac:dyDescent="0.25">
      <c r="A31" s="22" t="s">
        <v>50</v>
      </c>
      <c r="B31" s="2"/>
      <c r="C31" s="2"/>
      <c r="D31" s="2"/>
      <c r="E31" s="2"/>
      <c r="F31" s="2">
        <v>2</v>
      </c>
      <c r="G31" s="2"/>
      <c r="H31" s="2"/>
      <c r="I31" s="66">
        <f t="shared" si="0"/>
        <v>15.567</v>
      </c>
      <c r="J31" s="66">
        <f t="shared" si="1"/>
        <v>27.067</v>
      </c>
      <c r="K31" s="67">
        <f t="shared" si="2"/>
        <v>42.634</v>
      </c>
    </row>
    <row r="32" spans="1:11" ht="13.5" customHeight="1" x14ac:dyDescent="0.25">
      <c r="A32" s="22" t="s">
        <v>52</v>
      </c>
      <c r="B32" s="2">
        <v>15</v>
      </c>
      <c r="C32" s="2">
        <v>15</v>
      </c>
      <c r="D32" s="2"/>
      <c r="E32" s="2"/>
      <c r="F32" s="2"/>
      <c r="G32" s="2"/>
      <c r="H32" s="2"/>
      <c r="I32" s="66">
        <f t="shared" si="0"/>
        <v>30.567</v>
      </c>
      <c r="J32" s="66">
        <f t="shared" si="1"/>
        <v>42.067</v>
      </c>
      <c r="K32" s="67">
        <f t="shared" si="2"/>
        <v>72.634</v>
      </c>
    </row>
    <row r="33" spans="1:12" ht="12" customHeight="1" x14ac:dyDescent="0.25">
      <c r="A33" s="22" t="s">
        <v>53</v>
      </c>
      <c r="B33" s="2"/>
      <c r="C33" s="2"/>
      <c r="D33" s="2"/>
      <c r="E33" s="2"/>
      <c r="F33" s="2">
        <v>3</v>
      </c>
      <c r="G33" s="2"/>
      <c r="H33" s="2"/>
      <c r="I33" s="66">
        <f t="shared" si="0"/>
        <v>27.567</v>
      </c>
      <c r="J33" s="66">
        <f t="shared" si="1"/>
        <v>42.067</v>
      </c>
      <c r="K33" s="67">
        <f t="shared" si="2"/>
        <v>69.634</v>
      </c>
    </row>
    <row r="34" spans="1:12" ht="12" customHeight="1" x14ac:dyDescent="0.25">
      <c r="A34" s="22" t="s">
        <v>54</v>
      </c>
      <c r="B34" s="2"/>
      <c r="C34" s="2"/>
      <c r="D34" s="2"/>
      <c r="E34" s="2">
        <v>2</v>
      </c>
      <c r="F34" s="2"/>
      <c r="G34" s="2"/>
      <c r="H34" s="2"/>
      <c r="I34" s="66">
        <f t="shared" si="0"/>
        <v>27.567</v>
      </c>
      <c r="J34" s="66">
        <f t="shared" si="1"/>
        <v>40.067</v>
      </c>
      <c r="K34" s="67">
        <f t="shared" si="2"/>
        <v>67.634</v>
      </c>
    </row>
    <row r="35" spans="1:12" ht="14.25" customHeight="1" x14ac:dyDescent="0.25">
      <c r="A35" s="22" t="s">
        <v>55</v>
      </c>
      <c r="B35" s="2"/>
      <c r="C35" s="2"/>
      <c r="D35" s="2"/>
      <c r="E35" s="2">
        <v>2</v>
      </c>
      <c r="F35" s="2"/>
      <c r="G35" s="2"/>
      <c r="H35" s="2"/>
      <c r="I35" s="66">
        <f t="shared" si="0"/>
        <v>27.567</v>
      </c>
      <c r="J35" s="66">
        <f t="shared" si="1"/>
        <v>38.067</v>
      </c>
      <c r="K35" s="67">
        <f t="shared" si="2"/>
        <v>65.634</v>
      </c>
    </row>
    <row r="36" spans="1:12" ht="12" customHeight="1" x14ac:dyDescent="0.25">
      <c r="A36" s="22" t="s">
        <v>56</v>
      </c>
      <c r="B36" s="2"/>
      <c r="C36" s="2"/>
      <c r="D36" s="2">
        <v>16</v>
      </c>
      <c r="E36" s="2">
        <v>13</v>
      </c>
      <c r="F36" s="2"/>
      <c r="G36" s="2"/>
      <c r="H36" s="2"/>
      <c r="I36" s="66">
        <f t="shared" si="0"/>
        <v>11.567</v>
      </c>
      <c r="J36" s="66">
        <f t="shared" si="1"/>
        <v>25.067</v>
      </c>
      <c r="K36" s="67">
        <f t="shared" si="2"/>
        <v>36.634</v>
      </c>
    </row>
    <row r="37" spans="1:12" ht="12" customHeight="1" x14ac:dyDescent="0.25">
      <c r="A37" s="22" t="s">
        <v>57</v>
      </c>
      <c r="B37" s="2"/>
      <c r="C37" s="2"/>
      <c r="D37" s="2"/>
      <c r="E37" s="2">
        <v>2</v>
      </c>
      <c r="F37" s="2"/>
      <c r="G37" s="2"/>
      <c r="H37" s="2"/>
      <c r="I37" s="66">
        <f t="shared" si="0"/>
        <v>11.567</v>
      </c>
      <c r="J37" s="66">
        <f t="shared" si="1"/>
        <v>23.067</v>
      </c>
      <c r="K37" s="67">
        <f t="shared" si="2"/>
        <v>34.634</v>
      </c>
    </row>
    <row r="38" spans="1:12" ht="12" customHeight="1" x14ac:dyDescent="0.25">
      <c r="A38" s="22" t="s">
        <v>58</v>
      </c>
      <c r="B38" s="2"/>
      <c r="C38" s="2"/>
      <c r="D38" s="2"/>
      <c r="E38" s="2"/>
      <c r="F38" s="2">
        <v>2</v>
      </c>
      <c r="G38" s="2"/>
      <c r="H38" s="2"/>
      <c r="I38" s="66">
        <f t="shared" si="0"/>
        <v>9.5670000000000002</v>
      </c>
      <c r="J38" s="66">
        <f t="shared" si="1"/>
        <v>23.067</v>
      </c>
      <c r="K38" s="67">
        <f t="shared" si="2"/>
        <v>32.634</v>
      </c>
    </row>
    <row r="39" spans="1:12" s="69" customFormat="1" ht="12" customHeight="1" x14ac:dyDescent="0.25">
      <c r="A39" s="56" t="s">
        <v>11</v>
      </c>
      <c r="B39" s="13"/>
      <c r="C39" s="2"/>
      <c r="D39" s="2"/>
      <c r="E39" s="2"/>
      <c r="F39" s="2">
        <v>2</v>
      </c>
      <c r="G39" s="2"/>
      <c r="H39" s="2"/>
      <c r="I39" s="66">
        <f t="shared" si="0"/>
        <v>7.5670000000000002</v>
      </c>
      <c r="J39" s="66">
        <f t="shared" si="1"/>
        <v>23.067</v>
      </c>
      <c r="K39" s="67">
        <f t="shared" si="2"/>
        <v>30.634</v>
      </c>
      <c r="L39" s="68"/>
    </row>
    <row r="40" spans="1:12" s="69" customFormat="1" ht="12" customHeight="1" x14ac:dyDescent="0.25">
      <c r="A40" s="22" t="s">
        <v>12</v>
      </c>
      <c r="B40" s="2">
        <v>1.25</v>
      </c>
      <c r="C40" s="2">
        <v>1.25</v>
      </c>
      <c r="D40" s="2"/>
      <c r="E40" s="2"/>
      <c r="F40" s="2"/>
      <c r="G40" s="2"/>
      <c r="H40" s="2"/>
      <c r="I40" s="66">
        <f t="shared" si="0"/>
        <v>8.8170000000000002</v>
      </c>
      <c r="J40" s="66">
        <f t="shared" si="1"/>
        <v>24.317</v>
      </c>
      <c r="K40" s="67">
        <f t="shared" si="2"/>
        <v>33.134</v>
      </c>
      <c r="L40" s="68"/>
    </row>
    <row r="41" spans="1:12" s="69" customFormat="1" ht="12.75" customHeight="1" x14ac:dyDescent="0.25">
      <c r="A41" s="22" t="s">
        <v>13</v>
      </c>
      <c r="B41" s="2"/>
      <c r="C41" s="2"/>
      <c r="D41" s="2"/>
      <c r="E41" s="2"/>
      <c r="F41" s="2">
        <v>1</v>
      </c>
      <c r="G41" s="2"/>
      <c r="H41" s="2"/>
      <c r="I41" s="66">
        <f t="shared" si="0"/>
        <v>7.8170000000000002</v>
      </c>
      <c r="J41" s="66">
        <f t="shared" si="1"/>
        <v>24.317</v>
      </c>
      <c r="K41" s="67">
        <f t="shared" si="2"/>
        <v>32.134</v>
      </c>
      <c r="L41" s="68"/>
    </row>
    <row r="42" spans="1:12" ht="12" customHeight="1" x14ac:dyDescent="0.25">
      <c r="A42" s="56" t="s">
        <v>14</v>
      </c>
      <c r="B42" s="2">
        <v>1.25</v>
      </c>
      <c r="C42" s="2">
        <v>1.25</v>
      </c>
      <c r="D42" s="13"/>
      <c r="E42" s="13"/>
      <c r="F42" s="13"/>
      <c r="G42" s="13"/>
      <c r="H42" s="13"/>
      <c r="I42" s="66">
        <f t="shared" si="0"/>
        <v>9.0670000000000002</v>
      </c>
      <c r="J42" s="66">
        <f t="shared" si="1"/>
        <v>25.567</v>
      </c>
      <c r="K42" s="67">
        <f t="shared" si="2"/>
        <v>34.634</v>
      </c>
    </row>
    <row r="43" spans="1:12" ht="15.75" customHeight="1" x14ac:dyDescent="0.25">
      <c r="A43" s="22" t="s">
        <v>15</v>
      </c>
      <c r="B43" s="13"/>
      <c r="C43" s="2"/>
      <c r="D43" s="2"/>
      <c r="E43" s="2">
        <v>1</v>
      </c>
      <c r="F43" s="2"/>
      <c r="G43" s="2"/>
      <c r="H43" s="2"/>
      <c r="I43" s="66">
        <f t="shared" si="0"/>
        <v>9.0670000000000002</v>
      </c>
      <c r="J43" s="66">
        <f t="shared" si="1"/>
        <v>24.567</v>
      </c>
      <c r="K43" s="67">
        <f t="shared" si="2"/>
        <v>33.634</v>
      </c>
    </row>
    <row r="44" spans="1:12" s="69" customFormat="1" ht="16.5" customHeight="1" x14ac:dyDescent="0.25">
      <c r="A44" s="22" t="s">
        <v>150</v>
      </c>
      <c r="B44" s="2"/>
      <c r="C44" s="2"/>
      <c r="D44" s="2"/>
      <c r="E44" s="2">
        <v>2</v>
      </c>
      <c r="F44" s="2"/>
      <c r="G44" s="2"/>
      <c r="H44" s="2"/>
      <c r="I44" s="66">
        <f t="shared" si="0"/>
        <v>9.0670000000000002</v>
      </c>
      <c r="J44" s="66">
        <f t="shared" si="1"/>
        <v>22.567</v>
      </c>
      <c r="K44" s="67">
        <f>SUM(I44:J44)</f>
        <v>31.634</v>
      </c>
      <c r="L44" s="68"/>
    </row>
    <row r="45" spans="1:12" s="69" customFormat="1" ht="12" customHeight="1" x14ac:dyDescent="0.25">
      <c r="A45" s="22" t="s">
        <v>19</v>
      </c>
      <c r="B45" s="2"/>
      <c r="C45" s="2"/>
      <c r="D45" s="2"/>
      <c r="E45" s="2"/>
      <c r="F45" s="2">
        <v>1</v>
      </c>
      <c r="G45" s="2"/>
      <c r="H45" s="2"/>
      <c r="I45" s="66">
        <f t="shared" si="0"/>
        <v>8.0670000000000002</v>
      </c>
      <c r="J45" s="66">
        <f t="shared" si="1"/>
        <v>22.567</v>
      </c>
      <c r="K45" s="67">
        <f t="shared" ref="K45:K62" si="3">SUM(I45:J45)</f>
        <v>30.634</v>
      </c>
      <c r="L45" s="68"/>
    </row>
    <row r="46" spans="1:12" ht="12" customHeight="1" x14ac:dyDescent="0.25">
      <c r="A46" s="56" t="s">
        <v>17</v>
      </c>
      <c r="B46" s="2">
        <v>1.25</v>
      </c>
      <c r="C46" s="2">
        <v>1.25</v>
      </c>
      <c r="D46" s="2"/>
      <c r="E46" s="2"/>
      <c r="F46" s="2"/>
      <c r="G46" s="2"/>
      <c r="H46" s="2"/>
      <c r="I46" s="66">
        <f t="shared" ref="I46:I62" si="4">I45-F46-D46+B46</f>
        <v>9.3170000000000002</v>
      </c>
      <c r="J46" s="66">
        <f t="shared" ref="J46:J62" si="5">J45-E46+C46</f>
        <v>23.817</v>
      </c>
      <c r="K46" s="67">
        <f t="shared" si="3"/>
        <v>33.134</v>
      </c>
    </row>
    <row r="47" spans="1:12" ht="16.5" customHeight="1" x14ac:dyDescent="0.25">
      <c r="A47" s="22" t="s">
        <v>18</v>
      </c>
      <c r="B47" s="2"/>
      <c r="C47" s="2"/>
      <c r="D47" s="2"/>
      <c r="E47" s="2"/>
      <c r="F47" s="2"/>
      <c r="G47" s="2">
        <v>1</v>
      </c>
      <c r="H47" s="2"/>
      <c r="I47" s="66">
        <f t="shared" si="4"/>
        <v>9.3170000000000002</v>
      </c>
      <c r="J47" s="66">
        <f t="shared" si="5"/>
        <v>23.817</v>
      </c>
      <c r="K47" s="67">
        <f t="shared" si="3"/>
        <v>33.134</v>
      </c>
    </row>
    <row r="48" spans="1:12" ht="12" customHeight="1" x14ac:dyDescent="0.25">
      <c r="A48" s="22" t="s">
        <v>20</v>
      </c>
      <c r="B48" s="2"/>
      <c r="C48" s="2"/>
      <c r="D48" s="2"/>
      <c r="E48" s="2"/>
      <c r="F48" s="2"/>
      <c r="G48" s="2">
        <v>1</v>
      </c>
      <c r="H48" s="2"/>
      <c r="I48" s="66">
        <f t="shared" si="4"/>
        <v>9.3170000000000002</v>
      </c>
      <c r="J48" s="66">
        <f t="shared" si="5"/>
        <v>23.817</v>
      </c>
      <c r="K48" s="67">
        <f t="shared" si="3"/>
        <v>33.134</v>
      </c>
    </row>
    <row r="49" spans="1:11" ht="12" customHeight="1" x14ac:dyDescent="0.25">
      <c r="A49" s="56" t="s">
        <v>21</v>
      </c>
      <c r="B49" s="2">
        <v>1.25</v>
      </c>
      <c r="C49" s="2">
        <v>1.25</v>
      </c>
      <c r="D49" s="2"/>
      <c r="E49" s="2"/>
      <c r="F49" s="2"/>
      <c r="G49" s="2"/>
      <c r="H49" s="2"/>
      <c r="I49" s="66">
        <f t="shared" si="4"/>
        <v>10.567</v>
      </c>
      <c r="J49" s="66">
        <f t="shared" si="5"/>
        <v>25.067</v>
      </c>
      <c r="K49" s="67">
        <f t="shared" si="3"/>
        <v>35.634</v>
      </c>
    </row>
    <row r="50" spans="1:11" ht="12" customHeight="1" x14ac:dyDescent="0.25">
      <c r="A50" s="22" t="s">
        <v>22</v>
      </c>
      <c r="B50" s="2"/>
      <c r="C50" s="2"/>
      <c r="D50" s="2"/>
      <c r="E50" s="2">
        <v>2</v>
      </c>
      <c r="F50" s="2"/>
      <c r="G50" s="2"/>
      <c r="H50" s="2"/>
      <c r="I50" s="66">
        <f t="shared" si="4"/>
        <v>10.567</v>
      </c>
      <c r="J50" s="66">
        <f t="shared" si="5"/>
        <v>23.067</v>
      </c>
      <c r="K50" s="67">
        <f t="shared" si="3"/>
        <v>33.634</v>
      </c>
    </row>
    <row r="51" spans="1:11" ht="12" customHeight="1" x14ac:dyDescent="0.25">
      <c r="A51" s="22" t="s">
        <v>23</v>
      </c>
      <c r="B51" s="2"/>
      <c r="C51" s="2"/>
      <c r="D51" s="2"/>
      <c r="E51" s="2">
        <v>2</v>
      </c>
      <c r="F51" s="2"/>
      <c r="G51" s="2"/>
      <c r="H51" s="2"/>
      <c r="I51" s="66">
        <f t="shared" si="4"/>
        <v>10.567</v>
      </c>
      <c r="J51" s="66">
        <f t="shared" si="5"/>
        <v>21.067</v>
      </c>
      <c r="K51" s="67">
        <f t="shared" si="3"/>
        <v>31.634</v>
      </c>
    </row>
    <row r="52" spans="1:11" ht="12" customHeight="1" x14ac:dyDescent="0.25">
      <c r="A52" s="56" t="s">
        <v>24</v>
      </c>
      <c r="B52" s="2">
        <v>1.25</v>
      </c>
      <c r="C52" s="2">
        <v>1.25</v>
      </c>
      <c r="D52" s="2"/>
      <c r="E52" s="2"/>
      <c r="F52" s="2"/>
      <c r="G52" s="2"/>
      <c r="H52" s="2"/>
      <c r="I52" s="66">
        <f t="shared" si="4"/>
        <v>11.817</v>
      </c>
      <c r="J52" s="66">
        <f t="shared" si="5"/>
        <v>22.317</v>
      </c>
      <c r="K52" s="67">
        <f t="shared" si="3"/>
        <v>34.134</v>
      </c>
    </row>
    <row r="53" spans="1:11" ht="14.25" customHeight="1" x14ac:dyDescent="0.25">
      <c r="A53" s="22" t="s">
        <v>25</v>
      </c>
      <c r="B53" s="2"/>
      <c r="C53" s="2"/>
      <c r="D53" s="2"/>
      <c r="E53" s="2">
        <v>1</v>
      </c>
      <c r="F53" s="2"/>
      <c r="G53" s="2"/>
      <c r="H53" s="2"/>
      <c r="I53" s="66">
        <f t="shared" si="4"/>
        <v>11.817</v>
      </c>
      <c r="J53" s="66">
        <f t="shared" si="5"/>
        <v>21.317</v>
      </c>
      <c r="K53" s="67">
        <f t="shared" si="3"/>
        <v>33.134</v>
      </c>
    </row>
    <row r="54" spans="1:11" ht="12" customHeight="1" x14ac:dyDescent="0.25">
      <c r="A54" s="22" t="s">
        <v>26</v>
      </c>
      <c r="B54" s="2"/>
      <c r="C54" s="2"/>
      <c r="D54" s="2">
        <v>3</v>
      </c>
      <c r="E54" s="2"/>
      <c r="F54" s="2"/>
      <c r="G54" s="2"/>
      <c r="H54" s="2"/>
      <c r="I54" s="66">
        <f t="shared" si="4"/>
        <v>8.8170000000000002</v>
      </c>
      <c r="J54" s="66">
        <f t="shared" si="5"/>
        <v>21.317</v>
      </c>
      <c r="K54" s="67">
        <f t="shared" si="3"/>
        <v>30.134</v>
      </c>
    </row>
    <row r="55" spans="1:11" ht="15.75" customHeight="1" x14ac:dyDescent="0.25">
      <c r="A55" s="56" t="s">
        <v>27</v>
      </c>
      <c r="B55" s="2">
        <v>2.5</v>
      </c>
      <c r="C55" s="2">
        <v>2.5</v>
      </c>
      <c r="D55" s="2"/>
      <c r="E55" s="2"/>
      <c r="F55" s="2"/>
      <c r="G55" s="2"/>
      <c r="H55" s="2"/>
      <c r="I55" s="66">
        <f t="shared" si="4"/>
        <v>11.317</v>
      </c>
      <c r="J55" s="66">
        <f t="shared" si="5"/>
        <v>23.817</v>
      </c>
      <c r="K55" s="67">
        <f t="shared" si="3"/>
        <v>35.134</v>
      </c>
    </row>
    <row r="56" spans="1:11" ht="12" customHeight="1" x14ac:dyDescent="0.25">
      <c r="A56" s="22" t="s">
        <v>28</v>
      </c>
      <c r="B56" s="2"/>
      <c r="C56" s="2"/>
      <c r="D56" s="2"/>
      <c r="E56" s="2">
        <v>1</v>
      </c>
      <c r="F56" s="2"/>
      <c r="G56" s="2"/>
      <c r="H56" s="2"/>
      <c r="I56" s="66">
        <f t="shared" si="4"/>
        <v>11.317</v>
      </c>
      <c r="J56" s="66">
        <f t="shared" si="5"/>
        <v>22.817</v>
      </c>
      <c r="K56" s="67">
        <f t="shared" si="3"/>
        <v>34.134</v>
      </c>
    </row>
    <row r="57" spans="1:11" ht="14.25" customHeight="1" x14ac:dyDescent="0.25">
      <c r="A57" s="22" t="s">
        <v>29</v>
      </c>
      <c r="B57" s="2"/>
      <c r="C57" s="2"/>
      <c r="D57" s="2"/>
      <c r="E57" s="2">
        <v>0.5</v>
      </c>
      <c r="F57" s="2"/>
      <c r="G57" s="2"/>
      <c r="H57" s="2"/>
      <c r="I57" s="66">
        <f t="shared" si="4"/>
        <v>11.317</v>
      </c>
      <c r="J57" s="66">
        <f t="shared" si="5"/>
        <v>22.317</v>
      </c>
      <c r="K57" s="67">
        <f t="shared" si="3"/>
        <v>33.634</v>
      </c>
    </row>
    <row r="58" spans="1:11" ht="15" customHeight="1" x14ac:dyDescent="0.25">
      <c r="A58" s="56" t="s">
        <v>30</v>
      </c>
      <c r="B58" s="57">
        <v>1.25</v>
      </c>
      <c r="C58" s="57">
        <v>1.25</v>
      </c>
      <c r="D58" s="58"/>
      <c r="E58" s="58"/>
      <c r="F58" s="58"/>
      <c r="G58" s="58"/>
      <c r="H58" s="58"/>
      <c r="I58" s="66">
        <f t="shared" si="4"/>
        <v>12.567</v>
      </c>
      <c r="J58" s="66">
        <f t="shared" si="5"/>
        <v>23.567</v>
      </c>
      <c r="K58" s="67">
        <f t="shared" si="3"/>
        <v>36.134</v>
      </c>
    </row>
    <row r="59" spans="1:11" ht="12" customHeight="1" x14ac:dyDescent="0.25">
      <c r="A59" s="22" t="s">
        <v>31</v>
      </c>
      <c r="B59" s="21"/>
      <c r="C59" s="21"/>
      <c r="D59" s="21">
        <v>3</v>
      </c>
      <c r="E59" s="21">
        <v>12</v>
      </c>
      <c r="F59" s="21"/>
      <c r="G59" s="21"/>
      <c r="H59" s="21"/>
      <c r="I59" s="66">
        <f t="shared" si="4"/>
        <v>9.5670000000000002</v>
      </c>
      <c r="J59" s="66">
        <f t="shared" si="5"/>
        <v>11.567</v>
      </c>
      <c r="K59" s="67">
        <f t="shared" si="3"/>
        <v>21.134</v>
      </c>
    </row>
    <row r="60" spans="1:11" ht="12" customHeight="1" x14ac:dyDescent="0.25">
      <c r="A60" s="56" t="s">
        <v>32</v>
      </c>
      <c r="B60" s="21">
        <v>5</v>
      </c>
      <c r="C60" s="21">
        <v>5</v>
      </c>
      <c r="D60" s="21"/>
      <c r="E60" s="21"/>
      <c r="F60" s="21"/>
      <c r="G60" s="21"/>
      <c r="H60" s="21"/>
      <c r="I60" s="66">
        <f t="shared" si="4"/>
        <v>14.567</v>
      </c>
      <c r="J60" s="66">
        <f t="shared" si="5"/>
        <v>16.567</v>
      </c>
      <c r="K60" s="67">
        <f t="shared" si="3"/>
        <v>31.134</v>
      </c>
    </row>
    <row r="61" spans="1:11" ht="12" customHeight="1" x14ac:dyDescent="0.25">
      <c r="A61" s="56" t="s">
        <v>136</v>
      </c>
      <c r="B61" s="21"/>
      <c r="C61" s="21"/>
      <c r="D61" s="21"/>
      <c r="E61" s="21"/>
      <c r="F61" s="21">
        <v>1</v>
      </c>
      <c r="G61" s="21"/>
      <c r="H61" s="21"/>
      <c r="I61" s="66">
        <f t="shared" si="4"/>
        <v>13.567</v>
      </c>
      <c r="J61" s="66">
        <f t="shared" si="5"/>
        <v>16.567</v>
      </c>
      <c r="K61" s="67">
        <f t="shared" si="3"/>
        <v>30.134</v>
      </c>
    </row>
    <row r="62" spans="1:11" ht="15.75" customHeight="1" x14ac:dyDescent="0.25">
      <c r="A62" s="70" t="s">
        <v>157</v>
      </c>
      <c r="B62" s="2">
        <v>1.25</v>
      </c>
      <c r="C62" s="2">
        <v>1.25</v>
      </c>
      <c r="D62" s="22"/>
      <c r="E62" s="22"/>
      <c r="F62" s="21"/>
      <c r="G62" s="21"/>
      <c r="H62" s="21"/>
      <c r="I62" s="66">
        <f t="shared" si="4"/>
        <v>14.817</v>
      </c>
      <c r="J62" s="66">
        <f t="shared" si="5"/>
        <v>17.817</v>
      </c>
      <c r="K62" s="67">
        <f t="shared" si="3"/>
        <v>32.634</v>
      </c>
    </row>
    <row r="63" spans="1:11" s="65" customFormat="1" ht="13.5" customHeight="1" x14ac:dyDescent="0.25">
      <c r="A63" s="22" t="s">
        <v>151</v>
      </c>
      <c r="B63" s="21"/>
      <c r="C63" s="21"/>
      <c r="D63" s="22">
        <v>9</v>
      </c>
      <c r="E63" s="22">
        <v>13</v>
      </c>
      <c r="F63" s="22"/>
      <c r="G63" s="22"/>
      <c r="H63" s="22"/>
      <c r="I63" s="66">
        <f t="shared" ref="I63:I75" si="6">I62-F63-D63+B63</f>
        <v>5.8170000000000002</v>
      </c>
      <c r="J63" s="66">
        <f t="shared" ref="J63:J75" si="7">J62-E63+C63</f>
        <v>4.8170000000000002</v>
      </c>
      <c r="K63" s="67">
        <f t="shared" ref="K63:K75" si="8">SUM(I63:J63)</f>
        <v>10.634</v>
      </c>
    </row>
    <row r="64" spans="1:11" s="65" customFormat="1" ht="13.5" customHeight="1" x14ac:dyDescent="0.25">
      <c r="A64" s="71" t="s">
        <v>174</v>
      </c>
      <c r="B64" s="48">
        <v>0.75</v>
      </c>
      <c r="C64" s="48">
        <v>0.75</v>
      </c>
      <c r="D64" s="23"/>
      <c r="E64" s="24"/>
      <c r="F64" s="23"/>
      <c r="G64" s="23"/>
      <c r="H64" s="25"/>
      <c r="I64" s="66">
        <f t="shared" si="6"/>
        <v>6.5670000000000002</v>
      </c>
      <c r="J64" s="66">
        <f t="shared" si="7"/>
        <v>5.5670000000000002</v>
      </c>
      <c r="K64" s="67">
        <f t="shared" si="8"/>
        <v>12.134</v>
      </c>
    </row>
    <row r="65" spans="1:11" s="65" customFormat="1" ht="13.5" customHeight="1" x14ac:dyDescent="0.25">
      <c r="A65" s="22" t="s">
        <v>172</v>
      </c>
      <c r="B65" s="22"/>
      <c r="C65" s="22"/>
      <c r="D65" s="22">
        <v>5</v>
      </c>
      <c r="E65" s="22">
        <v>5</v>
      </c>
      <c r="F65" s="51"/>
      <c r="G65" s="21"/>
      <c r="H65" s="21"/>
      <c r="I65" s="66">
        <f t="shared" si="6"/>
        <v>1.5670000000000002</v>
      </c>
      <c r="J65" s="66">
        <f t="shared" si="7"/>
        <v>0.56700000000000017</v>
      </c>
      <c r="K65" s="67">
        <f t="shared" si="8"/>
        <v>2.1340000000000003</v>
      </c>
    </row>
    <row r="66" spans="1:11" s="65" customFormat="1" ht="13.5" customHeight="1" x14ac:dyDescent="0.25">
      <c r="A66" s="22" t="s">
        <v>173</v>
      </c>
      <c r="B66" s="24"/>
      <c r="C66" s="24"/>
      <c r="D66" s="24"/>
      <c r="E66" s="23"/>
      <c r="F66" s="23"/>
      <c r="G66" s="23"/>
      <c r="H66" s="61">
        <v>12</v>
      </c>
      <c r="I66" s="66">
        <f t="shared" si="6"/>
        <v>1.5670000000000002</v>
      </c>
      <c r="J66" s="66">
        <f t="shared" si="7"/>
        <v>0.56700000000000017</v>
      </c>
      <c r="K66" s="67">
        <f t="shared" si="8"/>
        <v>2.1340000000000003</v>
      </c>
    </row>
    <row r="67" spans="1:11" s="65" customFormat="1" ht="15.75" customHeight="1" x14ac:dyDescent="0.25">
      <c r="A67" s="55" t="s">
        <v>164</v>
      </c>
      <c r="B67" s="25">
        <v>0.41699999999999998</v>
      </c>
      <c r="C67" s="25">
        <v>0.41699999999999998</v>
      </c>
      <c r="D67" s="24"/>
      <c r="E67" s="24"/>
      <c r="F67" s="25"/>
      <c r="G67" s="25"/>
      <c r="H67" s="25"/>
      <c r="I67" s="66">
        <f t="shared" si="6"/>
        <v>1.9840000000000002</v>
      </c>
      <c r="J67" s="66">
        <f t="shared" si="7"/>
        <v>0.98400000000000021</v>
      </c>
      <c r="K67" s="67">
        <f t="shared" si="8"/>
        <v>2.9680000000000004</v>
      </c>
    </row>
    <row r="68" spans="1:11" s="65" customFormat="1" ht="13.5" customHeight="1" x14ac:dyDescent="0.25">
      <c r="A68" s="25" t="s">
        <v>99</v>
      </c>
      <c r="B68" s="25"/>
      <c r="C68" s="25"/>
      <c r="D68" s="24">
        <v>0.5</v>
      </c>
      <c r="E68" s="24">
        <v>0.5</v>
      </c>
      <c r="F68" s="25"/>
      <c r="G68" s="25"/>
      <c r="H68" s="25"/>
      <c r="I68" s="66">
        <f t="shared" si="6"/>
        <v>1.4840000000000002</v>
      </c>
      <c r="J68" s="66">
        <f t="shared" si="7"/>
        <v>0.48400000000000021</v>
      </c>
      <c r="K68" s="67">
        <f t="shared" si="8"/>
        <v>1.9680000000000004</v>
      </c>
    </row>
    <row r="69" spans="1:11" s="65" customFormat="1" ht="13.5" customHeight="1" x14ac:dyDescent="0.25">
      <c r="A69" s="25" t="s">
        <v>156</v>
      </c>
      <c r="B69" s="25"/>
      <c r="C69" s="25"/>
      <c r="D69" s="24"/>
      <c r="E69" s="24"/>
      <c r="F69" s="25">
        <v>1</v>
      </c>
      <c r="G69" s="21"/>
      <c r="H69" s="25"/>
      <c r="I69" s="66">
        <f t="shared" si="6"/>
        <v>0.48400000000000021</v>
      </c>
      <c r="J69" s="66">
        <f t="shared" si="7"/>
        <v>0.48400000000000021</v>
      </c>
      <c r="K69" s="67">
        <f t="shared" si="8"/>
        <v>0.96800000000000042</v>
      </c>
    </row>
    <row r="70" spans="1:11" s="65" customFormat="1" ht="13.5" customHeight="1" x14ac:dyDescent="0.25">
      <c r="A70" s="25" t="s">
        <v>163</v>
      </c>
      <c r="B70" s="25"/>
      <c r="C70" s="25"/>
      <c r="D70" s="24"/>
      <c r="E70" s="24"/>
      <c r="F70" s="25"/>
      <c r="G70" s="25"/>
      <c r="H70" s="61">
        <v>20</v>
      </c>
      <c r="I70" s="66">
        <f t="shared" si="6"/>
        <v>0.48400000000000021</v>
      </c>
      <c r="J70" s="66">
        <f t="shared" si="7"/>
        <v>0.48400000000000021</v>
      </c>
      <c r="K70" s="67">
        <f t="shared" si="8"/>
        <v>0.96800000000000042</v>
      </c>
    </row>
    <row r="71" spans="1:11" s="65" customFormat="1" ht="13.5" customHeight="1" x14ac:dyDescent="0.25">
      <c r="A71" s="55" t="s">
        <v>177</v>
      </c>
      <c r="B71" s="24">
        <v>0.95799999999999996</v>
      </c>
      <c r="C71" s="24">
        <v>0.95799999999999996</v>
      </c>
      <c r="D71" s="24"/>
      <c r="E71" s="24"/>
      <c r="F71" s="25"/>
      <c r="G71" s="25"/>
      <c r="H71" s="25"/>
      <c r="I71" s="66">
        <f t="shared" si="6"/>
        <v>1.4420000000000002</v>
      </c>
      <c r="J71" s="66">
        <f t="shared" si="7"/>
        <v>1.4420000000000002</v>
      </c>
      <c r="K71" s="67">
        <f t="shared" si="8"/>
        <v>2.8840000000000003</v>
      </c>
    </row>
    <row r="72" spans="1:11" s="65" customFormat="1" ht="13.5" customHeight="1" x14ac:dyDescent="0.25">
      <c r="A72" s="25" t="s">
        <v>175</v>
      </c>
      <c r="B72" s="25"/>
      <c r="C72" s="25"/>
      <c r="D72" s="24"/>
      <c r="E72" s="24">
        <v>1</v>
      </c>
      <c r="F72" s="25"/>
      <c r="G72" s="25"/>
      <c r="H72" s="25"/>
      <c r="I72" s="66">
        <f t="shared" si="6"/>
        <v>1.4420000000000002</v>
      </c>
      <c r="J72" s="66">
        <f t="shared" si="7"/>
        <v>0.44200000000000017</v>
      </c>
      <c r="K72" s="67">
        <f t="shared" si="8"/>
        <v>1.8840000000000003</v>
      </c>
    </row>
    <row r="73" spans="1:11" s="65" customFormat="1" ht="13.5" customHeight="1" x14ac:dyDescent="0.25">
      <c r="A73" s="25" t="s">
        <v>176</v>
      </c>
      <c r="B73" s="25"/>
      <c r="C73" s="25"/>
      <c r="D73" s="24"/>
      <c r="E73" s="24"/>
      <c r="F73" s="25"/>
      <c r="G73" s="25"/>
      <c r="H73" s="61">
        <v>7</v>
      </c>
      <c r="I73" s="66">
        <f>I72-F73-D73+B73</f>
        <v>1.4420000000000002</v>
      </c>
      <c r="J73" s="66">
        <f>J72-E73+C73</f>
        <v>0.44200000000000017</v>
      </c>
      <c r="K73" s="67">
        <f t="shared" si="8"/>
        <v>1.8840000000000003</v>
      </c>
    </row>
    <row r="74" spans="1:11" s="65" customFormat="1" ht="13.5" customHeight="1" x14ac:dyDescent="0.25">
      <c r="A74" s="55" t="s">
        <v>153</v>
      </c>
      <c r="B74" s="25">
        <v>1.25</v>
      </c>
      <c r="C74" s="25">
        <v>1.25</v>
      </c>
      <c r="D74" s="24"/>
      <c r="E74" s="24"/>
      <c r="F74" s="25"/>
      <c r="G74" s="25"/>
      <c r="H74" s="25"/>
      <c r="I74" s="66">
        <f t="shared" si="6"/>
        <v>2.6920000000000002</v>
      </c>
      <c r="J74" s="66">
        <f t="shared" si="7"/>
        <v>1.6920000000000002</v>
      </c>
      <c r="K74" s="67">
        <f t="shared" si="8"/>
        <v>4.3840000000000003</v>
      </c>
    </row>
    <row r="75" spans="1:11" s="65" customFormat="1" ht="13.5" customHeight="1" x14ac:dyDescent="0.25">
      <c r="A75" s="25" t="s">
        <v>100</v>
      </c>
      <c r="B75" s="25"/>
      <c r="C75" s="25"/>
      <c r="D75" s="24"/>
      <c r="E75" s="24"/>
      <c r="F75" s="25"/>
      <c r="G75" s="72">
        <v>2</v>
      </c>
      <c r="H75" s="25"/>
      <c r="I75" s="66">
        <f t="shared" si="6"/>
        <v>2.6920000000000002</v>
      </c>
      <c r="J75" s="66">
        <f t="shared" si="7"/>
        <v>1.6920000000000002</v>
      </c>
      <c r="K75" s="67">
        <f t="shared" si="8"/>
        <v>4.3840000000000003</v>
      </c>
    </row>
    <row r="76" spans="1:11" s="65" customFormat="1" ht="13.5" customHeight="1" x14ac:dyDescent="0.25">
      <c r="A76" s="25" t="s">
        <v>145</v>
      </c>
      <c r="B76" s="25"/>
      <c r="C76" s="25"/>
      <c r="D76" s="24"/>
      <c r="E76" s="24"/>
      <c r="F76" s="25">
        <v>1</v>
      </c>
      <c r="G76" s="25"/>
      <c r="H76" s="25"/>
      <c r="I76" s="66">
        <f t="shared" ref="I76:I77" si="9">I75-F76-D76+B76</f>
        <v>1.6920000000000002</v>
      </c>
      <c r="J76" s="66">
        <f t="shared" ref="J76:J77" si="10">J75-E76+C76</f>
        <v>1.6920000000000002</v>
      </c>
      <c r="K76" s="67">
        <f t="shared" ref="K76:K77" si="11">SUM(I76:J76)</f>
        <v>3.3840000000000003</v>
      </c>
    </row>
    <row r="77" spans="1:11" s="65" customFormat="1" ht="13.5" customHeight="1" x14ac:dyDescent="0.25">
      <c r="A77" s="55" t="s">
        <v>154</v>
      </c>
      <c r="B77" s="25">
        <v>1.25</v>
      </c>
      <c r="C77" s="25">
        <v>1.25</v>
      </c>
      <c r="D77" s="24"/>
      <c r="E77" s="24"/>
      <c r="F77" s="25"/>
      <c r="G77" s="25"/>
      <c r="H77" s="25"/>
      <c r="I77" s="66">
        <f t="shared" si="9"/>
        <v>2.9420000000000002</v>
      </c>
      <c r="J77" s="66">
        <f t="shared" si="10"/>
        <v>2.9420000000000002</v>
      </c>
      <c r="K77" s="67">
        <f t="shared" si="11"/>
        <v>5.8840000000000003</v>
      </c>
    </row>
    <row r="78" spans="1:11" s="65" customFormat="1" ht="13.5" customHeight="1" x14ac:dyDescent="0.25">
      <c r="A78" s="55" t="s">
        <v>155</v>
      </c>
      <c r="B78" s="25">
        <v>1.25</v>
      </c>
      <c r="C78" s="25">
        <v>1.25</v>
      </c>
      <c r="D78" s="24"/>
      <c r="E78" s="24"/>
      <c r="F78" s="25"/>
      <c r="G78" s="25"/>
      <c r="H78" s="25"/>
      <c r="I78" s="66">
        <f t="shared" ref="I78:I89" si="12">I77-F78-D78+B78</f>
        <v>4.1920000000000002</v>
      </c>
      <c r="J78" s="66">
        <f t="shared" ref="J78:J89" si="13">J77-E78+C78</f>
        <v>4.1920000000000002</v>
      </c>
      <c r="K78" s="67">
        <f t="shared" ref="K78:K89" si="14">SUM(I78:J78)</f>
        <v>8.3840000000000003</v>
      </c>
    </row>
    <row r="79" spans="1:11" s="65" customFormat="1" ht="18" customHeight="1" x14ac:dyDescent="0.25">
      <c r="A79" s="55" t="s">
        <v>179</v>
      </c>
      <c r="B79" s="25">
        <v>1.208</v>
      </c>
      <c r="C79" s="25">
        <v>1.208</v>
      </c>
      <c r="D79" s="24"/>
      <c r="E79" s="24"/>
      <c r="F79" s="25"/>
      <c r="G79" s="25"/>
      <c r="H79" s="25"/>
      <c r="I79" s="66">
        <f t="shared" si="12"/>
        <v>5.4</v>
      </c>
      <c r="J79" s="66">
        <f t="shared" si="13"/>
        <v>5.4</v>
      </c>
      <c r="K79" s="67">
        <f t="shared" si="14"/>
        <v>10.8</v>
      </c>
    </row>
    <row r="80" spans="1:11" s="65" customFormat="1" ht="13.5" customHeight="1" x14ac:dyDescent="0.25">
      <c r="A80" s="25" t="s">
        <v>152</v>
      </c>
      <c r="B80" s="25"/>
      <c r="C80" s="25"/>
      <c r="D80" s="24"/>
      <c r="E80" s="24"/>
      <c r="F80" s="25"/>
      <c r="G80" s="25">
        <v>1</v>
      </c>
      <c r="H80" s="25"/>
      <c r="I80" s="66">
        <f t="shared" si="12"/>
        <v>5.4</v>
      </c>
      <c r="J80" s="66">
        <f t="shared" si="13"/>
        <v>5.4</v>
      </c>
      <c r="K80" s="67">
        <f t="shared" si="14"/>
        <v>10.8</v>
      </c>
    </row>
    <row r="81" spans="1:11" s="65" customFormat="1" ht="13.5" customHeight="1" x14ac:dyDescent="0.25">
      <c r="A81" s="25" t="s">
        <v>162</v>
      </c>
      <c r="B81" s="25"/>
      <c r="C81" s="25"/>
      <c r="D81" s="24"/>
      <c r="E81" s="24">
        <v>1</v>
      </c>
      <c r="F81" s="25"/>
      <c r="G81" s="25"/>
      <c r="H81" s="25"/>
      <c r="I81" s="66">
        <f t="shared" si="12"/>
        <v>5.4</v>
      </c>
      <c r="J81" s="66">
        <f t="shared" si="13"/>
        <v>4.4000000000000004</v>
      </c>
      <c r="K81" s="67">
        <f t="shared" si="14"/>
        <v>9.8000000000000007</v>
      </c>
    </row>
    <row r="82" spans="1:11" s="65" customFormat="1" ht="13.5" customHeight="1" x14ac:dyDescent="0.25">
      <c r="A82" s="25" t="s">
        <v>159</v>
      </c>
      <c r="B82" s="25"/>
      <c r="C82" s="25"/>
      <c r="D82" s="24"/>
      <c r="E82" s="24"/>
      <c r="F82" s="25">
        <v>1</v>
      </c>
      <c r="G82" s="25"/>
      <c r="H82" s="25"/>
      <c r="I82" s="66">
        <f t="shared" si="12"/>
        <v>4.4000000000000004</v>
      </c>
      <c r="J82" s="66">
        <f t="shared" si="13"/>
        <v>4.4000000000000004</v>
      </c>
      <c r="K82" s="67">
        <f t="shared" si="14"/>
        <v>8.8000000000000007</v>
      </c>
    </row>
    <row r="83" spans="1:11" s="65" customFormat="1" ht="16.5" customHeight="1" x14ac:dyDescent="0.25">
      <c r="A83" s="25" t="s">
        <v>158</v>
      </c>
      <c r="B83" s="25"/>
      <c r="C83" s="25"/>
      <c r="D83" s="24">
        <v>4</v>
      </c>
      <c r="E83" s="24">
        <v>4</v>
      </c>
      <c r="F83" s="25"/>
      <c r="G83" s="25"/>
      <c r="H83" s="25"/>
      <c r="I83" s="66">
        <f t="shared" si="12"/>
        <v>0.40000000000000036</v>
      </c>
      <c r="J83" s="66">
        <f t="shared" si="13"/>
        <v>0.40000000000000036</v>
      </c>
      <c r="K83" s="67">
        <f t="shared" si="14"/>
        <v>0.80000000000000071</v>
      </c>
    </row>
    <row r="84" spans="1:11" s="65" customFormat="1" ht="17.25" customHeight="1" x14ac:dyDescent="0.25">
      <c r="A84" s="62" t="s">
        <v>178</v>
      </c>
      <c r="B84" s="25"/>
      <c r="C84" s="25"/>
      <c r="D84" s="24"/>
      <c r="E84" s="24"/>
      <c r="F84" s="25"/>
      <c r="G84" s="25"/>
      <c r="H84" s="61">
        <v>1</v>
      </c>
      <c r="I84" s="66">
        <f t="shared" si="12"/>
        <v>0.40000000000000036</v>
      </c>
      <c r="J84" s="66">
        <f t="shared" si="13"/>
        <v>0.40000000000000036</v>
      </c>
      <c r="K84" s="67">
        <f t="shared" si="14"/>
        <v>0.80000000000000071</v>
      </c>
    </row>
    <row r="85" spans="1:11" s="65" customFormat="1" ht="15.75" customHeight="1" x14ac:dyDescent="0.25">
      <c r="A85" s="55" t="s">
        <v>165</v>
      </c>
      <c r="B85" s="25">
        <v>0.875</v>
      </c>
      <c r="C85" s="25">
        <v>0.875</v>
      </c>
      <c r="D85" s="24"/>
      <c r="E85" s="24"/>
      <c r="F85" s="25"/>
      <c r="G85" s="25"/>
      <c r="H85" s="25"/>
      <c r="I85" s="66">
        <f t="shared" si="12"/>
        <v>1.2750000000000004</v>
      </c>
      <c r="J85" s="66">
        <f t="shared" si="13"/>
        <v>1.2750000000000004</v>
      </c>
      <c r="K85" s="67">
        <f t="shared" si="14"/>
        <v>2.5500000000000007</v>
      </c>
    </row>
    <row r="86" spans="1:11" s="65" customFormat="1" ht="15.75" customHeight="1" x14ac:dyDescent="0.25">
      <c r="A86" s="25" t="s">
        <v>161</v>
      </c>
      <c r="B86" s="25"/>
      <c r="C86" s="25"/>
      <c r="D86" s="24"/>
      <c r="E86" s="24">
        <v>1</v>
      </c>
      <c r="F86" s="25"/>
      <c r="G86" s="25"/>
      <c r="H86" s="25"/>
      <c r="I86" s="66">
        <f t="shared" si="12"/>
        <v>1.2750000000000004</v>
      </c>
      <c r="J86" s="66">
        <f t="shared" si="13"/>
        <v>0.27500000000000036</v>
      </c>
      <c r="K86" s="67">
        <f t="shared" si="14"/>
        <v>1.5500000000000007</v>
      </c>
    </row>
    <row r="87" spans="1:11" s="65" customFormat="1" ht="15.75" customHeight="1" x14ac:dyDescent="0.25">
      <c r="A87" s="25" t="s">
        <v>160</v>
      </c>
      <c r="B87" s="25"/>
      <c r="C87" s="25"/>
      <c r="D87" s="24"/>
      <c r="E87" s="24"/>
      <c r="F87" s="25">
        <v>1</v>
      </c>
      <c r="G87" s="25"/>
      <c r="H87" s="25"/>
      <c r="I87" s="66">
        <f t="shared" si="12"/>
        <v>0.27500000000000036</v>
      </c>
      <c r="J87" s="66">
        <f t="shared" si="13"/>
        <v>0.27500000000000036</v>
      </c>
      <c r="K87" s="67">
        <f t="shared" si="14"/>
        <v>0.55000000000000071</v>
      </c>
    </row>
    <row r="88" spans="1:11" s="65" customFormat="1" ht="16.5" customHeight="1" x14ac:dyDescent="0.25">
      <c r="A88" s="25" t="s">
        <v>180</v>
      </c>
      <c r="B88" s="25"/>
      <c r="C88" s="25"/>
      <c r="D88" s="24"/>
      <c r="E88" s="24"/>
      <c r="F88" s="25"/>
      <c r="G88" s="25"/>
      <c r="H88" s="61">
        <v>9</v>
      </c>
      <c r="I88" s="66">
        <f t="shared" si="12"/>
        <v>0.27500000000000036</v>
      </c>
      <c r="J88" s="66">
        <f t="shared" si="13"/>
        <v>0.27500000000000036</v>
      </c>
      <c r="K88" s="67">
        <f t="shared" si="14"/>
        <v>0.55000000000000071</v>
      </c>
    </row>
    <row r="89" spans="1:11" s="65" customFormat="1" ht="15.75" customHeight="1" x14ac:dyDescent="0.25">
      <c r="A89" s="55" t="s">
        <v>166</v>
      </c>
      <c r="B89" s="25">
        <v>1.25</v>
      </c>
      <c r="C89" s="25">
        <v>1.25</v>
      </c>
      <c r="D89" s="24"/>
      <c r="E89" s="24"/>
      <c r="F89" s="25"/>
      <c r="G89" s="25"/>
      <c r="H89" s="25"/>
      <c r="I89" s="66">
        <f t="shared" si="12"/>
        <v>1.5250000000000004</v>
      </c>
      <c r="J89" s="66">
        <f t="shared" si="13"/>
        <v>1.5250000000000004</v>
      </c>
      <c r="K89" s="67">
        <f t="shared" si="14"/>
        <v>3.0500000000000007</v>
      </c>
    </row>
    <row r="90" spans="1:11" s="65" customFormat="1" ht="17.25" customHeight="1" x14ac:dyDescent="0.25">
      <c r="A90" s="55" t="s">
        <v>170</v>
      </c>
      <c r="B90" s="25">
        <v>0.91700000000000004</v>
      </c>
      <c r="C90" s="25">
        <v>0.91700000000000004</v>
      </c>
      <c r="D90" s="24"/>
      <c r="E90" s="24"/>
      <c r="F90" s="25"/>
      <c r="G90" s="25"/>
      <c r="H90" s="25"/>
      <c r="I90" s="66">
        <f t="shared" ref="I90:I96" si="15">I89-F90-D90+B90</f>
        <v>2.4420000000000002</v>
      </c>
      <c r="J90" s="66">
        <f t="shared" ref="J90:J96" si="16">J89-E90+C90</f>
        <v>2.4420000000000002</v>
      </c>
      <c r="K90" s="67">
        <f t="shared" ref="K90:K96" si="17">SUM(I90:J90)</f>
        <v>4.8840000000000003</v>
      </c>
    </row>
    <row r="91" spans="1:11" s="65" customFormat="1" ht="17.25" customHeight="1" x14ac:dyDescent="0.25">
      <c r="A91" s="25" t="s">
        <v>167</v>
      </c>
      <c r="B91" s="25"/>
      <c r="C91" s="25"/>
      <c r="D91" s="24">
        <v>1</v>
      </c>
      <c r="E91" s="24">
        <v>1</v>
      </c>
      <c r="F91" s="25"/>
      <c r="G91" s="25"/>
      <c r="H91" s="25"/>
      <c r="I91" s="66">
        <f t="shared" si="15"/>
        <v>1.4420000000000002</v>
      </c>
      <c r="J91" s="66">
        <f t="shared" si="16"/>
        <v>1.4420000000000002</v>
      </c>
      <c r="K91" s="67">
        <f t="shared" si="17"/>
        <v>2.8840000000000003</v>
      </c>
    </row>
    <row r="92" spans="1:11" s="65" customFormat="1" ht="17.25" customHeight="1" x14ac:dyDescent="0.25">
      <c r="A92" s="25" t="s">
        <v>168</v>
      </c>
      <c r="B92" s="25"/>
      <c r="C92" s="25"/>
      <c r="D92" s="24"/>
      <c r="E92" s="24"/>
      <c r="F92" s="25">
        <v>1</v>
      </c>
      <c r="G92" s="25"/>
      <c r="H92" s="25"/>
      <c r="I92" s="66">
        <f t="shared" si="15"/>
        <v>0.44200000000000017</v>
      </c>
      <c r="J92" s="66">
        <f t="shared" si="16"/>
        <v>1.4420000000000002</v>
      </c>
      <c r="K92" s="67">
        <f t="shared" si="17"/>
        <v>1.8840000000000003</v>
      </c>
    </row>
    <row r="93" spans="1:11" s="65" customFormat="1" ht="15.75" customHeight="1" x14ac:dyDescent="0.25">
      <c r="A93" s="25" t="s">
        <v>169</v>
      </c>
      <c r="B93" s="25"/>
      <c r="C93" s="25"/>
      <c r="D93" s="24"/>
      <c r="E93" s="24"/>
      <c r="F93" s="25"/>
      <c r="G93" s="25"/>
      <c r="H93" s="61">
        <v>8</v>
      </c>
      <c r="I93" s="66">
        <f t="shared" si="15"/>
        <v>0.44200000000000017</v>
      </c>
      <c r="J93" s="66">
        <f t="shared" si="16"/>
        <v>1.4420000000000002</v>
      </c>
      <c r="K93" s="67">
        <f t="shared" si="17"/>
        <v>1.8840000000000003</v>
      </c>
    </row>
    <row r="94" spans="1:11" s="65" customFormat="1" ht="15.75" customHeight="1" x14ac:dyDescent="0.25">
      <c r="A94" s="55" t="s">
        <v>171</v>
      </c>
      <c r="B94" s="24">
        <v>1.25</v>
      </c>
      <c r="C94" s="24">
        <v>1.25</v>
      </c>
      <c r="D94" s="24"/>
      <c r="E94" s="24"/>
      <c r="F94" s="25"/>
      <c r="G94" s="25"/>
      <c r="H94" s="25"/>
      <c r="I94" s="66">
        <f t="shared" si="15"/>
        <v>1.6920000000000002</v>
      </c>
      <c r="J94" s="66">
        <f t="shared" si="16"/>
        <v>2.6920000000000002</v>
      </c>
      <c r="K94" s="67">
        <f t="shared" si="17"/>
        <v>4.3840000000000003</v>
      </c>
    </row>
    <row r="95" spans="1:11" s="65" customFormat="1" ht="13.5" customHeight="1" x14ac:dyDescent="0.25">
      <c r="A95" s="25" t="s">
        <v>146</v>
      </c>
      <c r="B95" s="25"/>
      <c r="C95" s="25"/>
      <c r="D95" s="24"/>
      <c r="E95" s="24"/>
      <c r="F95" s="25"/>
      <c r="G95" s="25">
        <v>3</v>
      </c>
      <c r="H95" s="25"/>
      <c r="I95" s="66">
        <f t="shared" si="15"/>
        <v>1.6920000000000002</v>
      </c>
      <c r="J95" s="66">
        <f t="shared" si="16"/>
        <v>2.6920000000000002</v>
      </c>
      <c r="K95" s="67">
        <f t="shared" si="17"/>
        <v>4.3840000000000003</v>
      </c>
    </row>
    <row r="96" spans="1:11" s="65" customFormat="1" ht="17.25" customHeight="1" x14ac:dyDescent="0.25">
      <c r="A96" s="55" t="s">
        <v>144</v>
      </c>
      <c r="B96" s="25">
        <v>8.75</v>
      </c>
      <c r="C96" s="25">
        <v>8.75</v>
      </c>
      <c r="D96" s="24"/>
      <c r="E96" s="24"/>
      <c r="F96" s="25"/>
      <c r="G96" s="25"/>
      <c r="H96" s="25"/>
      <c r="I96" s="66">
        <f t="shared" si="15"/>
        <v>10.442</v>
      </c>
      <c r="J96" s="66">
        <f t="shared" si="16"/>
        <v>11.442</v>
      </c>
      <c r="K96" s="67">
        <f t="shared" si="17"/>
        <v>21.884</v>
      </c>
    </row>
    <row r="97" spans="1:11" s="65" customFormat="1" ht="16.5" customHeight="1" x14ac:dyDescent="0.25">
      <c r="A97" s="25" t="s">
        <v>139</v>
      </c>
      <c r="B97" s="25"/>
      <c r="C97" s="25"/>
      <c r="D97" s="24"/>
      <c r="E97" s="24"/>
      <c r="F97" s="25">
        <v>2</v>
      </c>
      <c r="G97" s="25"/>
      <c r="H97" s="25"/>
      <c r="I97" s="66">
        <f t="shared" ref="I97:I101" si="18">I96-F97-D97+B97</f>
        <v>8.4420000000000002</v>
      </c>
      <c r="J97" s="66">
        <f t="shared" ref="J97:J101" si="19">J96-E97+C97</f>
        <v>11.442</v>
      </c>
      <c r="K97" s="67">
        <f t="shared" ref="K97:K101" si="20">SUM(I97:J97)</f>
        <v>19.884</v>
      </c>
    </row>
    <row r="98" spans="1:11" s="65" customFormat="1" ht="16.5" customHeight="1" x14ac:dyDescent="0.25">
      <c r="A98" s="25" t="s">
        <v>181</v>
      </c>
      <c r="B98" s="25">
        <v>3.75</v>
      </c>
      <c r="C98" s="25">
        <v>3.75</v>
      </c>
      <c r="D98" s="24"/>
      <c r="E98" s="24"/>
      <c r="F98" s="25"/>
      <c r="G98" s="25"/>
      <c r="H98" s="25"/>
      <c r="I98" s="66">
        <f t="shared" si="18"/>
        <v>12.192</v>
      </c>
      <c r="J98" s="66">
        <f t="shared" si="19"/>
        <v>15.192</v>
      </c>
      <c r="K98" s="67">
        <f t="shared" si="20"/>
        <v>27.384</v>
      </c>
    </row>
    <row r="99" spans="1:11" s="65" customFormat="1" ht="16.5" customHeight="1" x14ac:dyDescent="0.25">
      <c r="A99" s="25" t="s">
        <v>182</v>
      </c>
      <c r="B99" s="25"/>
      <c r="C99" s="25"/>
      <c r="D99" s="24"/>
      <c r="E99" s="24"/>
      <c r="F99" s="25">
        <v>2</v>
      </c>
      <c r="G99" s="25"/>
      <c r="H99" s="25"/>
      <c r="I99" s="66">
        <f t="shared" si="18"/>
        <v>10.192</v>
      </c>
      <c r="J99" s="66">
        <f t="shared" si="19"/>
        <v>15.192</v>
      </c>
      <c r="K99" s="67">
        <f t="shared" si="20"/>
        <v>25.384</v>
      </c>
    </row>
    <row r="100" spans="1:11" s="65" customFormat="1" ht="16.5" customHeight="1" x14ac:dyDescent="0.25">
      <c r="A100" s="25" t="s">
        <v>183</v>
      </c>
      <c r="B100" s="25">
        <v>1.25</v>
      </c>
      <c r="C100" s="25">
        <v>1.25</v>
      </c>
      <c r="D100" s="24"/>
      <c r="E100" s="24"/>
      <c r="F100" s="25"/>
      <c r="G100" s="25"/>
      <c r="H100" s="25"/>
      <c r="I100" s="66">
        <f t="shared" si="18"/>
        <v>11.442</v>
      </c>
      <c r="J100" s="66">
        <f t="shared" si="19"/>
        <v>16.442</v>
      </c>
      <c r="K100" s="67">
        <f t="shared" si="20"/>
        <v>27.884</v>
      </c>
    </row>
    <row r="101" spans="1:11" s="65" customFormat="1" ht="16.5" customHeight="1" x14ac:dyDescent="0.25">
      <c r="A101" s="25" t="s">
        <v>184</v>
      </c>
      <c r="B101" s="25"/>
      <c r="C101" s="25"/>
      <c r="D101" s="24"/>
      <c r="E101" s="24"/>
      <c r="F101" s="25">
        <v>1</v>
      </c>
      <c r="G101" s="25"/>
      <c r="H101" s="25"/>
      <c r="I101" s="66">
        <f t="shared" si="18"/>
        <v>10.442</v>
      </c>
      <c r="J101" s="66">
        <f t="shared" si="19"/>
        <v>16.442</v>
      </c>
      <c r="K101" s="67">
        <f t="shared" si="20"/>
        <v>26.884</v>
      </c>
    </row>
    <row r="102" spans="1:11" s="65" customFormat="1" ht="16.5" customHeight="1" x14ac:dyDescent="0.25">
      <c r="A102" s="25" t="s">
        <v>185</v>
      </c>
      <c r="B102" s="25"/>
      <c r="C102" s="25"/>
      <c r="D102" s="24">
        <v>4.1920000000000002</v>
      </c>
      <c r="E102" s="24">
        <v>10.808</v>
      </c>
      <c r="F102" s="25"/>
      <c r="G102" s="25"/>
      <c r="H102" s="25"/>
      <c r="I102" s="66">
        <f t="shared" ref="I102" si="21">I101-F102-D102+B102</f>
        <v>6.25</v>
      </c>
      <c r="J102" s="66">
        <f t="shared" ref="J102" si="22">J101-E102+C102</f>
        <v>5.6340000000000003</v>
      </c>
      <c r="K102" s="67">
        <f t="shared" ref="K102" si="23">SUM(I102:J102)</f>
        <v>11.884</v>
      </c>
    </row>
    <row r="103" spans="1:11" s="65" customFormat="1" ht="16.5" customHeight="1" x14ac:dyDescent="0.25">
      <c r="A103" s="25" t="s">
        <v>186</v>
      </c>
      <c r="B103" s="25">
        <v>1.25</v>
      </c>
      <c r="C103" s="25">
        <v>1.25</v>
      </c>
      <c r="D103" s="24"/>
      <c r="E103" s="24"/>
      <c r="F103" s="25"/>
      <c r="G103" s="25"/>
      <c r="H103" s="25"/>
      <c r="I103" s="66">
        <f t="shared" ref="I103:I104" si="24">I102-F103-D103+B103</f>
        <v>7.5</v>
      </c>
      <c r="J103" s="66">
        <f t="shared" ref="J103:J104" si="25">J102-E103+C103</f>
        <v>6.8840000000000003</v>
      </c>
      <c r="K103" s="67">
        <f t="shared" ref="K103:K104" si="26">SUM(I103:J103)</f>
        <v>14.384</v>
      </c>
    </row>
    <row r="104" spans="1:11" s="65" customFormat="1" ht="16.5" customHeight="1" x14ac:dyDescent="0.25">
      <c r="A104" s="25" t="s">
        <v>187</v>
      </c>
      <c r="B104" s="25">
        <v>7.5</v>
      </c>
      <c r="C104" s="25">
        <v>7.5</v>
      </c>
      <c r="D104" s="24"/>
      <c r="E104" s="24"/>
      <c r="F104" s="25"/>
      <c r="G104" s="25"/>
      <c r="H104" s="25"/>
      <c r="I104" s="66">
        <f t="shared" si="24"/>
        <v>15</v>
      </c>
      <c r="J104" s="66">
        <f t="shared" si="25"/>
        <v>14.384</v>
      </c>
      <c r="K104" s="67">
        <f t="shared" si="26"/>
        <v>29.384</v>
      </c>
    </row>
    <row r="105" spans="1:11" s="65" customFormat="1" ht="16.5" customHeight="1" x14ac:dyDescent="0.25">
      <c r="A105" s="25" t="s">
        <v>188</v>
      </c>
      <c r="B105" s="25"/>
      <c r="C105" s="25"/>
      <c r="D105" s="24">
        <v>10</v>
      </c>
      <c r="E105" s="24">
        <v>6</v>
      </c>
      <c r="F105" s="25"/>
      <c r="G105" s="25"/>
      <c r="H105" s="25"/>
      <c r="I105" s="66">
        <f t="shared" ref="I105" si="27">I104-F105-D105+B105</f>
        <v>5</v>
      </c>
      <c r="J105" s="66">
        <f t="shared" ref="J105" si="28">J104-E105+C105</f>
        <v>8.3840000000000003</v>
      </c>
      <c r="K105" s="67">
        <f t="shared" ref="K105" si="29">SUM(I105:J105)</f>
        <v>13.384</v>
      </c>
    </row>
    <row r="106" spans="1:11" s="65" customFormat="1" ht="16.5" customHeight="1" x14ac:dyDescent="0.25">
      <c r="A106" s="25" t="s">
        <v>189</v>
      </c>
      <c r="B106" s="25"/>
      <c r="C106" s="25"/>
      <c r="D106" s="24"/>
      <c r="E106" s="24"/>
      <c r="F106" s="52">
        <v>1</v>
      </c>
      <c r="G106" s="25"/>
      <c r="H106" s="25"/>
      <c r="I106" s="66">
        <f t="shared" ref="I106" si="30">I105-F106-D106+B106</f>
        <v>4</v>
      </c>
      <c r="J106" s="66">
        <f t="shared" ref="J106" si="31">J105-E106+C106</f>
        <v>8.3840000000000003</v>
      </c>
      <c r="K106" s="67">
        <f t="shared" ref="K106" si="32">SUM(I106:J106)</f>
        <v>12.384</v>
      </c>
    </row>
    <row r="107" spans="1:11" s="65" customFormat="1" ht="16.5" customHeight="1" x14ac:dyDescent="0.25">
      <c r="A107" s="10"/>
      <c r="B107" s="10"/>
      <c r="C107" s="10"/>
      <c r="D107" s="27"/>
      <c r="E107" s="27"/>
      <c r="F107" s="10"/>
      <c r="G107" s="10"/>
      <c r="H107" s="10"/>
      <c r="I107" s="73"/>
      <c r="J107" s="73"/>
      <c r="K107" s="73"/>
    </row>
    <row r="112" spans="1:11" x14ac:dyDescent="0.25">
      <c r="F112" s="10" t="s">
        <v>148</v>
      </c>
    </row>
  </sheetData>
  <mergeCells count="13">
    <mergeCell ref="L11:L12"/>
    <mergeCell ref="A10:K10"/>
    <mergeCell ref="A11:A12"/>
    <mergeCell ref="B11:C11"/>
    <mergeCell ref="D11:G11"/>
    <mergeCell ref="I11:J11"/>
    <mergeCell ref="K11:K12"/>
    <mergeCell ref="B9:D9"/>
    <mergeCell ref="A2:K2"/>
    <mergeCell ref="A3:K3"/>
    <mergeCell ref="A4:K4"/>
    <mergeCell ref="A5:K5"/>
    <mergeCell ref="B7:D7"/>
  </mergeCells>
  <phoneticPr fontId="5" type="noConversion"/>
  <printOptions horizontalCentered="1"/>
  <pageMargins left="0.23622047244094491" right="0.23622047244094491" top="0.59055118110236227" bottom="0.11811023622047245" header="0.31496062992125984" footer="0.31496062992125984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2"/>
  <sheetViews>
    <sheetView view="pageBreakPreview" topLeftCell="A64" zoomScale="120" zoomScaleNormal="100" zoomScaleSheetLayoutView="120" workbookViewId="0">
      <selection activeCell="A82" sqref="A82:XFD82"/>
    </sheetView>
  </sheetViews>
  <sheetFormatPr defaultRowHeight="15" x14ac:dyDescent="0.25"/>
  <cols>
    <col min="1" max="1" width="38" customWidth="1"/>
    <col min="2" max="2" width="10.5703125" style="9" customWidth="1"/>
    <col min="3" max="3" width="8.42578125" style="9" customWidth="1"/>
    <col min="4" max="4" width="9.85546875" customWidth="1"/>
    <col min="5" max="5" width="7.85546875" customWidth="1"/>
    <col min="6" max="6" width="9" customWidth="1"/>
    <col min="7" max="7" width="10" customWidth="1"/>
    <col min="8" max="8" width="11.5703125" style="10" customWidth="1"/>
    <col min="9" max="9" width="10.5703125" customWidth="1"/>
    <col min="10" max="10" width="9.7109375" customWidth="1"/>
    <col min="11" max="11" width="8.5703125" customWidth="1"/>
  </cols>
  <sheetData>
    <row r="1" spans="1:11" x14ac:dyDescent="0.25">
      <c r="A1" s="1"/>
      <c r="B1" s="31"/>
      <c r="C1" s="31"/>
      <c r="D1" s="1"/>
      <c r="E1" s="1"/>
      <c r="F1" s="1"/>
      <c r="G1" s="1"/>
      <c r="H1" s="26"/>
      <c r="I1" s="1"/>
      <c r="J1" s="1"/>
      <c r="K1" s="1"/>
    </row>
    <row r="2" spans="1:11" x14ac:dyDescent="0.25">
      <c r="A2" s="1"/>
      <c r="B2" s="31"/>
      <c r="C2" s="31"/>
      <c r="D2" s="1"/>
      <c r="E2" s="1"/>
      <c r="F2" s="1"/>
      <c r="G2" s="1"/>
      <c r="H2" s="26"/>
      <c r="I2" s="1"/>
      <c r="J2" s="1"/>
      <c r="K2" s="1"/>
    </row>
    <row r="3" spans="1:11" x14ac:dyDescent="0.25">
      <c r="A3" s="1"/>
      <c r="B3" s="31"/>
      <c r="C3" s="31"/>
      <c r="D3" s="1"/>
      <c r="E3" s="1"/>
      <c r="F3" s="1"/>
      <c r="G3" s="1"/>
      <c r="H3" s="26"/>
      <c r="I3" s="1"/>
      <c r="J3" s="1"/>
      <c r="K3" s="1"/>
    </row>
    <row r="4" spans="1:11" x14ac:dyDescent="0.25">
      <c r="A4" s="1"/>
      <c r="B4" s="31"/>
      <c r="C4" s="31"/>
      <c r="D4" s="1"/>
      <c r="E4" s="1"/>
      <c r="F4" s="1"/>
      <c r="G4" s="1"/>
      <c r="H4" s="26"/>
      <c r="I4" s="1"/>
      <c r="J4" s="1"/>
      <c r="K4" s="1"/>
    </row>
    <row r="5" spans="1:11" x14ac:dyDescent="0.25">
      <c r="A5" s="75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5"/>
    </row>
    <row r="6" spans="1:11" x14ac:dyDescent="0.25">
      <c r="A6" s="75" t="s">
        <v>35</v>
      </c>
      <c r="B6" s="75"/>
      <c r="C6" s="75"/>
      <c r="D6" s="75"/>
      <c r="E6" s="75"/>
      <c r="F6" s="75"/>
      <c r="G6" s="75"/>
      <c r="H6" s="75"/>
      <c r="I6" s="75"/>
      <c r="J6" s="75"/>
      <c r="K6" s="75"/>
    </row>
    <row r="7" spans="1:11" x14ac:dyDescent="0.25">
      <c r="A7" s="75" t="s">
        <v>36</v>
      </c>
      <c r="B7" s="75"/>
      <c r="C7" s="75"/>
      <c r="D7" s="75"/>
      <c r="E7" s="75"/>
      <c r="F7" s="75"/>
      <c r="G7" s="75"/>
      <c r="H7" s="75"/>
      <c r="I7" s="75"/>
      <c r="J7" s="75"/>
      <c r="K7" s="75"/>
    </row>
    <row r="8" spans="1:11" x14ac:dyDescent="0.25">
      <c r="A8" s="75" t="s">
        <v>37</v>
      </c>
      <c r="B8" s="75"/>
      <c r="C8" s="75"/>
      <c r="D8" s="75"/>
      <c r="E8" s="75"/>
      <c r="F8" s="75"/>
      <c r="G8" s="75"/>
      <c r="H8" s="75"/>
      <c r="I8" s="75"/>
      <c r="J8" s="75"/>
      <c r="K8" s="75"/>
    </row>
    <row r="9" spans="1:11" x14ac:dyDescent="0.25">
      <c r="A9" s="1"/>
      <c r="B9" s="31"/>
      <c r="C9" s="31"/>
      <c r="D9" s="1"/>
      <c r="E9" s="1"/>
      <c r="F9" s="1"/>
      <c r="G9" s="1"/>
      <c r="H9" s="26"/>
      <c r="I9" s="1"/>
      <c r="J9" s="1"/>
      <c r="K9" s="1"/>
    </row>
    <row r="10" spans="1:11" x14ac:dyDescent="0.25">
      <c r="A10" s="1" t="s">
        <v>38</v>
      </c>
      <c r="B10" s="74" t="s">
        <v>39</v>
      </c>
      <c r="C10" s="74"/>
      <c r="D10" s="74"/>
      <c r="E10" s="1"/>
      <c r="F10" s="1"/>
      <c r="G10" s="1"/>
      <c r="H10" s="26"/>
      <c r="I10" s="4" t="s">
        <v>9</v>
      </c>
      <c r="J10" s="11"/>
      <c r="K10" s="4"/>
    </row>
    <row r="11" spans="1:11" x14ac:dyDescent="0.25">
      <c r="A11" s="1"/>
      <c r="B11" s="47"/>
      <c r="C11" s="47"/>
      <c r="D11" s="1"/>
      <c r="E11" s="1"/>
      <c r="F11" s="1"/>
      <c r="G11" s="1"/>
      <c r="H11" s="26"/>
      <c r="I11" s="3"/>
      <c r="J11" s="3"/>
      <c r="K11" s="3"/>
    </row>
    <row r="12" spans="1:11" x14ac:dyDescent="0.25">
      <c r="A12" s="1" t="s">
        <v>40</v>
      </c>
      <c r="B12" s="74" t="s">
        <v>41</v>
      </c>
      <c r="C12" s="74"/>
      <c r="D12" s="74"/>
      <c r="E12" s="1"/>
      <c r="F12" s="1"/>
      <c r="G12" s="1"/>
      <c r="H12" s="26"/>
      <c r="I12" s="4" t="s">
        <v>10</v>
      </c>
      <c r="J12" s="5"/>
      <c r="K12" s="4"/>
    </row>
    <row r="13" spans="1:11" ht="21.75" thickBot="1" x14ac:dyDescent="0.3">
      <c r="A13" s="77" t="s">
        <v>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</row>
    <row r="14" spans="1:11" x14ac:dyDescent="0.25">
      <c r="A14" s="78" t="s">
        <v>4</v>
      </c>
      <c r="B14" s="90" t="s">
        <v>5</v>
      </c>
      <c r="C14" s="90"/>
      <c r="D14" s="82" t="s">
        <v>6</v>
      </c>
      <c r="E14" s="83"/>
      <c r="F14" s="83"/>
      <c r="G14" s="84"/>
      <c r="H14" s="46"/>
      <c r="I14" s="91" t="s">
        <v>7</v>
      </c>
      <c r="J14" s="91"/>
      <c r="K14" s="87" t="s">
        <v>8</v>
      </c>
    </row>
    <row r="15" spans="1:11" x14ac:dyDescent="0.25">
      <c r="A15" s="89"/>
      <c r="B15" s="49" t="s">
        <v>1</v>
      </c>
      <c r="C15" s="49" t="s">
        <v>2</v>
      </c>
      <c r="D15" s="49" t="s">
        <v>1</v>
      </c>
      <c r="E15" s="49" t="s">
        <v>2</v>
      </c>
      <c r="F15" s="49" t="s">
        <v>3</v>
      </c>
      <c r="G15" s="49" t="s">
        <v>33</v>
      </c>
      <c r="H15" s="49" t="s">
        <v>98</v>
      </c>
      <c r="I15" s="49" t="s">
        <v>1</v>
      </c>
      <c r="J15" s="49" t="s">
        <v>2</v>
      </c>
      <c r="K15" s="92"/>
    </row>
    <row r="16" spans="1:11" x14ac:dyDescent="0.25">
      <c r="A16" s="25" t="s">
        <v>106</v>
      </c>
      <c r="B16" s="50"/>
      <c r="C16" s="50"/>
      <c r="D16" s="50"/>
      <c r="E16" s="50"/>
      <c r="F16" s="50"/>
      <c r="G16" s="50"/>
      <c r="H16" s="50"/>
      <c r="I16" s="50"/>
      <c r="J16" s="50"/>
      <c r="K16" s="55"/>
    </row>
    <row r="17" spans="1:11" x14ac:dyDescent="0.25">
      <c r="A17" s="25" t="s">
        <v>105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 spans="1:11" x14ac:dyDescent="0.25">
      <c r="A18" s="25" t="s">
        <v>107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spans="1:11" x14ac:dyDescent="0.25">
      <c r="A19" s="25" t="s">
        <v>108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1:11" x14ac:dyDescent="0.25">
      <c r="A20" s="25" t="s">
        <v>109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1:11" x14ac:dyDescent="0.25">
      <c r="A21" s="25" t="s">
        <v>110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1" ht="29.25" customHeight="1" x14ac:dyDescent="0.25">
      <c r="A22" s="54" t="s">
        <v>143</v>
      </c>
      <c r="B22" s="50">
        <v>6.5220000000000002</v>
      </c>
      <c r="C22" s="50">
        <v>6.5220000000000002</v>
      </c>
      <c r="D22" s="50"/>
      <c r="E22" s="50"/>
      <c r="F22" s="50"/>
      <c r="G22" s="50"/>
      <c r="H22" s="50"/>
      <c r="I22" s="50">
        <f>B22</f>
        <v>6.5220000000000002</v>
      </c>
      <c r="J22" s="50">
        <f>C22</f>
        <v>6.5220000000000002</v>
      </c>
      <c r="K22" s="50">
        <f>I22+J22</f>
        <v>13.044</v>
      </c>
    </row>
    <row r="23" spans="1:11" ht="15.75" x14ac:dyDescent="0.25">
      <c r="A23" s="22" t="s">
        <v>42</v>
      </c>
      <c r="B23" s="2">
        <v>0.70799999999999996</v>
      </c>
      <c r="C23" s="2">
        <v>0.70799999999999996</v>
      </c>
      <c r="D23" s="2"/>
      <c r="E23" s="2"/>
      <c r="F23" s="2"/>
      <c r="G23" s="2"/>
      <c r="H23" s="2"/>
      <c r="I23" s="2">
        <f>I22-F23-D23+B23</f>
        <v>7.23</v>
      </c>
      <c r="J23" s="2">
        <f>J22-E23+C23</f>
        <v>7.23</v>
      </c>
      <c r="K23" s="2">
        <f>SUM(I23:J23)</f>
        <v>14.46</v>
      </c>
    </row>
    <row r="24" spans="1:11" ht="15.75" x14ac:dyDescent="0.25">
      <c r="A24" s="22" t="s">
        <v>43</v>
      </c>
      <c r="B24" s="2">
        <v>6.25</v>
      </c>
      <c r="C24" s="2">
        <v>6.25</v>
      </c>
      <c r="D24" s="2"/>
      <c r="E24" s="2"/>
      <c r="F24" s="2"/>
      <c r="G24" s="2"/>
      <c r="H24" s="2"/>
      <c r="I24" s="2">
        <f t="shared" ref="I24:I63" si="0">I23-F24-D24+B24</f>
        <v>13.48</v>
      </c>
      <c r="J24" s="2">
        <f t="shared" ref="J24:J63" si="1">J23-E24+C24</f>
        <v>13.48</v>
      </c>
      <c r="K24" s="2">
        <f t="shared" ref="K24:K63" si="2">SUM(I24:J24)</f>
        <v>26.96</v>
      </c>
    </row>
    <row r="25" spans="1:11" ht="15.75" x14ac:dyDescent="0.25">
      <c r="A25" s="55" t="s">
        <v>111</v>
      </c>
      <c r="B25" s="2"/>
      <c r="C25" s="2"/>
      <c r="D25" s="2"/>
      <c r="E25" s="2"/>
      <c r="F25" s="2"/>
      <c r="G25" s="2"/>
      <c r="H25" s="2"/>
      <c r="I25" s="2">
        <f t="shared" si="0"/>
        <v>13.48</v>
      </c>
      <c r="J25" s="2">
        <f t="shared" si="1"/>
        <v>13.48</v>
      </c>
      <c r="K25" s="2">
        <f t="shared" si="2"/>
        <v>26.96</v>
      </c>
    </row>
    <row r="26" spans="1:11" ht="30" x14ac:dyDescent="0.25">
      <c r="A26" s="54" t="s">
        <v>142</v>
      </c>
      <c r="B26" s="2">
        <v>1.087</v>
      </c>
      <c r="C26" s="2">
        <v>1.087</v>
      </c>
      <c r="D26" s="2"/>
      <c r="E26" s="2"/>
      <c r="F26" s="2"/>
      <c r="G26" s="2"/>
      <c r="H26" s="2"/>
      <c r="I26" s="2">
        <f t="shared" si="0"/>
        <v>14.567</v>
      </c>
      <c r="J26" s="2">
        <f t="shared" si="1"/>
        <v>14.567</v>
      </c>
      <c r="K26" s="2">
        <f t="shared" si="2"/>
        <v>29.134</v>
      </c>
    </row>
    <row r="27" spans="1:11" ht="15.75" x14ac:dyDescent="0.25">
      <c r="A27" s="22" t="s">
        <v>44</v>
      </c>
      <c r="B27" s="2">
        <v>15</v>
      </c>
      <c r="C27" s="2">
        <v>15</v>
      </c>
      <c r="D27" s="2"/>
      <c r="E27" s="2"/>
      <c r="F27" s="2"/>
      <c r="G27" s="2"/>
      <c r="H27" s="2"/>
      <c r="I27" s="2">
        <f t="shared" si="0"/>
        <v>29.567</v>
      </c>
      <c r="J27" s="2">
        <f t="shared" si="1"/>
        <v>29.567</v>
      </c>
      <c r="K27" s="2">
        <f t="shared" si="2"/>
        <v>59.134</v>
      </c>
    </row>
    <row r="28" spans="1:11" ht="15.75" x14ac:dyDescent="0.25">
      <c r="A28" s="22" t="s">
        <v>45</v>
      </c>
      <c r="B28" s="2"/>
      <c r="C28" s="2"/>
      <c r="D28" s="2"/>
      <c r="E28" s="2"/>
      <c r="F28" s="2">
        <v>1</v>
      </c>
      <c r="G28" s="2"/>
      <c r="H28" s="2"/>
      <c r="I28" s="2">
        <f t="shared" si="0"/>
        <v>28.567</v>
      </c>
      <c r="J28" s="2">
        <f t="shared" si="1"/>
        <v>29.567</v>
      </c>
      <c r="K28" s="2">
        <f t="shared" si="2"/>
        <v>58.134</v>
      </c>
    </row>
    <row r="29" spans="1:11" ht="15.75" x14ac:dyDescent="0.25">
      <c r="A29" s="22" t="s">
        <v>51</v>
      </c>
      <c r="B29" s="2"/>
      <c r="C29" s="2"/>
      <c r="D29" s="2"/>
      <c r="E29" s="2"/>
      <c r="F29" s="2">
        <v>1</v>
      </c>
      <c r="G29" s="2"/>
      <c r="H29" s="2"/>
      <c r="I29" s="2">
        <f t="shared" si="0"/>
        <v>27.567</v>
      </c>
      <c r="J29" s="2">
        <f t="shared" si="1"/>
        <v>29.567</v>
      </c>
      <c r="K29" s="2">
        <f t="shared" si="2"/>
        <v>57.134</v>
      </c>
    </row>
    <row r="30" spans="1:11" ht="15.75" x14ac:dyDescent="0.25">
      <c r="A30" s="22" t="s">
        <v>46</v>
      </c>
      <c r="B30" s="2"/>
      <c r="C30" s="2"/>
      <c r="D30" s="2"/>
      <c r="E30" s="2"/>
      <c r="F30" s="2">
        <v>1</v>
      </c>
      <c r="G30" s="2"/>
      <c r="H30" s="2"/>
      <c r="I30" s="2">
        <f t="shared" si="0"/>
        <v>26.567</v>
      </c>
      <c r="J30" s="2">
        <f t="shared" si="1"/>
        <v>29.567</v>
      </c>
      <c r="K30" s="2">
        <f t="shared" si="2"/>
        <v>56.134</v>
      </c>
    </row>
    <row r="31" spans="1:11" ht="15.75" x14ac:dyDescent="0.25">
      <c r="A31" s="22" t="s">
        <v>47</v>
      </c>
      <c r="B31" s="2"/>
      <c r="C31" s="2"/>
      <c r="D31" s="2"/>
      <c r="E31" s="2">
        <v>1.5</v>
      </c>
      <c r="F31" s="2"/>
      <c r="G31" s="2"/>
      <c r="H31" s="2"/>
      <c r="I31" s="2">
        <f t="shared" si="0"/>
        <v>26.567</v>
      </c>
      <c r="J31" s="2">
        <f t="shared" si="1"/>
        <v>28.067</v>
      </c>
      <c r="K31" s="2">
        <f t="shared" si="2"/>
        <v>54.634</v>
      </c>
    </row>
    <row r="32" spans="1:11" ht="15.75" x14ac:dyDescent="0.25">
      <c r="A32" s="22" t="s">
        <v>48</v>
      </c>
      <c r="B32" s="2"/>
      <c r="C32" s="2"/>
      <c r="D32" s="2"/>
      <c r="E32" s="2">
        <v>1</v>
      </c>
      <c r="F32" s="2"/>
      <c r="G32" s="2"/>
      <c r="H32" s="2"/>
      <c r="I32" s="2">
        <f t="shared" si="0"/>
        <v>26.567</v>
      </c>
      <c r="J32" s="2">
        <f t="shared" si="1"/>
        <v>27.067</v>
      </c>
      <c r="K32" s="2">
        <f t="shared" si="2"/>
        <v>53.634</v>
      </c>
    </row>
    <row r="33" spans="1:11" ht="15.75" x14ac:dyDescent="0.25">
      <c r="A33" s="22" t="s">
        <v>49</v>
      </c>
      <c r="B33" s="2"/>
      <c r="C33" s="2"/>
      <c r="D33" s="2">
        <v>9</v>
      </c>
      <c r="E33" s="2"/>
      <c r="F33" s="2"/>
      <c r="G33" s="2"/>
      <c r="H33" s="2"/>
      <c r="I33" s="2">
        <f t="shared" si="0"/>
        <v>17.567</v>
      </c>
      <c r="J33" s="2">
        <f t="shared" si="1"/>
        <v>27.067</v>
      </c>
      <c r="K33" s="2">
        <f t="shared" si="2"/>
        <v>44.634</v>
      </c>
    </row>
    <row r="34" spans="1:11" ht="15.75" x14ac:dyDescent="0.25">
      <c r="A34" s="22" t="s">
        <v>50</v>
      </c>
      <c r="B34" s="2"/>
      <c r="C34" s="2"/>
      <c r="D34" s="2"/>
      <c r="E34" s="2"/>
      <c r="F34" s="2">
        <v>2</v>
      </c>
      <c r="G34" s="2"/>
      <c r="H34" s="2"/>
      <c r="I34" s="2">
        <f t="shared" si="0"/>
        <v>15.567</v>
      </c>
      <c r="J34" s="2">
        <f t="shared" si="1"/>
        <v>27.067</v>
      </c>
      <c r="K34" s="2">
        <f t="shared" si="2"/>
        <v>42.634</v>
      </c>
    </row>
    <row r="35" spans="1:11" ht="15.75" x14ac:dyDescent="0.25">
      <c r="A35" s="22" t="s">
        <v>52</v>
      </c>
      <c r="B35" s="2">
        <v>15</v>
      </c>
      <c r="C35" s="2">
        <v>15</v>
      </c>
      <c r="D35" s="2"/>
      <c r="E35" s="2"/>
      <c r="F35" s="2"/>
      <c r="G35" s="2"/>
      <c r="H35" s="2"/>
      <c r="I35" s="2">
        <f t="shared" si="0"/>
        <v>30.567</v>
      </c>
      <c r="J35" s="2">
        <f t="shared" si="1"/>
        <v>42.067</v>
      </c>
      <c r="K35" s="2">
        <f t="shared" si="2"/>
        <v>72.634</v>
      </c>
    </row>
    <row r="36" spans="1:11" ht="15.75" x14ac:dyDescent="0.25">
      <c r="A36" s="22" t="s">
        <v>53</v>
      </c>
      <c r="B36" s="2"/>
      <c r="C36" s="2"/>
      <c r="D36" s="2"/>
      <c r="E36" s="2"/>
      <c r="F36" s="2">
        <v>3</v>
      </c>
      <c r="G36" s="2"/>
      <c r="H36" s="2"/>
      <c r="I36" s="2">
        <f t="shared" si="0"/>
        <v>27.567</v>
      </c>
      <c r="J36" s="2">
        <f t="shared" si="1"/>
        <v>42.067</v>
      </c>
      <c r="K36" s="2">
        <f t="shared" si="2"/>
        <v>69.634</v>
      </c>
    </row>
    <row r="37" spans="1:11" ht="15.75" x14ac:dyDescent="0.25">
      <c r="A37" s="22" t="s">
        <v>54</v>
      </c>
      <c r="B37" s="2"/>
      <c r="C37" s="2"/>
      <c r="D37" s="2"/>
      <c r="E37" s="2">
        <v>2</v>
      </c>
      <c r="F37" s="2"/>
      <c r="G37" s="2"/>
      <c r="H37" s="2"/>
      <c r="I37" s="2">
        <f t="shared" si="0"/>
        <v>27.567</v>
      </c>
      <c r="J37" s="2">
        <f t="shared" si="1"/>
        <v>40.067</v>
      </c>
      <c r="K37" s="2">
        <f t="shared" si="2"/>
        <v>67.634</v>
      </c>
    </row>
    <row r="38" spans="1:11" ht="15.75" x14ac:dyDescent="0.25">
      <c r="A38" s="22" t="s">
        <v>55</v>
      </c>
      <c r="B38" s="2"/>
      <c r="C38" s="2"/>
      <c r="D38" s="2"/>
      <c r="E38" s="2">
        <v>2</v>
      </c>
      <c r="F38" s="2"/>
      <c r="G38" s="2"/>
      <c r="H38" s="2"/>
      <c r="I38" s="2">
        <f t="shared" si="0"/>
        <v>27.567</v>
      </c>
      <c r="J38" s="2">
        <f t="shared" si="1"/>
        <v>38.067</v>
      </c>
      <c r="K38" s="2">
        <f t="shared" si="2"/>
        <v>65.634</v>
      </c>
    </row>
    <row r="39" spans="1:11" ht="15.75" x14ac:dyDescent="0.25">
      <c r="A39" s="22" t="s">
        <v>56</v>
      </c>
      <c r="B39" s="2"/>
      <c r="C39" s="2"/>
      <c r="D39" s="2">
        <v>16</v>
      </c>
      <c r="E39" s="2">
        <v>13</v>
      </c>
      <c r="F39" s="2"/>
      <c r="G39" s="2"/>
      <c r="H39" s="2"/>
      <c r="I39" s="2">
        <f t="shared" si="0"/>
        <v>11.567</v>
      </c>
      <c r="J39" s="2">
        <f t="shared" si="1"/>
        <v>25.067</v>
      </c>
      <c r="K39" s="2">
        <f t="shared" si="2"/>
        <v>36.634</v>
      </c>
    </row>
    <row r="40" spans="1:11" ht="15.75" x14ac:dyDescent="0.25">
      <c r="A40" s="22" t="s">
        <v>57</v>
      </c>
      <c r="B40" s="2"/>
      <c r="C40" s="2"/>
      <c r="D40" s="2"/>
      <c r="E40" s="2">
        <v>2</v>
      </c>
      <c r="F40" s="2"/>
      <c r="G40" s="2"/>
      <c r="H40" s="2"/>
      <c r="I40" s="2">
        <f t="shared" si="0"/>
        <v>11.567</v>
      </c>
      <c r="J40" s="2">
        <f t="shared" si="1"/>
        <v>23.067</v>
      </c>
      <c r="K40" s="2">
        <f t="shared" si="2"/>
        <v>34.634</v>
      </c>
    </row>
    <row r="41" spans="1:11" ht="15.75" x14ac:dyDescent="0.25">
      <c r="A41" s="22" t="s">
        <v>58</v>
      </c>
      <c r="B41" s="2"/>
      <c r="C41" s="2"/>
      <c r="D41" s="2"/>
      <c r="E41" s="2"/>
      <c r="F41" s="2">
        <v>2</v>
      </c>
      <c r="G41" s="2"/>
      <c r="H41" s="2"/>
      <c r="I41" s="2">
        <f t="shared" si="0"/>
        <v>9.5670000000000002</v>
      </c>
      <c r="J41" s="2">
        <f t="shared" si="1"/>
        <v>23.067</v>
      </c>
      <c r="K41" s="2">
        <f t="shared" si="2"/>
        <v>32.634</v>
      </c>
    </row>
    <row r="42" spans="1:11" ht="15.75" x14ac:dyDescent="0.25">
      <c r="A42" s="56" t="s">
        <v>11</v>
      </c>
      <c r="B42" s="13"/>
      <c r="C42" s="2"/>
      <c r="D42" s="2"/>
      <c r="E42" s="2"/>
      <c r="F42" s="2">
        <v>2</v>
      </c>
      <c r="G42" s="2"/>
      <c r="H42" s="2"/>
      <c r="I42" s="2">
        <f t="shared" si="0"/>
        <v>7.5670000000000002</v>
      </c>
      <c r="J42" s="2">
        <f t="shared" si="1"/>
        <v>23.067</v>
      </c>
      <c r="K42" s="2">
        <f t="shared" si="2"/>
        <v>30.634</v>
      </c>
    </row>
    <row r="43" spans="1:11" ht="15.75" x14ac:dyDescent="0.25">
      <c r="A43" s="22" t="s">
        <v>12</v>
      </c>
      <c r="B43" s="2">
        <v>1.25</v>
      </c>
      <c r="C43" s="2">
        <v>1.25</v>
      </c>
      <c r="D43" s="2"/>
      <c r="E43" s="2"/>
      <c r="F43" s="2"/>
      <c r="G43" s="2"/>
      <c r="H43" s="2"/>
      <c r="I43" s="2">
        <f t="shared" si="0"/>
        <v>8.8170000000000002</v>
      </c>
      <c r="J43" s="2">
        <f t="shared" si="1"/>
        <v>24.317</v>
      </c>
      <c r="K43" s="2">
        <f t="shared" si="2"/>
        <v>33.134</v>
      </c>
    </row>
    <row r="44" spans="1:11" ht="15.75" x14ac:dyDescent="0.25">
      <c r="A44" s="22" t="s">
        <v>13</v>
      </c>
      <c r="B44" s="2"/>
      <c r="C44" s="2"/>
      <c r="D44" s="2"/>
      <c r="E44" s="2"/>
      <c r="F44" s="2">
        <v>1</v>
      </c>
      <c r="G44" s="2"/>
      <c r="H44" s="2"/>
      <c r="I44" s="2">
        <f t="shared" si="0"/>
        <v>7.8170000000000002</v>
      </c>
      <c r="J44" s="2">
        <f t="shared" si="1"/>
        <v>24.317</v>
      </c>
      <c r="K44" s="2">
        <f t="shared" si="2"/>
        <v>32.134</v>
      </c>
    </row>
    <row r="45" spans="1:11" ht="15.75" x14ac:dyDescent="0.25">
      <c r="A45" s="56" t="s">
        <v>14</v>
      </c>
      <c r="B45" s="2">
        <v>1.25</v>
      </c>
      <c r="C45" s="2">
        <v>1.25</v>
      </c>
      <c r="D45" s="13"/>
      <c r="E45" s="13"/>
      <c r="F45" s="13"/>
      <c r="G45" s="13"/>
      <c r="H45" s="13"/>
      <c r="I45" s="2">
        <f t="shared" si="0"/>
        <v>9.0670000000000002</v>
      </c>
      <c r="J45" s="2">
        <f t="shared" si="1"/>
        <v>25.567</v>
      </c>
      <c r="K45" s="2">
        <f t="shared" si="2"/>
        <v>34.634</v>
      </c>
    </row>
    <row r="46" spans="1:11" ht="15.75" x14ac:dyDescent="0.25">
      <c r="A46" s="22" t="s">
        <v>15</v>
      </c>
      <c r="B46" s="13"/>
      <c r="C46" s="2"/>
      <c r="D46" s="2"/>
      <c r="E46" s="2">
        <v>1</v>
      </c>
      <c r="F46" s="2"/>
      <c r="G46" s="2"/>
      <c r="H46" s="2"/>
      <c r="I46" s="2">
        <f t="shared" si="0"/>
        <v>9.0670000000000002</v>
      </c>
      <c r="J46" s="2">
        <f t="shared" si="1"/>
        <v>24.567</v>
      </c>
      <c r="K46" s="2">
        <f t="shared" si="2"/>
        <v>33.634</v>
      </c>
    </row>
    <row r="47" spans="1:11" ht="15.75" x14ac:dyDescent="0.25">
      <c r="A47" s="22" t="s">
        <v>16</v>
      </c>
      <c r="B47" s="2"/>
      <c r="C47" s="2"/>
      <c r="D47" s="2"/>
      <c r="E47" s="2">
        <v>2</v>
      </c>
      <c r="F47" s="2"/>
      <c r="G47" s="2"/>
      <c r="H47" s="2"/>
      <c r="I47" s="2">
        <f t="shared" si="0"/>
        <v>9.0670000000000002</v>
      </c>
      <c r="J47" s="2">
        <f t="shared" si="1"/>
        <v>22.567</v>
      </c>
      <c r="K47" s="2">
        <f t="shared" si="2"/>
        <v>31.634</v>
      </c>
    </row>
    <row r="48" spans="1:11" ht="15.75" x14ac:dyDescent="0.25">
      <c r="A48" s="22" t="s">
        <v>19</v>
      </c>
      <c r="B48" s="2"/>
      <c r="C48" s="2"/>
      <c r="D48" s="2"/>
      <c r="E48" s="2"/>
      <c r="F48" s="2">
        <v>1</v>
      </c>
      <c r="G48" s="2"/>
      <c r="H48" s="2"/>
      <c r="I48" s="2">
        <f t="shared" si="0"/>
        <v>8.0670000000000002</v>
      </c>
      <c r="J48" s="2">
        <f t="shared" si="1"/>
        <v>22.567</v>
      </c>
      <c r="K48" s="2">
        <f t="shared" si="2"/>
        <v>30.634</v>
      </c>
    </row>
    <row r="49" spans="1:11" ht="15.75" x14ac:dyDescent="0.25">
      <c r="A49" s="56" t="s">
        <v>17</v>
      </c>
      <c r="B49" s="2">
        <v>1.25</v>
      </c>
      <c r="C49" s="2">
        <v>1.25</v>
      </c>
      <c r="D49" s="2"/>
      <c r="E49" s="2"/>
      <c r="F49" s="2"/>
      <c r="G49" s="2"/>
      <c r="H49" s="2"/>
      <c r="I49" s="2">
        <f t="shared" si="0"/>
        <v>9.3170000000000002</v>
      </c>
      <c r="J49" s="2">
        <f t="shared" si="1"/>
        <v>23.817</v>
      </c>
      <c r="K49" s="2">
        <f t="shared" si="2"/>
        <v>33.134</v>
      </c>
    </row>
    <row r="50" spans="1:11" ht="15.75" x14ac:dyDescent="0.25">
      <c r="A50" s="22" t="s">
        <v>18</v>
      </c>
      <c r="B50" s="2"/>
      <c r="C50" s="2"/>
      <c r="D50" s="2"/>
      <c r="E50" s="2"/>
      <c r="F50" s="2"/>
      <c r="G50" s="2">
        <v>1</v>
      </c>
      <c r="H50" s="2"/>
      <c r="I50" s="2">
        <f t="shared" si="0"/>
        <v>9.3170000000000002</v>
      </c>
      <c r="J50" s="2">
        <f t="shared" si="1"/>
        <v>23.817</v>
      </c>
      <c r="K50" s="2">
        <f t="shared" si="2"/>
        <v>33.134</v>
      </c>
    </row>
    <row r="51" spans="1:11" ht="15.75" x14ac:dyDescent="0.25">
      <c r="A51" s="22" t="s">
        <v>20</v>
      </c>
      <c r="B51" s="2"/>
      <c r="C51" s="2"/>
      <c r="D51" s="2"/>
      <c r="E51" s="2"/>
      <c r="F51" s="2"/>
      <c r="G51" s="2">
        <v>1</v>
      </c>
      <c r="H51" s="2"/>
      <c r="I51" s="2">
        <f t="shared" si="0"/>
        <v>9.3170000000000002</v>
      </c>
      <c r="J51" s="2">
        <f t="shared" si="1"/>
        <v>23.817</v>
      </c>
      <c r="K51" s="2">
        <f t="shared" si="2"/>
        <v>33.134</v>
      </c>
    </row>
    <row r="52" spans="1:11" ht="15.75" x14ac:dyDescent="0.25">
      <c r="A52" s="56" t="s">
        <v>21</v>
      </c>
      <c r="B52" s="2">
        <v>1.25</v>
      </c>
      <c r="C52" s="2">
        <v>1.25</v>
      </c>
      <c r="D52" s="2"/>
      <c r="E52" s="2"/>
      <c r="F52" s="2"/>
      <c r="G52" s="2"/>
      <c r="H52" s="2"/>
      <c r="I52" s="2">
        <f t="shared" si="0"/>
        <v>10.567</v>
      </c>
      <c r="J52" s="2">
        <f t="shared" si="1"/>
        <v>25.067</v>
      </c>
      <c r="K52" s="2">
        <f t="shared" si="2"/>
        <v>35.634</v>
      </c>
    </row>
    <row r="53" spans="1:11" ht="15.75" x14ac:dyDescent="0.25">
      <c r="A53" s="22" t="s">
        <v>22</v>
      </c>
      <c r="B53" s="2"/>
      <c r="C53" s="2"/>
      <c r="D53" s="2"/>
      <c r="E53" s="2">
        <v>2</v>
      </c>
      <c r="F53" s="2"/>
      <c r="G53" s="2"/>
      <c r="H53" s="2"/>
      <c r="I53" s="2">
        <f t="shared" si="0"/>
        <v>10.567</v>
      </c>
      <c r="J53" s="2">
        <f t="shared" si="1"/>
        <v>23.067</v>
      </c>
      <c r="K53" s="2">
        <f t="shared" si="2"/>
        <v>33.634</v>
      </c>
    </row>
    <row r="54" spans="1:11" ht="15.75" x14ac:dyDescent="0.25">
      <c r="A54" s="22" t="s">
        <v>23</v>
      </c>
      <c r="B54" s="2"/>
      <c r="C54" s="2"/>
      <c r="D54" s="2"/>
      <c r="E54" s="2">
        <v>2</v>
      </c>
      <c r="F54" s="2"/>
      <c r="G54" s="2"/>
      <c r="H54" s="2"/>
      <c r="I54" s="2">
        <f t="shared" si="0"/>
        <v>10.567</v>
      </c>
      <c r="J54" s="2">
        <f t="shared" si="1"/>
        <v>21.067</v>
      </c>
      <c r="K54" s="2">
        <f t="shared" si="2"/>
        <v>31.634</v>
      </c>
    </row>
    <row r="55" spans="1:11" ht="15.75" x14ac:dyDescent="0.25">
      <c r="A55" s="56" t="s">
        <v>24</v>
      </c>
      <c r="B55" s="2">
        <v>1.25</v>
      </c>
      <c r="C55" s="2">
        <v>1.25</v>
      </c>
      <c r="D55" s="2"/>
      <c r="E55" s="2"/>
      <c r="F55" s="2"/>
      <c r="G55" s="2"/>
      <c r="H55" s="2"/>
      <c r="I55" s="2">
        <f t="shared" si="0"/>
        <v>11.817</v>
      </c>
      <c r="J55" s="2">
        <f t="shared" si="1"/>
        <v>22.317</v>
      </c>
      <c r="K55" s="2">
        <f t="shared" si="2"/>
        <v>34.134</v>
      </c>
    </row>
    <row r="56" spans="1:11" ht="15.75" x14ac:dyDescent="0.25">
      <c r="A56" s="22" t="s">
        <v>25</v>
      </c>
      <c r="B56" s="2"/>
      <c r="C56" s="2"/>
      <c r="D56" s="2"/>
      <c r="E56" s="2">
        <v>1</v>
      </c>
      <c r="F56" s="2"/>
      <c r="G56" s="2"/>
      <c r="H56" s="2"/>
      <c r="I56" s="2">
        <f t="shared" si="0"/>
        <v>11.817</v>
      </c>
      <c r="J56" s="2">
        <f t="shared" si="1"/>
        <v>21.317</v>
      </c>
      <c r="K56" s="2">
        <f t="shared" si="2"/>
        <v>33.134</v>
      </c>
    </row>
    <row r="57" spans="1:11" ht="15.75" x14ac:dyDescent="0.25">
      <c r="A57" s="22" t="s">
        <v>26</v>
      </c>
      <c r="B57" s="2"/>
      <c r="C57" s="2"/>
      <c r="D57" s="2">
        <v>3</v>
      </c>
      <c r="E57" s="2"/>
      <c r="F57" s="2"/>
      <c r="G57" s="2"/>
      <c r="H57" s="2"/>
      <c r="I57" s="2">
        <f t="shared" si="0"/>
        <v>8.8170000000000002</v>
      </c>
      <c r="J57" s="2">
        <f t="shared" si="1"/>
        <v>21.317</v>
      </c>
      <c r="K57" s="2">
        <f t="shared" si="2"/>
        <v>30.134</v>
      </c>
    </row>
    <row r="58" spans="1:11" ht="15.75" x14ac:dyDescent="0.25">
      <c r="A58" s="56" t="s">
        <v>27</v>
      </c>
      <c r="B58" s="2">
        <v>2.5</v>
      </c>
      <c r="C58" s="2">
        <v>2.5</v>
      </c>
      <c r="D58" s="2"/>
      <c r="E58" s="2"/>
      <c r="F58" s="2"/>
      <c r="G58" s="2"/>
      <c r="H58" s="2"/>
      <c r="I58" s="2">
        <f t="shared" si="0"/>
        <v>11.317</v>
      </c>
      <c r="J58" s="2">
        <f t="shared" si="1"/>
        <v>23.817</v>
      </c>
      <c r="K58" s="2">
        <f t="shared" si="2"/>
        <v>35.134</v>
      </c>
    </row>
    <row r="59" spans="1:11" ht="15.75" x14ac:dyDescent="0.25">
      <c r="A59" s="22" t="s">
        <v>28</v>
      </c>
      <c r="B59" s="2"/>
      <c r="C59" s="2"/>
      <c r="D59" s="2"/>
      <c r="E59" s="2">
        <v>1</v>
      </c>
      <c r="F59" s="2"/>
      <c r="G59" s="2"/>
      <c r="H59" s="2"/>
      <c r="I59" s="2">
        <f t="shared" si="0"/>
        <v>11.317</v>
      </c>
      <c r="J59" s="2">
        <f t="shared" si="1"/>
        <v>22.817</v>
      </c>
      <c r="K59" s="2">
        <f t="shared" si="2"/>
        <v>34.134</v>
      </c>
    </row>
    <row r="60" spans="1:11" ht="15.75" x14ac:dyDescent="0.25">
      <c r="A60" s="22" t="s">
        <v>29</v>
      </c>
      <c r="B60" s="2"/>
      <c r="C60" s="2"/>
      <c r="D60" s="2"/>
      <c r="E60" s="2">
        <v>0.5</v>
      </c>
      <c r="F60" s="2"/>
      <c r="G60" s="2"/>
      <c r="H60" s="2"/>
      <c r="I60" s="2">
        <f t="shared" si="0"/>
        <v>11.317</v>
      </c>
      <c r="J60" s="2">
        <f t="shared" si="1"/>
        <v>22.317</v>
      </c>
      <c r="K60" s="2">
        <f t="shared" si="2"/>
        <v>33.634</v>
      </c>
    </row>
    <row r="61" spans="1:11" ht="15.75" x14ac:dyDescent="0.25">
      <c r="A61" s="56" t="s">
        <v>30</v>
      </c>
      <c r="B61" s="57">
        <v>1.25</v>
      </c>
      <c r="C61" s="57">
        <v>1.25</v>
      </c>
      <c r="D61" s="58"/>
      <c r="E61" s="58"/>
      <c r="F61" s="58"/>
      <c r="G61" s="58"/>
      <c r="H61" s="58"/>
      <c r="I61" s="2">
        <f t="shared" si="0"/>
        <v>12.567</v>
      </c>
      <c r="J61" s="2">
        <f t="shared" si="1"/>
        <v>23.567</v>
      </c>
      <c r="K61" s="2">
        <f t="shared" si="2"/>
        <v>36.134</v>
      </c>
    </row>
    <row r="62" spans="1:11" ht="15.75" x14ac:dyDescent="0.25">
      <c r="A62" s="22" t="s">
        <v>31</v>
      </c>
      <c r="B62" s="21"/>
      <c r="C62" s="21"/>
      <c r="D62" s="21">
        <v>3</v>
      </c>
      <c r="E62" s="21">
        <v>12</v>
      </c>
      <c r="F62" s="21"/>
      <c r="G62" s="21"/>
      <c r="H62" s="21"/>
      <c r="I62" s="2">
        <f t="shared" si="0"/>
        <v>9.5670000000000002</v>
      </c>
      <c r="J62" s="2">
        <f t="shared" si="1"/>
        <v>11.567</v>
      </c>
      <c r="K62" s="2">
        <f t="shared" si="2"/>
        <v>21.134</v>
      </c>
    </row>
    <row r="63" spans="1:11" ht="15.75" x14ac:dyDescent="0.25">
      <c r="A63" s="56" t="s">
        <v>32</v>
      </c>
      <c r="B63" s="21">
        <v>5</v>
      </c>
      <c r="C63" s="21">
        <v>5</v>
      </c>
      <c r="D63" s="21"/>
      <c r="E63" s="21"/>
      <c r="F63" s="21"/>
      <c r="G63" s="21"/>
      <c r="H63" s="21"/>
      <c r="I63" s="21">
        <f t="shared" si="0"/>
        <v>14.567</v>
      </c>
      <c r="J63" s="21">
        <f t="shared" si="1"/>
        <v>16.567</v>
      </c>
      <c r="K63" s="21">
        <f t="shared" si="2"/>
        <v>31.134</v>
      </c>
    </row>
    <row r="64" spans="1:11" ht="15.75" x14ac:dyDescent="0.25">
      <c r="A64" s="56" t="s">
        <v>136</v>
      </c>
      <c r="B64" s="21"/>
      <c r="C64" s="21"/>
      <c r="D64" s="21"/>
      <c r="E64" s="21"/>
      <c r="F64" s="21">
        <v>1</v>
      </c>
      <c r="G64" s="21"/>
      <c r="H64" s="21"/>
      <c r="I64" s="21">
        <f t="shared" ref="I64:I78" si="3">I63-F64-D64+B64</f>
        <v>13.567</v>
      </c>
      <c r="J64" s="21">
        <f t="shared" ref="J64:J78" si="4">J63-E64+C64</f>
        <v>16.567</v>
      </c>
      <c r="K64" s="21">
        <f t="shared" ref="K64:K78" si="5">SUM(I64:J64)</f>
        <v>30.134</v>
      </c>
    </row>
    <row r="65" spans="1:11" ht="15.75" x14ac:dyDescent="0.25">
      <c r="A65" s="22" t="s">
        <v>123</v>
      </c>
      <c r="B65" s="21"/>
      <c r="C65" s="21"/>
      <c r="D65" s="22">
        <v>7</v>
      </c>
      <c r="E65" s="22">
        <v>13</v>
      </c>
      <c r="F65" s="22">
        <v>2</v>
      </c>
      <c r="G65" s="22"/>
      <c r="H65" s="22"/>
      <c r="I65" s="21">
        <f t="shared" si="3"/>
        <v>4.5670000000000002</v>
      </c>
      <c r="J65" s="21">
        <f t="shared" si="4"/>
        <v>3.5670000000000002</v>
      </c>
      <c r="K65" s="21">
        <f t="shared" si="5"/>
        <v>8.1340000000000003</v>
      </c>
    </row>
    <row r="66" spans="1:11" ht="15.75" x14ac:dyDescent="0.25">
      <c r="A66" s="59" t="s">
        <v>112</v>
      </c>
      <c r="B66" s="2">
        <v>1.25</v>
      </c>
      <c r="C66" s="2">
        <v>1.25</v>
      </c>
      <c r="D66" s="22"/>
      <c r="E66" s="22"/>
      <c r="F66" s="21"/>
      <c r="G66" s="21"/>
      <c r="H66" s="21"/>
      <c r="I66" s="21">
        <f t="shared" si="3"/>
        <v>5.8170000000000002</v>
      </c>
      <c r="J66" s="21">
        <f t="shared" si="4"/>
        <v>4.8170000000000002</v>
      </c>
      <c r="K66" s="21">
        <f t="shared" si="5"/>
        <v>10.634</v>
      </c>
    </row>
    <row r="67" spans="1:11" ht="15.75" x14ac:dyDescent="0.25">
      <c r="A67" s="22" t="s">
        <v>124</v>
      </c>
      <c r="B67" s="22"/>
      <c r="C67" s="22"/>
      <c r="D67" s="22">
        <v>4.5</v>
      </c>
      <c r="E67" s="22">
        <v>4.5</v>
      </c>
      <c r="F67" s="51">
        <v>2</v>
      </c>
      <c r="G67" s="21"/>
      <c r="H67" s="21"/>
      <c r="I67" s="21">
        <f t="shared" si="3"/>
        <v>-0.68299999999999983</v>
      </c>
      <c r="J67" s="21">
        <f t="shared" si="4"/>
        <v>0.31700000000000017</v>
      </c>
      <c r="K67" s="21">
        <f t="shared" si="5"/>
        <v>-0.36599999999999966</v>
      </c>
    </row>
    <row r="68" spans="1:11" ht="15.75" x14ac:dyDescent="0.25">
      <c r="A68" s="22" t="s">
        <v>125</v>
      </c>
      <c r="B68" s="24"/>
      <c r="C68" s="24"/>
      <c r="D68" s="24"/>
      <c r="E68" s="23"/>
      <c r="F68" s="23"/>
      <c r="G68" s="23"/>
      <c r="H68" s="25">
        <v>11</v>
      </c>
      <c r="I68" s="21">
        <f t="shared" si="3"/>
        <v>-0.68299999999999983</v>
      </c>
      <c r="J68" s="21">
        <f t="shared" si="4"/>
        <v>0.31700000000000017</v>
      </c>
      <c r="K68" s="21">
        <f t="shared" si="5"/>
        <v>-0.36599999999999966</v>
      </c>
    </row>
    <row r="69" spans="1:11" ht="15.75" x14ac:dyDescent="0.25">
      <c r="A69" s="22" t="s">
        <v>113</v>
      </c>
      <c r="B69" s="48">
        <v>0.79200000000000004</v>
      </c>
      <c r="C69" s="48">
        <v>0.79200000000000004</v>
      </c>
      <c r="D69" s="23"/>
      <c r="E69" s="24"/>
      <c r="F69" s="23"/>
      <c r="G69" s="23"/>
      <c r="H69" s="25"/>
      <c r="I69" s="21">
        <f t="shared" si="3"/>
        <v>0.10900000000000021</v>
      </c>
      <c r="J69" s="21">
        <f t="shared" si="4"/>
        <v>1.1090000000000002</v>
      </c>
      <c r="K69" s="21">
        <f t="shared" si="5"/>
        <v>1.2180000000000004</v>
      </c>
    </row>
    <row r="70" spans="1:11" ht="15.75" x14ac:dyDescent="0.25">
      <c r="A70" s="25" t="s">
        <v>126</v>
      </c>
      <c r="B70" s="25"/>
      <c r="C70" s="25"/>
      <c r="D70" s="24"/>
      <c r="E70" s="24">
        <v>1</v>
      </c>
      <c r="F70" s="25">
        <v>1</v>
      </c>
      <c r="G70" s="25"/>
      <c r="H70" s="25"/>
      <c r="I70" s="21">
        <f t="shared" si="3"/>
        <v>-0.89099999999999979</v>
      </c>
      <c r="J70" s="21">
        <f t="shared" si="4"/>
        <v>0.10900000000000021</v>
      </c>
      <c r="K70" s="21">
        <f t="shared" si="5"/>
        <v>-0.78199999999999958</v>
      </c>
    </row>
    <row r="71" spans="1:11" ht="15.75" x14ac:dyDescent="0.25">
      <c r="A71" s="25" t="s">
        <v>127</v>
      </c>
      <c r="B71" s="25"/>
      <c r="C71" s="25"/>
      <c r="D71" s="24"/>
      <c r="E71" s="24"/>
      <c r="F71" s="25"/>
      <c r="G71" s="25"/>
      <c r="H71" s="25">
        <v>20</v>
      </c>
      <c r="I71" s="21">
        <f t="shared" si="3"/>
        <v>-0.89099999999999979</v>
      </c>
      <c r="J71" s="21">
        <f t="shared" si="4"/>
        <v>0.10900000000000021</v>
      </c>
      <c r="K71" s="21">
        <f t="shared" si="5"/>
        <v>-0.78199999999999958</v>
      </c>
    </row>
    <row r="72" spans="1:11" ht="15.75" x14ac:dyDescent="0.25">
      <c r="A72" s="25" t="s">
        <v>114</v>
      </c>
      <c r="B72" s="25">
        <v>0.41699999999999998</v>
      </c>
      <c r="C72" s="25">
        <v>0.41699999999999998</v>
      </c>
      <c r="D72" s="24"/>
      <c r="E72" s="24"/>
      <c r="F72" s="25"/>
      <c r="G72" s="25"/>
      <c r="H72" s="25"/>
      <c r="I72" s="21">
        <f t="shared" si="3"/>
        <v>-0.47399999999999981</v>
      </c>
      <c r="J72" s="21">
        <f t="shared" si="4"/>
        <v>0.52600000000000025</v>
      </c>
      <c r="K72" s="21">
        <f t="shared" si="5"/>
        <v>5.2000000000000435E-2</v>
      </c>
    </row>
    <row r="73" spans="1:11" ht="15.75" x14ac:dyDescent="0.25">
      <c r="A73" s="25" t="s">
        <v>128</v>
      </c>
      <c r="B73" s="25"/>
      <c r="C73" s="25"/>
      <c r="D73" s="24">
        <v>0.5</v>
      </c>
      <c r="E73" s="24">
        <v>0.5</v>
      </c>
      <c r="F73" s="25"/>
      <c r="G73" s="25"/>
      <c r="H73" s="25"/>
      <c r="I73" s="21">
        <f t="shared" si="3"/>
        <v>-0.97399999999999975</v>
      </c>
      <c r="J73" s="21">
        <f t="shared" si="4"/>
        <v>2.6000000000000245E-2</v>
      </c>
      <c r="K73" s="21">
        <f t="shared" si="5"/>
        <v>-0.94799999999999951</v>
      </c>
    </row>
    <row r="74" spans="1:11" ht="15.75" x14ac:dyDescent="0.25">
      <c r="A74" s="25" t="s">
        <v>129</v>
      </c>
      <c r="B74" s="25"/>
      <c r="C74" s="25"/>
      <c r="D74" s="24"/>
      <c r="E74" s="24"/>
      <c r="F74" s="25"/>
      <c r="G74" s="25"/>
      <c r="H74" s="25">
        <v>7</v>
      </c>
      <c r="I74" s="21">
        <f t="shared" si="3"/>
        <v>-0.97399999999999975</v>
      </c>
      <c r="J74" s="21">
        <f t="shared" si="4"/>
        <v>2.6000000000000245E-2</v>
      </c>
      <c r="K74" s="21">
        <f t="shared" si="5"/>
        <v>-0.94799999999999951</v>
      </c>
    </row>
    <row r="75" spans="1:11" ht="15.75" x14ac:dyDescent="0.25">
      <c r="A75" s="25" t="s">
        <v>115</v>
      </c>
      <c r="B75" s="25">
        <v>0.95799999999999996</v>
      </c>
      <c r="C75" s="25">
        <v>0.95799999999999996</v>
      </c>
      <c r="D75" s="24"/>
      <c r="E75" s="24"/>
      <c r="F75" s="25"/>
      <c r="G75" s="25"/>
      <c r="H75" s="25"/>
      <c r="I75" s="21">
        <f t="shared" si="3"/>
        <v>-1.5999999999999792E-2</v>
      </c>
      <c r="J75" s="21">
        <f t="shared" si="4"/>
        <v>0.98400000000000021</v>
      </c>
      <c r="K75" s="21">
        <f t="shared" si="5"/>
        <v>0.96800000000000042</v>
      </c>
    </row>
    <row r="76" spans="1:11" ht="15.75" x14ac:dyDescent="0.25">
      <c r="A76" s="25" t="s">
        <v>116</v>
      </c>
      <c r="B76" s="25">
        <v>1.25</v>
      </c>
      <c r="C76" s="25">
        <v>1.25</v>
      </c>
      <c r="D76" s="24"/>
      <c r="E76" s="24"/>
      <c r="F76" s="25"/>
      <c r="G76" s="25"/>
      <c r="H76" s="25"/>
      <c r="I76" s="21">
        <f t="shared" si="3"/>
        <v>1.2340000000000002</v>
      </c>
      <c r="J76" s="21">
        <f t="shared" si="4"/>
        <v>2.234</v>
      </c>
      <c r="K76" s="21">
        <f t="shared" si="5"/>
        <v>3.468</v>
      </c>
    </row>
    <row r="77" spans="1:11" ht="15.75" x14ac:dyDescent="0.25">
      <c r="A77" s="25" t="s">
        <v>101</v>
      </c>
      <c r="B77" s="25"/>
      <c r="C77" s="25"/>
      <c r="D77" s="24"/>
      <c r="E77" s="24"/>
      <c r="F77" s="25"/>
      <c r="G77" s="25"/>
      <c r="H77" s="25"/>
      <c r="I77" s="21">
        <f t="shared" si="3"/>
        <v>1.2340000000000002</v>
      </c>
      <c r="J77" s="21">
        <f t="shared" si="4"/>
        <v>2.234</v>
      </c>
      <c r="K77" s="21">
        <f t="shared" si="5"/>
        <v>3.468</v>
      </c>
    </row>
    <row r="78" spans="1:11" ht="15.75" x14ac:dyDescent="0.25">
      <c r="A78" s="25" t="s">
        <v>117</v>
      </c>
      <c r="B78" s="25">
        <v>1.25</v>
      </c>
      <c r="C78" s="25">
        <v>1.25</v>
      </c>
      <c r="D78" s="24"/>
      <c r="E78" s="24"/>
      <c r="F78" s="25"/>
      <c r="G78" s="25"/>
      <c r="H78" s="25"/>
      <c r="I78" s="21">
        <f t="shared" si="3"/>
        <v>2.484</v>
      </c>
      <c r="J78" s="21">
        <f t="shared" si="4"/>
        <v>3.484</v>
      </c>
      <c r="K78" s="21">
        <f t="shared" si="5"/>
        <v>5.968</v>
      </c>
    </row>
    <row r="79" spans="1:11" ht="15.75" x14ac:dyDescent="0.25">
      <c r="A79" s="25" t="s">
        <v>102</v>
      </c>
      <c r="B79" s="25"/>
      <c r="C79" s="25"/>
      <c r="D79" s="24"/>
      <c r="E79" s="24">
        <v>1</v>
      </c>
      <c r="F79" s="25"/>
      <c r="G79" s="25"/>
      <c r="H79" s="25"/>
      <c r="I79" s="21">
        <f t="shared" ref="I79:I93" si="6">I78-F79-D79+B79</f>
        <v>2.484</v>
      </c>
      <c r="J79" s="21">
        <f t="shared" ref="J79:J93" si="7">J78-E79+C79</f>
        <v>2.484</v>
      </c>
      <c r="K79" s="21">
        <f t="shared" ref="K79:K93" si="8">SUM(I79:J79)</f>
        <v>4.968</v>
      </c>
    </row>
    <row r="80" spans="1:11" ht="15.75" x14ac:dyDescent="0.25">
      <c r="A80" s="25" t="s">
        <v>118</v>
      </c>
      <c r="B80" s="25">
        <v>1.25</v>
      </c>
      <c r="C80" s="25">
        <v>1.25</v>
      </c>
      <c r="D80" s="24"/>
      <c r="E80" s="24"/>
      <c r="F80" s="25"/>
      <c r="G80" s="25"/>
      <c r="H80" s="25"/>
      <c r="I80" s="21">
        <f t="shared" si="6"/>
        <v>3.734</v>
      </c>
      <c r="J80" s="21">
        <f t="shared" si="7"/>
        <v>3.734</v>
      </c>
      <c r="K80" s="21">
        <f t="shared" si="8"/>
        <v>7.468</v>
      </c>
    </row>
    <row r="81" spans="1:11" ht="15.75" x14ac:dyDescent="0.25">
      <c r="A81" s="25" t="s">
        <v>130</v>
      </c>
      <c r="B81" s="25"/>
      <c r="C81" s="25"/>
      <c r="D81" s="24">
        <v>4.5</v>
      </c>
      <c r="E81" s="24">
        <v>3.5</v>
      </c>
      <c r="F81" s="25"/>
      <c r="G81" s="25"/>
      <c r="H81" s="25"/>
      <c r="I81" s="21">
        <f t="shared" si="6"/>
        <v>-0.76600000000000001</v>
      </c>
      <c r="J81" s="21">
        <f t="shared" si="7"/>
        <v>0.23399999999999999</v>
      </c>
      <c r="K81" s="21">
        <f t="shared" si="8"/>
        <v>-0.53200000000000003</v>
      </c>
    </row>
    <row r="82" spans="1:11" ht="15.75" x14ac:dyDescent="0.25">
      <c r="A82" s="25" t="s">
        <v>131</v>
      </c>
      <c r="B82" s="25"/>
      <c r="C82" s="25"/>
      <c r="D82" s="24"/>
      <c r="E82" s="24"/>
      <c r="F82" s="25"/>
      <c r="G82" s="25"/>
      <c r="H82" s="25">
        <v>4</v>
      </c>
      <c r="I82" s="21">
        <f t="shared" si="6"/>
        <v>-0.76600000000000001</v>
      </c>
      <c r="J82" s="21">
        <f t="shared" si="7"/>
        <v>0.23399999999999999</v>
      </c>
      <c r="K82" s="21">
        <f t="shared" si="8"/>
        <v>-0.53200000000000003</v>
      </c>
    </row>
    <row r="83" spans="1:11" ht="15.75" x14ac:dyDescent="0.25">
      <c r="A83" s="25" t="s">
        <v>119</v>
      </c>
      <c r="B83" s="25">
        <v>1.083</v>
      </c>
      <c r="C83" s="25">
        <v>1.083</v>
      </c>
      <c r="D83" s="24"/>
      <c r="E83" s="24"/>
      <c r="F83" s="25"/>
      <c r="G83" s="25"/>
      <c r="H83" s="25"/>
      <c r="I83" s="21">
        <f t="shared" si="6"/>
        <v>0.31699999999999995</v>
      </c>
      <c r="J83" s="21">
        <f t="shared" si="7"/>
        <v>1.3169999999999999</v>
      </c>
      <c r="K83" s="21">
        <f t="shared" si="8"/>
        <v>1.6339999999999999</v>
      </c>
    </row>
    <row r="84" spans="1:11" ht="15.75" x14ac:dyDescent="0.25">
      <c r="A84" s="25" t="s">
        <v>103</v>
      </c>
      <c r="B84" s="25"/>
      <c r="C84" s="25"/>
      <c r="D84" s="24">
        <v>1</v>
      </c>
      <c r="E84" s="24">
        <v>1</v>
      </c>
      <c r="F84" s="25"/>
      <c r="G84" s="25"/>
      <c r="H84" s="25"/>
      <c r="I84" s="21">
        <f t="shared" si="6"/>
        <v>-0.68300000000000005</v>
      </c>
      <c r="J84" s="21">
        <f t="shared" si="7"/>
        <v>0.31699999999999995</v>
      </c>
      <c r="K84" s="21">
        <f t="shared" si="8"/>
        <v>-0.3660000000000001</v>
      </c>
    </row>
    <row r="85" spans="1:11" ht="15.75" x14ac:dyDescent="0.25">
      <c r="A85" s="25" t="s">
        <v>132</v>
      </c>
      <c r="B85" s="25"/>
      <c r="C85" s="25"/>
      <c r="D85" s="24"/>
      <c r="E85" s="24"/>
      <c r="F85" s="25"/>
      <c r="G85" s="25"/>
      <c r="H85" s="25">
        <v>9</v>
      </c>
      <c r="I85" s="21">
        <f t="shared" si="6"/>
        <v>-0.68300000000000005</v>
      </c>
      <c r="J85" s="21">
        <f t="shared" si="7"/>
        <v>0.31699999999999995</v>
      </c>
      <c r="K85" s="21">
        <f t="shared" si="8"/>
        <v>-0.3660000000000001</v>
      </c>
    </row>
    <row r="86" spans="1:11" ht="15.75" x14ac:dyDescent="0.25">
      <c r="A86" s="25" t="s">
        <v>120</v>
      </c>
      <c r="B86" s="25">
        <v>0.875</v>
      </c>
      <c r="C86" s="25">
        <v>0.875</v>
      </c>
      <c r="D86" s="24"/>
      <c r="E86" s="24"/>
      <c r="F86" s="25"/>
      <c r="G86" s="25"/>
      <c r="H86" s="25"/>
      <c r="I86" s="21">
        <f t="shared" si="6"/>
        <v>0.19199999999999995</v>
      </c>
      <c r="J86" s="21">
        <f t="shared" si="7"/>
        <v>1.1919999999999999</v>
      </c>
      <c r="K86" s="21">
        <f t="shared" si="8"/>
        <v>1.3839999999999999</v>
      </c>
    </row>
    <row r="87" spans="1:11" ht="15.75" x14ac:dyDescent="0.25">
      <c r="A87" s="25" t="s">
        <v>133</v>
      </c>
      <c r="B87" s="25"/>
      <c r="C87" s="25"/>
      <c r="D87" s="24">
        <v>0.5</v>
      </c>
      <c r="E87" s="24">
        <v>0.5</v>
      </c>
      <c r="F87" s="25"/>
      <c r="G87" s="25"/>
      <c r="H87" s="25"/>
      <c r="I87" s="21">
        <f t="shared" si="6"/>
        <v>-0.30800000000000005</v>
      </c>
      <c r="J87" s="21">
        <f t="shared" si="7"/>
        <v>0.69199999999999995</v>
      </c>
      <c r="K87" s="21">
        <f t="shared" si="8"/>
        <v>0.3839999999999999</v>
      </c>
    </row>
    <row r="88" spans="1:11" ht="15.75" x14ac:dyDescent="0.25">
      <c r="A88" s="25" t="s">
        <v>121</v>
      </c>
      <c r="B88" s="25">
        <v>1.25</v>
      </c>
      <c r="C88" s="25">
        <v>1.25</v>
      </c>
      <c r="D88" s="24"/>
      <c r="E88" s="24"/>
      <c r="F88" s="25"/>
      <c r="G88" s="25"/>
      <c r="H88" s="25"/>
      <c r="I88" s="21">
        <f t="shared" si="6"/>
        <v>0.94199999999999995</v>
      </c>
      <c r="J88" s="21">
        <f t="shared" si="7"/>
        <v>1.9419999999999999</v>
      </c>
      <c r="K88" s="21">
        <f t="shared" si="8"/>
        <v>2.8839999999999999</v>
      </c>
    </row>
    <row r="89" spans="1:11" ht="15.75" x14ac:dyDescent="0.25">
      <c r="A89" s="25" t="s">
        <v>134</v>
      </c>
      <c r="B89" s="25"/>
      <c r="C89" s="25"/>
      <c r="D89" s="24">
        <v>1.5</v>
      </c>
      <c r="E89" s="24">
        <v>1.5</v>
      </c>
      <c r="F89" s="25"/>
      <c r="G89" s="25"/>
      <c r="H89" s="25"/>
      <c r="I89" s="21">
        <f t="shared" si="6"/>
        <v>-0.55800000000000005</v>
      </c>
      <c r="J89" s="21">
        <f t="shared" si="7"/>
        <v>0.44199999999999995</v>
      </c>
      <c r="K89" s="21">
        <f t="shared" si="8"/>
        <v>-0.1160000000000001</v>
      </c>
    </row>
    <row r="90" spans="1:11" ht="15.75" x14ac:dyDescent="0.25">
      <c r="A90" s="25" t="s">
        <v>135</v>
      </c>
      <c r="B90" s="25"/>
      <c r="C90" s="25"/>
      <c r="D90" s="24"/>
      <c r="E90" s="24"/>
      <c r="F90" s="25"/>
      <c r="G90" s="25"/>
      <c r="H90" s="25">
        <v>8</v>
      </c>
      <c r="I90" s="21">
        <f t="shared" si="6"/>
        <v>-0.55800000000000005</v>
      </c>
      <c r="J90" s="21">
        <f t="shared" si="7"/>
        <v>0.44199999999999995</v>
      </c>
      <c r="K90" s="21">
        <f t="shared" si="8"/>
        <v>-0.1160000000000001</v>
      </c>
    </row>
    <row r="91" spans="1:11" ht="15.75" x14ac:dyDescent="0.25">
      <c r="A91" s="25" t="s">
        <v>122</v>
      </c>
      <c r="B91" s="25">
        <v>0.91700000000000004</v>
      </c>
      <c r="C91" s="25">
        <v>0.91700000000000004</v>
      </c>
      <c r="D91" s="24"/>
      <c r="E91" s="24"/>
      <c r="F91" s="25"/>
      <c r="G91" s="25"/>
      <c r="H91" s="25"/>
      <c r="I91" s="21">
        <f t="shared" si="6"/>
        <v>0.35899999999999999</v>
      </c>
      <c r="J91" s="21">
        <f t="shared" si="7"/>
        <v>1.359</v>
      </c>
      <c r="K91" s="21">
        <f t="shared" si="8"/>
        <v>1.718</v>
      </c>
    </row>
    <row r="92" spans="1:11" ht="15.75" x14ac:dyDescent="0.25">
      <c r="A92" s="25" t="s">
        <v>104</v>
      </c>
      <c r="B92" s="25">
        <v>1.25</v>
      </c>
      <c r="C92" s="25">
        <v>1.25</v>
      </c>
      <c r="D92" s="24"/>
      <c r="E92" s="24"/>
      <c r="F92" s="25"/>
      <c r="G92" s="25"/>
      <c r="H92" s="25"/>
      <c r="I92" s="21">
        <f t="shared" si="6"/>
        <v>1.609</v>
      </c>
      <c r="J92" s="21">
        <f t="shared" si="7"/>
        <v>2.609</v>
      </c>
      <c r="K92" s="21">
        <f t="shared" si="8"/>
        <v>4.218</v>
      </c>
    </row>
    <row r="93" spans="1:11" ht="15.75" x14ac:dyDescent="0.25">
      <c r="A93" s="25" t="s">
        <v>137</v>
      </c>
      <c r="B93" s="25"/>
      <c r="C93" s="25"/>
      <c r="D93" s="24"/>
      <c r="E93" s="24"/>
      <c r="F93" s="25">
        <v>2</v>
      </c>
      <c r="G93" s="25"/>
      <c r="H93" s="25"/>
      <c r="I93" s="21">
        <f t="shared" si="6"/>
        <v>-0.39100000000000001</v>
      </c>
      <c r="J93" s="21">
        <f t="shared" si="7"/>
        <v>2.609</v>
      </c>
      <c r="K93" s="21">
        <f t="shared" si="8"/>
        <v>2.218</v>
      </c>
    </row>
    <row r="94" spans="1:11" ht="15.75" x14ac:dyDescent="0.25">
      <c r="A94" s="25" t="s">
        <v>138</v>
      </c>
      <c r="B94" s="25">
        <v>8.75</v>
      </c>
      <c r="C94" s="25">
        <v>8.75</v>
      </c>
      <c r="D94" s="24"/>
      <c r="E94" s="24"/>
      <c r="F94" s="25"/>
      <c r="G94" s="25"/>
      <c r="H94" s="25"/>
      <c r="I94" s="21">
        <f t="shared" ref="I94" si="9">I93-F94-D94+B94</f>
        <v>8.359</v>
      </c>
      <c r="J94" s="21">
        <f t="shared" ref="J94" si="10">J93-E94+C94</f>
        <v>11.359</v>
      </c>
      <c r="K94" s="21">
        <f t="shared" ref="K94" si="11">SUM(I94:J94)</f>
        <v>19.718</v>
      </c>
    </row>
    <row r="95" spans="1:11" ht="15.75" x14ac:dyDescent="0.25">
      <c r="A95" s="25" t="s">
        <v>139</v>
      </c>
      <c r="B95" s="25"/>
      <c r="C95" s="25"/>
      <c r="D95" s="24"/>
      <c r="E95" s="24"/>
      <c r="F95" s="52">
        <v>2</v>
      </c>
      <c r="G95" s="25"/>
      <c r="H95" s="25"/>
      <c r="I95" s="21">
        <f t="shared" ref="I95" si="12">I94-F95-D95+B95</f>
        <v>6.359</v>
      </c>
      <c r="J95" s="21">
        <f t="shared" ref="J95" si="13">J94-E95+C95</f>
        <v>11.359</v>
      </c>
      <c r="K95" s="21">
        <f t="shared" ref="K95" si="14">SUM(I95:J95)</f>
        <v>17.718</v>
      </c>
    </row>
    <row r="96" spans="1:11" ht="15.75" x14ac:dyDescent="0.25">
      <c r="A96" s="25" t="s">
        <v>140</v>
      </c>
      <c r="B96" s="25"/>
      <c r="C96" s="25"/>
      <c r="D96" s="24">
        <v>3</v>
      </c>
      <c r="E96" s="24">
        <v>11</v>
      </c>
      <c r="F96" s="25"/>
      <c r="G96" s="25"/>
      <c r="H96" s="25"/>
      <c r="I96" s="21">
        <f t="shared" ref="I96" si="15">I95-F96-D96+B96</f>
        <v>3.359</v>
      </c>
      <c r="J96" s="21">
        <f t="shared" ref="J96" si="16">J95-E96+C96</f>
        <v>0.35899999999999999</v>
      </c>
      <c r="K96" s="21">
        <f t="shared" ref="K96" si="17">SUM(I96:J96)</f>
        <v>3.718</v>
      </c>
    </row>
    <row r="97" spans="1:11" ht="6.75" customHeight="1" x14ac:dyDescent="0.25">
      <c r="A97" s="10"/>
      <c r="B97" s="10"/>
      <c r="C97" s="10"/>
      <c r="D97" s="27"/>
      <c r="E97" s="27"/>
      <c r="F97" s="10"/>
      <c r="G97" s="10"/>
      <c r="I97" s="28"/>
      <c r="J97" s="28"/>
      <c r="K97" s="28"/>
    </row>
    <row r="98" spans="1:11" x14ac:dyDescent="0.25">
      <c r="B98" s="26"/>
      <c r="C98" s="26"/>
      <c r="D98" s="26"/>
      <c r="E98" s="26"/>
      <c r="F98" s="26"/>
      <c r="G98" s="26"/>
      <c r="H98" s="1" t="s">
        <v>63</v>
      </c>
      <c r="I98" s="26"/>
      <c r="J98" s="26"/>
      <c r="K98" s="26"/>
    </row>
    <row r="99" spans="1:11" x14ac:dyDescent="0.25">
      <c r="B99" s="31"/>
      <c r="C99" s="3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B100" s="31"/>
      <c r="C100" s="31"/>
      <c r="D100" s="1"/>
      <c r="E100" s="1"/>
      <c r="F100" s="1"/>
      <c r="G100" s="1"/>
      <c r="I100" s="53" t="s">
        <v>64</v>
      </c>
      <c r="J100" s="1"/>
      <c r="K100" s="1"/>
    </row>
    <row r="101" spans="1:11" ht="10.5" customHeight="1" x14ac:dyDescent="0.25">
      <c r="B101" s="31"/>
      <c r="C101" s="31"/>
      <c r="D101" s="1"/>
      <c r="E101" s="1"/>
      <c r="F101" s="1"/>
      <c r="G101" s="1"/>
      <c r="I101" s="1" t="s">
        <v>65</v>
      </c>
      <c r="J101" s="1"/>
      <c r="K101" s="1"/>
    </row>
    <row r="102" spans="1:11" ht="10.5" customHeight="1" x14ac:dyDescent="0.25">
      <c r="B102" s="31"/>
      <c r="C102" s="31"/>
      <c r="D102" s="1"/>
      <c r="E102" s="1"/>
      <c r="F102" s="1"/>
      <c r="G102" s="1"/>
      <c r="I102" s="1" t="s">
        <v>141</v>
      </c>
      <c r="J102" s="1"/>
      <c r="K102" s="1"/>
    </row>
  </sheetData>
  <mergeCells count="12">
    <mergeCell ref="B12:D12"/>
    <mergeCell ref="A5:K5"/>
    <mergeCell ref="A6:K6"/>
    <mergeCell ref="A7:K7"/>
    <mergeCell ref="A8:K8"/>
    <mergeCell ref="B10:D10"/>
    <mergeCell ref="A13:K13"/>
    <mergeCell ref="A14:A15"/>
    <mergeCell ref="B14:C14"/>
    <mergeCell ref="D14:G14"/>
    <mergeCell ref="I14:J14"/>
    <mergeCell ref="K14:K15"/>
  </mergeCells>
  <printOptions horizontalCentered="1" verticalCentered="1"/>
  <pageMargins left="0.31496062992125984" right="0.31496062992125984" top="0.11811023622047245" bottom="0.11811023622047245" header="0.31496062992125984" footer="0.31496062992125984"/>
  <pageSetup paperSize="9" scale="73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view="pageBreakPreview" zoomScaleNormal="100" zoomScaleSheetLayoutView="100" workbookViewId="0">
      <pane xSplit="9" ySplit="16" topLeftCell="J48" activePane="bottomRight" state="frozen"/>
      <selection pane="topRight" activeCell="J1" sqref="J1"/>
      <selection pane="bottomLeft" activeCell="A17" sqref="A17"/>
      <selection pane="bottomRight" sqref="A1:J1048576"/>
    </sheetView>
  </sheetViews>
  <sheetFormatPr defaultRowHeight="15" x14ac:dyDescent="0.25"/>
  <cols>
    <col min="1" max="1" width="39.140625" customWidth="1"/>
    <col min="2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75" t="s">
        <v>34</v>
      </c>
      <c r="B2" s="75"/>
      <c r="C2" s="75"/>
      <c r="D2" s="75"/>
      <c r="E2" s="75"/>
      <c r="F2" s="75"/>
      <c r="G2" s="75"/>
      <c r="H2" s="75"/>
      <c r="I2" s="75"/>
      <c r="J2" s="75"/>
    </row>
    <row r="3" spans="1:10" s="1" customFormat="1" ht="15.95" customHeight="1" x14ac:dyDescent="0.25">
      <c r="A3" s="75" t="s">
        <v>35</v>
      </c>
      <c r="B3" s="75"/>
      <c r="C3" s="75"/>
      <c r="D3" s="75"/>
      <c r="E3" s="75"/>
      <c r="F3" s="75"/>
      <c r="G3" s="75"/>
      <c r="H3" s="75"/>
      <c r="I3" s="75"/>
      <c r="J3" s="75"/>
    </row>
    <row r="4" spans="1:10" s="1" customFormat="1" ht="15.95" customHeight="1" x14ac:dyDescent="0.25">
      <c r="A4" s="75" t="s">
        <v>36</v>
      </c>
      <c r="B4" s="75"/>
      <c r="C4" s="75"/>
      <c r="D4" s="75"/>
      <c r="E4" s="75"/>
      <c r="F4" s="75"/>
      <c r="G4" s="75"/>
      <c r="H4" s="75"/>
      <c r="I4" s="75"/>
      <c r="J4" s="75"/>
    </row>
    <row r="5" spans="1:10" s="1" customFormat="1" ht="15.95" customHeight="1" x14ac:dyDescent="0.25">
      <c r="A5" s="75" t="s">
        <v>37</v>
      </c>
      <c r="B5" s="75"/>
      <c r="C5" s="75"/>
      <c r="D5" s="75"/>
      <c r="E5" s="75"/>
      <c r="F5" s="75"/>
      <c r="G5" s="75"/>
      <c r="H5" s="75"/>
      <c r="I5" s="75"/>
      <c r="J5" s="75"/>
    </row>
    <row r="6" spans="1:10" s="1" customFormat="1" ht="8.25" customHeight="1" x14ac:dyDescent="0.25"/>
    <row r="7" spans="1:10" s="1" customFormat="1" ht="12" customHeight="1" x14ac:dyDescent="0.25">
      <c r="A7" s="1" t="s">
        <v>38</v>
      </c>
      <c r="B7" s="74" t="s">
        <v>39</v>
      </c>
      <c r="C7" s="74"/>
      <c r="D7" s="74"/>
      <c r="H7" s="4" t="s">
        <v>9</v>
      </c>
      <c r="I7" s="11"/>
      <c r="J7" s="4"/>
    </row>
    <row r="8" spans="1:10" s="1" customFormat="1" ht="12" customHeight="1" x14ac:dyDescent="0.25">
      <c r="B8" s="3"/>
      <c r="C8" s="3"/>
      <c r="H8" s="3"/>
      <c r="I8" s="3"/>
      <c r="J8" s="3"/>
    </row>
    <row r="9" spans="1:10" s="1" customFormat="1" ht="12" customHeight="1" x14ac:dyDescent="0.25">
      <c r="A9" s="1" t="s">
        <v>40</v>
      </c>
      <c r="B9" s="74" t="s">
        <v>41</v>
      </c>
      <c r="C9" s="74"/>
      <c r="D9" s="74"/>
      <c r="H9" s="4" t="s">
        <v>10</v>
      </c>
      <c r="I9" s="5"/>
      <c r="J9" s="4"/>
    </row>
    <row r="10" spans="1:10" ht="16.5" customHeight="1" thickBot="1" x14ac:dyDescent="0.3">
      <c r="A10" s="77" t="s">
        <v>0</v>
      </c>
      <c r="B10" s="77"/>
      <c r="C10" s="77"/>
      <c r="D10" s="77"/>
      <c r="E10" s="77"/>
      <c r="F10" s="77"/>
      <c r="G10" s="77"/>
      <c r="H10" s="77"/>
      <c r="I10" s="77"/>
      <c r="J10" s="77"/>
    </row>
    <row r="11" spans="1:10" ht="18.75" customHeight="1" x14ac:dyDescent="0.25">
      <c r="A11" s="78" t="s">
        <v>4</v>
      </c>
      <c r="B11" s="90" t="s">
        <v>5</v>
      </c>
      <c r="C11" s="90"/>
      <c r="D11" s="82" t="s">
        <v>6</v>
      </c>
      <c r="E11" s="83"/>
      <c r="F11" s="83"/>
      <c r="G11" s="84"/>
      <c r="H11" s="91" t="s">
        <v>7</v>
      </c>
      <c r="I11" s="91"/>
      <c r="J11" s="87" t="s">
        <v>8</v>
      </c>
    </row>
    <row r="12" spans="1:10" ht="18.75" customHeight="1" thickBot="1" x14ac:dyDescent="0.3">
      <c r="A12" s="79"/>
      <c r="B12" s="8" t="s">
        <v>1</v>
      </c>
      <c r="C12" s="8" t="s">
        <v>2</v>
      </c>
      <c r="D12" s="8" t="s">
        <v>1</v>
      </c>
      <c r="E12" s="8" t="s">
        <v>2</v>
      </c>
      <c r="F12" s="8" t="s">
        <v>3</v>
      </c>
      <c r="G12" s="8" t="s">
        <v>33</v>
      </c>
      <c r="H12" s="8" t="s">
        <v>1</v>
      </c>
      <c r="I12" s="8" t="s">
        <v>2</v>
      </c>
      <c r="J12" s="88"/>
    </row>
    <row r="13" spans="1:10" ht="18.75" customHeight="1" x14ac:dyDescent="0.25">
      <c r="A13" s="14" t="s">
        <v>42</v>
      </c>
      <c r="B13" s="6">
        <v>0.70799999999999996</v>
      </c>
      <c r="C13" s="6">
        <v>0.70799999999999996</v>
      </c>
      <c r="D13" s="6"/>
      <c r="E13" s="6"/>
      <c r="F13" s="6"/>
      <c r="G13" s="6"/>
      <c r="H13" s="6">
        <f>B13</f>
        <v>0.70799999999999996</v>
      </c>
      <c r="I13" s="6">
        <f>C13</f>
        <v>0.70799999999999996</v>
      </c>
      <c r="J13" s="7">
        <f>SUM(H13:I13)</f>
        <v>1.4159999999999999</v>
      </c>
    </row>
    <row r="14" spans="1:10" ht="18.75" customHeight="1" x14ac:dyDescent="0.25">
      <c r="A14" s="14" t="s">
        <v>43</v>
      </c>
      <c r="B14" s="6">
        <v>6.25</v>
      </c>
      <c r="C14" s="6">
        <v>6.25</v>
      </c>
      <c r="D14" s="6"/>
      <c r="E14" s="6"/>
      <c r="F14" s="6"/>
      <c r="G14" s="6"/>
      <c r="H14" s="6">
        <f>H13-F14-D14+B14</f>
        <v>6.9580000000000002</v>
      </c>
      <c r="I14" s="6">
        <f>I13-E14+C14</f>
        <v>6.9580000000000002</v>
      </c>
      <c r="J14" s="7">
        <f t="shared" ref="J14" si="0">SUM(H14:I14)</f>
        <v>13.916</v>
      </c>
    </row>
    <row r="15" spans="1:10" ht="18.75" customHeight="1" x14ac:dyDescent="0.25">
      <c r="A15" s="14" t="s">
        <v>44</v>
      </c>
      <c r="B15" s="6">
        <v>15</v>
      </c>
      <c r="C15" s="6">
        <v>15</v>
      </c>
      <c r="D15" s="6"/>
      <c r="E15" s="6"/>
      <c r="F15" s="6"/>
      <c r="G15" s="6"/>
      <c r="H15" s="6">
        <f t="shared" ref="H15:H63" si="1">H14-F15-D15+B15</f>
        <v>21.957999999999998</v>
      </c>
      <c r="I15" s="6">
        <f t="shared" ref="I15:I63" si="2">I14-E15+C15</f>
        <v>21.957999999999998</v>
      </c>
      <c r="J15" s="7">
        <f t="shared" ref="J15:J63" si="3">SUM(H15:I15)</f>
        <v>43.915999999999997</v>
      </c>
    </row>
    <row r="16" spans="1:10" ht="18.75" customHeight="1" x14ac:dyDescent="0.25">
      <c r="A16" s="14" t="s">
        <v>45</v>
      </c>
      <c r="B16" s="6"/>
      <c r="C16" s="6"/>
      <c r="D16" s="6"/>
      <c r="E16" s="6"/>
      <c r="F16" s="6">
        <v>1</v>
      </c>
      <c r="G16" s="6"/>
      <c r="H16" s="6">
        <f t="shared" si="1"/>
        <v>20.957999999999998</v>
      </c>
      <c r="I16" s="6">
        <f t="shared" si="2"/>
        <v>21.957999999999998</v>
      </c>
      <c r="J16" s="7">
        <f t="shared" si="3"/>
        <v>42.915999999999997</v>
      </c>
    </row>
    <row r="17" spans="1:10" ht="18.75" customHeight="1" x14ac:dyDescent="0.25">
      <c r="A17" s="14" t="s">
        <v>51</v>
      </c>
      <c r="B17" s="6"/>
      <c r="C17" s="6"/>
      <c r="D17" s="6"/>
      <c r="E17" s="6"/>
      <c r="F17" s="6">
        <v>1</v>
      </c>
      <c r="G17" s="6"/>
      <c r="H17" s="6">
        <f t="shared" si="1"/>
        <v>19.957999999999998</v>
      </c>
      <c r="I17" s="6">
        <f t="shared" si="2"/>
        <v>21.957999999999998</v>
      </c>
      <c r="J17" s="7">
        <f t="shared" si="3"/>
        <v>41.915999999999997</v>
      </c>
    </row>
    <row r="18" spans="1:10" ht="18.75" customHeight="1" x14ac:dyDescent="0.25">
      <c r="A18" s="14" t="s">
        <v>46</v>
      </c>
      <c r="B18" s="6"/>
      <c r="C18" s="6"/>
      <c r="D18" s="6"/>
      <c r="E18" s="6"/>
      <c r="F18" s="6">
        <v>1</v>
      </c>
      <c r="G18" s="6"/>
      <c r="H18" s="6">
        <f t="shared" si="1"/>
        <v>18.957999999999998</v>
      </c>
      <c r="I18" s="6">
        <f t="shared" si="2"/>
        <v>21.957999999999998</v>
      </c>
      <c r="J18" s="7">
        <f t="shared" si="3"/>
        <v>40.915999999999997</v>
      </c>
    </row>
    <row r="19" spans="1:10" ht="18.75" customHeight="1" x14ac:dyDescent="0.25">
      <c r="A19" s="14" t="s">
        <v>47</v>
      </c>
      <c r="B19" s="6"/>
      <c r="C19" s="6"/>
      <c r="D19" s="6"/>
      <c r="E19" s="6">
        <v>1.5</v>
      </c>
      <c r="F19" s="6"/>
      <c r="G19" s="6"/>
      <c r="H19" s="6">
        <f t="shared" si="1"/>
        <v>18.957999999999998</v>
      </c>
      <c r="I19" s="6">
        <f t="shared" si="2"/>
        <v>20.457999999999998</v>
      </c>
      <c r="J19" s="7">
        <f t="shared" si="3"/>
        <v>39.415999999999997</v>
      </c>
    </row>
    <row r="20" spans="1:10" ht="18.75" customHeight="1" x14ac:dyDescent="0.25">
      <c r="A20" s="14" t="s">
        <v>48</v>
      </c>
      <c r="B20" s="6"/>
      <c r="C20" s="6"/>
      <c r="D20" s="6"/>
      <c r="E20" s="6">
        <v>1</v>
      </c>
      <c r="F20" s="6"/>
      <c r="G20" s="6"/>
      <c r="H20" s="6">
        <f t="shared" si="1"/>
        <v>18.957999999999998</v>
      </c>
      <c r="I20" s="6">
        <f t="shared" si="2"/>
        <v>19.457999999999998</v>
      </c>
      <c r="J20" s="7">
        <f t="shared" si="3"/>
        <v>38.415999999999997</v>
      </c>
    </row>
    <row r="21" spans="1:10" ht="18.75" customHeight="1" x14ac:dyDescent="0.25">
      <c r="A21" s="14" t="s">
        <v>49</v>
      </c>
      <c r="B21" s="6"/>
      <c r="C21" s="6"/>
      <c r="D21" s="6">
        <v>9</v>
      </c>
      <c r="E21" s="6"/>
      <c r="F21" s="6"/>
      <c r="G21" s="6"/>
      <c r="H21" s="6">
        <f t="shared" si="1"/>
        <v>9.9579999999999984</v>
      </c>
      <c r="I21" s="6">
        <f t="shared" si="2"/>
        <v>19.457999999999998</v>
      </c>
      <c r="J21" s="7">
        <f t="shared" si="3"/>
        <v>29.415999999999997</v>
      </c>
    </row>
    <row r="22" spans="1:10" ht="18.75" customHeight="1" x14ac:dyDescent="0.25">
      <c r="A22" s="14" t="s">
        <v>50</v>
      </c>
      <c r="B22" s="6"/>
      <c r="C22" s="6"/>
      <c r="D22" s="6"/>
      <c r="E22" s="6"/>
      <c r="F22" s="6">
        <v>2</v>
      </c>
      <c r="G22" s="6"/>
      <c r="H22" s="6">
        <f t="shared" si="1"/>
        <v>7.9579999999999984</v>
      </c>
      <c r="I22" s="6">
        <f t="shared" si="2"/>
        <v>19.457999999999998</v>
      </c>
      <c r="J22" s="7">
        <f t="shared" si="3"/>
        <v>27.415999999999997</v>
      </c>
    </row>
    <row r="23" spans="1:10" ht="18.75" customHeight="1" x14ac:dyDescent="0.25">
      <c r="A23" s="14" t="s">
        <v>52</v>
      </c>
      <c r="B23" s="6">
        <v>15</v>
      </c>
      <c r="C23" s="6">
        <v>15</v>
      </c>
      <c r="D23" s="6"/>
      <c r="E23" s="6"/>
      <c r="F23" s="6"/>
      <c r="G23" s="6"/>
      <c r="H23" s="6">
        <f t="shared" si="1"/>
        <v>22.957999999999998</v>
      </c>
      <c r="I23" s="6">
        <f t="shared" si="2"/>
        <v>34.457999999999998</v>
      </c>
      <c r="J23" s="7">
        <f t="shared" si="3"/>
        <v>57.415999999999997</v>
      </c>
    </row>
    <row r="24" spans="1:10" ht="18.75" customHeight="1" x14ac:dyDescent="0.25">
      <c r="A24" s="14" t="s">
        <v>53</v>
      </c>
      <c r="B24" s="6"/>
      <c r="C24" s="6"/>
      <c r="D24" s="6"/>
      <c r="E24" s="6"/>
      <c r="F24" s="6">
        <v>3</v>
      </c>
      <c r="G24" s="6"/>
      <c r="H24" s="6">
        <f t="shared" si="1"/>
        <v>19.957999999999998</v>
      </c>
      <c r="I24" s="6">
        <f t="shared" si="2"/>
        <v>34.457999999999998</v>
      </c>
      <c r="J24" s="7">
        <f t="shared" si="3"/>
        <v>54.415999999999997</v>
      </c>
    </row>
    <row r="25" spans="1:10" ht="18.75" customHeight="1" x14ac:dyDescent="0.25">
      <c r="A25" s="14" t="s">
        <v>54</v>
      </c>
      <c r="B25" s="6"/>
      <c r="C25" s="6"/>
      <c r="D25" s="6"/>
      <c r="E25" s="6">
        <v>2</v>
      </c>
      <c r="F25" s="6"/>
      <c r="G25" s="6"/>
      <c r="H25" s="6">
        <f t="shared" si="1"/>
        <v>19.957999999999998</v>
      </c>
      <c r="I25" s="6">
        <f t="shared" si="2"/>
        <v>32.457999999999998</v>
      </c>
      <c r="J25" s="7">
        <f t="shared" si="3"/>
        <v>52.415999999999997</v>
      </c>
    </row>
    <row r="26" spans="1:10" ht="18.75" customHeight="1" x14ac:dyDescent="0.25">
      <c r="A26" s="14" t="s">
        <v>55</v>
      </c>
      <c r="B26" s="6"/>
      <c r="C26" s="6"/>
      <c r="D26" s="6"/>
      <c r="E26" s="6">
        <v>2</v>
      </c>
      <c r="F26" s="6"/>
      <c r="G26" s="6"/>
      <c r="H26" s="6">
        <f t="shared" si="1"/>
        <v>19.957999999999998</v>
      </c>
      <c r="I26" s="6">
        <f t="shared" si="2"/>
        <v>30.457999999999998</v>
      </c>
      <c r="J26" s="7">
        <f t="shared" si="3"/>
        <v>50.415999999999997</v>
      </c>
    </row>
    <row r="27" spans="1:10" ht="18.75" customHeight="1" x14ac:dyDescent="0.25">
      <c r="A27" s="14" t="s">
        <v>56</v>
      </c>
      <c r="B27" s="6"/>
      <c r="C27" s="6"/>
      <c r="D27" s="6">
        <v>16</v>
      </c>
      <c r="E27" s="6">
        <v>13</v>
      </c>
      <c r="F27" s="6"/>
      <c r="G27" s="6"/>
      <c r="H27" s="6">
        <f t="shared" si="1"/>
        <v>3.9579999999999984</v>
      </c>
      <c r="I27" s="6">
        <f t="shared" si="2"/>
        <v>17.457999999999998</v>
      </c>
      <c r="J27" s="7">
        <f t="shared" si="3"/>
        <v>21.415999999999997</v>
      </c>
    </row>
    <row r="28" spans="1:10" ht="18.75" customHeight="1" x14ac:dyDescent="0.25">
      <c r="A28" s="14" t="s">
        <v>57</v>
      </c>
      <c r="B28" s="6"/>
      <c r="C28" s="6"/>
      <c r="D28" s="6"/>
      <c r="E28" s="6">
        <v>2</v>
      </c>
      <c r="F28" s="6"/>
      <c r="G28" s="6"/>
      <c r="H28" s="6">
        <f t="shared" si="1"/>
        <v>3.9579999999999984</v>
      </c>
      <c r="I28" s="6">
        <f t="shared" si="2"/>
        <v>15.457999999999998</v>
      </c>
      <c r="J28" s="7">
        <f t="shared" si="3"/>
        <v>19.415999999999997</v>
      </c>
    </row>
    <row r="29" spans="1:10" ht="18.75" customHeight="1" x14ac:dyDescent="0.25">
      <c r="A29" s="14" t="s">
        <v>58</v>
      </c>
      <c r="B29" s="6"/>
      <c r="C29" s="6"/>
      <c r="D29" s="6"/>
      <c r="E29" s="6"/>
      <c r="F29" s="6">
        <v>2</v>
      </c>
      <c r="G29" s="6"/>
      <c r="H29" s="6">
        <f t="shared" si="1"/>
        <v>1.9579999999999984</v>
      </c>
      <c r="I29" s="6">
        <f t="shared" si="2"/>
        <v>15.457999999999998</v>
      </c>
      <c r="J29" s="7">
        <f t="shared" si="3"/>
        <v>17.415999999999997</v>
      </c>
    </row>
    <row r="30" spans="1:10" ht="18.75" customHeight="1" x14ac:dyDescent="0.25">
      <c r="A30" s="15" t="s">
        <v>11</v>
      </c>
      <c r="B30" s="13"/>
      <c r="C30" s="2"/>
      <c r="D30" s="2"/>
      <c r="E30" s="2"/>
      <c r="F30" s="2">
        <v>2</v>
      </c>
      <c r="G30" s="6"/>
      <c r="H30" s="6">
        <f t="shared" si="1"/>
        <v>-4.2000000000001592E-2</v>
      </c>
      <c r="I30" s="6">
        <f t="shared" si="2"/>
        <v>15.457999999999998</v>
      </c>
      <c r="J30" s="7">
        <f t="shared" si="3"/>
        <v>15.415999999999997</v>
      </c>
    </row>
    <row r="31" spans="1:10" ht="18.75" customHeight="1" x14ac:dyDescent="0.25">
      <c r="A31" s="16" t="s">
        <v>12</v>
      </c>
      <c r="B31" s="2">
        <v>1.25</v>
      </c>
      <c r="C31" s="2">
        <v>1.25</v>
      </c>
      <c r="D31" s="2"/>
      <c r="E31" s="2"/>
      <c r="F31" s="2"/>
      <c r="G31" s="2"/>
      <c r="H31" s="6">
        <f t="shared" si="1"/>
        <v>1.2079999999999984</v>
      </c>
      <c r="I31" s="6">
        <f t="shared" si="2"/>
        <v>16.707999999999998</v>
      </c>
      <c r="J31" s="7">
        <f t="shared" si="3"/>
        <v>17.915999999999997</v>
      </c>
    </row>
    <row r="32" spans="1:10" ht="18.75" customHeight="1" x14ac:dyDescent="0.25">
      <c r="A32" s="16" t="s">
        <v>13</v>
      </c>
      <c r="B32" s="2"/>
      <c r="C32" s="2"/>
      <c r="D32" s="2"/>
      <c r="E32" s="2"/>
      <c r="F32" s="2">
        <v>1</v>
      </c>
      <c r="G32" s="2"/>
      <c r="H32" s="6">
        <f t="shared" si="1"/>
        <v>0.20799999999999841</v>
      </c>
      <c r="I32" s="6">
        <f t="shared" si="2"/>
        <v>16.707999999999998</v>
      </c>
      <c r="J32" s="7">
        <f t="shared" si="3"/>
        <v>16.915999999999997</v>
      </c>
    </row>
    <row r="33" spans="1:10" ht="18.75" customHeight="1" x14ac:dyDescent="0.25">
      <c r="A33" s="15" t="s">
        <v>14</v>
      </c>
      <c r="B33" s="2">
        <v>1.25</v>
      </c>
      <c r="C33" s="2">
        <v>1.25</v>
      </c>
      <c r="D33" s="13"/>
      <c r="E33" s="13"/>
      <c r="F33" s="13"/>
      <c r="G33" s="13"/>
      <c r="H33" s="6">
        <f t="shared" si="1"/>
        <v>1.4579999999999984</v>
      </c>
      <c r="I33" s="6">
        <f t="shared" si="2"/>
        <v>17.957999999999998</v>
      </c>
      <c r="J33" s="7">
        <f t="shared" si="3"/>
        <v>19.415999999999997</v>
      </c>
    </row>
    <row r="34" spans="1:10" ht="18.75" customHeight="1" x14ac:dyDescent="0.25">
      <c r="A34" s="16" t="s">
        <v>15</v>
      </c>
      <c r="B34" s="13"/>
      <c r="C34" s="2"/>
      <c r="D34" s="2"/>
      <c r="E34" s="2">
        <v>1</v>
      </c>
      <c r="F34" s="2"/>
      <c r="G34" s="2"/>
      <c r="H34" s="6">
        <f t="shared" si="1"/>
        <v>1.4579999999999984</v>
      </c>
      <c r="I34" s="6">
        <f t="shared" si="2"/>
        <v>16.957999999999998</v>
      </c>
      <c r="J34" s="7">
        <f t="shared" si="3"/>
        <v>18.415999999999997</v>
      </c>
    </row>
    <row r="35" spans="1:10" ht="18.75" customHeight="1" x14ac:dyDescent="0.25">
      <c r="A35" s="16" t="s">
        <v>16</v>
      </c>
      <c r="B35" s="2"/>
      <c r="C35" s="2"/>
      <c r="D35" s="2"/>
      <c r="E35" s="2">
        <v>2</v>
      </c>
      <c r="F35" s="2"/>
      <c r="G35" s="2"/>
      <c r="H35" s="6">
        <f t="shared" si="1"/>
        <v>1.4579999999999984</v>
      </c>
      <c r="I35" s="6">
        <f t="shared" si="2"/>
        <v>14.957999999999998</v>
      </c>
      <c r="J35" s="7">
        <f t="shared" si="3"/>
        <v>16.415999999999997</v>
      </c>
    </row>
    <row r="36" spans="1:10" ht="18.75" customHeight="1" x14ac:dyDescent="0.25">
      <c r="A36" s="16" t="s">
        <v>19</v>
      </c>
      <c r="B36" s="2"/>
      <c r="C36" s="2"/>
      <c r="D36" s="2"/>
      <c r="E36" s="2"/>
      <c r="F36" s="2">
        <v>1</v>
      </c>
      <c r="G36" s="2"/>
      <c r="H36" s="6">
        <f t="shared" si="1"/>
        <v>0.45799999999999841</v>
      </c>
      <c r="I36" s="6">
        <f t="shared" si="2"/>
        <v>14.957999999999998</v>
      </c>
      <c r="J36" s="7">
        <f t="shared" si="3"/>
        <v>15.415999999999997</v>
      </c>
    </row>
    <row r="37" spans="1:10" ht="18.75" customHeight="1" x14ac:dyDescent="0.25">
      <c r="A37" s="15" t="s">
        <v>17</v>
      </c>
      <c r="B37" s="2">
        <v>1.25</v>
      </c>
      <c r="C37" s="2">
        <v>1.25</v>
      </c>
      <c r="D37" s="2"/>
      <c r="E37" s="2"/>
      <c r="F37" s="2"/>
      <c r="G37" s="2"/>
      <c r="H37" s="6">
        <f t="shared" si="1"/>
        <v>1.7079999999999984</v>
      </c>
      <c r="I37" s="6">
        <f t="shared" si="2"/>
        <v>16.207999999999998</v>
      </c>
      <c r="J37" s="7">
        <f t="shared" si="3"/>
        <v>17.915999999999997</v>
      </c>
    </row>
    <row r="38" spans="1:10" ht="18.75" customHeight="1" x14ac:dyDescent="0.25">
      <c r="A38" s="16" t="s">
        <v>18</v>
      </c>
      <c r="B38" s="2"/>
      <c r="C38" s="2"/>
      <c r="D38" s="2"/>
      <c r="E38" s="2"/>
      <c r="F38" s="2"/>
      <c r="G38" s="12">
        <v>1</v>
      </c>
      <c r="H38" s="6">
        <f t="shared" si="1"/>
        <v>1.7079999999999984</v>
      </c>
      <c r="I38" s="6">
        <f t="shared" si="2"/>
        <v>16.207999999999998</v>
      </c>
      <c r="J38" s="7">
        <f t="shared" si="3"/>
        <v>17.915999999999997</v>
      </c>
    </row>
    <row r="39" spans="1:10" ht="18.75" customHeight="1" x14ac:dyDescent="0.25">
      <c r="A39" s="16" t="s">
        <v>20</v>
      </c>
      <c r="B39" s="2"/>
      <c r="C39" s="2"/>
      <c r="D39" s="2"/>
      <c r="E39" s="2"/>
      <c r="F39" s="2"/>
      <c r="G39" s="12">
        <v>1</v>
      </c>
      <c r="H39" s="6">
        <f t="shared" si="1"/>
        <v>1.7079999999999984</v>
      </c>
      <c r="I39" s="6">
        <f t="shared" si="2"/>
        <v>16.207999999999998</v>
      </c>
      <c r="J39" s="7">
        <f t="shared" si="3"/>
        <v>17.915999999999997</v>
      </c>
    </row>
    <row r="40" spans="1:10" ht="18.75" customHeight="1" x14ac:dyDescent="0.25">
      <c r="A40" s="15" t="s">
        <v>21</v>
      </c>
      <c r="B40" s="2">
        <v>1.25</v>
      </c>
      <c r="C40" s="2">
        <v>1.25</v>
      </c>
      <c r="D40" s="2"/>
      <c r="E40" s="2"/>
      <c r="F40" s="2"/>
      <c r="G40" s="2"/>
      <c r="H40" s="6">
        <f t="shared" si="1"/>
        <v>2.9579999999999984</v>
      </c>
      <c r="I40" s="6">
        <f t="shared" si="2"/>
        <v>17.457999999999998</v>
      </c>
      <c r="J40" s="7">
        <f t="shared" si="3"/>
        <v>20.415999999999997</v>
      </c>
    </row>
    <row r="41" spans="1:10" ht="18.75" customHeight="1" x14ac:dyDescent="0.25">
      <c r="A41" s="16" t="s">
        <v>22</v>
      </c>
      <c r="B41" s="2"/>
      <c r="C41" s="2"/>
      <c r="D41" s="2"/>
      <c r="E41" s="2">
        <v>2</v>
      </c>
      <c r="F41" s="2"/>
      <c r="G41" s="2"/>
      <c r="H41" s="6">
        <f t="shared" si="1"/>
        <v>2.9579999999999984</v>
      </c>
      <c r="I41" s="6">
        <f t="shared" si="2"/>
        <v>15.457999999999998</v>
      </c>
      <c r="J41" s="7">
        <f t="shared" si="3"/>
        <v>18.415999999999997</v>
      </c>
    </row>
    <row r="42" spans="1:10" ht="18.75" customHeight="1" x14ac:dyDescent="0.25">
      <c r="A42" s="16" t="s">
        <v>23</v>
      </c>
      <c r="B42" s="2"/>
      <c r="C42" s="2"/>
      <c r="D42" s="2"/>
      <c r="E42" s="2">
        <v>2</v>
      </c>
      <c r="F42" s="2"/>
      <c r="G42" s="2"/>
      <c r="H42" s="6">
        <f t="shared" si="1"/>
        <v>2.9579999999999984</v>
      </c>
      <c r="I42" s="6">
        <f t="shared" si="2"/>
        <v>13.457999999999998</v>
      </c>
      <c r="J42" s="7">
        <f t="shared" si="3"/>
        <v>16.415999999999997</v>
      </c>
    </row>
    <row r="43" spans="1:10" ht="18.75" customHeight="1" x14ac:dyDescent="0.25">
      <c r="A43" s="15" t="s">
        <v>24</v>
      </c>
      <c r="B43" s="2">
        <v>1.25</v>
      </c>
      <c r="C43" s="2">
        <v>1.25</v>
      </c>
      <c r="D43" s="2"/>
      <c r="E43" s="2"/>
      <c r="F43" s="2"/>
      <c r="G43" s="2"/>
      <c r="H43" s="6">
        <f t="shared" si="1"/>
        <v>4.2079999999999984</v>
      </c>
      <c r="I43" s="6">
        <f t="shared" si="2"/>
        <v>14.707999999999998</v>
      </c>
      <c r="J43" s="7">
        <f t="shared" si="3"/>
        <v>18.915999999999997</v>
      </c>
    </row>
    <row r="44" spans="1:10" ht="18.75" customHeight="1" x14ac:dyDescent="0.25">
      <c r="A44" s="16" t="s">
        <v>25</v>
      </c>
      <c r="B44" s="2"/>
      <c r="C44" s="2"/>
      <c r="D44" s="2"/>
      <c r="E44" s="2">
        <v>1</v>
      </c>
      <c r="F44" s="2"/>
      <c r="G44" s="2"/>
      <c r="H44" s="6">
        <f t="shared" si="1"/>
        <v>4.2079999999999984</v>
      </c>
      <c r="I44" s="6">
        <f t="shared" si="2"/>
        <v>13.707999999999998</v>
      </c>
      <c r="J44" s="7">
        <f t="shared" si="3"/>
        <v>17.915999999999997</v>
      </c>
    </row>
    <row r="45" spans="1:10" ht="18.75" customHeight="1" x14ac:dyDescent="0.25">
      <c r="A45" s="16" t="s">
        <v>26</v>
      </c>
      <c r="B45" s="2"/>
      <c r="C45" s="2"/>
      <c r="D45" s="2">
        <v>3</v>
      </c>
      <c r="E45" s="2"/>
      <c r="F45" s="2"/>
      <c r="G45" s="2"/>
      <c r="H45" s="6">
        <f t="shared" si="1"/>
        <v>1.2079999999999984</v>
      </c>
      <c r="I45" s="6">
        <f t="shared" si="2"/>
        <v>13.707999999999998</v>
      </c>
      <c r="J45" s="7">
        <f t="shared" si="3"/>
        <v>14.915999999999997</v>
      </c>
    </row>
    <row r="46" spans="1:10" s="9" customFormat="1" ht="18.75" customHeight="1" x14ac:dyDescent="0.25">
      <c r="A46" s="15" t="s">
        <v>27</v>
      </c>
      <c r="B46" s="2">
        <v>2.5</v>
      </c>
      <c r="C46" s="2">
        <v>2.5</v>
      </c>
      <c r="D46" s="2"/>
      <c r="E46" s="2"/>
      <c r="F46" s="2"/>
      <c r="G46" s="2"/>
      <c r="H46" s="6">
        <f t="shared" si="1"/>
        <v>3.7079999999999984</v>
      </c>
      <c r="I46" s="6">
        <f t="shared" si="2"/>
        <v>16.207999999999998</v>
      </c>
      <c r="J46" s="7">
        <f t="shared" si="3"/>
        <v>19.915999999999997</v>
      </c>
    </row>
    <row r="47" spans="1:10" s="10" customFormat="1" ht="18.75" customHeight="1" x14ac:dyDescent="0.25">
      <c r="A47" s="16" t="s">
        <v>28</v>
      </c>
      <c r="B47" s="2"/>
      <c r="C47" s="2"/>
      <c r="D47" s="2"/>
      <c r="E47" s="2">
        <v>1</v>
      </c>
      <c r="F47" s="2"/>
      <c r="G47" s="2"/>
      <c r="H47" s="6">
        <f t="shared" si="1"/>
        <v>3.7079999999999984</v>
      </c>
      <c r="I47" s="6">
        <f t="shared" si="2"/>
        <v>15.207999999999998</v>
      </c>
      <c r="J47" s="7">
        <f t="shared" si="3"/>
        <v>18.915999999999997</v>
      </c>
    </row>
    <row r="48" spans="1:10" s="10" customFormat="1" ht="18.75" customHeight="1" x14ac:dyDescent="0.25">
      <c r="A48" s="16" t="s">
        <v>29</v>
      </c>
      <c r="B48" s="2"/>
      <c r="C48" s="2"/>
      <c r="D48" s="2"/>
      <c r="E48" s="2">
        <v>0.5</v>
      </c>
      <c r="F48" s="2"/>
      <c r="G48" s="2"/>
      <c r="H48" s="6">
        <f t="shared" si="1"/>
        <v>3.7079999999999984</v>
      </c>
      <c r="I48" s="6">
        <f t="shared" si="2"/>
        <v>14.707999999999998</v>
      </c>
      <c r="J48" s="7">
        <f t="shared" si="3"/>
        <v>18.415999999999997</v>
      </c>
    </row>
    <row r="49" spans="1:12" ht="18.75" customHeight="1" x14ac:dyDescent="0.25">
      <c r="A49" s="17" t="s">
        <v>30</v>
      </c>
      <c r="B49" s="18">
        <v>1.25</v>
      </c>
      <c r="C49" s="18">
        <v>1.25</v>
      </c>
      <c r="D49" s="19"/>
      <c r="E49" s="19"/>
      <c r="F49" s="19"/>
      <c r="G49" s="19"/>
      <c r="H49" s="6">
        <f t="shared" si="1"/>
        <v>4.9579999999999984</v>
      </c>
      <c r="I49" s="6">
        <f t="shared" si="2"/>
        <v>15.957999999999998</v>
      </c>
      <c r="J49" s="7">
        <f t="shared" si="3"/>
        <v>20.915999999999997</v>
      </c>
    </row>
    <row r="50" spans="1:12" ht="15.75" x14ac:dyDescent="0.25">
      <c r="A50" s="20" t="s">
        <v>31</v>
      </c>
      <c r="B50" s="21"/>
      <c r="C50" s="21"/>
      <c r="D50" s="21">
        <v>3</v>
      </c>
      <c r="E50" s="21">
        <v>12</v>
      </c>
      <c r="F50" s="21"/>
      <c r="G50" s="21"/>
      <c r="H50" s="6">
        <f t="shared" si="1"/>
        <v>1.9579999999999984</v>
      </c>
      <c r="I50" s="6">
        <f t="shared" si="2"/>
        <v>3.9579999999999984</v>
      </c>
      <c r="J50" s="7">
        <f t="shared" si="3"/>
        <v>5.9159999999999968</v>
      </c>
    </row>
    <row r="51" spans="1:12" ht="15.75" x14ac:dyDescent="0.25">
      <c r="A51" s="17" t="s">
        <v>32</v>
      </c>
      <c r="B51" s="21">
        <v>5</v>
      </c>
      <c r="C51" s="21">
        <v>5</v>
      </c>
      <c r="D51" s="21"/>
      <c r="E51" s="21"/>
      <c r="F51" s="21"/>
      <c r="G51" s="21"/>
      <c r="H51" s="6">
        <f t="shared" si="1"/>
        <v>6.9579999999999984</v>
      </c>
      <c r="I51" s="6">
        <f t="shared" si="2"/>
        <v>8.9579999999999984</v>
      </c>
      <c r="J51" s="7">
        <f t="shared" si="3"/>
        <v>15.915999999999997</v>
      </c>
    </row>
    <row r="52" spans="1:12" ht="15.75" x14ac:dyDescent="0.25">
      <c r="A52" s="20" t="s">
        <v>96</v>
      </c>
      <c r="B52" s="21">
        <f>1.25*3</f>
        <v>3.75</v>
      </c>
      <c r="C52" s="21">
        <v>3.75</v>
      </c>
      <c r="D52" s="22"/>
      <c r="E52" s="22"/>
      <c r="F52" s="22"/>
      <c r="G52" s="22"/>
      <c r="H52" s="6">
        <f t="shared" si="1"/>
        <v>10.707999999999998</v>
      </c>
      <c r="I52" s="6">
        <f t="shared" si="2"/>
        <v>12.707999999999998</v>
      </c>
      <c r="J52" s="7">
        <f t="shared" si="3"/>
        <v>23.415999999999997</v>
      </c>
    </row>
    <row r="53" spans="1:12" ht="15.75" x14ac:dyDescent="0.25">
      <c r="A53" s="20" t="s">
        <v>97</v>
      </c>
      <c r="B53" s="21">
        <v>0.58299999999999996</v>
      </c>
      <c r="C53" s="21">
        <v>0.58299999999999996</v>
      </c>
      <c r="D53" s="22"/>
      <c r="E53" s="22"/>
      <c r="F53" s="22"/>
      <c r="G53" s="22"/>
      <c r="H53" s="6">
        <f t="shared" ref="H53" si="4">H52-F53-D53+B53</f>
        <v>11.290999999999999</v>
      </c>
      <c r="I53" s="6">
        <f t="shared" ref="I53" si="5">I52-E53+C53</f>
        <v>13.290999999999999</v>
      </c>
      <c r="J53" s="7">
        <f t="shared" ref="J53" si="6">SUM(H53:I53)</f>
        <v>24.581999999999997</v>
      </c>
    </row>
    <row r="54" spans="1:12" ht="15.75" x14ac:dyDescent="0.25">
      <c r="A54" s="20" t="s">
        <v>59</v>
      </c>
      <c r="B54" s="22"/>
      <c r="C54" s="22"/>
      <c r="D54" s="22"/>
      <c r="E54" s="22"/>
      <c r="F54" s="21"/>
      <c r="G54" s="21">
        <v>2</v>
      </c>
      <c r="H54" s="6">
        <f>H52-F54-D54+B54</f>
        <v>10.707999999999998</v>
      </c>
      <c r="I54" s="6">
        <f>I52-E54+C54</f>
        <v>12.707999999999998</v>
      </c>
      <c r="J54" s="7">
        <f t="shared" si="3"/>
        <v>23.415999999999997</v>
      </c>
    </row>
    <row r="55" spans="1:12" ht="15.75" x14ac:dyDescent="0.25">
      <c r="A55" s="20" t="s">
        <v>60</v>
      </c>
      <c r="B55" s="22"/>
      <c r="C55" s="22"/>
      <c r="D55" s="22"/>
      <c r="E55" s="22"/>
      <c r="F55" s="21">
        <v>1</v>
      </c>
      <c r="G55" s="21"/>
      <c r="H55" s="6">
        <f t="shared" si="1"/>
        <v>9.7079999999999984</v>
      </c>
      <c r="I55" s="6">
        <f t="shared" si="2"/>
        <v>12.707999999999998</v>
      </c>
      <c r="J55" s="7">
        <f t="shared" si="3"/>
        <v>22.415999999999997</v>
      </c>
    </row>
    <row r="56" spans="1:12" ht="15.75" x14ac:dyDescent="0.25">
      <c r="A56" s="20" t="s">
        <v>61</v>
      </c>
      <c r="B56" s="24">
        <v>5</v>
      </c>
      <c r="C56" s="24">
        <v>5</v>
      </c>
      <c r="D56" s="24"/>
      <c r="E56" s="23"/>
      <c r="F56" s="23"/>
      <c r="G56" s="23"/>
      <c r="H56" s="6">
        <f t="shared" si="1"/>
        <v>14.707999999999998</v>
      </c>
      <c r="I56" s="6">
        <f t="shared" si="2"/>
        <v>17.707999999999998</v>
      </c>
      <c r="J56" s="7">
        <f t="shared" si="3"/>
        <v>32.415999999999997</v>
      </c>
    </row>
    <row r="57" spans="1:12" ht="15.75" x14ac:dyDescent="0.25">
      <c r="A57" s="20" t="s">
        <v>62</v>
      </c>
      <c r="B57" s="23"/>
      <c r="C57" s="23"/>
      <c r="D57" s="23"/>
      <c r="E57" s="24">
        <v>5</v>
      </c>
      <c r="F57" s="23"/>
      <c r="G57" s="23"/>
      <c r="H57" s="6">
        <f t="shared" si="1"/>
        <v>14.707999999999998</v>
      </c>
      <c r="I57" s="6">
        <f t="shared" si="2"/>
        <v>12.707999999999998</v>
      </c>
      <c r="J57" s="7">
        <f t="shared" si="3"/>
        <v>27.415999999999997</v>
      </c>
    </row>
    <row r="58" spans="1:12" ht="15.75" x14ac:dyDescent="0.25">
      <c r="A58" s="25" t="s">
        <v>67</v>
      </c>
      <c r="B58" s="25"/>
      <c r="C58" s="25"/>
      <c r="D58" s="24">
        <v>8</v>
      </c>
      <c r="E58" s="24">
        <v>7</v>
      </c>
      <c r="F58" s="25"/>
      <c r="G58" s="25"/>
      <c r="H58" s="6">
        <f t="shared" si="1"/>
        <v>6.7079999999999984</v>
      </c>
      <c r="I58" s="6">
        <f t="shared" si="2"/>
        <v>5.7079999999999984</v>
      </c>
      <c r="J58" s="7">
        <f t="shared" si="3"/>
        <v>12.415999999999997</v>
      </c>
    </row>
    <row r="59" spans="1:12" ht="15.75" x14ac:dyDescent="0.25">
      <c r="A59" s="25" t="s">
        <v>68</v>
      </c>
      <c r="B59" s="25">
        <f>3*1.25</f>
        <v>3.75</v>
      </c>
      <c r="C59" s="25">
        <v>3.75</v>
      </c>
      <c r="D59" s="24"/>
      <c r="E59" s="24"/>
      <c r="F59" s="25"/>
      <c r="G59" s="25"/>
      <c r="H59" s="6">
        <f t="shared" si="1"/>
        <v>10.457999999999998</v>
      </c>
      <c r="I59" s="6">
        <f t="shared" si="2"/>
        <v>9.4579999999999984</v>
      </c>
      <c r="J59" s="7">
        <f t="shared" si="3"/>
        <v>19.915999999999997</v>
      </c>
    </row>
    <row r="60" spans="1:12" ht="15.75" x14ac:dyDescent="0.25">
      <c r="A60" s="25" t="s">
        <v>91</v>
      </c>
      <c r="B60" s="25"/>
      <c r="C60" s="25"/>
      <c r="D60" s="24"/>
      <c r="E60" s="24">
        <v>6</v>
      </c>
      <c r="F60" s="25"/>
      <c r="G60" s="25"/>
      <c r="H60" s="6">
        <f t="shared" si="1"/>
        <v>10.457999999999998</v>
      </c>
      <c r="I60" s="6">
        <f t="shared" si="2"/>
        <v>3.4579999999999984</v>
      </c>
      <c r="J60" s="7">
        <f t="shared" si="3"/>
        <v>13.915999999999997</v>
      </c>
    </row>
    <row r="61" spans="1:12" ht="15.75" x14ac:dyDescent="0.25">
      <c r="A61" s="25" t="s">
        <v>92</v>
      </c>
      <c r="B61" s="25">
        <v>1.25</v>
      </c>
      <c r="C61" s="25">
        <v>1.25</v>
      </c>
      <c r="D61" s="24"/>
      <c r="E61" s="24"/>
      <c r="F61" s="25"/>
      <c r="G61" s="25"/>
      <c r="H61" s="6">
        <f t="shared" si="1"/>
        <v>11.707999999999998</v>
      </c>
      <c r="I61" s="6">
        <f t="shared" si="2"/>
        <v>4.7079999999999984</v>
      </c>
      <c r="J61" s="45">
        <f t="shared" si="3"/>
        <v>16.415999999999997</v>
      </c>
    </row>
    <row r="62" spans="1:12" ht="15.75" x14ac:dyDescent="0.25">
      <c r="A62" s="25" t="s">
        <v>93</v>
      </c>
      <c r="B62" s="25">
        <v>1.25</v>
      </c>
      <c r="C62" s="25">
        <v>1.25</v>
      </c>
      <c r="D62" s="24"/>
      <c r="E62" s="24"/>
      <c r="F62" s="25"/>
      <c r="G62" s="25"/>
      <c r="H62" s="6">
        <f t="shared" si="1"/>
        <v>12.957999999999998</v>
      </c>
      <c r="I62" s="6">
        <f t="shared" si="2"/>
        <v>5.9579999999999984</v>
      </c>
      <c r="J62" s="45">
        <f t="shared" si="3"/>
        <v>18.915999999999997</v>
      </c>
    </row>
    <row r="63" spans="1:12" ht="15.75" x14ac:dyDescent="0.25">
      <c r="A63" s="25" t="s">
        <v>94</v>
      </c>
      <c r="B63" s="25"/>
      <c r="C63" s="25"/>
      <c r="D63" s="24"/>
      <c r="E63" s="24"/>
      <c r="F63" s="25"/>
      <c r="G63" s="24">
        <v>3</v>
      </c>
      <c r="H63" s="6">
        <f t="shared" si="1"/>
        <v>12.957999999999998</v>
      </c>
      <c r="I63" s="6">
        <f t="shared" si="2"/>
        <v>5.9579999999999984</v>
      </c>
      <c r="J63" s="45">
        <f t="shared" si="3"/>
        <v>18.915999999999997</v>
      </c>
      <c r="L63" t="s">
        <v>95</v>
      </c>
    </row>
    <row r="64" spans="1:12" ht="15.75" x14ac:dyDescent="0.25">
      <c r="A64" s="10"/>
      <c r="B64" s="10"/>
      <c r="C64" s="10"/>
      <c r="D64" s="27"/>
      <c r="E64" s="27"/>
      <c r="F64" s="10"/>
      <c r="G64" s="10"/>
      <c r="H64" s="28"/>
      <c r="I64" s="28"/>
      <c r="J64" s="28"/>
    </row>
    <row r="65" spans="1:10" s="1" customFormat="1" ht="15.95" customHeight="1" x14ac:dyDescent="0.25">
      <c r="A65" s="1" t="s">
        <v>63</v>
      </c>
      <c r="B65" s="26"/>
      <c r="C65" s="26"/>
      <c r="D65" s="26"/>
      <c r="E65" s="26"/>
      <c r="F65" s="26"/>
      <c r="G65" s="26"/>
      <c r="H65" s="26"/>
      <c r="I65" s="26"/>
      <c r="J65" s="26"/>
    </row>
    <row r="66" spans="1:10" s="1" customFormat="1" ht="15.95" customHeight="1" x14ac:dyDescent="0.25"/>
    <row r="67" spans="1:10" s="1" customFormat="1" ht="15.95" customHeight="1" x14ac:dyDescent="0.25">
      <c r="A67" s="1" t="s">
        <v>64</v>
      </c>
    </row>
    <row r="68" spans="1:10" s="1" customFormat="1" ht="15.95" customHeight="1" x14ac:dyDescent="0.25">
      <c r="A68" s="1" t="s">
        <v>65</v>
      </c>
    </row>
    <row r="69" spans="1:10" s="1" customFormat="1" ht="15.95" customHeight="1" x14ac:dyDescent="0.25">
      <c r="A69" s="1" t="s">
        <v>66</v>
      </c>
    </row>
  </sheetData>
  <mergeCells count="12">
    <mergeCell ref="H11:I11"/>
    <mergeCell ref="A11:A12"/>
    <mergeCell ref="J11:J12"/>
    <mergeCell ref="B11:C11"/>
    <mergeCell ref="D11:G11"/>
    <mergeCell ref="B9:D9"/>
    <mergeCell ref="A10:J10"/>
    <mergeCell ref="A2:J2"/>
    <mergeCell ref="A3:J3"/>
    <mergeCell ref="A4:J4"/>
    <mergeCell ref="A5:J5"/>
    <mergeCell ref="B7:D7"/>
  </mergeCells>
  <phoneticPr fontId="5" type="noConversion"/>
  <printOptions horizontalCentered="1"/>
  <pageMargins left="0.25" right="0.25" top="0.25" bottom="0.25" header="0.3" footer="0.3"/>
  <pageSetup paperSize="9" scale="95" orientation="landscape" horizontalDpi="360" verticalDpi="360" r:id="rId1"/>
  <rowBreaks count="1" manualBreakCount="1">
    <brk id="32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"/>
  <sheetViews>
    <sheetView topLeftCell="A10" workbookViewId="0">
      <selection activeCell="A10" sqref="A1:O1048576"/>
    </sheetView>
  </sheetViews>
  <sheetFormatPr defaultRowHeight="15" x14ac:dyDescent="0.25"/>
  <cols>
    <col min="1" max="1" width="22.5703125" customWidth="1"/>
    <col min="2" max="2" width="25.140625" customWidth="1"/>
    <col min="4" max="4" width="15.42578125" customWidth="1"/>
    <col min="6" max="6" width="7.42578125" customWidth="1"/>
    <col min="8" max="8" width="6.140625" customWidth="1"/>
    <col min="10" max="10" width="6.5703125" customWidth="1"/>
    <col min="12" max="12" width="7.140625" customWidth="1"/>
  </cols>
  <sheetData>
    <row r="1" spans="1:16" x14ac:dyDescent="0.25">
      <c r="A1" s="1"/>
      <c r="B1" s="1"/>
      <c r="C1" s="1"/>
      <c r="D1" s="29"/>
      <c r="E1" s="30"/>
      <c r="F1" s="1"/>
      <c r="G1" s="1"/>
      <c r="H1" s="1"/>
      <c r="I1" s="3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29"/>
      <c r="E2" s="30"/>
      <c r="F2" s="1"/>
      <c r="G2" s="1"/>
      <c r="H2" s="1"/>
      <c r="I2" s="3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29"/>
      <c r="E3" s="30"/>
      <c r="F3" s="1"/>
      <c r="G3" s="1"/>
      <c r="H3" s="1"/>
      <c r="I3" s="3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29"/>
      <c r="E4" s="30"/>
      <c r="F4" s="1"/>
      <c r="G4" s="1"/>
      <c r="H4" s="1"/>
      <c r="I4" s="31"/>
      <c r="J4" s="1"/>
      <c r="K4" s="1"/>
      <c r="L4" s="1"/>
      <c r="M4" s="1"/>
      <c r="N4" s="1"/>
      <c r="O4" s="1"/>
      <c r="P4" s="1"/>
    </row>
    <row r="5" spans="1:16" ht="12.75" customHeight="1" x14ac:dyDescent="0.25">
      <c r="A5" s="75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1"/>
      <c r="N5" s="1"/>
      <c r="O5" s="1"/>
      <c r="P5" s="1"/>
    </row>
    <row r="6" spans="1:16" ht="12.75" customHeight="1" x14ac:dyDescent="0.25">
      <c r="A6" s="75" t="s">
        <v>35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1"/>
      <c r="N6" s="1"/>
      <c r="O6" s="1"/>
      <c r="P6" s="1"/>
    </row>
    <row r="7" spans="1:16" ht="12.75" customHeight="1" x14ac:dyDescent="0.25">
      <c r="A7" s="75" t="s">
        <v>36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1"/>
      <c r="N7" s="1"/>
      <c r="O7" s="1"/>
      <c r="P7" s="1"/>
    </row>
    <row r="8" spans="1:16" ht="12.75" customHeight="1" x14ac:dyDescent="0.25">
      <c r="A8" s="75" t="s">
        <v>37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1"/>
      <c r="N8" s="1"/>
      <c r="O8" s="1"/>
      <c r="P8" s="1"/>
    </row>
    <row r="9" spans="1:16" x14ac:dyDescent="0.25">
      <c r="A9" s="1"/>
      <c r="B9" s="1"/>
      <c r="C9" s="1"/>
      <c r="D9" s="31"/>
      <c r="E9" s="1"/>
      <c r="F9" s="1"/>
      <c r="G9" s="1"/>
      <c r="H9" s="1"/>
      <c r="I9" s="31"/>
      <c r="J9" s="1"/>
      <c r="K9" s="1"/>
      <c r="L9" s="1"/>
      <c r="M9" s="1"/>
      <c r="N9" s="1"/>
      <c r="O9" s="1"/>
      <c r="P9" s="1"/>
    </row>
    <row r="10" spans="1:16" x14ac:dyDescent="0.25">
      <c r="A10" s="32" t="s">
        <v>80</v>
      </c>
      <c r="B10" s="32"/>
      <c r="C10" s="32"/>
      <c r="D10" s="106" t="s">
        <v>69</v>
      </c>
      <c r="E10" s="106"/>
      <c r="F10" s="106"/>
      <c r="G10" s="106"/>
      <c r="H10" s="106"/>
      <c r="I10" s="1"/>
      <c r="J10" s="106" t="s">
        <v>70</v>
      </c>
      <c r="K10" s="106"/>
      <c r="L10" s="106"/>
      <c r="M10" s="1"/>
      <c r="N10" s="1"/>
      <c r="O10" s="1"/>
      <c r="P10" s="1"/>
    </row>
    <row r="11" spans="1:16" x14ac:dyDescent="0.25">
      <c r="A11" s="1"/>
      <c r="B11" s="1"/>
      <c r="C11" s="33"/>
      <c r="D11" s="106" t="s">
        <v>82</v>
      </c>
      <c r="E11" s="106"/>
      <c r="F11" s="106"/>
      <c r="G11" s="106"/>
      <c r="H11" s="106"/>
      <c r="I11" s="1"/>
      <c r="J11" s="107" t="s">
        <v>71</v>
      </c>
      <c r="K11" s="107"/>
      <c r="L11" s="107"/>
      <c r="M11" s="1"/>
      <c r="N11" s="1"/>
      <c r="O11" s="1"/>
      <c r="P11" s="1"/>
    </row>
    <row r="12" spans="1:16" x14ac:dyDescent="0.25">
      <c r="A12" s="32" t="s">
        <v>81</v>
      </c>
      <c r="B12" s="32"/>
      <c r="C12" s="32"/>
      <c r="D12" s="34"/>
      <c r="E12" s="33"/>
      <c r="F12" s="33"/>
      <c r="G12" s="1"/>
      <c r="H12" s="1"/>
      <c r="I12" s="1"/>
      <c r="J12" s="106" t="s">
        <v>72</v>
      </c>
      <c r="K12" s="106"/>
      <c r="L12" s="106"/>
      <c r="M12" s="1"/>
      <c r="N12" s="1"/>
      <c r="O12" s="1"/>
      <c r="P12" s="1"/>
    </row>
    <row r="13" spans="1:16" ht="15" customHeight="1" thickBot="1" x14ac:dyDescent="0.3">
      <c r="A13" s="108" t="s">
        <v>73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</row>
    <row r="14" spans="1:16" x14ac:dyDescent="0.25">
      <c r="A14" s="109" t="s">
        <v>74</v>
      </c>
      <c r="B14" s="112" t="s">
        <v>4</v>
      </c>
      <c r="C14" s="115" t="s">
        <v>75</v>
      </c>
      <c r="D14" s="116"/>
      <c r="E14" s="115" t="s">
        <v>76</v>
      </c>
      <c r="F14" s="116"/>
      <c r="G14" s="115" t="s">
        <v>77</v>
      </c>
      <c r="H14" s="116"/>
      <c r="I14" s="115" t="s">
        <v>78</v>
      </c>
      <c r="J14" s="116"/>
      <c r="K14" s="115" t="s">
        <v>79</v>
      </c>
      <c r="L14" s="116"/>
      <c r="M14" s="35"/>
      <c r="N14" s="35"/>
      <c r="O14" s="35"/>
      <c r="P14" s="35"/>
    </row>
    <row r="15" spans="1:16" x14ac:dyDescent="0.25">
      <c r="A15" s="110"/>
      <c r="B15" s="113"/>
      <c r="C15" s="117"/>
      <c r="D15" s="118"/>
      <c r="E15" s="117"/>
      <c r="F15" s="118"/>
      <c r="G15" s="117"/>
      <c r="H15" s="118"/>
      <c r="I15" s="117"/>
      <c r="J15" s="118"/>
      <c r="K15" s="117"/>
      <c r="L15" s="118"/>
      <c r="M15" s="35"/>
      <c r="N15" s="35"/>
      <c r="O15" s="35"/>
      <c r="P15" s="35"/>
    </row>
    <row r="16" spans="1:16" x14ac:dyDescent="0.25">
      <c r="A16" s="111"/>
      <c r="B16" s="114"/>
      <c r="C16" s="119"/>
      <c r="D16" s="120"/>
      <c r="E16" s="119"/>
      <c r="F16" s="120"/>
      <c r="G16" s="119"/>
      <c r="H16" s="120"/>
      <c r="I16" s="119"/>
      <c r="J16" s="120"/>
      <c r="K16" s="119"/>
      <c r="L16" s="120"/>
      <c r="M16" s="35"/>
      <c r="N16" s="35"/>
      <c r="O16" s="35"/>
      <c r="P16" s="35"/>
    </row>
    <row r="17" spans="1:16" ht="34.5" customHeight="1" x14ac:dyDescent="0.25">
      <c r="A17" s="36" t="s">
        <v>83</v>
      </c>
      <c r="B17" s="37">
        <v>2007</v>
      </c>
      <c r="C17" s="96" t="s">
        <v>84</v>
      </c>
      <c r="D17" s="121"/>
      <c r="E17" s="96"/>
      <c r="F17" s="121"/>
      <c r="G17" s="96">
        <v>5</v>
      </c>
      <c r="H17" s="97"/>
      <c r="I17" s="96">
        <v>0</v>
      </c>
      <c r="J17" s="97"/>
      <c r="K17" s="96">
        <v>5</v>
      </c>
      <c r="L17" s="97"/>
      <c r="M17" s="35"/>
      <c r="N17" s="35"/>
      <c r="O17" s="35"/>
      <c r="P17" s="35"/>
    </row>
    <row r="18" spans="1:16" ht="34.5" customHeight="1" x14ac:dyDescent="0.25">
      <c r="A18" s="36" t="s">
        <v>83</v>
      </c>
      <c r="B18" s="37">
        <v>2010</v>
      </c>
      <c r="C18" s="96" t="s">
        <v>85</v>
      </c>
      <c r="D18" s="97"/>
      <c r="E18" s="41"/>
      <c r="F18" s="42"/>
      <c r="G18" s="96">
        <v>5</v>
      </c>
      <c r="H18" s="97"/>
      <c r="I18" s="96">
        <v>0</v>
      </c>
      <c r="J18" s="97"/>
      <c r="K18" s="96">
        <v>10</v>
      </c>
      <c r="L18" s="97"/>
      <c r="M18" s="35"/>
      <c r="N18" s="35"/>
      <c r="O18" s="35"/>
      <c r="P18" s="35"/>
    </row>
    <row r="19" spans="1:16" ht="34.5" customHeight="1" x14ac:dyDescent="0.25">
      <c r="A19" s="36" t="s">
        <v>83</v>
      </c>
      <c r="B19" s="37">
        <v>2013</v>
      </c>
      <c r="C19" s="96" t="s">
        <v>85</v>
      </c>
      <c r="D19" s="97"/>
      <c r="E19" s="41"/>
      <c r="F19" s="42"/>
      <c r="G19" s="96">
        <v>5</v>
      </c>
      <c r="H19" s="97"/>
      <c r="I19" s="96">
        <v>0</v>
      </c>
      <c r="J19" s="97"/>
      <c r="K19" s="96">
        <v>15</v>
      </c>
      <c r="L19" s="97"/>
      <c r="M19" s="35"/>
      <c r="N19" s="35"/>
      <c r="O19" s="35"/>
      <c r="P19" s="35"/>
    </row>
    <row r="20" spans="1:16" ht="34.5" customHeight="1" x14ac:dyDescent="0.25">
      <c r="A20" s="36" t="s">
        <v>83</v>
      </c>
      <c r="B20" s="37">
        <v>2016</v>
      </c>
      <c r="C20" s="96" t="s">
        <v>85</v>
      </c>
      <c r="D20" s="97"/>
      <c r="E20" s="41"/>
      <c r="F20" s="42"/>
      <c r="G20" s="96">
        <v>5</v>
      </c>
      <c r="H20" s="97"/>
      <c r="I20" s="96">
        <v>0</v>
      </c>
      <c r="J20" s="97"/>
      <c r="K20" s="96">
        <v>20</v>
      </c>
      <c r="L20" s="97"/>
      <c r="M20" s="35"/>
      <c r="N20" s="35"/>
      <c r="O20" s="35"/>
      <c r="P20" s="35"/>
    </row>
    <row r="21" spans="1:16" ht="34.5" customHeight="1" x14ac:dyDescent="0.25">
      <c r="A21" s="36" t="s">
        <v>83</v>
      </c>
      <c r="B21" s="37">
        <v>2018</v>
      </c>
      <c r="C21" s="96" t="s">
        <v>84</v>
      </c>
      <c r="D21" s="121"/>
      <c r="E21" s="41"/>
      <c r="F21" s="42"/>
      <c r="G21" s="96">
        <v>5</v>
      </c>
      <c r="H21" s="97"/>
      <c r="I21" s="96">
        <v>0</v>
      </c>
      <c r="J21" s="97"/>
      <c r="K21" s="96">
        <v>25</v>
      </c>
      <c r="L21" s="97"/>
      <c r="M21" s="35"/>
      <c r="N21" s="35"/>
      <c r="O21" s="35"/>
      <c r="P21" s="35"/>
    </row>
    <row r="22" spans="1:16" ht="34.5" customHeight="1" x14ac:dyDescent="0.25">
      <c r="A22" s="36" t="s">
        <v>83</v>
      </c>
      <c r="B22" s="38">
        <v>2019</v>
      </c>
      <c r="C22" s="96" t="s">
        <v>85</v>
      </c>
      <c r="D22" s="97"/>
      <c r="E22" s="96"/>
      <c r="F22" s="121"/>
      <c r="G22" s="96">
        <v>5</v>
      </c>
      <c r="H22" s="97"/>
      <c r="I22" s="96">
        <v>0</v>
      </c>
      <c r="J22" s="97"/>
      <c r="K22" s="96">
        <v>30</v>
      </c>
      <c r="L22" s="97"/>
      <c r="M22" s="39"/>
      <c r="N22" s="39"/>
      <c r="O22" s="39"/>
      <c r="P22" s="39"/>
    </row>
    <row r="23" spans="1:16" ht="34.5" customHeight="1" x14ac:dyDescent="0.25">
      <c r="A23" s="36" t="s">
        <v>83</v>
      </c>
      <c r="B23" s="40">
        <v>2004</v>
      </c>
      <c r="C23" s="96" t="s">
        <v>85</v>
      </c>
      <c r="D23" s="97"/>
      <c r="E23" s="96"/>
      <c r="F23" s="121"/>
      <c r="G23" s="96">
        <v>5</v>
      </c>
      <c r="H23" s="97"/>
      <c r="I23" s="96">
        <v>0</v>
      </c>
      <c r="J23" s="97"/>
      <c r="K23" s="96">
        <v>35</v>
      </c>
      <c r="L23" s="97"/>
      <c r="M23" s="39"/>
      <c r="N23" s="39"/>
      <c r="O23" s="39"/>
      <c r="P23" s="39"/>
    </row>
    <row r="24" spans="1:16" ht="22.5" customHeight="1" x14ac:dyDescent="0.25">
      <c r="A24" s="94" t="s">
        <v>89</v>
      </c>
      <c r="B24" s="95"/>
      <c r="C24" s="98" t="s">
        <v>85</v>
      </c>
      <c r="D24" s="98"/>
      <c r="E24" s="41"/>
      <c r="F24" s="42"/>
      <c r="G24" s="96">
        <v>35</v>
      </c>
      <c r="H24" s="97"/>
      <c r="I24" s="96">
        <v>5</v>
      </c>
      <c r="J24" s="97"/>
      <c r="K24" s="96">
        <v>30</v>
      </c>
      <c r="L24" s="97"/>
      <c r="M24" s="39"/>
      <c r="N24" s="39"/>
      <c r="O24" s="39"/>
      <c r="P24" s="39"/>
    </row>
    <row r="25" spans="1:16" ht="22.5" customHeight="1" x14ac:dyDescent="0.25">
      <c r="A25" s="94" t="s">
        <v>88</v>
      </c>
      <c r="B25" s="95"/>
      <c r="C25" s="98" t="s">
        <v>85</v>
      </c>
      <c r="D25" s="98"/>
      <c r="E25" s="41"/>
      <c r="F25" s="42"/>
      <c r="G25" s="96">
        <v>30</v>
      </c>
      <c r="H25" s="97"/>
      <c r="I25" s="96">
        <v>12</v>
      </c>
      <c r="J25" s="97"/>
      <c r="K25" s="96">
        <v>18</v>
      </c>
      <c r="L25" s="97"/>
      <c r="M25" s="39"/>
      <c r="N25" s="39"/>
      <c r="O25" s="39"/>
      <c r="P25" s="39"/>
    </row>
    <row r="26" spans="1:16" ht="22.5" customHeight="1" x14ac:dyDescent="0.25">
      <c r="A26" s="94" t="s">
        <v>90</v>
      </c>
      <c r="B26" s="95"/>
      <c r="C26" s="98" t="s">
        <v>85</v>
      </c>
      <c r="D26" s="98"/>
      <c r="E26" s="41"/>
      <c r="F26" s="42"/>
      <c r="G26" s="99">
        <v>18</v>
      </c>
      <c r="H26" s="100"/>
      <c r="I26" s="99">
        <v>11</v>
      </c>
      <c r="J26" s="100"/>
      <c r="K26" s="99">
        <v>7</v>
      </c>
      <c r="L26" s="100"/>
      <c r="M26" s="39"/>
      <c r="N26" s="39"/>
      <c r="O26" s="39"/>
      <c r="P26" s="39"/>
    </row>
    <row r="27" spans="1:16" ht="24.75" customHeight="1" x14ac:dyDescent="0.25">
      <c r="A27" s="101" t="s">
        <v>87</v>
      </c>
      <c r="B27" s="101"/>
      <c r="C27" s="98" t="s">
        <v>85</v>
      </c>
      <c r="D27" s="98"/>
      <c r="E27" s="102"/>
      <c r="F27" s="103"/>
      <c r="G27" s="104">
        <v>7</v>
      </c>
      <c r="H27" s="105"/>
      <c r="I27" s="122">
        <v>7</v>
      </c>
      <c r="J27" s="123"/>
      <c r="K27" s="122">
        <v>0</v>
      </c>
      <c r="L27" s="123"/>
      <c r="M27" s="1"/>
      <c r="N27" s="1"/>
      <c r="O27" s="1"/>
      <c r="P27" s="1"/>
    </row>
    <row r="28" spans="1:16" ht="24.75" customHeight="1" x14ac:dyDescent="0.25">
      <c r="A28" s="93"/>
      <c r="B28" s="93"/>
      <c r="C28" s="43"/>
      <c r="D28" s="43"/>
      <c r="E28" s="31"/>
      <c r="F28" s="31"/>
      <c r="G28" s="9"/>
      <c r="H28" s="9"/>
      <c r="I28" s="10"/>
      <c r="J28" s="10"/>
      <c r="K28" s="10"/>
      <c r="L28" s="10"/>
      <c r="M28" s="1"/>
      <c r="N28" s="1"/>
      <c r="O28" s="1"/>
      <c r="P28" s="1"/>
    </row>
    <row r="29" spans="1:16" x14ac:dyDescent="0.25">
      <c r="A29" s="1"/>
      <c r="B29" s="1"/>
      <c r="C29" s="1"/>
      <c r="D29" s="3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3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mergeCells count="70">
    <mergeCell ref="K27:L27"/>
    <mergeCell ref="I18:J18"/>
    <mergeCell ref="I19:J19"/>
    <mergeCell ref="I20:J20"/>
    <mergeCell ref="I21:J21"/>
    <mergeCell ref="K18:L18"/>
    <mergeCell ref="K19:L19"/>
    <mergeCell ref="K21:L21"/>
    <mergeCell ref="K20:L20"/>
    <mergeCell ref="I25:J25"/>
    <mergeCell ref="K25:L25"/>
    <mergeCell ref="I24:J24"/>
    <mergeCell ref="K24:L24"/>
    <mergeCell ref="I26:J26"/>
    <mergeCell ref="K26:L26"/>
    <mergeCell ref="I27:J27"/>
    <mergeCell ref="C18:D18"/>
    <mergeCell ref="C19:D19"/>
    <mergeCell ref="C20:D20"/>
    <mergeCell ref="C21:D21"/>
    <mergeCell ref="G18:H18"/>
    <mergeCell ref="G19:H19"/>
    <mergeCell ref="G20:H20"/>
    <mergeCell ref="G21:H21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C17:D17"/>
    <mergeCell ref="E17:F17"/>
    <mergeCell ref="G17:H17"/>
    <mergeCell ref="I17:J17"/>
    <mergeCell ref="K17:L17"/>
    <mergeCell ref="D11:H11"/>
    <mergeCell ref="J11:L11"/>
    <mergeCell ref="J12:L12"/>
    <mergeCell ref="A13:L13"/>
    <mergeCell ref="A14:A16"/>
    <mergeCell ref="B14:B16"/>
    <mergeCell ref="C14:D16"/>
    <mergeCell ref="E14:F16"/>
    <mergeCell ref="G14:H16"/>
    <mergeCell ref="I14:J16"/>
    <mergeCell ref="K14:L16"/>
    <mergeCell ref="A5:L5"/>
    <mergeCell ref="A6:L6"/>
    <mergeCell ref="A7:L7"/>
    <mergeCell ref="A8:L8"/>
    <mergeCell ref="D10:H10"/>
    <mergeCell ref="J10:L10"/>
    <mergeCell ref="A28:B28"/>
    <mergeCell ref="A24:B24"/>
    <mergeCell ref="G24:H24"/>
    <mergeCell ref="A25:B25"/>
    <mergeCell ref="G25:H25"/>
    <mergeCell ref="C24:D24"/>
    <mergeCell ref="C25:D25"/>
    <mergeCell ref="A26:B26"/>
    <mergeCell ref="G26:H26"/>
    <mergeCell ref="C26:D26"/>
    <mergeCell ref="A27:B27"/>
    <mergeCell ref="C27:D27"/>
    <mergeCell ref="E27:F27"/>
    <mergeCell ref="G27:H27"/>
  </mergeCells>
  <pageMargins left="0.7" right="0.7" top="0.75" bottom="0.75" header="0.3" footer="0.3"/>
  <pageSetup paperSize="9" scale="95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topLeftCell="A4" workbookViewId="0">
      <selection activeCell="O18" sqref="O18"/>
    </sheetView>
  </sheetViews>
  <sheetFormatPr defaultRowHeight="15" x14ac:dyDescent="0.25"/>
  <cols>
    <col min="1" max="1" width="22.5703125" customWidth="1"/>
    <col min="2" max="2" width="25.140625" customWidth="1"/>
    <col min="4" max="4" width="15.42578125" customWidth="1"/>
    <col min="6" max="6" width="7.42578125" customWidth="1"/>
    <col min="8" max="8" width="6.140625" customWidth="1"/>
    <col min="10" max="10" width="6.5703125" customWidth="1"/>
    <col min="12" max="12" width="7.140625" customWidth="1"/>
  </cols>
  <sheetData>
    <row r="1" spans="1:15" x14ac:dyDescent="0.25">
      <c r="A1" s="1"/>
      <c r="B1" s="1"/>
      <c r="C1" s="1"/>
      <c r="D1" s="29"/>
      <c r="E1" s="30"/>
      <c r="F1" s="1"/>
      <c r="G1" s="1"/>
      <c r="H1" s="1"/>
      <c r="I1" s="3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29"/>
      <c r="E2" s="30"/>
      <c r="F2" s="1"/>
      <c r="G2" s="1"/>
      <c r="H2" s="1"/>
      <c r="I2" s="3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29"/>
      <c r="E3" s="30"/>
      <c r="F3" s="1"/>
      <c r="G3" s="1"/>
      <c r="H3" s="1"/>
      <c r="I3" s="3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29"/>
      <c r="E4" s="30"/>
      <c r="F4" s="1"/>
      <c r="G4" s="1"/>
      <c r="H4" s="1"/>
      <c r="I4" s="31"/>
      <c r="J4" s="1"/>
      <c r="K4" s="1"/>
      <c r="L4" s="1"/>
      <c r="M4" s="1"/>
      <c r="N4" s="1"/>
      <c r="O4" s="1"/>
    </row>
    <row r="5" spans="1:15" x14ac:dyDescent="0.25">
      <c r="A5" s="75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1"/>
      <c r="N5" s="1"/>
      <c r="O5" s="1"/>
    </row>
    <row r="6" spans="1:15" x14ac:dyDescent="0.25">
      <c r="A6" s="75" t="s">
        <v>35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1"/>
      <c r="N6" s="1"/>
      <c r="O6" s="1"/>
    </row>
    <row r="7" spans="1:15" x14ac:dyDescent="0.25">
      <c r="A7" s="75" t="s">
        <v>36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1"/>
      <c r="N7" s="1"/>
      <c r="O7" s="1"/>
    </row>
    <row r="8" spans="1:15" x14ac:dyDescent="0.25">
      <c r="A8" s="75" t="s">
        <v>37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1"/>
      <c r="N8" s="1"/>
      <c r="O8" s="1"/>
    </row>
    <row r="9" spans="1:15" x14ac:dyDescent="0.25">
      <c r="A9" s="1"/>
      <c r="B9" s="1"/>
      <c r="C9" s="1"/>
      <c r="D9" s="31"/>
      <c r="E9" s="1"/>
      <c r="F9" s="1"/>
      <c r="G9" s="1"/>
      <c r="H9" s="1"/>
      <c r="I9" s="31"/>
      <c r="J9" s="1"/>
      <c r="K9" s="1"/>
      <c r="L9" s="1"/>
      <c r="M9" s="1"/>
      <c r="N9" s="1"/>
      <c r="O9" s="1"/>
    </row>
    <row r="10" spans="1:15" x14ac:dyDescent="0.25">
      <c r="A10" s="32" t="s">
        <v>80</v>
      </c>
      <c r="B10" s="32"/>
      <c r="C10" s="32"/>
      <c r="D10" s="106" t="s">
        <v>69</v>
      </c>
      <c r="E10" s="106"/>
      <c r="F10" s="106"/>
      <c r="G10" s="106"/>
      <c r="H10" s="106"/>
      <c r="I10" s="1"/>
      <c r="J10" s="106" t="s">
        <v>70</v>
      </c>
      <c r="K10" s="106"/>
      <c r="L10" s="106"/>
      <c r="M10" s="1"/>
      <c r="N10" s="1"/>
      <c r="O10" s="1"/>
    </row>
    <row r="11" spans="1:15" x14ac:dyDescent="0.25">
      <c r="A11" s="1"/>
      <c r="B11" s="1"/>
      <c r="C11" s="33"/>
      <c r="D11" s="106" t="s">
        <v>82</v>
      </c>
      <c r="E11" s="106"/>
      <c r="F11" s="106"/>
      <c r="G11" s="106"/>
      <c r="H11" s="106"/>
      <c r="I11" s="1"/>
      <c r="J11" s="107" t="s">
        <v>71</v>
      </c>
      <c r="K11" s="107"/>
      <c r="L11" s="107"/>
      <c r="M11" s="1"/>
      <c r="N11" s="1"/>
      <c r="O11" s="1"/>
    </row>
    <row r="12" spans="1:15" x14ac:dyDescent="0.25">
      <c r="A12" s="32" t="s">
        <v>81</v>
      </c>
      <c r="B12" s="32"/>
      <c r="C12" s="32"/>
      <c r="D12" s="34"/>
      <c r="E12" s="33"/>
      <c r="F12" s="33"/>
      <c r="G12" s="1"/>
      <c r="H12" s="1"/>
      <c r="I12" s="1"/>
      <c r="J12" s="106" t="s">
        <v>72</v>
      </c>
      <c r="K12" s="106"/>
      <c r="L12" s="106"/>
      <c r="M12" s="1"/>
      <c r="N12" s="1"/>
      <c r="O12" s="1"/>
    </row>
    <row r="13" spans="1:15" ht="21.75" thickBot="1" x14ac:dyDescent="0.3">
      <c r="A13" s="108" t="s">
        <v>73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</row>
    <row r="14" spans="1:15" x14ac:dyDescent="0.25">
      <c r="A14" s="109" t="s">
        <v>74</v>
      </c>
      <c r="B14" s="112" t="s">
        <v>4</v>
      </c>
      <c r="C14" s="115" t="s">
        <v>75</v>
      </c>
      <c r="D14" s="116"/>
      <c r="E14" s="115" t="s">
        <v>76</v>
      </c>
      <c r="F14" s="116"/>
      <c r="G14" s="115" t="s">
        <v>77</v>
      </c>
      <c r="H14" s="116"/>
      <c r="I14" s="115" t="s">
        <v>78</v>
      </c>
      <c r="J14" s="116"/>
      <c r="K14" s="115" t="s">
        <v>79</v>
      </c>
      <c r="L14" s="116"/>
      <c r="M14" s="35"/>
      <c r="N14" s="35"/>
      <c r="O14" s="35"/>
    </row>
    <row r="15" spans="1:15" x14ac:dyDescent="0.25">
      <c r="A15" s="110"/>
      <c r="B15" s="113"/>
      <c r="C15" s="117"/>
      <c r="D15" s="118"/>
      <c r="E15" s="117"/>
      <c r="F15" s="118"/>
      <c r="G15" s="117"/>
      <c r="H15" s="118"/>
      <c r="I15" s="117"/>
      <c r="J15" s="118"/>
      <c r="K15" s="117"/>
      <c r="L15" s="118"/>
      <c r="M15" s="35"/>
      <c r="N15" s="35"/>
      <c r="O15" s="35"/>
    </row>
    <row r="16" spans="1:15" x14ac:dyDescent="0.25">
      <c r="A16" s="111"/>
      <c r="B16" s="114"/>
      <c r="C16" s="119"/>
      <c r="D16" s="120"/>
      <c r="E16" s="119"/>
      <c r="F16" s="120"/>
      <c r="G16" s="119"/>
      <c r="H16" s="120"/>
      <c r="I16" s="119"/>
      <c r="J16" s="120"/>
      <c r="K16" s="119"/>
      <c r="L16" s="120"/>
      <c r="M16" s="35"/>
      <c r="N16" s="35"/>
      <c r="O16" s="35"/>
    </row>
    <row r="17" spans="1:15" ht="30" x14ac:dyDescent="0.25">
      <c r="A17" s="36" t="s">
        <v>83</v>
      </c>
      <c r="B17" s="37">
        <v>2007</v>
      </c>
      <c r="C17" s="96" t="s">
        <v>84</v>
      </c>
      <c r="D17" s="121"/>
      <c r="E17" s="96"/>
      <c r="F17" s="121"/>
      <c r="G17" s="96">
        <v>5</v>
      </c>
      <c r="H17" s="97"/>
      <c r="I17" s="96">
        <v>0</v>
      </c>
      <c r="J17" s="97"/>
      <c r="K17" s="96">
        <v>5</v>
      </c>
      <c r="L17" s="97"/>
      <c r="M17" s="35"/>
      <c r="N17" s="35"/>
      <c r="O17" s="35"/>
    </row>
    <row r="18" spans="1:15" ht="30" x14ac:dyDescent="0.25">
      <c r="A18" s="36" t="s">
        <v>83</v>
      </c>
      <c r="B18" s="37">
        <v>2010</v>
      </c>
      <c r="C18" s="96" t="s">
        <v>85</v>
      </c>
      <c r="D18" s="97"/>
      <c r="E18" s="41"/>
      <c r="F18" s="42"/>
      <c r="G18" s="96">
        <v>5</v>
      </c>
      <c r="H18" s="97"/>
      <c r="I18" s="96">
        <v>0</v>
      </c>
      <c r="J18" s="97"/>
      <c r="K18" s="96">
        <v>10</v>
      </c>
      <c r="L18" s="97"/>
      <c r="M18" s="35"/>
      <c r="N18" s="35"/>
      <c r="O18" s="35"/>
    </row>
    <row r="19" spans="1:15" ht="30" x14ac:dyDescent="0.25">
      <c r="A19" s="36" t="s">
        <v>83</v>
      </c>
      <c r="B19" s="37">
        <v>2013</v>
      </c>
      <c r="C19" s="96" t="s">
        <v>85</v>
      </c>
      <c r="D19" s="97"/>
      <c r="E19" s="41"/>
      <c r="F19" s="42"/>
      <c r="G19" s="96">
        <v>5</v>
      </c>
      <c r="H19" s="97"/>
      <c r="I19" s="96">
        <v>0</v>
      </c>
      <c r="J19" s="97"/>
      <c r="K19" s="96">
        <v>15</v>
      </c>
      <c r="L19" s="97"/>
      <c r="M19" s="35"/>
      <c r="N19" s="35"/>
      <c r="O19" s="35"/>
    </row>
    <row r="20" spans="1:15" ht="30" x14ac:dyDescent="0.25">
      <c r="A20" s="36" t="s">
        <v>83</v>
      </c>
      <c r="B20" s="37">
        <v>2016</v>
      </c>
      <c r="C20" s="96" t="s">
        <v>85</v>
      </c>
      <c r="D20" s="97"/>
      <c r="E20" s="41"/>
      <c r="F20" s="42"/>
      <c r="G20" s="96">
        <v>5</v>
      </c>
      <c r="H20" s="97"/>
      <c r="I20" s="96">
        <v>0</v>
      </c>
      <c r="J20" s="97"/>
      <c r="K20" s="96">
        <v>20</v>
      </c>
      <c r="L20" s="97"/>
      <c r="M20" s="35"/>
      <c r="N20" s="35"/>
      <c r="O20" s="35"/>
    </row>
    <row r="21" spans="1:15" ht="30" x14ac:dyDescent="0.25">
      <c r="A21" s="36" t="s">
        <v>83</v>
      </c>
      <c r="B21" s="37">
        <v>2018</v>
      </c>
      <c r="C21" s="96" t="s">
        <v>84</v>
      </c>
      <c r="D21" s="121"/>
      <c r="E21" s="41"/>
      <c r="F21" s="42"/>
      <c r="G21" s="96">
        <v>5</v>
      </c>
      <c r="H21" s="97"/>
      <c r="I21" s="96">
        <v>0</v>
      </c>
      <c r="J21" s="97"/>
      <c r="K21" s="96">
        <v>25</v>
      </c>
      <c r="L21" s="97"/>
      <c r="M21" s="35"/>
      <c r="N21" s="35"/>
      <c r="O21" s="35"/>
    </row>
    <row r="22" spans="1:15" ht="30" x14ac:dyDescent="0.25">
      <c r="A22" s="36" t="s">
        <v>83</v>
      </c>
      <c r="B22" s="38">
        <v>2019</v>
      </c>
      <c r="C22" s="96" t="s">
        <v>85</v>
      </c>
      <c r="D22" s="97"/>
      <c r="E22" s="96"/>
      <c r="F22" s="121"/>
      <c r="G22" s="96">
        <v>5</v>
      </c>
      <c r="H22" s="97"/>
      <c r="I22" s="96">
        <v>0</v>
      </c>
      <c r="J22" s="97"/>
      <c r="K22" s="96">
        <v>30</v>
      </c>
      <c r="L22" s="97"/>
      <c r="M22" s="39"/>
      <c r="N22" s="39"/>
      <c r="O22" s="39"/>
    </row>
    <row r="23" spans="1:15" ht="30" x14ac:dyDescent="0.25">
      <c r="A23" s="36" t="s">
        <v>83</v>
      </c>
      <c r="B23" s="40">
        <v>2004</v>
      </c>
      <c r="C23" s="96" t="s">
        <v>85</v>
      </c>
      <c r="D23" s="97"/>
      <c r="E23" s="96"/>
      <c r="F23" s="121"/>
      <c r="G23" s="96">
        <v>5</v>
      </c>
      <c r="H23" s="97"/>
      <c r="I23" s="96">
        <v>0</v>
      </c>
      <c r="J23" s="97"/>
      <c r="K23" s="96">
        <v>35</v>
      </c>
      <c r="L23" s="97"/>
      <c r="M23" s="39"/>
      <c r="N23" s="39"/>
      <c r="O23" s="39"/>
    </row>
    <row r="24" spans="1:15" x14ac:dyDescent="0.25">
      <c r="A24" s="1"/>
      <c r="B24" s="1"/>
      <c r="C24" s="1"/>
      <c r="D24" s="3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3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mergeCells count="48"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C20:D20"/>
    <mergeCell ref="G20:H20"/>
    <mergeCell ref="I20:J20"/>
    <mergeCell ref="K20:L20"/>
    <mergeCell ref="C21:D21"/>
    <mergeCell ref="G21:H21"/>
    <mergeCell ref="I21:J21"/>
    <mergeCell ref="K21:L21"/>
    <mergeCell ref="C18:D18"/>
    <mergeCell ref="G18:H18"/>
    <mergeCell ref="I18:J18"/>
    <mergeCell ref="K18:L18"/>
    <mergeCell ref="C19:D19"/>
    <mergeCell ref="G19:H19"/>
    <mergeCell ref="I19:J19"/>
    <mergeCell ref="K19:L19"/>
    <mergeCell ref="C17:D17"/>
    <mergeCell ref="E17:F17"/>
    <mergeCell ref="G17:H17"/>
    <mergeCell ref="I17:J17"/>
    <mergeCell ref="K17:L17"/>
    <mergeCell ref="D11:H11"/>
    <mergeCell ref="J11:L11"/>
    <mergeCell ref="J12:L12"/>
    <mergeCell ref="A13:L13"/>
    <mergeCell ref="A14:A16"/>
    <mergeCell ref="B14:B16"/>
    <mergeCell ref="C14:D16"/>
    <mergeCell ref="E14:F16"/>
    <mergeCell ref="G14:H16"/>
    <mergeCell ref="I14:J16"/>
    <mergeCell ref="K14:L16"/>
    <mergeCell ref="A5:L5"/>
    <mergeCell ref="A6:L6"/>
    <mergeCell ref="A7:L7"/>
    <mergeCell ref="A8:L8"/>
    <mergeCell ref="D10:H10"/>
    <mergeCell ref="J10:L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"/>
  <sheetViews>
    <sheetView topLeftCell="A7" workbookViewId="0">
      <selection activeCell="E30" sqref="E30"/>
    </sheetView>
  </sheetViews>
  <sheetFormatPr defaultRowHeight="15" x14ac:dyDescent="0.25"/>
  <cols>
    <col min="1" max="1" width="22.5703125" customWidth="1"/>
    <col min="2" max="2" width="25.140625" customWidth="1"/>
    <col min="4" max="4" width="15.42578125" customWidth="1"/>
    <col min="6" max="6" width="7.42578125" customWidth="1"/>
    <col min="8" max="8" width="6.140625" customWidth="1"/>
    <col min="10" max="10" width="6.5703125" customWidth="1"/>
    <col min="12" max="12" width="7.140625" customWidth="1"/>
  </cols>
  <sheetData>
    <row r="1" spans="1:16" x14ac:dyDescent="0.25">
      <c r="A1" s="1"/>
      <c r="B1" s="1"/>
      <c r="C1" s="1"/>
      <c r="D1" s="29"/>
      <c r="E1" s="30"/>
      <c r="F1" s="1"/>
      <c r="G1" s="1"/>
      <c r="H1" s="1"/>
      <c r="I1" s="3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29"/>
      <c r="E2" s="30"/>
      <c r="F2" s="1"/>
      <c r="G2" s="1"/>
      <c r="H2" s="1"/>
      <c r="I2" s="3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29"/>
      <c r="E3" s="30"/>
      <c r="F3" s="1"/>
      <c r="G3" s="1"/>
      <c r="H3" s="1"/>
      <c r="I3" s="3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29"/>
      <c r="E4" s="30"/>
      <c r="F4" s="1"/>
      <c r="G4" s="1"/>
      <c r="H4" s="1"/>
      <c r="I4" s="31"/>
      <c r="J4" s="1"/>
      <c r="K4" s="1"/>
      <c r="L4" s="1"/>
      <c r="M4" s="1"/>
      <c r="N4" s="1"/>
      <c r="O4" s="1"/>
      <c r="P4" s="1"/>
    </row>
    <row r="5" spans="1:16" ht="12.75" customHeight="1" x14ac:dyDescent="0.25">
      <c r="A5" s="75" t="s">
        <v>34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1"/>
      <c r="N5" s="1"/>
      <c r="O5" s="1"/>
      <c r="P5" s="1"/>
    </row>
    <row r="6" spans="1:16" ht="12.75" customHeight="1" x14ac:dyDescent="0.25">
      <c r="A6" s="75" t="s">
        <v>35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1"/>
      <c r="N6" s="1"/>
      <c r="O6" s="1"/>
      <c r="P6" s="1"/>
    </row>
    <row r="7" spans="1:16" ht="12.75" customHeight="1" x14ac:dyDescent="0.25">
      <c r="A7" s="75" t="s">
        <v>36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1"/>
      <c r="N7" s="1"/>
      <c r="O7" s="1"/>
      <c r="P7" s="1"/>
    </row>
    <row r="8" spans="1:16" ht="12.75" customHeight="1" x14ac:dyDescent="0.25">
      <c r="A8" s="75" t="s">
        <v>37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1"/>
      <c r="N8" s="1"/>
      <c r="O8" s="1"/>
      <c r="P8" s="1"/>
    </row>
    <row r="9" spans="1:16" x14ac:dyDescent="0.25">
      <c r="A9" s="1"/>
      <c r="B9" s="1"/>
      <c r="C9" s="1"/>
      <c r="D9" s="31"/>
      <c r="E9" s="1"/>
      <c r="F9" s="1"/>
      <c r="G9" s="1"/>
      <c r="H9" s="1"/>
      <c r="I9" s="31"/>
      <c r="J9" s="1"/>
      <c r="K9" s="1"/>
      <c r="L9" s="1"/>
      <c r="M9" s="1"/>
      <c r="N9" s="1"/>
      <c r="O9" s="1"/>
      <c r="P9" s="1"/>
    </row>
    <row r="10" spans="1:16" x14ac:dyDescent="0.25">
      <c r="A10" s="32" t="s">
        <v>80</v>
      </c>
      <c r="B10" s="32"/>
      <c r="C10" s="32"/>
      <c r="D10" s="106" t="s">
        <v>69</v>
      </c>
      <c r="E10" s="106"/>
      <c r="F10" s="106"/>
      <c r="G10" s="106"/>
      <c r="H10" s="106"/>
      <c r="I10" s="1"/>
      <c r="J10" s="106" t="s">
        <v>70</v>
      </c>
      <c r="K10" s="106"/>
      <c r="L10" s="106"/>
      <c r="M10" s="1"/>
      <c r="N10" s="1"/>
      <c r="O10" s="1"/>
      <c r="P10" s="1"/>
    </row>
    <row r="11" spans="1:16" x14ac:dyDescent="0.25">
      <c r="A11" s="1"/>
      <c r="B11" s="1"/>
      <c r="C11" s="33"/>
      <c r="D11" s="106" t="s">
        <v>82</v>
      </c>
      <c r="E11" s="106"/>
      <c r="F11" s="106"/>
      <c r="G11" s="106"/>
      <c r="H11" s="106"/>
      <c r="I11" s="1"/>
      <c r="J11" s="107" t="s">
        <v>71</v>
      </c>
      <c r="K11" s="107"/>
      <c r="L11" s="107"/>
      <c r="M11" s="1"/>
      <c r="N11" s="1"/>
      <c r="O11" s="1"/>
      <c r="P11" s="1"/>
    </row>
    <row r="12" spans="1:16" x14ac:dyDescent="0.25">
      <c r="A12" s="32" t="s">
        <v>81</v>
      </c>
      <c r="B12" s="32"/>
      <c r="C12" s="32"/>
      <c r="D12" s="34"/>
      <c r="E12" s="33"/>
      <c r="F12" s="33"/>
      <c r="G12" s="1"/>
      <c r="H12" s="1"/>
      <c r="I12" s="1"/>
      <c r="J12" s="106" t="s">
        <v>72</v>
      </c>
      <c r="K12" s="106"/>
      <c r="L12" s="106"/>
      <c r="M12" s="1"/>
      <c r="N12" s="1"/>
      <c r="O12" s="1"/>
      <c r="P12" s="1"/>
    </row>
    <row r="13" spans="1:16" ht="15" customHeight="1" thickBot="1" x14ac:dyDescent="0.3">
      <c r="A13" s="108" t="s">
        <v>73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</row>
    <row r="14" spans="1:16" x14ac:dyDescent="0.25">
      <c r="A14" s="109" t="s">
        <v>74</v>
      </c>
      <c r="B14" s="112" t="s">
        <v>4</v>
      </c>
      <c r="C14" s="115" t="s">
        <v>75</v>
      </c>
      <c r="D14" s="116"/>
      <c r="E14" s="115" t="s">
        <v>76</v>
      </c>
      <c r="F14" s="116"/>
      <c r="G14" s="115" t="s">
        <v>77</v>
      </c>
      <c r="H14" s="116"/>
      <c r="I14" s="115" t="s">
        <v>78</v>
      </c>
      <c r="J14" s="116"/>
      <c r="K14" s="115" t="s">
        <v>79</v>
      </c>
      <c r="L14" s="116"/>
      <c r="M14" s="35"/>
      <c r="N14" s="35"/>
      <c r="O14" s="35"/>
      <c r="P14" s="35"/>
    </row>
    <row r="15" spans="1:16" x14ac:dyDescent="0.25">
      <c r="A15" s="110"/>
      <c r="B15" s="113"/>
      <c r="C15" s="117"/>
      <c r="D15" s="118"/>
      <c r="E15" s="117"/>
      <c r="F15" s="118"/>
      <c r="G15" s="117"/>
      <c r="H15" s="118"/>
      <c r="I15" s="117"/>
      <c r="J15" s="118"/>
      <c r="K15" s="117"/>
      <c r="L15" s="118"/>
      <c r="M15" s="35"/>
      <c r="N15" s="35"/>
      <c r="O15" s="35"/>
      <c r="P15" s="35"/>
    </row>
    <row r="16" spans="1:16" x14ac:dyDescent="0.25">
      <c r="A16" s="111"/>
      <c r="B16" s="114"/>
      <c r="C16" s="119"/>
      <c r="D16" s="120"/>
      <c r="E16" s="119"/>
      <c r="F16" s="120"/>
      <c r="G16" s="119"/>
      <c r="H16" s="120"/>
      <c r="I16" s="119"/>
      <c r="J16" s="120"/>
      <c r="K16" s="119"/>
      <c r="L16" s="120"/>
      <c r="M16" s="35"/>
      <c r="N16" s="35"/>
      <c r="O16" s="35"/>
      <c r="P16" s="35"/>
    </row>
    <row r="17" spans="1:16" ht="26.25" customHeight="1" x14ac:dyDescent="0.25">
      <c r="A17" s="36" t="s">
        <v>83</v>
      </c>
      <c r="B17" s="37">
        <v>2007</v>
      </c>
      <c r="C17" s="96" t="s">
        <v>84</v>
      </c>
      <c r="D17" s="121"/>
      <c r="E17" s="96"/>
      <c r="F17" s="121"/>
      <c r="G17" s="96">
        <v>5</v>
      </c>
      <c r="H17" s="97"/>
      <c r="I17" s="96">
        <v>0</v>
      </c>
      <c r="J17" s="97"/>
      <c r="K17" s="96">
        <v>5</v>
      </c>
      <c r="L17" s="97"/>
      <c r="M17" s="35"/>
      <c r="N17" s="35"/>
      <c r="O17" s="35"/>
      <c r="P17" s="35"/>
    </row>
    <row r="18" spans="1:16" ht="26.25" customHeight="1" x14ac:dyDescent="0.25">
      <c r="A18" s="36" t="s">
        <v>83</v>
      </c>
      <c r="B18" s="37">
        <v>2010</v>
      </c>
      <c r="C18" s="96" t="s">
        <v>85</v>
      </c>
      <c r="D18" s="97"/>
      <c r="E18" s="41"/>
      <c r="F18" s="42"/>
      <c r="G18" s="96">
        <v>5</v>
      </c>
      <c r="H18" s="97"/>
      <c r="I18" s="96">
        <v>0</v>
      </c>
      <c r="J18" s="97"/>
      <c r="K18" s="96">
        <v>10</v>
      </c>
      <c r="L18" s="97"/>
      <c r="M18" s="35"/>
      <c r="N18" s="35"/>
      <c r="O18" s="35"/>
      <c r="P18" s="35"/>
    </row>
    <row r="19" spans="1:16" ht="26.25" customHeight="1" x14ac:dyDescent="0.25">
      <c r="A19" s="36" t="s">
        <v>83</v>
      </c>
      <c r="B19" s="37">
        <v>2013</v>
      </c>
      <c r="C19" s="96" t="s">
        <v>85</v>
      </c>
      <c r="D19" s="97"/>
      <c r="E19" s="41"/>
      <c r="F19" s="42"/>
      <c r="G19" s="96">
        <v>5</v>
      </c>
      <c r="H19" s="97"/>
      <c r="I19" s="96">
        <v>0</v>
      </c>
      <c r="J19" s="97"/>
      <c r="K19" s="96">
        <v>15</v>
      </c>
      <c r="L19" s="97"/>
      <c r="M19" s="35"/>
      <c r="N19" s="35"/>
      <c r="O19" s="35"/>
      <c r="P19" s="35"/>
    </row>
    <row r="20" spans="1:16" ht="26.25" customHeight="1" x14ac:dyDescent="0.25">
      <c r="A20" s="36" t="s">
        <v>83</v>
      </c>
      <c r="B20" s="37">
        <v>2016</v>
      </c>
      <c r="C20" s="96" t="s">
        <v>85</v>
      </c>
      <c r="D20" s="97"/>
      <c r="E20" s="41"/>
      <c r="F20" s="42"/>
      <c r="G20" s="96">
        <v>5</v>
      </c>
      <c r="H20" s="97"/>
      <c r="I20" s="96">
        <v>0</v>
      </c>
      <c r="J20" s="97"/>
      <c r="K20" s="96">
        <v>20</v>
      </c>
      <c r="L20" s="97"/>
      <c r="M20" s="35"/>
      <c r="N20" s="35"/>
      <c r="O20" s="35"/>
      <c r="P20" s="35"/>
    </row>
    <row r="21" spans="1:16" ht="26.25" customHeight="1" x14ac:dyDescent="0.25">
      <c r="A21" s="36" t="s">
        <v>83</v>
      </c>
      <c r="B21" s="37">
        <v>2018</v>
      </c>
      <c r="C21" s="96" t="s">
        <v>84</v>
      </c>
      <c r="D21" s="121"/>
      <c r="E21" s="41"/>
      <c r="F21" s="42"/>
      <c r="G21" s="96">
        <v>5</v>
      </c>
      <c r="H21" s="97"/>
      <c r="I21" s="96">
        <v>0</v>
      </c>
      <c r="J21" s="97"/>
      <c r="K21" s="96">
        <v>25</v>
      </c>
      <c r="L21" s="97"/>
      <c r="M21" s="35"/>
      <c r="N21" s="35"/>
      <c r="O21" s="35"/>
      <c r="P21" s="35"/>
    </row>
    <row r="22" spans="1:16" ht="26.25" customHeight="1" x14ac:dyDescent="0.25">
      <c r="A22" s="36" t="s">
        <v>83</v>
      </c>
      <c r="B22" s="38">
        <v>2019</v>
      </c>
      <c r="C22" s="96" t="s">
        <v>85</v>
      </c>
      <c r="D22" s="97"/>
      <c r="E22" s="96"/>
      <c r="F22" s="121"/>
      <c r="G22" s="96">
        <v>5</v>
      </c>
      <c r="H22" s="97"/>
      <c r="I22" s="96">
        <v>0</v>
      </c>
      <c r="J22" s="97"/>
      <c r="K22" s="96">
        <v>30</v>
      </c>
      <c r="L22" s="97"/>
      <c r="M22" s="39"/>
      <c r="N22" s="39"/>
      <c r="O22" s="39"/>
      <c r="P22" s="39"/>
    </row>
    <row r="23" spans="1:16" ht="22.5" customHeight="1" x14ac:dyDescent="0.25">
      <c r="A23" s="36" t="s">
        <v>83</v>
      </c>
      <c r="B23" s="40">
        <v>2004</v>
      </c>
      <c r="C23" s="96" t="s">
        <v>85</v>
      </c>
      <c r="D23" s="97"/>
      <c r="E23" s="96"/>
      <c r="F23" s="121"/>
      <c r="G23" s="96">
        <v>5</v>
      </c>
      <c r="H23" s="97"/>
      <c r="I23" s="96">
        <v>0</v>
      </c>
      <c r="J23" s="97"/>
      <c r="K23" s="96">
        <v>35</v>
      </c>
      <c r="L23" s="97"/>
      <c r="M23" s="39"/>
      <c r="N23" s="39"/>
      <c r="O23" s="39"/>
      <c r="P23" s="39"/>
    </row>
    <row r="24" spans="1:16" ht="24.75" customHeight="1" x14ac:dyDescent="0.25">
      <c r="A24" s="101" t="s">
        <v>86</v>
      </c>
      <c r="B24" s="101"/>
      <c r="C24" s="98" t="s">
        <v>85</v>
      </c>
      <c r="D24" s="98"/>
      <c r="E24" s="102"/>
      <c r="F24" s="103"/>
      <c r="G24" s="102"/>
      <c r="H24" s="103"/>
      <c r="I24" s="124">
        <v>7</v>
      </c>
      <c r="J24" s="125"/>
      <c r="K24" s="126">
        <v>28</v>
      </c>
      <c r="L24" s="127"/>
      <c r="M24" s="1"/>
      <c r="N24" s="1"/>
      <c r="O24" s="1"/>
      <c r="P24" s="1"/>
    </row>
    <row r="25" spans="1:16" ht="24.75" customHeight="1" x14ac:dyDescent="0.25">
      <c r="A25" s="93"/>
      <c r="B25" s="93"/>
      <c r="C25" s="43"/>
      <c r="D25" s="43"/>
      <c r="E25" s="31"/>
      <c r="F25" s="31"/>
      <c r="G25" s="31"/>
      <c r="H25" s="31"/>
      <c r="I25" s="26"/>
      <c r="J25" s="26"/>
      <c r="K25" s="44"/>
      <c r="L25" s="44"/>
      <c r="M25" s="1"/>
      <c r="N25" s="1"/>
      <c r="O25" s="1"/>
      <c r="P25" s="1"/>
    </row>
    <row r="26" spans="1:16" x14ac:dyDescent="0.25">
      <c r="A26" s="1"/>
      <c r="B26" s="1"/>
      <c r="C26" s="1"/>
      <c r="D26" s="3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3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mergeCells count="55">
    <mergeCell ref="A5:L5"/>
    <mergeCell ref="A6:L6"/>
    <mergeCell ref="A7:L7"/>
    <mergeCell ref="A8:L8"/>
    <mergeCell ref="D10:H10"/>
    <mergeCell ref="J10:L10"/>
    <mergeCell ref="D11:H11"/>
    <mergeCell ref="J11:L11"/>
    <mergeCell ref="J12:L12"/>
    <mergeCell ref="A13:L13"/>
    <mergeCell ref="A14:A16"/>
    <mergeCell ref="B14:B16"/>
    <mergeCell ref="C14:D16"/>
    <mergeCell ref="E14:F16"/>
    <mergeCell ref="G14:H16"/>
    <mergeCell ref="I14:J16"/>
    <mergeCell ref="K14:L16"/>
    <mergeCell ref="C17:D17"/>
    <mergeCell ref="E17:F17"/>
    <mergeCell ref="G17:H17"/>
    <mergeCell ref="I17:J17"/>
    <mergeCell ref="K17:L17"/>
    <mergeCell ref="C18:D18"/>
    <mergeCell ref="G18:H18"/>
    <mergeCell ref="I18:J18"/>
    <mergeCell ref="K18:L18"/>
    <mergeCell ref="C19:D19"/>
    <mergeCell ref="G19:H19"/>
    <mergeCell ref="I19:J19"/>
    <mergeCell ref="K19:L19"/>
    <mergeCell ref="C20:D20"/>
    <mergeCell ref="G20:H20"/>
    <mergeCell ref="I20:J20"/>
    <mergeCell ref="K20:L20"/>
    <mergeCell ref="C21:D21"/>
    <mergeCell ref="G21:H21"/>
    <mergeCell ref="I21:J21"/>
    <mergeCell ref="K21:L21"/>
    <mergeCell ref="C23:D23"/>
    <mergeCell ref="E23:F23"/>
    <mergeCell ref="G23:H23"/>
    <mergeCell ref="I23:J23"/>
    <mergeCell ref="K23:L23"/>
    <mergeCell ref="C22:D22"/>
    <mergeCell ref="E22:F22"/>
    <mergeCell ref="G22:H22"/>
    <mergeCell ref="I22:J22"/>
    <mergeCell ref="K22:L22"/>
    <mergeCell ref="I24:J24"/>
    <mergeCell ref="K24:L24"/>
    <mergeCell ref="A25:B25"/>
    <mergeCell ref="A24:B24"/>
    <mergeCell ref="C24:D24"/>
    <mergeCell ref="E24:F24"/>
    <mergeCell ref="G24:H24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Leave Card FINAL</vt:lpstr>
      <vt:lpstr>NEGATIVE</vt:lpstr>
      <vt:lpstr>Leave Card OLD</vt:lpstr>
      <vt:lpstr>Sheet1</vt:lpstr>
      <vt:lpstr>Sheet4</vt:lpstr>
      <vt:lpstr>Sheet1 (2)</vt:lpstr>
      <vt:lpstr>'Leave Card FINAL'!Print_Area</vt:lpstr>
      <vt:lpstr>'Leave Card OLD'!Print_Area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2025-06-16T07:33:05Z</cp:lastPrinted>
  <dcterms:created xsi:type="dcterms:W3CDTF">2021-10-07T06:10:16Z</dcterms:created>
  <dcterms:modified xsi:type="dcterms:W3CDTF">2025-06-16T07:34:09Z</dcterms:modified>
</cp:coreProperties>
</file>