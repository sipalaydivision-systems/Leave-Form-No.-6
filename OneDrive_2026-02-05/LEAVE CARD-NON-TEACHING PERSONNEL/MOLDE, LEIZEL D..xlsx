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D73D132E-25F3-4678-AEA5-82B112039AAA}" xr6:coauthVersionLast="47" xr6:coauthVersionMax="47" xr10:uidLastSave="{00000000-0000-0000-0000-000000000000}"/>
  <bookViews>
    <workbookView xWindow="-120" yWindow="-120" windowWidth="29040" windowHeight="15720" xr2:uid="{C532281A-DA89-4ACA-8363-B39317021647}"/>
  </bookViews>
  <sheets>
    <sheet name="Leave Card (NE) (2)" sheetId="11" r:id="rId1"/>
    <sheet name="VSC" sheetId="13" r:id="rId2"/>
  </sheets>
  <definedNames>
    <definedName name="_xlnm.Print_Area" localSheetId="0">'Leave Card (NE) (2)'!$A$1:$J$30</definedName>
    <definedName name="_xlnm.Print_Area" localSheetId="1">VSC!$A$1:$L$46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11" l="1"/>
  <c r="I19" i="11"/>
  <c r="I20" i="11" s="1"/>
  <c r="I21" i="11" s="1"/>
  <c r="J19" i="11"/>
  <c r="H20" i="11"/>
  <c r="J20" i="11" l="1"/>
  <c r="H21" i="11"/>
  <c r="J21" i="11" s="1"/>
  <c r="J19" i="13"/>
  <c r="I14" i="11" l="1"/>
  <c r="I15" i="11" s="1"/>
  <c r="I16" i="11" s="1"/>
  <c r="I17" i="11" s="1"/>
  <c r="I18" i="11" s="1"/>
  <c r="H14" i="11"/>
  <c r="H15" i="11" s="1"/>
  <c r="J15" i="11" l="1"/>
  <c r="H16" i="11"/>
  <c r="J14" i="11"/>
  <c r="H17" i="11" l="1"/>
  <c r="H18" i="11" s="1"/>
  <c r="J18" i="11" s="1"/>
  <c r="J16" i="11"/>
  <c r="J17" i="11" l="1"/>
</calcChain>
</file>

<file path=xl/sharedStrings.xml><?xml version="1.0" encoding="utf-8"?>
<sst xmlns="http://schemas.openxmlformats.org/spreadsheetml/2006/main" count="98" uniqueCount="76">
  <si>
    <t>SERVICE LEAVE CARD</t>
  </si>
  <si>
    <t>VACATION</t>
  </si>
  <si>
    <t>SICK</t>
  </si>
  <si>
    <t>FORCED</t>
  </si>
  <si>
    <t>PERIOD COVERED</t>
  </si>
  <si>
    <t>LEAVE EARNED</t>
  </si>
  <si>
    <t>LEAVE SPENT</t>
  </si>
  <si>
    <t>BALANCE</t>
  </si>
  <si>
    <t>TOTAL</t>
  </si>
  <si>
    <t>EMP. NO  :</t>
  </si>
  <si>
    <t>STATION   :</t>
  </si>
  <si>
    <t>Republic of the Philippines</t>
  </si>
  <si>
    <t>Department of Education</t>
  </si>
  <si>
    <t>REGION VI-WESTERN VISAYAS</t>
  </si>
  <si>
    <t>SCHOOLS DIVISION OF SIPALAY CITY</t>
  </si>
  <si>
    <t>DISTRICT: ___________________________</t>
  </si>
  <si>
    <t>SCHOOL/OFFICE:_____________________</t>
  </si>
  <si>
    <t>DATE FILED/RECEIVED</t>
  </si>
  <si>
    <t>SPECIAL</t>
  </si>
  <si>
    <t xml:space="preserve">  </t>
  </si>
  <si>
    <t>No. of Days Granted</t>
  </si>
  <si>
    <t>No. of Days Used</t>
  </si>
  <si>
    <t>Balance</t>
  </si>
  <si>
    <t>UNUSED VACATION SERVICE CREDITS (VSC) TO BE CONVERTED</t>
  </si>
  <si>
    <t>NAME         : MOLDE, LEIZEL</t>
  </si>
  <si>
    <t>DISTRICT             : _______________________</t>
  </si>
  <si>
    <t>EMPLOYEE NO   : __________</t>
  </si>
  <si>
    <t>SCHOOL/OFFICE : GPAES</t>
  </si>
  <si>
    <t>STATION CODE   : __________</t>
  </si>
  <si>
    <t>POSITION   : MT II</t>
  </si>
  <si>
    <t>DIVISION CODE   : __________</t>
  </si>
  <si>
    <t>ADD: NOVEMBER 17, 2022</t>
  </si>
  <si>
    <t>S.O. # 108, S. 2022. BRIGADA ESKWELA AND OPLAN BALIK ESKWELA, 2022</t>
  </si>
  <si>
    <t>LESS : MARCH 20, 2023</t>
  </si>
  <si>
    <t>LESS : MAY 18, 2023</t>
  </si>
  <si>
    <t>LESS: 10/20/2023</t>
  </si>
  <si>
    <t>ADD: 10/11/2023</t>
  </si>
  <si>
    <t>S.O # 099, S. 2023, TRAINERS' TRAINING ON TEACHING EARLY LITERACY STRATEGIES FOR EFFECTIVE EARLY GRADE READING</t>
  </si>
  <si>
    <t>LESS: 02/29/2024</t>
  </si>
  <si>
    <t>LESS: 03/06/2024</t>
  </si>
  <si>
    <t>ADD: 10/17/2023</t>
  </si>
  <si>
    <t>S.O # 159, S. 2023, 125TH PHIL. IND. DAY</t>
  </si>
  <si>
    <t>LESS: 10/18/2024</t>
  </si>
  <si>
    <t>LESS: 12/10/2024</t>
  </si>
  <si>
    <t>ACTIVITY</t>
  </si>
  <si>
    <t>SPECIAL ORDER NUMBER</t>
  </si>
  <si>
    <t>MAY 11, 1998 ELECTION</t>
  </si>
  <si>
    <t>JULY 15, 2002 BRGY. &amp; SK ELECTION</t>
  </si>
  <si>
    <t>OCTOBER 30, 2023 BRGY. &amp; SK ELECTION</t>
  </si>
  <si>
    <t>MAY 09, 2022 NATIONAL &amp; LOCAL ELECTION</t>
  </si>
  <si>
    <t>BRIGADA &amp; OPLAN BALIK ESKWELA 2023</t>
  </si>
  <si>
    <t>DEPED ACTIVITIES &amp; TRAININGS FOR SY 2024-2025</t>
  </si>
  <si>
    <t>LESS : FEBRUARY 8-9, 2023</t>
  </si>
  <si>
    <t>LESS : JANUARY 10 &amp; 11 (AM), 2023</t>
  </si>
  <si>
    <t>LESS : 09/6/2022</t>
  </si>
  <si>
    <t>LESS : 09/23/2022</t>
  </si>
  <si>
    <t>LESS : 10/03/2023</t>
  </si>
  <si>
    <t>ADD: SO # 173, S. 2023</t>
  </si>
  <si>
    <t>LESS : 10/28/2022</t>
  </si>
  <si>
    <t>ADD: SO # 703, S. 1998</t>
  </si>
  <si>
    <t>ADD: SO # 1576, S. 2003</t>
  </si>
  <si>
    <t>ADD: SO # 051, S. 2022</t>
  </si>
  <si>
    <t>ADD: SO # 010, S. 2024</t>
  </si>
  <si>
    <t>ADD: SO # 035, S. 2024</t>
  </si>
  <si>
    <t>TOTAL UNUSED VSC</t>
  </si>
  <si>
    <t>ADD: 01/6-31/2025</t>
  </si>
  <si>
    <r>
      <t xml:space="preserve">ADD: UNUSED VSC </t>
    </r>
    <r>
      <rPr>
        <b/>
        <sz val="11"/>
        <color rgb="FF002060"/>
        <rFont val="Calibri"/>
        <family val="2"/>
        <scheme val="minor"/>
      </rPr>
      <t>(49.50 DAYS)</t>
    </r>
    <r>
      <rPr>
        <sz val="11"/>
        <color theme="1"/>
        <rFont val="Calibri"/>
        <family val="2"/>
        <scheme val="minor"/>
      </rPr>
      <t xml:space="preserve"> TEACHING TO NON-TEACHING    </t>
    </r>
    <r>
      <rPr>
        <b/>
        <sz val="11"/>
        <color theme="1"/>
        <rFont val="Calibri"/>
        <family val="2"/>
        <scheme val="minor"/>
      </rPr>
      <t>CONVERT: 30Y/69</t>
    </r>
  </si>
  <si>
    <t>ADD: 02/1/2025-08/31/2025</t>
  </si>
  <si>
    <t>LESS: MONETIZATION 2025</t>
  </si>
  <si>
    <t>NEGROS ISLAND REGION</t>
  </si>
  <si>
    <r>
      <rPr>
        <b/>
        <sz val="11"/>
        <color theme="1"/>
        <rFont val="Calibri"/>
        <family val="2"/>
        <scheme val="minor"/>
      </rPr>
      <t>POSITION</t>
    </r>
    <r>
      <rPr>
        <sz val="11"/>
        <color theme="1"/>
        <rFont val="Calibri"/>
        <family val="2"/>
        <scheme val="minor"/>
      </rPr>
      <t>: __________________________</t>
    </r>
  </si>
  <si>
    <r>
      <rPr>
        <b/>
        <sz val="11"/>
        <color theme="1"/>
        <rFont val="Calibri"/>
        <family val="2"/>
        <scheme val="minor"/>
      </rPr>
      <t>NAME</t>
    </r>
    <r>
      <rPr>
        <sz val="11"/>
        <color theme="1"/>
        <rFont val="Calibri"/>
        <family val="2"/>
        <scheme val="minor"/>
      </rPr>
      <t>: _____________________________</t>
    </r>
  </si>
  <si>
    <t>LESS: 09/11, 12, 15/2025</t>
  </si>
  <si>
    <t>ADD: 09/1/2025-11/30/2025</t>
  </si>
  <si>
    <t>LESS: 12/22-23/2025</t>
  </si>
  <si>
    <t>LESS: 12/26/2025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</si>
</sst>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5" fillId="0" borderId="0"/>
    <xf numFmtId="0" fontId="5" fillId="0" borderId="0"/>
    <xf numFmtId="0" fontId="5" fillId="0" borderId="0"/>
  </cellStyleXfs>
  <cellXfs count="86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5" xfId="0" applyFont="1" applyFill="1" applyBorder="1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164" fontId="0" fillId="0" borderId="16" xfId="0" applyNumberFormat="1" applyBorder="1" applyAlignment="1">
      <alignment horizontal="center" vertical="center"/>
    </xf>
    <xf numFmtId="164" fontId="0" fillId="2" borderId="16" xfId="0" applyNumberFormat="1" applyFill="1" applyBorder="1" applyAlignment="1">
      <alignment horizontal="center" vertical="center"/>
    </xf>
    <xf numFmtId="164" fontId="0" fillId="2" borderId="4" xfId="0" applyNumberFormat="1" applyFill="1" applyBorder="1" applyAlignment="1">
      <alignment horizontal="center" vertical="center"/>
    </xf>
    <xf numFmtId="0" fontId="4" fillId="0" borderId="0" xfId="0" applyFont="1"/>
    <xf numFmtId="0" fontId="0" fillId="0" borderId="8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64" fontId="0" fillId="2" borderId="2" xfId="0" applyNumberForma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9" fillId="0" borderId="0" xfId="0" applyFont="1"/>
    <xf numFmtId="0" fontId="0" fillId="2" borderId="2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11" fillId="0" borderId="0" xfId="0" applyFont="1"/>
    <xf numFmtId="0" fontId="0" fillId="2" borderId="1" xfId="0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/>
    </xf>
    <xf numFmtId="2" fontId="14" fillId="11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12" borderId="1" xfId="0" applyNumberForma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18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1" fillId="6" borderId="19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6" fillId="2" borderId="10" xfId="0" applyFont="1" applyFill="1" applyBorder="1" applyAlignment="1">
      <alignment horizontal="right" vertical="center" wrapText="1"/>
    </xf>
    <xf numFmtId="0" fontId="6" fillId="2" borderId="14" xfId="0" applyFont="1" applyFill="1" applyBorder="1" applyAlignment="1">
      <alignment horizontal="right" vertical="center" wrapText="1"/>
    </xf>
    <xf numFmtId="0" fontId="6" fillId="2" borderId="20" xfId="0" applyFont="1" applyFill="1" applyBorder="1" applyAlignment="1">
      <alignment horizontal="right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8" fillId="2" borderId="20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2" fillId="2" borderId="18" xfId="1" applyFont="1" applyFill="1" applyBorder="1" applyAlignment="1">
      <alignment horizontal="center" vertical="center"/>
    </xf>
    <xf numFmtId="0" fontId="2" fillId="2" borderId="13" xfId="1" applyFont="1" applyFill="1" applyBorder="1" applyAlignment="1">
      <alignment horizontal="center" vertical="center"/>
    </xf>
    <xf numFmtId="0" fontId="7" fillId="7" borderId="6" xfId="0" applyFont="1" applyFill="1" applyBorder="1" applyAlignment="1">
      <alignment horizontal="center" vertical="center"/>
    </xf>
    <xf numFmtId="0" fontId="7" fillId="7" borderId="7" xfId="0" applyFont="1" applyFill="1" applyBorder="1" applyAlignment="1">
      <alignment horizontal="center" vertical="center"/>
    </xf>
    <xf numFmtId="0" fontId="7" fillId="9" borderId="11" xfId="0" applyFont="1" applyFill="1" applyBorder="1" applyAlignment="1">
      <alignment horizontal="center" vertical="center"/>
    </xf>
    <xf numFmtId="0" fontId="7" fillId="9" borderId="12" xfId="0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 vertical="center" wrapText="1"/>
    </xf>
    <xf numFmtId="0" fontId="8" fillId="8" borderId="14" xfId="0" applyFont="1" applyFill="1" applyBorder="1" applyAlignment="1">
      <alignment horizontal="center" vertical="center" wrapText="1"/>
    </xf>
    <xf numFmtId="0" fontId="8" fillId="8" borderId="20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/>
    </xf>
    <xf numFmtId="0" fontId="0" fillId="0" borderId="0" xfId="0" applyFill="1" applyBorder="1" applyAlignment="1">
      <alignment horizontal="center" vertical="center"/>
    </xf>
    <xf numFmtId="164" fontId="0" fillId="0" borderId="0" xfId="0" applyNumberFormat="1" applyFill="1" applyBorder="1" applyAlignment="1">
      <alignment horizontal="center" vertical="center"/>
    </xf>
    <xf numFmtId="0" fontId="4" fillId="0" borderId="0" xfId="0" applyFont="1" applyFill="1"/>
    <xf numFmtId="0" fontId="0" fillId="0" borderId="0" xfId="0" applyFill="1"/>
    <xf numFmtId="0" fontId="0" fillId="0" borderId="1" xfId="0" applyFill="1" applyBorder="1" applyAlignment="1">
      <alignment horizontal="center" vertical="center"/>
    </xf>
    <xf numFmtId="164" fontId="0" fillId="0" borderId="1" xfId="0" applyNumberFormat="1" applyFill="1" applyBorder="1" applyAlignment="1">
      <alignment horizontal="center" vertical="center"/>
    </xf>
    <xf numFmtId="164" fontId="0" fillId="13" borderId="1" xfId="0" applyNumberFormat="1" applyFill="1" applyBorder="1" applyAlignment="1">
      <alignment horizontal="center" vertical="center"/>
    </xf>
  </cellXfs>
  <cellStyles count="4">
    <cellStyle name="Normal" xfId="0" builtinId="0"/>
    <cellStyle name="Normal 2" xfId="1" xr:uid="{0876C34C-0DBB-49E6-9D47-F620C69C1EF8}"/>
    <cellStyle name="Normal 2 2" xfId="3" xr:uid="{0F4175A6-DCA6-47C7-B86B-3864D3A05FBA}"/>
    <cellStyle name="Normal 3" xfId="2" xr:uid="{72332B2E-63A7-4385-A14E-60717F123D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404363</xdr:colOff>
      <xdr:row>0</xdr:row>
      <xdr:rowOff>25040</xdr:rowOff>
    </xdr:from>
    <xdr:to>
      <xdr:col>4</xdr:col>
      <xdr:colOff>269576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4B9864-3EA6-4D04-9A7E-891C19E6D8C8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5094" y="25040"/>
          <a:ext cx="637996" cy="639913"/>
        </a:xfrm>
        <a:prstGeom prst="rect">
          <a:avLst/>
        </a:prstGeom>
        <a:noFill/>
      </xdr:spPr>
    </xdr:pic>
    <xdr:clientData/>
  </xdr:twoCellAnchor>
  <xdr:twoCellAnchor>
    <xdr:from>
      <xdr:col>0</xdr:col>
      <xdr:colOff>555970</xdr:colOff>
      <xdr:row>5</xdr:row>
      <xdr:rowOff>72117</xdr:rowOff>
    </xdr:from>
    <xdr:to>
      <xdr:col>0</xdr:col>
      <xdr:colOff>2421894</xdr:colOff>
      <xdr:row>8</xdr:row>
      <xdr:rowOff>62096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503E328-8D4A-457D-8580-6EB046ECD565}"/>
            </a:ext>
          </a:extLst>
        </xdr:cNvPr>
        <xdr:cNvSpPr txBox="1"/>
      </xdr:nvSpPr>
      <xdr:spPr>
        <a:xfrm>
          <a:off x="555970" y="1464924"/>
          <a:ext cx="1865924" cy="3583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MOLDE, LEIZEL D.</a:t>
          </a:r>
        </a:p>
      </xdr:txBody>
    </xdr:sp>
    <xdr:clientData/>
  </xdr:twoCellAnchor>
  <xdr:twoCellAnchor>
    <xdr:from>
      <xdr:col>0</xdr:col>
      <xdr:colOff>616683</xdr:colOff>
      <xdr:row>8</xdr:row>
      <xdr:rowOff>61057</xdr:rowOff>
    </xdr:from>
    <xdr:to>
      <xdr:col>0</xdr:col>
      <xdr:colOff>2625482</xdr:colOff>
      <xdr:row>10</xdr:row>
      <xdr:rowOff>6105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DDE3570-39CB-4768-BFCE-63DE2C4A7AA3}"/>
            </a:ext>
          </a:extLst>
        </xdr:cNvPr>
        <xdr:cNvSpPr txBox="1"/>
      </xdr:nvSpPr>
      <xdr:spPr>
        <a:xfrm>
          <a:off x="616683" y="1718407"/>
          <a:ext cx="181829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PRINCIPAL I (01/06/2025)</a:t>
          </a:r>
          <a:endParaRPr lang="en-US" sz="1100"/>
        </a:p>
      </xdr:txBody>
    </xdr:sp>
    <xdr:clientData/>
  </xdr:twoCellAnchor>
  <xdr:twoCellAnchor>
    <xdr:from>
      <xdr:col>2</xdr:col>
      <xdr:colOff>415193</xdr:colOff>
      <xdr:row>8</xdr:row>
      <xdr:rowOff>42741</xdr:rowOff>
    </xdr:from>
    <xdr:to>
      <xdr:col>4</xdr:col>
      <xdr:colOff>604471</xdr:colOff>
      <xdr:row>9</xdr:row>
      <xdr:rowOff>140434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50C6E14-4826-4216-BE5C-9DE0A1DE682E}"/>
            </a:ext>
          </a:extLst>
        </xdr:cNvPr>
        <xdr:cNvSpPr txBox="1"/>
      </xdr:nvSpPr>
      <xdr:spPr>
        <a:xfrm>
          <a:off x="3625118" y="1700091"/>
          <a:ext cx="1732328" cy="25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CAMBOGUI-OT</a:t>
          </a:r>
          <a:r>
            <a:rPr lang="en-US" sz="1100" baseline="0"/>
            <a:t> ES</a:t>
          </a:r>
          <a:endParaRPr lang="en-US" sz="1100"/>
        </a:p>
      </xdr:txBody>
    </xdr:sp>
    <xdr:clientData/>
  </xdr:twoCellAnchor>
  <xdr:twoCellAnchor>
    <xdr:from>
      <xdr:col>5</xdr:col>
      <xdr:colOff>347452</xdr:colOff>
      <xdr:row>24</xdr:row>
      <xdr:rowOff>53914</xdr:rowOff>
    </xdr:from>
    <xdr:to>
      <xdr:col>9</xdr:col>
      <xdr:colOff>672043</xdr:colOff>
      <xdr:row>29</xdr:row>
      <xdr:rowOff>170731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4B5DE44-6458-480F-B8D9-F6D914BB058E}"/>
            </a:ext>
          </a:extLst>
        </xdr:cNvPr>
        <xdr:cNvSpPr txBox="1"/>
      </xdr:nvSpPr>
      <xdr:spPr>
        <a:xfrm>
          <a:off x="5871952" y="15532039"/>
          <a:ext cx="3410691" cy="10693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Certified Correct: </a:t>
          </a:r>
          <a:r>
            <a:rPr lang="en-PH"/>
            <a:t> </a:t>
          </a:r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PH"/>
            <a:t>                            </a:t>
          </a:r>
          <a:r>
            <a:rPr lang="en-PH" sz="11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MA. LUISA B. CATIGAN</a:t>
          </a:r>
        </a:p>
        <a:p>
          <a:r>
            <a:rPr lang="en-PH"/>
            <a:t>                           </a:t>
          </a:r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Administrative Officer IV</a:t>
          </a:r>
          <a:r>
            <a:rPr lang="en-PH"/>
            <a:t> </a:t>
          </a:r>
        </a:p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HRMO</a:t>
          </a:r>
          <a:r>
            <a:rPr lang="en-PH"/>
            <a:t> 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548774</xdr:colOff>
      <xdr:row>0</xdr:row>
      <xdr:rowOff>266700</xdr:rowOff>
    </xdr:from>
    <xdr:to>
      <xdr:col>4</xdr:col>
      <xdr:colOff>228599</xdr:colOff>
      <xdr:row>2</xdr:row>
      <xdr:rowOff>22394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3D6C1B-87A6-474D-9BC0-3369C8743215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54049" y="266700"/>
          <a:ext cx="651375" cy="689144"/>
        </a:xfrm>
        <a:prstGeom prst="rect">
          <a:avLst/>
        </a:prstGeom>
        <a:noFill/>
      </xdr:spPr>
    </xdr:pic>
    <xdr:clientData/>
  </xdr:twoCellAnchor>
  <xdr:twoCellAnchor>
    <xdr:from>
      <xdr:col>5</xdr:col>
      <xdr:colOff>238125</xdr:colOff>
      <xdr:row>39</xdr:row>
      <xdr:rowOff>28575</xdr:rowOff>
    </xdr:from>
    <xdr:to>
      <xdr:col>11</xdr:col>
      <xdr:colOff>714375</xdr:colOff>
      <xdr:row>45</xdr:row>
      <xdr:rowOff>38100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AE760F8-E7CA-4255-91E8-A52ED5658814}"/>
            </a:ext>
          </a:extLst>
        </xdr:cNvPr>
        <xdr:cNvSpPr txBox="1"/>
      </xdr:nvSpPr>
      <xdr:spPr>
        <a:xfrm>
          <a:off x="6457950" y="8639175"/>
          <a:ext cx="3590925" cy="11525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10</xdr:row>
      <xdr:rowOff>142875</xdr:rowOff>
    </xdr:from>
    <xdr:to>
      <xdr:col>1</xdr:col>
      <xdr:colOff>28575</xdr:colOff>
      <xdr:row>10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2F08F06A-6C26-4172-B228-9BDEB1D2B52F}"/>
            </a:ext>
          </a:extLst>
        </xdr:cNvPr>
        <xdr:cNvCxnSpPr/>
      </xdr:nvCxnSpPr>
      <xdr:spPr>
        <a:xfrm>
          <a:off x="752475" y="2324100"/>
          <a:ext cx="14382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45CA8-A047-4A7B-B1A1-D694B1DE57DE}">
  <sheetPr>
    <pageSetUpPr fitToPage="1"/>
  </sheetPr>
  <dimension ref="A1:K28"/>
  <sheetViews>
    <sheetView tabSelected="1" view="pageBreakPreview" topLeftCell="A8" zoomScale="106" zoomScaleNormal="100" zoomScaleSheetLayoutView="106" workbookViewId="0">
      <selection activeCell="B19" sqref="A19:XFD19"/>
    </sheetView>
  </sheetViews>
  <sheetFormatPr defaultRowHeight="15" x14ac:dyDescent="0.25"/>
  <cols>
    <col min="1" max="1" width="36.5703125" customWidth="1"/>
    <col min="2" max="5" width="11.5703125" customWidth="1"/>
    <col min="6" max="7" width="11.5703125" style="6" customWidth="1"/>
    <col min="8" max="10" width="11.5703125" customWidth="1"/>
    <col min="11" max="11" width="26.42578125" style="12" customWidth="1"/>
  </cols>
  <sheetData>
    <row r="1" spans="1:11" s="1" customFormat="1" ht="52.5" customHeight="1" x14ac:dyDescent="0.25"/>
    <row r="2" spans="1:11" s="1" customFormat="1" ht="10.5" customHeight="1" x14ac:dyDescent="0.25">
      <c r="A2" s="52" t="s">
        <v>11</v>
      </c>
      <c r="B2" s="52"/>
      <c r="C2" s="52"/>
      <c r="D2" s="52"/>
      <c r="E2" s="52"/>
      <c r="F2" s="52"/>
      <c r="G2" s="52"/>
      <c r="H2" s="52"/>
      <c r="I2" s="52"/>
      <c r="J2" s="52"/>
    </row>
    <row r="3" spans="1:11" s="1" customFormat="1" ht="15.95" customHeight="1" x14ac:dyDescent="0.25">
      <c r="A3" s="52" t="s">
        <v>12</v>
      </c>
      <c r="B3" s="52"/>
      <c r="C3" s="52"/>
      <c r="D3" s="52"/>
      <c r="E3" s="52"/>
      <c r="F3" s="52"/>
      <c r="G3" s="52"/>
      <c r="H3" s="52"/>
      <c r="I3" s="52"/>
      <c r="J3" s="52"/>
    </row>
    <row r="4" spans="1:11" s="1" customFormat="1" ht="15.95" customHeight="1" x14ac:dyDescent="0.25">
      <c r="A4" s="52" t="s">
        <v>69</v>
      </c>
      <c r="B4" s="52"/>
      <c r="C4" s="52"/>
      <c r="D4" s="52"/>
      <c r="E4" s="52"/>
      <c r="F4" s="52"/>
      <c r="G4" s="52"/>
      <c r="H4" s="52"/>
      <c r="I4" s="52"/>
      <c r="J4" s="52"/>
    </row>
    <row r="5" spans="1:11" s="1" customFormat="1" ht="15.95" customHeight="1" x14ac:dyDescent="0.25">
      <c r="A5" s="52" t="s">
        <v>14</v>
      </c>
      <c r="B5" s="52"/>
      <c r="C5" s="52"/>
      <c r="D5" s="52"/>
      <c r="E5" s="52"/>
      <c r="F5" s="52"/>
      <c r="G5" s="52"/>
      <c r="H5" s="52"/>
      <c r="I5" s="52"/>
      <c r="J5" s="52"/>
    </row>
    <row r="6" spans="1:11" s="1" customFormat="1" ht="8.25" customHeight="1" x14ac:dyDescent="0.25"/>
    <row r="7" spans="1:11" s="1" customFormat="1" ht="8.25" customHeight="1" x14ac:dyDescent="0.25"/>
    <row r="8" spans="1:11" s="1" customFormat="1" ht="12" customHeight="1" x14ac:dyDescent="0.25">
      <c r="A8" s="1" t="s">
        <v>71</v>
      </c>
      <c r="B8" s="51" t="s">
        <v>15</v>
      </c>
      <c r="C8" s="51"/>
      <c r="D8" s="51"/>
      <c r="H8" s="2" t="s">
        <v>9</v>
      </c>
      <c r="I8" s="5"/>
      <c r="J8" s="2"/>
    </row>
    <row r="9" spans="1:11" s="1" customFormat="1" ht="12" customHeight="1" x14ac:dyDescent="0.25">
      <c r="B9" s="3"/>
      <c r="C9" s="3"/>
      <c r="H9" s="3"/>
      <c r="I9" s="3"/>
      <c r="J9" s="3"/>
    </row>
    <row r="10" spans="1:11" s="1" customFormat="1" ht="12" customHeight="1" x14ac:dyDescent="0.25">
      <c r="A10" s="1" t="s">
        <v>70</v>
      </c>
      <c r="B10" s="51" t="s">
        <v>16</v>
      </c>
      <c r="C10" s="51"/>
      <c r="D10" s="51"/>
      <c r="H10" s="2" t="s">
        <v>10</v>
      </c>
      <c r="I10" s="4"/>
      <c r="J10" s="2"/>
    </row>
    <row r="11" spans="1:11" ht="23.25" customHeight="1" thickBot="1" x14ac:dyDescent="0.3">
      <c r="A11" s="39" t="s">
        <v>0</v>
      </c>
      <c r="B11" s="39"/>
      <c r="C11" s="39"/>
      <c r="D11" s="39"/>
      <c r="E11" s="39"/>
      <c r="F11" s="39"/>
      <c r="G11" s="39"/>
      <c r="H11" s="39"/>
      <c r="I11" s="39"/>
      <c r="J11" s="39"/>
      <c r="K11"/>
    </row>
    <row r="12" spans="1:11" ht="18.75" customHeight="1" x14ac:dyDescent="0.25">
      <c r="A12" s="40" t="s">
        <v>4</v>
      </c>
      <c r="B12" s="42" t="s">
        <v>5</v>
      </c>
      <c r="C12" s="43"/>
      <c r="D12" s="44" t="s">
        <v>6</v>
      </c>
      <c r="E12" s="45"/>
      <c r="F12" s="45"/>
      <c r="G12" s="46"/>
      <c r="H12" s="47" t="s">
        <v>7</v>
      </c>
      <c r="I12" s="48"/>
      <c r="J12" s="49" t="s">
        <v>8</v>
      </c>
      <c r="K12" s="38" t="s">
        <v>17</v>
      </c>
    </row>
    <row r="13" spans="1:11" ht="18.75" customHeight="1" thickBot="1" x14ac:dyDescent="0.3">
      <c r="A13" s="41"/>
      <c r="B13" s="7" t="s">
        <v>1</v>
      </c>
      <c r="C13" s="7" t="s">
        <v>2</v>
      </c>
      <c r="D13" s="7" t="s">
        <v>1</v>
      </c>
      <c r="E13" s="7" t="s">
        <v>2</v>
      </c>
      <c r="F13" s="7" t="s">
        <v>3</v>
      </c>
      <c r="G13" s="7" t="s">
        <v>18</v>
      </c>
      <c r="H13" s="7" t="s">
        <v>1</v>
      </c>
      <c r="I13" s="7" t="s">
        <v>2</v>
      </c>
      <c r="J13" s="50"/>
      <c r="K13" s="38"/>
    </row>
    <row r="14" spans="1:11" ht="44.25" customHeight="1" x14ac:dyDescent="0.25">
      <c r="A14" s="8" t="s">
        <v>66</v>
      </c>
      <c r="B14" s="9">
        <v>10.760999999999999</v>
      </c>
      <c r="C14" s="9">
        <v>10.760999999999999</v>
      </c>
      <c r="D14" s="9"/>
      <c r="E14" s="9"/>
      <c r="F14" s="9"/>
      <c r="G14" s="9"/>
      <c r="H14" s="10">
        <f>B14</f>
        <v>10.760999999999999</v>
      </c>
      <c r="I14" s="10">
        <f>C14</f>
        <v>10.760999999999999</v>
      </c>
      <c r="J14" s="11">
        <f>SUM(H14:I14)</f>
        <v>21.521999999999998</v>
      </c>
    </row>
    <row r="15" spans="1:11" ht="17.25" customHeight="1" x14ac:dyDescent="0.25">
      <c r="A15" s="13" t="s">
        <v>65</v>
      </c>
      <c r="B15" s="14">
        <v>1.083</v>
      </c>
      <c r="C15" s="14">
        <v>1.083</v>
      </c>
      <c r="D15" s="14"/>
      <c r="E15" s="14"/>
      <c r="F15" s="14"/>
      <c r="G15" s="14"/>
      <c r="H15" s="15">
        <f>H14-F15-D15+B15</f>
        <v>11.843999999999999</v>
      </c>
      <c r="I15" s="15">
        <f>I14-E15+C15</f>
        <v>11.843999999999999</v>
      </c>
      <c r="J15" s="16">
        <f>SUM(H15:I15)</f>
        <v>23.687999999999999</v>
      </c>
    </row>
    <row r="16" spans="1:11" ht="15.75" customHeight="1" x14ac:dyDescent="0.25">
      <c r="A16" s="13" t="s">
        <v>67</v>
      </c>
      <c r="B16" s="14">
        <v>8.75</v>
      </c>
      <c r="C16" s="14">
        <v>8.75</v>
      </c>
      <c r="D16" s="14"/>
      <c r="E16" s="14"/>
      <c r="F16" s="14"/>
      <c r="G16" s="14"/>
      <c r="H16" s="15">
        <f t="shared" ref="H16:H17" si="0">H15-F16-D16+B16</f>
        <v>20.594000000000001</v>
      </c>
      <c r="I16" s="15">
        <f t="shared" ref="I16:I17" si="1">I15-E16+C16</f>
        <v>20.594000000000001</v>
      </c>
      <c r="J16" s="16">
        <f t="shared" ref="J16:J17" si="2">SUM(H16:I16)</f>
        <v>41.188000000000002</v>
      </c>
    </row>
    <row r="17" spans="1:11" ht="14.25" customHeight="1" x14ac:dyDescent="0.25">
      <c r="A17" s="13" t="s">
        <v>68</v>
      </c>
      <c r="B17" s="14"/>
      <c r="C17" s="14"/>
      <c r="D17" s="14">
        <v>10</v>
      </c>
      <c r="E17" s="14"/>
      <c r="F17" s="14"/>
      <c r="G17" s="14"/>
      <c r="H17" s="15">
        <f t="shared" si="0"/>
        <v>10.594000000000001</v>
      </c>
      <c r="I17" s="15">
        <f t="shared" si="1"/>
        <v>20.594000000000001</v>
      </c>
      <c r="J17" s="16">
        <f t="shared" si="2"/>
        <v>31.188000000000002</v>
      </c>
    </row>
    <row r="18" spans="1:11" ht="14.25" customHeight="1" x14ac:dyDescent="0.25">
      <c r="A18" s="36" t="s">
        <v>72</v>
      </c>
      <c r="B18" s="14"/>
      <c r="C18" s="14"/>
      <c r="D18" s="14"/>
      <c r="E18" s="14"/>
      <c r="F18" s="37">
        <v>3</v>
      </c>
      <c r="G18" s="14"/>
      <c r="H18" s="15">
        <f t="shared" ref="H18" si="3">H17-F18-D18+B18</f>
        <v>7.5940000000000012</v>
      </c>
      <c r="I18" s="15">
        <f t="shared" ref="I18" si="4">I17-E18+C18</f>
        <v>20.594000000000001</v>
      </c>
      <c r="J18" s="16">
        <f t="shared" ref="J18" si="5">SUM(H18:I18)</f>
        <v>28.188000000000002</v>
      </c>
    </row>
    <row r="19" spans="1:11" s="82" customFormat="1" ht="14.25" customHeight="1" x14ac:dyDescent="0.25">
      <c r="A19" s="83" t="s">
        <v>73</v>
      </c>
      <c r="B19" s="84">
        <v>3.75</v>
      </c>
      <c r="C19" s="84">
        <v>3.75</v>
      </c>
      <c r="D19" s="84"/>
      <c r="E19" s="84"/>
      <c r="F19" s="84"/>
      <c r="G19" s="84"/>
      <c r="H19" s="15">
        <f t="shared" ref="H19:H21" si="6">H18-F19-D19+B19</f>
        <v>11.344000000000001</v>
      </c>
      <c r="I19" s="15">
        <f t="shared" ref="I19:I21" si="7">I18-E19+C19</f>
        <v>24.344000000000001</v>
      </c>
      <c r="J19" s="16">
        <f t="shared" ref="J19:J21" si="8">SUM(H19:I19)</f>
        <v>35.688000000000002</v>
      </c>
      <c r="K19" s="81"/>
    </row>
    <row r="20" spans="1:11" s="82" customFormat="1" ht="14.25" customHeight="1" x14ac:dyDescent="0.25">
      <c r="A20" s="83" t="s">
        <v>74</v>
      </c>
      <c r="B20" s="84"/>
      <c r="C20" s="84"/>
      <c r="D20" s="84"/>
      <c r="E20" s="84"/>
      <c r="F20" s="37">
        <v>2</v>
      </c>
      <c r="G20" s="84"/>
      <c r="H20" s="15">
        <f t="shared" si="6"/>
        <v>9.3440000000000012</v>
      </c>
      <c r="I20" s="15">
        <f t="shared" si="7"/>
        <v>24.344000000000001</v>
      </c>
      <c r="J20" s="16">
        <f t="shared" si="8"/>
        <v>33.688000000000002</v>
      </c>
      <c r="K20" s="81"/>
    </row>
    <row r="21" spans="1:11" s="82" customFormat="1" ht="14.25" customHeight="1" x14ac:dyDescent="0.25">
      <c r="A21" s="83" t="s">
        <v>75</v>
      </c>
      <c r="B21" s="84"/>
      <c r="C21" s="84"/>
      <c r="D21" s="84"/>
      <c r="E21" s="84"/>
      <c r="F21" s="84"/>
      <c r="G21" s="85">
        <v>1</v>
      </c>
      <c r="H21" s="15">
        <f t="shared" si="6"/>
        <v>9.3440000000000012</v>
      </c>
      <c r="I21" s="15">
        <f t="shared" si="7"/>
        <v>24.344000000000001</v>
      </c>
      <c r="J21" s="16">
        <f t="shared" si="8"/>
        <v>33.688000000000002</v>
      </c>
      <c r="K21" s="81"/>
    </row>
    <row r="22" spans="1:11" s="82" customFormat="1" ht="14.25" customHeight="1" x14ac:dyDescent="0.25">
      <c r="A22" s="79"/>
      <c r="B22" s="80"/>
      <c r="C22" s="80"/>
      <c r="D22" s="80"/>
      <c r="E22" s="80"/>
      <c r="F22" s="80"/>
      <c r="G22" s="80"/>
      <c r="H22" s="80"/>
      <c r="I22" s="80"/>
      <c r="J22" s="80"/>
      <c r="K22" s="81"/>
    </row>
    <row r="23" spans="1:11" ht="14.25" customHeight="1" x14ac:dyDescent="0.25">
      <c r="A23" s="6"/>
      <c r="B23" s="34"/>
      <c r="C23" s="34"/>
      <c r="D23" s="34"/>
      <c r="E23" s="34"/>
      <c r="F23" s="34"/>
      <c r="G23" s="34"/>
      <c r="H23" s="35"/>
      <c r="I23" s="35"/>
      <c r="J23" s="35"/>
    </row>
    <row r="24" spans="1:11" ht="14.25" customHeight="1" x14ac:dyDescent="0.25">
      <c r="A24" s="6"/>
      <c r="B24" s="34"/>
      <c r="C24" s="34"/>
      <c r="D24" s="34"/>
      <c r="E24" s="34"/>
      <c r="F24" s="34"/>
      <c r="G24" s="34"/>
      <c r="H24" s="35"/>
      <c r="I24" s="35"/>
      <c r="J24" s="35"/>
    </row>
    <row r="28" spans="1:11" x14ac:dyDescent="0.25">
      <c r="F28" s="6" t="s">
        <v>19</v>
      </c>
    </row>
  </sheetData>
  <mergeCells count="13">
    <mergeCell ref="B10:D10"/>
    <mergeCell ref="A2:J2"/>
    <mergeCell ref="A3:J3"/>
    <mergeCell ref="A4:J4"/>
    <mergeCell ref="A5:J5"/>
    <mergeCell ref="B8:D8"/>
    <mergeCell ref="K12:K13"/>
    <mergeCell ref="A11:J11"/>
    <mergeCell ref="A12:A13"/>
    <mergeCell ref="B12:C12"/>
    <mergeCell ref="D12:G12"/>
    <mergeCell ref="H12:I12"/>
    <mergeCell ref="J12:J13"/>
  </mergeCells>
  <printOptions horizontalCentered="1"/>
  <pageMargins left="0.23622047244094491" right="0.23622047244094491" top="0.11811023622047245" bottom="0.11811023622047245" header="0.31496062992125984" footer="0.31496062992125984"/>
  <pageSetup paperSize="9" scale="71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3595C-2000-4688-A68F-0A6825AEF9EE}">
  <sheetPr>
    <pageSetUpPr fitToPage="1"/>
  </sheetPr>
  <dimension ref="A1:L41"/>
  <sheetViews>
    <sheetView view="pageBreakPreview" topLeftCell="A13" zoomScaleNormal="100" zoomScaleSheetLayoutView="100" workbookViewId="0">
      <selection activeCell="M38" sqref="M38"/>
    </sheetView>
  </sheetViews>
  <sheetFormatPr defaultRowHeight="15" x14ac:dyDescent="0.25"/>
  <cols>
    <col min="1" max="1" width="32.42578125" customWidth="1"/>
    <col min="2" max="4" width="14.5703125" customWidth="1"/>
    <col min="5" max="5" width="17.140625" customWidth="1"/>
    <col min="7" max="7" width="6.140625" customWidth="1"/>
    <col min="9" max="9" width="6.42578125" customWidth="1"/>
    <col min="11" max="11" width="6.7109375" customWidth="1"/>
    <col min="12" max="12" width="10.85546875" customWidth="1"/>
  </cols>
  <sheetData>
    <row r="1" spans="1:12" s="1" customFormat="1" ht="52.5" customHeight="1" x14ac:dyDescent="0.25">
      <c r="C1" s="18"/>
      <c r="D1" s="19"/>
      <c r="H1" s="20"/>
    </row>
    <row r="2" spans="1:12" s="1" customFormat="1" ht="21" customHeight="1" x14ac:dyDescent="0.25">
      <c r="C2" s="18"/>
      <c r="D2" s="19"/>
      <c r="H2" s="20"/>
    </row>
    <row r="3" spans="1:12" s="1" customFormat="1" ht="10.5" customHeight="1" x14ac:dyDescent="0.25">
      <c r="A3" s="52" t="s">
        <v>11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</row>
    <row r="4" spans="1:12" s="1" customFormat="1" ht="15.95" customHeight="1" x14ac:dyDescent="0.25">
      <c r="A4" s="52" t="s">
        <v>12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</row>
    <row r="5" spans="1:12" s="1" customFormat="1" ht="15.95" customHeight="1" x14ac:dyDescent="0.25">
      <c r="A5" s="52" t="s">
        <v>13</v>
      </c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</row>
    <row r="6" spans="1:12" s="1" customFormat="1" ht="15.95" customHeight="1" x14ac:dyDescent="0.25">
      <c r="A6" s="52" t="s">
        <v>14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</row>
    <row r="7" spans="1:12" s="1" customFormat="1" ht="8.25" customHeight="1" x14ac:dyDescent="0.25">
      <c r="C7" s="20"/>
      <c r="H7" s="20"/>
    </row>
    <row r="8" spans="1:12" s="1" customFormat="1" ht="8.25" customHeight="1" x14ac:dyDescent="0.25">
      <c r="C8" s="20"/>
      <c r="H8" s="20"/>
    </row>
    <row r="9" spans="1:12" s="1" customFormat="1" ht="12" customHeight="1" x14ac:dyDescent="0.25">
      <c r="A9" s="2" t="s">
        <v>24</v>
      </c>
      <c r="B9" s="2"/>
      <c r="C9" s="51" t="s">
        <v>25</v>
      </c>
      <c r="D9" s="51"/>
      <c r="E9" s="51"/>
      <c r="F9" s="51"/>
      <c r="G9" s="51"/>
      <c r="I9" s="51" t="s">
        <v>26</v>
      </c>
      <c r="J9" s="51"/>
      <c r="K9" s="51"/>
      <c r="L9" s="2"/>
    </row>
    <row r="10" spans="1:12" s="1" customFormat="1" ht="12" customHeight="1" x14ac:dyDescent="0.25">
      <c r="B10" s="3"/>
      <c r="C10" s="51" t="s">
        <v>27</v>
      </c>
      <c r="D10" s="51"/>
      <c r="E10" s="51"/>
      <c r="F10" s="51"/>
      <c r="G10" s="51"/>
      <c r="I10" s="78" t="s">
        <v>28</v>
      </c>
      <c r="J10" s="78"/>
      <c r="K10" s="78"/>
      <c r="L10" s="3"/>
    </row>
    <row r="11" spans="1:12" s="1" customFormat="1" ht="12" customHeight="1" x14ac:dyDescent="0.25">
      <c r="A11" s="2" t="s">
        <v>29</v>
      </c>
      <c r="B11" s="2"/>
      <c r="C11" s="21"/>
      <c r="D11" s="3"/>
      <c r="E11" s="3"/>
      <c r="I11" s="51" t="s">
        <v>30</v>
      </c>
      <c r="J11" s="51"/>
      <c r="K11" s="51"/>
      <c r="L11" s="2"/>
    </row>
    <row r="12" spans="1:12" s="1" customFormat="1" ht="12" customHeight="1" x14ac:dyDescent="0.25">
      <c r="A12" s="2"/>
      <c r="B12" s="2"/>
      <c r="C12" s="21"/>
      <c r="D12" s="3"/>
      <c r="E12" s="3"/>
      <c r="I12" s="17"/>
      <c r="J12" s="17"/>
      <c r="K12" s="17"/>
      <c r="L12" s="2"/>
    </row>
    <row r="13" spans="1:12" ht="16.5" customHeight="1" thickBot="1" x14ac:dyDescent="0.3">
      <c r="A13" s="67" t="s">
        <v>23</v>
      </c>
      <c r="B13" s="68"/>
      <c r="C13" s="68"/>
      <c r="D13" s="68"/>
      <c r="E13" s="68"/>
      <c r="F13" s="68"/>
      <c r="G13" s="68"/>
      <c r="H13" s="68"/>
      <c r="I13" s="68"/>
      <c r="J13" s="68"/>
      <c r="K13" s="68"/>
      <c r="L13" s="68"/>
    </row>
    <row r="14" spans="1:12" s="22" customFormat="1" ht="18.75" customHeight="1" x14ac:dyDescent="0.2">
      <c r="A14" s="69" t="s">
        <v>45</v>
      </c>
      <c r="B14" s="71" t="s">
        <v>5</v>
      </c>
      <c r="C14" s="72"/>
      <c r="D14" s="72"/>
      <c r="E14" s="72"/>
      <c r="F14" s="72"/>
      <c r="G14" s="72"/>
      <c r="H14" s="72"/>
      <c r="I14" s="72"/>
      <c r="J14" s="72"/>
      <c r="K14" s="72"/>
      <c r="L14" s="73" t="s">
        <v>8</v>
      </c>
    </row>
    <row r="15" spans="1:12" s="22" customFormat="1" ht="24" customHeight="1" x14ac:dyDescent="0.2">
      <c r="A15" s="70"/>
      <c r="B15" s="75" t="s">
        <v>44</v>
      </c>
      <c r="C15" s="76"/>
      <c r="D15" s="76"/>
      <c r="E15" s="77"/>
      <c r="F15" s="75" t="s">
        <v>20</v>
      </c>
      <c r="G15" s="77"/>
      <c r="H15" s="75" t="s">
        <v>21</v>
      </c>
      <c r="I15" s="77"/>
      <c r="J15" s="75" t="s">
        <v>22</v>
      </c>
      <c r="K15" s="77"/>
      <c r="L15" s="74"/>
    </row>
    <row r="16" spans="1:12" s="25" customFormat="1" ht="20.100000000000001" customHeight="1" x14ac:dyDescent="0.2">
      <c r="A16" s="30" t="s">
        <v>59</v>
      </c>
      <c r="B16" s="65" t="s">
        <v>46</v>
      </c>
      <c r="C16" s="65"/>
      <c r="D16" s="65"/>
      <c r="E16" s="65"/>
      <c r="F16" s="66">
        <v>3</v>
      </c>
      <c r="G16" s="66"/>
      <c r="H16" s="66">
        <v>0</v>
      </c>
      <c r="I16" s="66"/>
      <c r="J16" s="66">
        <v>3</v>
      </c>
      <c r="K16" s="66"/>
      <c r="L16" s="29">
        <v>3</v>
      </c>
    </row>
    <row r="17" spans="1:12" s="25" customFormat="1" ht="15.75" x14ac:dyDescent="0.2">
      <c r="A17" s="31" t="s">
        <v>60</v>
      </c>
      <c r="B17" s="59" t="s">
        <v>47</v>
      </c>
      <c r="C17" s="59"/>
      <c r="D17" s="59"/>
      <c r="E17" s="59"/>
      <c r="F17" s="60">
        <v>5</v>
      </c>
      <c r="G17" s="60"/>
      <c r="H17" s="60">
        <v>0</v>
      </c>
      <c r="I17" s="60"/>
      <c r="J17" s="60">
        <v>5</v>
      </c>
      <c r="K17" s="60"/>
      <c r="L17" s="29">
        <v>5</v>
      </c>
    </row>
    <row r="18" spans="1:12" s="25" customFormat="1" ht="15.75" x14ac:dyDescent="0.2">
      <c r="A18" s="31" t="s">
        <v>61</v>
      </c>
      <c r="B18" s="59" t="s">
        <v>49</v>
      </c>
      <c r="C18" s="59"/>
      <c r="D18" s="59"/>
      <c r="E18" s="59"/>
      <c r="F18" s="60">
        <v>5</v>
      </c>
      <c r="G18" s="60"/>
      <c r="H18" s="60">
        <v>0</v>
      </c>
      <c r="I18" s="60"/>
      <c r="J18" s="60">
        <v>5</v>
      </c>
      <c r="K18" s="60"/>
      <c r="L18" s="29">
        <v>5</v>
      </c>
    </row>
    <row r="19" spans="1:12" s="22" customFormat="1" ht="20.100000000000001" customHeight="1" x14ac:dyDescent="0.2">
      <c r="A19" s="32" t="s">
        <v>31</v>
      </c>
      <c r="B19" s="56" t="s">
        <v>32</v>
      </c>
      <c r="C19" s="58"/>
      <c r="D19" s="58"/>
      <c r="E19" s="57"/>
      <c r="F19" s="56">
        <v>15</v>
      </c>
      <c r="G19" s="57"/>
      <c r="H19" s="56">
        <v>0</v>
      </c>
      <c r="I19" s="57"/>
      <c r="J19" s="56">
        <f>F19-H19</f>
        <v>15</v>
      </c>
      <c r="K19" s="57"/>
      <c r="L19" s="23">
        <v>15</v>
      </c>
    </row>
    <row r="20" spans="1:12" s="25" customFormat="1" ht="20.100000000000001" customHeight="1" x14ac:dyDescent="0.2">
      <c r="A20" s="24" t="s">
        <v>54</v>
      </c>
      <c r="B20" s="56" t="s">
        <v>32</v>
      </c>
      <c r="C20" s="58"/>
      <c r="D20" s="58"/>
      <c r="E20" s="57"/>
      <c r="F20" s="56"/>
      <c r="G20" s="57"/>
      <c r="H20" s="56">
        <v>1</v>
      </c>
      <c r="I20" s="57"/>
      <c r="J20" s="56">
        <v>14</v>
      </c>
      <c r="K20" s="57"/>
      <c r="L20" s="23">
        <v>14</v>
      </c>
    </row>
    <row r="21" spans="1:12" s="25" customFormat="1" ht="20.100000000000001" customHeight="1" x14ac:dyDescent="0.2">
      <c r="A21" s="24" t="s">
        <v>55</v>
      </c>
      <c r="B21" s="56" t="s">
        <v>32</v>
      </c>
      <c r="C21" s="58"/>
      <c r="D21" s="58"/>
      <c r="E21" s="57"/>
      <c r="F21" s="56"/>
      <c r="G21" s="57"/>
      <c r="H21" s="56">
        <v>1</v>
      </c>
      <c r="I21" s="57"/>
      <c r="J21" s="56">
        <v>13</v>
      </c>
      <c r="K21" s="57"/>
      <c r="L21" s="26">
        <v>13</v>
      </c>
    </row>
    <row r="22" spans="1:12" s="25" customFormat="1" ht="20.100000000000001" customHeight="1" x14ac:dyDescent="0.2">
      <c r="A22" s="24" t="s">
        <v>58</v>
      </c>
      <c r="B22" s="56" t="s">
        <v>32</v>
      </c>
      <c r="C22" s="58"/>
      <c r="D22" s="58"/>
      <c r="E22" s="57"/>
      <c r="F22" s="56"/>
      <c r="G22" s="57"/>
      <c r="H22" s="56">
        <v>1</v>
      </c>
      <c r="I22" s="57"/>
      <c r="J22" s="56">
        <v>12</v>
      </c>
      <c r="K22" s="57"/>
      <c r="L22" s="26">
        <v>12</v>
      </c>
    </row>
    <row r="23" spans="1:12" s="25" customFormat="1" ht="20.100000000000001" customHeight="1" x14ac:dyDescent="0.2">
      <c r="A23" s="24" t="s">
        <v>56</v>
      </c>
      <c r="B23" s="56" t="s">
        <v>32</v>
      </c>
      <c r="C23" s="58"/>
      <c r="D23" s="58"/>
      <c r="E23" s="57"/>
      <c r="F23" s="56"/>
      <c r="G23" s="57"/>
      <c r="H23" s="56">
        <v>1</v>
      </c>
      <c r="I23" s="57"/>
      <c r="J23" s="56">
        <v>11</v>
      </c>
      <c r="K23" s="57"/>
      <c r="L23" s="26">
        <v>11</v>
      </c>
    </row>
    <row r="24" spans="1:12" s="25" customFormat="1" ht="20.100000000000001" customHeight="1" x14ac:dyDescent="0.2">
      <c r="A24" s="24" t="s">
        <v>53</v>
      </c>
      <c r="B24" s="56" t="s">
        <v>32</v>
      </c>
      <c r="C24" s="58"/>
      <c r="D24" s="58"/>
      <c r="E24" s="57"/>
      <c r="F24" s="56"/>
      <c r="G24" s="57"/>
      <c r="H24" s="56">
        <v>1.5</v>
      </c>
      <c r="I24" s="57"/>
      <c r="J24" s="56">
        <v>9.5</v>
      </c>
      <c r="K24" s="57"/>
      <c r="L24" s="23">
        <v>9.5</v>
      </c>
    </row>
    <row r="25" spans="1:12" s="25" customFormat="1" ht="20.100000000000001" customHeight="1" x14ac:dyDescent="0.2">
      <c r="A25" s="24" t="s">
        <v>52</v>
      </c>
      <c r="B25" s="56" t="s">
        <v>32</v>
      </c>
      <c r="C25" s="58"/>
      <c r="D25" s="58"/>
      <c r="E25" s="57"/>
      <c r="F25" s="56"/>
      <c r="G25" s="57"/>
      <c r="H25" s="56">
        <v>2</v>
      </c>
      <c r="I25" s="57"/>
      <c r="J25" s="56">
        <v>7.5</v>
      </c>
      <c r="K25" s="57"/>
      <c r="L25" s="26">
        <v>7.5</v>
      </c>
    </row>
    <row r="26" spans="1:12" s="25" customFormat="1" ht="20.100000000000001" customHeight="1" x14ac:dyDescent="0.2">
      <c r="A26" s="24" t="s">
        <v>33</v>
      </c>
      <c r="B26" s="56" t="s">
        <v>32</v>
      </c>
      <c r="C26" s="58"/>
      <c r="D26" s="58"/>
      <c r="E26" s="57"/>
      <c r="F26" s="56"/>
      <c r="G26" s="57"/>
      <c r="H26" s="56">
        <v>1</v>
      </c>
      <c r="I26" s="57"/>
      <c r="J26" s="56">
        <v>6.5</v>
      </c>
      <c r="K26" s="57"/>
      <c r="L26" s="26">
        <v>6.5</v>
      </c>
    </row>
    <row r="27" spans="1:12" s="25" customFormat="1" ht="20.100000000000001" customHeight="1" x14ac:dyDescent="0.2">
      <c r="A27" s="24" t="s">
        <v>34</v>
      </c>
      <c r="B27" s="56" t="s">
        <v>32</v>
      </c>
      <c r="C27" s="58"/>
      <c r="D27" s="58"/>
      <c r="E27" s="57"/>
      <c r="F27" s="56"/>
      <c r="G27" s="57"/>
      <c r="H27" s="56">
        <v>1</v>
      </c>
      <c r="I27" s="57"/>
      <c r="J27" s="56">
        <v>5.5</v>
      </c>
      <c r="K27" s="57"/>
      <c r="L27" s="26">
        <v>5.5</v>
      </c>
    </row>
    <row r="28" spans="1:12" s="25" customFormat="1" ht="20.100000000000001" customHeight="1" x14ac:dyDescent="0.2">
      <c r="A28" s="28" t="s">
        <v>35</v>
      </c>
      <c r="B28" s="61" t="s">
        <v>32</v>
      </c>
      <c r="C28" s="63"/>
      <c r="D28" s="63"/>
      <c r="E28" s="62"/>
      <c r="F28" s="61"/>
      <c r="G28" s="62"/>
      <c r="H28" s="61">
        <v>1</v>
      </c>
      <c r="I28" s="62"/>
      <c r="J28" s="61">
        <v>4.5</v>
      </c>
      <c r="K28" s="62"/>
      <c r="L28" s="29">
        <v>4.5</v>
      </c>
    </row>
    <row r="29" spans="1:12" s="25" customFormat="1" ht="21.75" customHeight="1" x14ac:dyDescent="0.2">
      <c r="A29" s="30" t="s">
        <v>36</v>
      </c>
      <c r="B29" s="61" t="s">
        <v>37</v>
      </c>
      <c r="C29" s="63"/>
      <c r="D29" s="63"/>
      <c r="E29" s="62"/>
      <c r="F29" s="61">
        <v>5</v>
      </c>
      <c r="G29" s="62"/>
      <c r="H29" s="61">
        <v>0</v>
      </c>
      <c r="I29" s="62"/>
      <c r="J29" s="61">
        <v>5</v>
      </c>
      <c r="K29" s="62"/>
      <c r="L29" s="28">
        <v>5</v>
      </c>
    </row>
    <row r="30" spans="1:12" s="25" customFormat="1" ht="22.5" customHeight="1" x14ac:dyDescent="0.2">
      <c r="A30" s="28" t="s">
        <v>38</v>
      </c>
      <c r="B30" s="61" t="s">
        <v>37</v>
      </c>
      <c r="C30" s="63"/>
      <c r="D30" s="63"/>
      <c r="E30" s="62"/>
      <c r="F30" s="61"/>
      <c r="G30" s="62"/>
      <c r="H30" s="61">
        <v>1</v>
      </c>
      <c r="I30" s="62"/>
      <c r="J30" s="61">
        <v>4</v>
      </c>
      <c r="K30" s="62"/>
      <c r="L30" s="28">
        <v>4</v>
      </c>
    </row>
    <row r="31" spans="1:12" s="25" customFormat="1" ht="23.25" customHeight="1" x14ac:dyDescent="0.2">
      <c r="A31" s="28" t="s">
        <v>39</v>
      </c>
      <c r="B31" s="61" t="s">
        <v>37</v>
      </c>
      <c r="C31" s="63"/>
      <c r="D31" s="63"/>
      <c r="E31" s="62"/>
      <c r="F31" s="61"/>
      <c r="G31" s="62"/>
      <c r="H31" s="61">
        <v>1</v>
      </c>
      <c r="I31" s="62"/>
      <c r="J31" s="61">
        <v>3</v>
      </c>
      <c r="K31" s="62"/>
      <c r="L31" s="29">
        <v>3</v>
      </c>
    </row>
    <row r="32" spans="1:12" s="25" customFormat="1" ht="23.25" hidden="1" customHeight="1" x14ac:dyDescent="0.2">
      <c r="A32" s="28" t="s">
        <v>40</v>
      </c>
      <c r="B32" s="61" t="s">
        <v>41</v>
      </c>
      <c r="C32" s="63"/>
      <c r="D32" s="63"/>
      <c r="E32" s="62"/>
      <c r="F32" s="61">
        <v>1</v>
      </c>
      <c r="G32" s="62"/>
      <c r="H32" s="61">
        <v>0</v>
      </c>
      <c r="I32" s="62"/>
      <c r="J32" s="61">
        <v>1</v>
      </c>
      <c r="K32" s="62"/>
      <c r="L32" s="28">
        <v>1</v>
      </c>
    </row>
    <row r="33" spans="1:12" s="25" customFormat="1" ht="23.25" hidden="1" customHeight="1" x14ac:dyDescent="0.2">
      <c r="A33" s="28" t="s">
        <v>42</v>
      </c>
      <c r="B33" s="61" t="s">
        <v>41</v>
      </c>
      <c r="C33" s="63"/>
      <c r="D33" s="63"/>
      <c r="E33" s="62"/>
      <c r="F33" s="61"/>
      <c r="G33" s="62"/>
      <c r="H33" s="61">
        <v>1</v>
      </c>
      <c r="I33" s="62"/>
      <c r="J33" s="61">
        <v>0</v>
      </c>
      <c r="K33" s="62"/>
      <c r="L33" s="28">
        <v>0</v>
      </c>
    </row>
    <row r="34" spans="1:12" s="25" customFormat="1" ht="15.75" customHeight="1" x14ac:dyDescent="0.2">
      <c r="A34" s="31" t="s">
        <v>57</v>
      </c>
      <c r="B34" s="59" t="s">
        <v>50</v>
      </c>
      <c r="C34" s="59"/>
      <c r="D34" s="59"/>
      <c r="E34" s="59"/>
      <c r="F34" s="60">
        <v>10</v>
      </c>
      <c r="G34" s="60"/>
      <c r="H34" s="60">
        <v>0</v>
      </c>
      <c r="I34" s="60"/>
      <c r="J34" s="60">
        <v>10</v>
      </c>
      <c r="K34" s="60"/>
      <c r="L34" s="27">
        <v>10</v>
      </c>
    </row>
    <row r="35" spans="1:12" s="25" customFormat="1" ht="15.75" customHeight="1" x14ac:dyDescent="0.2">
      <c r="A35" s="26" t="s">
        <v>43</v>
      </c>
      <c r="B35" s="59" t="s">
        <v>50</v>
      </c>
      <c r="C35" s="59"/>
      <c r="D35" s="59"/>
      <c r="E35" s="59"/>
      <c r="F35" s="60"/>
      <c r="G35" s="60"/>
      <c r="H35" s="60">
        <v>1</v>
      </c>
      <c r="I35" s="60"/>
      <c r="J35" s="60">
        <v>9</v>
      </c>
      <c r="K35" s="60"/>
      <c r="L35" s="29">
        <v>9</v>
      </c>
    </row>
    <row r="36" spans="1:12" s="25" customFormat="1" ht="15.75" x14ac:dyDescent="0.2">
      <c r="A36" s="31" t="s">
        <v>62</v>
      </c>
      <c r="B36" s="59" t="s">
        <v>48</v>
      </c>
      <c r="C36" s="59"/>
      <c r="D36" s="59"/>
      <c r="E36" s="59"/>
      <c r="F36" s="60">
        <v>5</v>
      </c>
      <c r="G36" s="60"/>
      <c r="H36" s="60">
        <v>0</v>
      </c>
      <c r="I36" s="60"/>
      <c r="J36" s="60">
        <v>5</v>
      </c>
      <c r="K36" s="60"/>
      <c r="L36" s="29">
        <v>5</v>
      </c>
    </row>
    <row r="37" spans="1:12" s="25" customFormat="1" ht="15.75" x14ac:dyDescent="0.2">
      <c r="A37" s="31" t="s">
        <v>63</v>
      </c>
      <c r="B37" s="59" t="s">
        <v>51</v>
      </c>
      <c r="C37" s="59"/>
      <c r="D37" s="59"/>
      <c r="E37" s="59"/>
      <c r="F37" s="60">
        <v>15</v>
      </c>
      <c r="G37" s="60"/>
      <c r="H37" s="60">
        <v>0</v>
      </c>
      <c r="I37" s="60"/>
      <c r="J37" s="60">
        <v>15</v>
      </c>
      <c r="K37" s="60"/>
      <c r="L37" s="29">
        <v>15</v>
      </c>
    </row>
    <row r="38" spans="1:12" ht="28.5" customHeight="1" x14ac:dyDescent="0.25">
      <c r="A38" s="53" t="s">
        <v>64</v>
      </c>
      <c r="B38" s="54"/>
      <c r="C38" s="54"/>
      <c r="D38" s="54"/>
      <c r="E38" s="54"/>
      <c r="F38" s="54"/>
      <c r="G38" s="54"/>
      <c r="H38" s="54"/>
      <c r="I38" s="54"/>
      <c r="J38" s="54"/>
      <c r="K38" s="55"/>
      <c r="L38" s="33">
        <v>49.5</v>
      </c>
    </row>
    <row r="39" spans="1:12" s="1" customFormat="1" x14ac:dyDescent="0.25">
      <c r="A39" s="64"/>
      <c r="B39" s="64"/>
      <c r="C39" s="64"/>
      <c r="D39" s="64"/>
      <c r="E39" s="64"/>
      <c r="F39" s="64"/>
      <c r="G39" s="64"/>
      <c r="H39" s="64"/>
      <c r="I39" s="64"/>
      <c r="J39" s="64"/>
      <c r="K39" s="64"/>
      <c r="L39" s="64"/>
    </row>
    <row r="40" spans="1:12" x14ac:dyDescent="0.25">
      <c r="A40" s="1"/>
      <c r="B40" s="1"/>
      <c r="C40" s="20"/>
      <c r="D40" s="1"/>
      <c r="E40" s="1"/>
      <c r="F40" s="1"/>
      <c r="G40" s="1"/>
      <c r="H40" s="1"/>
      <c r="I40" s="1"/>
      <c r="J40" s="1"/>
      <c r="K40" s="1"/>
      <c r="L40" s="1"/>
    </row>
    <row r="41" spans="1:12" x14ac:dyDescent="0.25">
      <c r="A41" s="1"/>
      <c r="B41" s="1"/>
      <c r="C41" s="20"/>
      <c r="D41" s="1"/>
      <c r="E41" s="1"/>
      <c r="F41" s="1"/>
      <c r="G41" s="1"/>
      <c r="H41" s="1"/>
      <c r="I41" s="1"/>
      <c r="J41" s="1"/>
      <c r="K41" s="1"/>
      <c r="L41" s="1"/>
    </row>
  </sheetData>
  <mergeCells count="107">
    <mergeCell ref="A3:L3"/>
    <mergeCell ref="A4:L4"/>
    <mergeCell ref="A5:L5"/>
    <mergeCell ref="A6:L6"/>
    <mergeCell ref="C9:G9"/>
    <mergeCell ref="I9:K9"/>
    <mergeCell ref="C10:G10"/>
    <mergeCell ref="I10:K10"/>
    <mergeCell ref="I11:K11"/>
    <mergeCell ref="A13:L13"/>
    <mergeCell ref="A14:A15"/>
    <mergeCell ref="B14:K14"/>
    <mergeCell ref="L14:L15"/>
    <mergeCell ref="B15:E15"/>
    <mergeCell ref="F15:G15"/>
    <mergeCell ref="H15:I15"/>
    <mergeCell ref="J15:K15"/>
    <mergeCell ref="B19:E19"/>
    <mergeCell ref="F19:G19"/>
    <mergeCell ref="H19:I19"/>
    <mergeCell ref="J19:K19"/>
    <mergeCell ref="J17:K17"/>
    <mergeCell ref="A39:L39"/>
    <mergeCell ref="B16:E16"/>
    <mergeCell ref="F16:G16"/>
    <mergeCell ref="H16:I16"/>
    <mergeCell ref="J16:K16"/>
    <mergeCell ref="B17:E17"/>
    <mergeCell ref="B33:E33"/>
    <mergeCell ref="F33:G33"/>
    <mergeCell ref="H33:I33"/>
    <mergeCell ref="J33:K33"/>
    <mergeCell ref="F17:G17"/>
    <mergeCell ref="H17:I17"/>
    <mergeCell ref="B31:E31"/>
    <mergeCell ref="F31:G31"/>
    <mergeCell ref="H31:I31"/>
    <mergeCell ref="J31:K31"/>
    <mergeCell ref="B32:E32"/>
    <mergeCell ref="F32:G32"/>
    <mergeCell ref="H32:I32"/>
    <mergeCell ref="J32:K32"/>
    <mergeCell ref="B29:E29"/>
    <mergeCell ref="F29:G29"/>
    <mergeCell ref="H29:I29"/>
    <mergeCell ref="J29:K29"/>
    <mergeCell ref="B36:E36"/>
    <mergeCell ref="F36:G36"/>
    <mergeCell ref="H36:I36"/>
    <mergeCell ref="J36:K36"/>
    <mergeCell ref="B18:E18"/>
    <mergeCell ref="F18:G18"/>
    <mergeCell ref="H18:I18"/>
    <mergeCell ref="J18:K18"/>
    <mergeCell ref="B35:E35"/>
    <mergeCell ref="F35:G35"/>
    <mergeCell ref="H35:I35"/>
    <mergeCell ref="J35:K35"/>
    <mergeCell ref="B30:E30"/>
    <mergeCell ref="F30:G30"/>
    <mergeCell ref="H30:I30"/>
    <mergeCell ref="J30:K30"/>
    <mergeCell ref="B27:E27"/>
    <mergeCell ref="F27:G27"/>
    <mergeCell ref="F26:G26"/>
    <mergeCell ref="H26:I26"/>
    <mergeCell ref="J26:K26"/>
    <mergeCell ref="H27:I27"/>
    <mergeCell ref="J27:K27"/>
    <mergeCell ref="B28:E28"/>
    <mergeCell ref="F28:G28"/>
    <mergeCell ref="H28:I28"/>
    <mergeCell ref="B20:E20"/>
    <mergeCell ref="F20:G20"/>
    <mergeCell ref="H20:I20"/>
    <mergeCell ref="J20:K20"/>
    <mergeCell ref="B21:E21"/>
    <mergeCell ref="F21:G21"/>
    <mergeCell ref="B24:E24"/>
    <mergeCell ref="F24:G24"/>
    <mergeCell ref="H24:I24"/>
    <mergeCell ref="J24:K24"/>
    <mergeCell ref="H21:I21"/>
    <mergeCell ref="A38:K38"/>
    <mergeCell ref="J21:K21"/>
    <mergeCell ref="B22:E22"/>
    <mergeCell ref="F22:G22"/>
    <mergeCell ref="H22:I22"/>
    <mergeCell ref="J22:K22"/>
    <mergeCell ref="B23:E23"/>
    <mergeCell ref="F23:G23"/>
    <mergeCell ref="H23:I23"/>
    <mergeCell ref="J23:K23"/>
    <mergeCell ref="B37:E37"/>
    <mergeCell ref="F37:G37"/>
    <mergeCell ref="H37:I37"/>
    <mergeCell ref="J37:K37"/>
    <mergeCell ref="B34:E34"/>
    <mergeCell ref="F34:G34"/>
    <mergeCell ref="H34:I34"/>
    <mergeCell ref="J34:K34"/>
    <mergeCell ref="J28:K28"/>
    <mergeCell ref="B25:E25"/>
    <mergeCell ref="F25:G25"/>
    <mergeCell ref="H25:I25"/>
    <mergeCell ref="J25:K25"/>
    <mergeCell ref="B26:E26"/>
  </mergeCells>
  <phoneticPr fontId="12" type="noConversion"/>
  <pageMargins left="0.25" right="0.25" top="0.75" bottom="0.75" header="0.3" footer="0.3"/>
  <pageSetup paperSize="9" scale="66" fitToHeight="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Leave Card (NE) (2)</vt:lpstr>
      <vt:lpstr>VSC</vt:lpstr>
      <vt:lpstr>'Leave Card (NE) (2)'!Print_Area</vt:lpstr>
      <vt:lpstr>VSC!Print_Area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2026-01-07T06:38:01Z</cp:lastPrinted>
  <dcterms:created xsi:type="dcterms:W3CDTF">2021-10-07T06:10:16Z</dcterms:created>
  <dcterms:modified xsi:type="dcterms:W3CDTF">2026-01-07T06:40:16Z</dcterms:modified>
</cp:coreProperties>
</file>