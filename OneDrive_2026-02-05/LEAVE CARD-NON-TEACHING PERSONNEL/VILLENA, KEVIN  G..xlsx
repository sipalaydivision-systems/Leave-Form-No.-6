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21572602-B3DE-4044-9A9F-9CA5DA28A5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Leave Card (NE) (2)" sheetId="9" r:id="rId2"/>
  </sheets>
  <definedNames>
    <definedName name="_xlnm.Print_Area" localSheetId="0">'Leave Card (NE)'!$A$1:$J$55</definedName>
    <definedName name="_xlnm.Print_Area" localSheetId="1">'Leave Card (NE) (2)'!$A$1:$L$23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6" l="1"/>
  <c r="H51" i="6" s="1"/>
  <c r="J51" i="6" s="1"/>
  <c r="I50" i="6"/>
  <c r="J50" i="6"/>
  <c r="I51" i="6"/>
  <c r="I14" i="6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H14" i="6"/>
  <c r="H15" i="6" s="1"/>
  <c r="H16" i="6" s="1"/>
  <c r="H17" i="6" l="1"/>
  <c r="J16" i="6"/>
  <c r="J14" i="6"/>
  <c r="J15" i="6"/>
  <c r="H18" i="6" l="1"/>
  <c r="J17" i="6"/>
  <c r="J18" i="6" l="1"/>
  <c r="H19" i="6"/>
  <c r="J19" i="6" l="1"/>
  <c r="H20" i="6"/>
  <c r="J20" i="6" l="1"/>
  <c r="H21" i="6"/>
  <c r="J21" i="6" l="1"/>
  <c r="H22" i="6"/>
  <c r="H23" i="6" l="1"/>
  <c r="J22" i="6"/>
  <c r="H24" i="6" l="1"/>
  <c r="H25" i="6" s="1"/>
  <c r="J23" i="6"/>
  <c r="H26" i="6" l="1"/>
  <c r="J25" i="6"/>
  <c r="J24" i="6"/>
  <c r="J26" i="6" l="1"/>
  <c r="H27" i="6"/>
  <c r="J27" i="6" l="1"/>
  <c r="H28" i="6"/>
  <c r="H29" i="6" l="1"/>
  <c r="J28" i="6"/>
  <c r="J29" i="6" l="1"/>
  <c r="H30" i="6"/>
  <c r="J30" i="6" l="1"/>
  <c r="H31" i="6"/>
  <c r="J31" i="6" l="1"/>
  <c r="H32" i="6"/>
  <c r="J32" i="6" l="1"/>
  <c r="H33" i="6"/>
  <c r="J33" i="6" l="1"/>
  <c r="H34" i="6"/>
  <c r="J34" i="6" l="1"/>
  <c r="H35" i="6"/>
  <c r="J35" i="6" l="1"/>
  <c r="H36" i="6"/>
  <c r="J36" i="6" l="1"/>
  <c r="H37" i="6"/>
  <c r="J37" i="6" l="1"/>
  <c r="H38" i="6"/>
  <c r="J38" i="6" l="1"/>
  <c r="H39" i="6"/>
  <c r="J39" i="6" l="1"/>
  <c r="H40" i="6"/>
  <c r="J40" i="6" l="1"/>
  <c r="H41" i="6"/>
  <c r="J41" i="6" l="1"/>
  <c r="H42" i="6"/>
  <c r="J42" i="6" l="1"/>
  <c r="H43" i="6"/>
  <c r="J43" i="6" l="1"/>
  <c r="H44" i="6"/>
  <c r="J44" i="6" l="1"/>
  <c r="H45" i="6"/>
  <c r="J45" i="6" l="1"/>
  <c r="H46" i="6"/>
  <c r="H47" i="6" l="1"/>
  <c r="J46" i="6"/>
  <c r="J47" i="6" l="1"/>
  <c r="H48" i="6"/>
  <c r="H49" i="6" l="1"/>
  <c r="J49" i="6" s="1"/>
  <c r="J48" i="6"/>
</calcChain>
</file>

<file path=xl/sharedStrings.xml><?xml version="1.0" encoding="utf-8"?>
<sst xmlns="http://schemas.openxmlformats.org/spreadsheetml/2006/main" count="88" uniqueCount="77">
  <si>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</si>
  <si>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</si>
  <si>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</si>
  <si>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</si>
  <si>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</si>
  <si>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</si>
  <si>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</si>
  <si>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</si>
  <si>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</si>
  <si>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</si>
  <si>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</si>
  <si>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SPECIAL PRIVILEGE</t>
  </si>
  <si>
    <t>Republic of the Philippines</t>
  </si>
  <si>
    <t>Department of Education</t>
  </si>
  <si>
    <t>REGION VI-WESTERN VISAYAS</t>
  </si>
  <si>
    <t>SCHOOLS DIVISION OF SIPALAY CITY</t>
  </si>
  <si>
    <t xml:space="preserve">Name: VILLENA, KEVIN G. </t>
  </si>
  <si>
    <t>POSITION: ADAS III</t>
  </si>
  <si>
    <t>DATE OF ORIGINAL APPOINTMENT: DECEMBER 04, 2023</t>
  </si>
  <si>
    <t>ADD: 01/01/2024-01/31/2024</t>
  </si>
  <si>
    <t>LESS: 02/02/2024</t>
  </si>
  <si>
    <t>LESS: 03/06/2024</t>
  </si>
  <si>
    <t>LESS: 03/08/2024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</si>
  <si>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</si>
  <si>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</si>
  <si>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</si>
  <si>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</si>
  <si>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</si>
  <si>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</si>
  <si>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</si>
  <si>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</si>
  <si>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</si>
  <si>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</si>
  <si>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</si>
  <si>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</si>
  <si>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</si>
  <si>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</si>
  <si>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</si>
  <si>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</si>
  <si>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          : VILLENA, KEVIN</t>
  </si>
  <si>
    <t>POSITION   : ADAS III</t>
  </si>
  <si>
    <t>APR. 22-26, 29 &amp; 30, 2024</t>
  </si>
  <si>
    <t>LESS: 04/18/2024</t>
  </si>
  <si>
    <t>ADD: 04/1-30/2024</t>
  </si>
  <si>
    <t>LESS: 05/8-10/2024</t>
  </si>
  <si>
    <t>LESS: 05/29/2024</t>
  </si>
  <si>
    <t>ADD: 05/1-31/2024</t>
  </si>
  <si>
    <t>LESS: 06/4/2024</t>
  </si>
  <si>
    <t>LESS: 06/10/2024</t>
  </si>
  <si>
    <t>ADD: 06/1-30/2024</t>
  </si>
  <si>
    <t>ADD: 12/04-31/2023</t>
  </si>
  <si>
    <t>ADD: 02/1-29/2024</t>
  </si>
  <si>
    <t>ADD: 03/1-31/2024</t>
  </si>
  <si>
    <t>LESS: 07/15/2024</t>
  </si>
  <si>
    <t>LESS: 08/14 &amp; 27/2024</t>
  </si>
  <si>
    <t>ADD: 07/1-31/2024</t>
  </si>
  <si>
    <t>ADD: 08/1-31/2024</t>
  </si>
  <si>
    <t>LESS: 08/15/2024</t>
  </si>
  <si>
    <t>SCHOOL: VISTA IS</t>
  </si>
  <si>
    <t>LESS: 09/12-13/2024</t>
  </si>
  <si>
    <t>ADD: 09/1-30/2024</t>
  </si>
  <si>
    <t>LESS: 09/20/2024</t>
  </si>
  <si>
    <t>LESS: 10/15/2024</t>
  </si>
  <si>
    <t>ADD: 10/1-31/2024</t>
  </si>
  <si>
    <t>LESS: 11/14-15/2024</t>
  </si>
  <si>
    <t>ADD: 11/1-30/2024</t>
  </si>
  <si>
    <t>LESS: 12/26/2024</t>
  </si>
  <si>
    <t>LESS: 12/27/2024</t>
  </si>
  <si>
    <t>LESS: 01/2, 3, 6/2025</t>
  </si>
  <si>
    <t>ADD: 12/1-31/2024</t>
  </si>
  <si>
    <t>LESS: 01/7/2025</t>
  </si>
  <si>
    <t>ADD: 1/1/2025-02/28/2025</t>
  </si>
  <si>
    <t>LESS: 03/7/2025</t>
  </si>
  <si>
    <t>ADD: 03/1/2025-06/30/2025</t>
  </si>
  <si>
    <t>LESS: 07/11/2025</t>
  </si>
  <si>
    <t>ADD: 07/1-31/2025</t>
  </si>
  <si>
    <t>LESS: 07/31/2025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</si>
</sst>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6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0" fillId="2" borderId="0" xfId="0" applyFill="1" applyAlignment="1">
      <alignment horizontal="center"/>
    </xf>
    <xf numFmtId="0" fontId="6" fillId="0" borderId="0" xfId="0" applyFont="1"/>
    <xf numFmtId="0" fontId="7" fillId="0" borderId="0" xfId="0" applyFont="1"/>
    <xf numFmtId="0" fontId="8" fillId="2" borderId="0" xfId="0" applyFont="1" applyFill="1"/>
    <xf numFmtId="164" fontId="0" fillId="2" borderId="2" xfId="0" applyNumberForma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9" fillId="2" borderId="0" xfId="1" applyFill="1"/>
    <xf numFmtId="0" fontId="1" fillId="2" borderId="0" xfId="1" applyFont="1" applyFill="1" applyAlignment="1">
      <alignment horizontal="center" wrapText="1"/>
    </xf>
    <xf numFmtId="0" fontId="1" fillId="2" borderId="0" xfId="1" applyFont="1" applyFill="1" applyAlignment="1">
      <alignment wrapText="1"/>
    </xf>
    <xf numFmtId="0" fontId="9" fillId="2" borderId="0" xfId="1" applyFill="1" applyAlignment="1">
      <alignment horizontal="center"/>
    </xf>
    <xf numFmtId="0" fontId="1" fillId="2" borderId="0" xfId="1" applyFont="1" applyFill="1" applyAlignment="1">
      <alignment vertical="center"/>
    </xf>
    <xf numFmtId="0" fontId="1" fillId="2" borderId="0" xfId="1" applyFont="1" applyFill="1"/>
    <xf numFmtId="0" fontId="1" fillId="2" borderId="0" xfId="1" applyFont="1" applyFill="1" applyAlignment="1">
      <alignment horizontal="center"/>
    </xf>
    <xf numFmtId="0" fontId="9" fillId="0" borderId="0" xfId="1"/>
    <xf numFmtId="0" fontId="3" fillId="6" borderId="14" xfId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/>
    </xf>
    <xf numFmtId="0" fontId="7" fillId="0" borderId="0" xfId="1" applyFont="1"/>
    <xf numFmtId="0" fontId="9" fillId="2" borderId="1" xfId="1" applyFill="1" applyBorder="1" applyAlignment="1">
      <alignment horizontal="center" vertical="center"/>
    </xf>
    <xf numFmtId="0" fontId="9" fillId="2" borderId="1" xfId="1" applyFill="1" applyBorder="1" applyAlignment="1">
      <alignment horizontal="center" vertical="center" wrapText="1"/>
    </xf>
    <xf numFmtId="0" fontId="9" fillId="2" borderId="2" xfId="1" applyFill="1" applyBorder="1" applyAlignment="1">
      <alignment horizontal="center" vertical="center" wrapText="1"/>
    </xf>
    <xf numFmtId="0" fontId="9" fillId="2" borderId="6" xfId="1" applyFill="1" applyBorder="1" applyAlignment="1">
      <alignment horizontal="center" vertical="center" wrapText="1"/>
    </xf>
    <xf numFmtId="0" fontId="6" fillId="0" borderId="0" xfId="1" applyFont="1"/>
    <xf numFmtId="0" fontId="9" fillId="0" borderId="7" xfId="1" applyBorder="1" applyAlignment="1">
      <alignment vertical="center"/>
    </xf>
    <xf numFmtId="164" fontId="9" fillId="2" borderId="1" xfId="1" applyNumberFormat="1" applyFill="1" applyBorder="1" applyAlignment="1">
      <alignment horizontal="center" vertical="center"/>
    </xf>
    <xf numFmtId="0" fontId="9" fillId="7" borderId="0" xfId="1" applyFill="1"/>
    <xf numFmtId="0" fontId="9" fillId="0" borderId="0" xfId="1" applyAlignment="1">
      <alignment horizontal="center"/>
    </xf>
    <xf numFmtId="0" fontId="9" fillId="4" borderId="0" xfId="1" applyFill="1"/>
    <xf numFmtId="0" fontId="9" fillId="8" borderId="0" xfId="1" applyFill="1"/>
    <xf numFmtId="0" fontId="0" fillId="2" borderId="6" xfId="1" applyFon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6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0" fillId="10" borderId="1" xfId="0" applyNumberForma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1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left"/>
    </xf>
    <xf numFmtId="0" fontId="2" fillId="2" borderId="11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0</xdr:row>
      <xdr:rowOff>47625</xdr:rowOff>
    </xdr:from>
    <xdr:to>
      <xdr:col>4</xdr:col>
      <xdr:colOff>628650</xdr:colOff>
      <xdr:row>1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47625"/>
          <a:ext cx="609600" cy="638176"/>
        </a:xfrm>
        <a:prstGeom prst="rect">
          <a:avLst/>
        </a:prstGeom>
        <a:noFill/>
      </xdr:spPr>
    </xdr:pic>
    <xdr:clientData/>
  </xdr:twoCellAnchor>
  <xdr:twoCellAnchor>
    <xdr:from>
      <xdr:col>5</xdr:col>
      <xdr:colOff>714375</xdr:colOff>
      <xdr:row>52</xdr:row>
      <xdr:rowOff>228600</xdr:rowOff>
    </xdr:from>
    <xdr:to>
      <xdr:col>10</xdr:col>
      <xdr:colOff>19050</xdr:colOff>
      <xdr:row>54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34C7E5-6C84-4F93-BEF2-1DDD7DEFBB10}"/>
            </a:ext>
          </a:extLst>
        </xdr:cNvPr>
        <xdr:cNvSpPr txBox="1"/>
      </xdr:nvSpPr>
      <xdr:spPr>
        <a:xfrm>
          <a:off x="5791200" y="6629400"/>
          <a:ext cx="3457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1150" y="28769"/>
          <a:ext cx="755844" cy="637981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1962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5"/>
  <sheetViews>
    <sheetView tabSelected="1" view="pageBreakPreview" topLeftCell="A31" zoomScaleNormal="100" zoomScaleSheetLayoutView="100" workbookViewId="0">
      <selection activeCell="H51" sqref="H51"/>
    </sheetView>
  </sheetViews>
  <sheetFormatPr defaultRowHeight="15" x14ac:dyDescent="0.25"/>
  <cols>
    <col min="1" max="1" width="29.85546875" customWidth="1"/>
    <col min="2" max="7" width="11.5703125" customWidth="1"/>
    <col min="8" max="8" width="11.7109375" customWidth="1"/>
    <col min="9" max="10" width="11.5703125" customWidth="1"/>
  </cols>
  <sheetData>
    <row r="1" spans="1:10" s="1" customFormat="1" ht="52.5" customHeight="1" x14ac:dyDescent="0.25">
      <c r="B1"/>
      <c r="C1"/>
      <c r="D1"/>
      <c r="E1"/>
      <c r="F1"/>
      <c r="G1" s="4"/>
      <c r="H1"/>
      <c r="I1"/>
    </row>
    <row r="2" spans="1:10" s="1" customFormat="1" ht="10.5" customHeight="1" x14ac:dyDescent="0.25">
      <c r="A2" s="49" t="s">
        <v>12</v>
      </c>
      <c r="B2" s="49"/>
      <c r="C2" s="49"/>
      <c r="D2" s="49"/>
      <c r="E2" s="49"/>
      <c r="F2" s="49"/>
      <c r="G2" s="49"/>
      <c r="H2" s="49"/>
      <c r="I2" s="49"/>
      <c r="J2" s="49"/>
    </row>
    <row r="3" spans="1:10" s="1" customFormat="1" ht="15.95" customHeight="1" x14ac:dyDescent="0.25">
      <c r="A3" s="49" t="s">
        <v>13</v>
      </c>
      <c r="B3" s="49"/>
      <c r="C3" s="49"/>
      <c r="D3" s="49"/>
      <c r="E3" s="49"/>
      <c r="F3" s="49"/>
      <c r="G3" s="49"/>
      <c r="H3" s="49"/>
      <c r="I3" s="49"/>
      <c r="J3" s="49"/>
    </row>
    <row r="4" spans="1:10" s="1" customFormat="1" ht="15.95" customHeight="1" x14ac:dyDescent="0.25">
      <c r="A4" s="49" t="s">
        <v>14</v>
      </c>
      <c r="B4" s="49"/>
      <c r="C4" s="49"/>
      <c r="D4" s="49"/>
      <c r="E4" s="49"/>
      <c r="F4" s="49"/>
      <c r="G4" s="49"/>
      <c r="H4" s="49"/>
      <c r="I4" s="49"/>
      <c r="J4" s="49"/>
    </row>
    <row r="5" spans="1:10" s="1" customFormat="1" ht="15.95" customHeight="1" x14ac:dyDescent="0.25">
      <c r="A5" s="49" t="s">
        <v>15</v>
      </c>
      <c r="B5" s="49"/>
      <c r="C5" s="49"/>
      <c r="D5" s="49"/>
      <c r="E5" s="49"/>
      <c r="F5" s="49"/>
      <c r="G5" s="49"/>
      <c r="H5" s="49"/>
      <c r="I5" s="49"/>
      <c r="J5" s="49"/>
    </row>
    <row r="6" spans="1:10" s="1" customFormat="1" ht="8.25" customHeight="1" x14ac:dyDescent="0.25">
      <c r="B6"/>
      <c r="C6"/>
      <c r="D6"/>
      <c r="E6"/>
      <c r="F6"/>
      <c r="G6" s="4"/>
      <c r="H6"/>
      <c r="I6"/>
    </row>
    <row r="7" spans="1:10" s="1" customFormat="1" ht="12" customHeight="1" x14ac:dyDescent="0.25">
      <c r="A7" s="7" t="s">
        <v>16</v>
      </c>
      <c r="B7" s="39"/>
      <c r="C7" s="39"/>
      <c r="D7" s="39"/>
      <c r="E7"/>
      <c r="F7"/>
      <c r="H7" s="39" t="s">
        <v>9</v>
      </c>
      <c r="I7" s="42"/>
      <c r="J7" s="2"/>
    </row>
    <row r="8" spans="1:10" s="1" customFormat="1" ht="12" customHeight="1" x14ac:dyDescent="0.25">
      <c r="B8" s="40"/>
      <c r="C8" s="40"/>
      <c r="D8"/>
      <c r="E8"/>
      <c r="F8"/>
      <c r="H8" s="40"/>
      <c r="I8" s="40"/>
      <c r="J8" s="3"/>
    </row>
    <row r="9" spans="1:10" s="1" customFormat="1" ht="12" customHeight="1" x14ac:dyDescent="0.25">
      <c r="A9" s="7" t="s">
        <v>17</v>
      </c>
      <c r="B9" s="41"/>
      <c r="C9" s="40" t="s">
        <v>58</v>
      </c>
      <c r="D9" s="40"/>
      <c r="E9"/>
      <c r="F9"/>
      <c r="H9" s="39" t="s">
        <v>10</v>
      </c>
      <c r="I9" s="43"/>
      <c r="J9" s="2"/>
    </row>
    <row r="10" spans="1:10" ht="16.5" customHeight="1" thickBot="1" x14ac:dyDescent="0.3">
      <c r="A10" s="56" t="s">
        <v>0</v>
      </c>
      <c r="B10" s="56"/>
      <c r="C10" s="56"/>
      <c r="D10" s="56"/>
      <c r="E10" s="56"/>
      <c r="F10" s="56"/>
      <c r="G10" s="56"/>
      <c r="H10" s="56"/>
      <c r="I10" s="56"/>
      <c r="J10" s="56"/>
    </row>
    <row r="11" spans="1:10" s="6" customFormat="1" ht="18.75" customHeight="1" x14ac:dyDescent="0.2">
      <c r="A11" s="50" t="s">
        <v>4</v>
      </c>
      <c r="B11" s="54" t="s">
        <v>5</v>
      </c>
      <c r="C11" s="55"/>
      <c r="D11" s="54" t="s">
        <v>6</v>
      </c>
      <c r="E11" s="55"/>
      <c r="F11" s="55"/>
      <c r="G11" s="55"/>
      <c r="H11" s="54" t="s">
        <v>7</v>
      </c>
      <c r="I11" s="55"/>
      <c r="J11" s="52" t="s">
        <v>8</v>
      </c>
    </row>
    <row r="12" spans="1:10" s="6" customFormat="1" ht="28.5" customHeight="1" x14ac:dyDescent="0.2">
      <c r="A12" s="51"/>
      <c r="B12" s="45" t="s">
        <v>1</v>
      </c>
      <c r="C12" s="45" t="s">
        <v>2</v>
      </c>
      <c r="D12" s="45" t="s">
        <v>1</v>
      </c>
      <c r="E12" s="45" t="s">
        <v>2</v>
      </c>
      <c r="F12" s="45" t="s">
        <v>3</v>
      </c>
      <c r="G12" s="46" t="s">
        <v>11</v>
      </c>
      <c r="H12" s="45" t="s">
        <v>1</v>
      </c>
      <c r="I12" s="45" t="s">
        <v>2</v>
      </c>
      <c r="J12" s="53"/>
    </row>
    <row r="13" spans="1:10" s="6" customFormat="1" ht="18.75" customHeight="1" x14ac:dyDescent="0.2">
      <c r="A13" s="57" t="s">
        <v>18</v>
      </c>
      <c r="B13" s="58"/>
      <c r="C13" s="58"/>
      <c r="D13" s="58"/>
      <c r="E13" s="58"/>
      <c r="F13" s="58"/>
      <c r="G13" s="58"/>
      <c r="H13" s="58"/>
      <c r="I13" s="58"/>
      <c r="J13" s="59"/>
    </row>
    <row r="14" spans="1:10" s="6" customFormat="1" ht="18" customHeight="1" x14ac:dyDescent="0.2">
      <c r="A14" s="10" t="s">
        <v>50</v>
      </c>
      <c r="B14" s="36">
        <v>1.167</v>
      </c>
      <c r="C14" s="36">
        <v>1.167</v>
      </c>
      <c r="D14" s="36"/>
      <c r="E14" s="36"/>
      <c r="F14" s="36"/>
      <c r="G14" s="9"/>
      <c r="H14" s="36">
        <f>SUM(B14)</f>
        <v>1.167</v>
      </c>
      <c r="I14" s="36">
        <f>SUM(C14)</f>
        <v>1.167</v>
      </c>
      <c r="J14" s="38">
        <f>SUM(H14:I14)</f>
        <v>2.3340000000000001</v>
      </c>
    </row>
    <row r="15" spans="1:10" s="5" customFormat="1" ht="24" customHeight="1" x14ac:dyDescent="0.2">
      <c r="A15" s="10" t="s">
        <v>19</v>
      </c>
      <c r="B15" s="36">
        <v>1.25</v>
      </c>
      <c r="C15" s="36">
        <v>1.25</v>
      </c>
      <c r="D15" s="36"/>
      <c r="E15" s="36"/>
      <c r="F15" s="36"/>
      <c r="G15" s="9"/>
      <c r="H15" s="36">
        <f>SUM(H14-F15-D15+B15)</f>
        <v>2.4169999999999998</v>
      </c>
      <c r="I15" s="36">
        <f>SUM(I14-E15+C15)</f>
        <v>2.4169999999999998</v>
      </c>
      <c r="J15" s="8">
        <f>SUM(H15:I15)</f>
        <v>4.8339999999999996</v>
      </c>
    </row>
    <row r="16" spans="1:10" s="5" customFormat="1" ht="21" customHeight="1" x14ac:dyDescent="0.2">
      <c r="A16" s="10" t="s">
        <v>20</v>
      </c>
      <c r="B16" s="36"/>
      <c r="C16" s="36"/>
      <c r="D16" s="36"/>
      <c r="E16" s="36">
        <v>1</v>
      </c>
      <c r="F16" s="36"/>
      <c r="G16" s="9"/>
      <c r="H16" s="36">
        <f>SUM(H15-F16-D16+B16)</f>
        <v>2.4169999999999998</v>
      </c>
      <c r="I16" s="36">
        <f>SUM(I15-E16+C16)</f>
        <v>1.4169999999999998</v>
      </c>
      <c r="J16" s="8">
        <f>SUM(H16:I16)</f>
        <v>3.8339999999999996</v>
      </c>
    </row>
    <row r="17" spans="1:10" s="5" customFormat="1" ht="19.5" customHeight="1" x14ac:dyDescent="0.2">
      <c r="A17" s="10" t="s">
        <v>51</v>
      </c>
      <c r="B17" s="36">
        <v>1.25</v>
      </c>
      <c r="C17" s="36">
        <v>1.25</v>
      </c>
      <c r="D17" s="36"/>
      <c r="E17" s="36"/>
      <c r="F17" s="36"/>
      <c r="G17" s="9"/>
      <c r="H17" s="36">
        <f t="shared" ref="H17:H18" si="0">SUM(H16-F17-D17+B17)</f>
        <v>3.6669999999999998</v>
      </c>
      <c r="I17" s="36">
        <f t="shared" ref="I17:I18" si="1">SUM(I16-E17+C17)</f>
        <v>2.6669999999999998</v>
      </c>
      <c r="J17" s="8">
        <f t="shared" ref="J17:J18" si="2">SUM(H17:I17)</f>
        <v>6.3339999999999996</v>
      </c>
    </row>
    <row r="18" spans="1:10" s="5" customFormat="1" ht="19.5" customHeight="1" x14ac:dyDescent="0.2">
      <c r="A18" s="10" t="s">
        <v>21</v>
      </c>
      <c r="B18" s="36"/>
      <c r="C18" s="36"/>
      <c r="D18" s="36"/>
      <c r="E18" s="36"/>
      <c r="F18" s="36"/>
      <c r="G18" s="44">
        <v>1</v>
      </c>
      <c r="H18" s="36">
        <f t="shared" si="0"/>
        <v>3.6669999999999998</v>
      </c>
      <c r="I18" s="36">
        <f t="shared" si="1"/>
        <v>2.6669999999999998</v>
      </c>
      <c r="J18" s="8">
        <f t="shared" si="2"/>
        <v>6.3339999999999996</v>
      </c>
    </row>
    <row r="19" spans="1:10" s="5" customFormat="1" ht="19.5" customHeight="1" x14ac:dyDescent="0.2">
      <c r="A19" s="10" t="s">
        <v>22</v>
      </c>
      <c r="B19" s="36"/>
      <c r="C19" s="36"/>
      <c r="D19" s="36"/>
      <c r="E19" s="36"/>
      <c r="F19" s="36">
        <v>1</v>
      </c>
      <c r="G19" s="44"/>
      <c r="H19" s="36">
        <f t="shared" ref="H19" si="3">SUM(H18-F19-D19+B19)</f>
        <v>2.6669999999999998</v>
      </c>
      <c r="I19" s="36">
        <f t="shared" ref="I19" si="4">SUM(I18-E19+C19)</f>
        <v>2.6669999999999998</v>
      </c>
      <c r="J19" s="8">
        <f t="shared" ref="J19" si="5">SUM(H19:I19)</f>
        <v>5.3339999999999996</v>
      </c>
    </row>
    <row r="20" spans="1:10" s="5" customFormat="1" ht="24" customHeight="1" x14ac:dyDescent="0.2">
      <c r="A20" s="37" t="s">
        <v>52</v>
      </c>
      <c r="B20" s="36">
        <v>1.25</v>
      </c>
      <c r="C20" s="36">
        <v>1.25</v>
      </c>
      <c r="D20" s="36"/>
      <c r="E20" s="36"/>
      <c r="F20" s="36"/>
      <c r="G20" s="44"/>
      <c r="H20" s="36">
        <f t="shared" ref="H20" si="6">SUM(H19-F20-D20+B20)</f>
        <v>3.9169999999999998</v>
      </c>
      <c r="I20" s="36">
        <f t="shared" ref="I20" si="7">SUM(I19-E20+C20)</f>
        <v>3.9169999999999998</v>
      </c>
      <c r="J20" s="8">
        <f t="shared" ref="J20" si="8">SUM(H20:I20)</f>
        <v>7.8339999999999996</v>
      </c>
    </row>
    <row r="21" spans="1:10" s="5" customFormat="1" ht="24" customHeight="1" x14ac:dyDescent="0.2">
      <c r="A21" s="37" t="s">
        <v>42</v>
      </c>
      <c r="B21" s="36"/>
      <c r="C21" s="36"/>
      <c r="D21" s="36"/>
      <c r="E21" s="36"/>
      <c r="F21" s="36">
        <v>1</v>
      </c>
      <c r="G21" s="44"/>
      <c r="H21" s="36">
        <f t="shared" ref="H21" si="9">SUM(H20-F21-D21+B21)</f>
        <v>2.9169999999999998</v>
      </c>
      <c r="I21" s="36">
        <f t="shared" ref="I21" si="10">SUM(I20-E21+C21)</f>
        <v>3.9169999999999998</v>
      </c>
      <c r="J21" s="8">
        <f t="shared" ref="J21" si="11">SUM(H21:I21)</f>
        <v>6.8339999999999996</v>
      </c>
    </row>
    <row r="22" spans="1:10" ht="22.5" customHeight="1" x14ac:dyDescent="0.25">
      <c r="A22" s="37" t="s">
        <v>43</v>
      </c>
      <c r="B22" s="36">
        <v>1.25</v>
      </c>
      <c r="C22" s="36">
        <v>1.25</v>
      </c>
      <c r="D22" s="36"/>
      <c r="E22" s="36"/>
      <c r="F22" s="36"/>
      <c r="G22" s="36"/>
      <c r="H22" s="36">
        <f t="shared" ref="H22:H23" si="12">SUM(H21-F22-D22+B22)</f>
        <v>4.1669999999999998</v>
      </c>
      <c r="I22" s="36">
        <f t="shared" ref="I22:I23" si="13">SUM(I21-E22+C22)</f>
        <v>5.1669999999999998</v>
      </c>
      <c r="J22" s="8">
        <f t="shared" ref="J22:J23" si="14">SUM(H22:I22)</f>
        <v>9.3339999999999996</v>
      </c>
    </row>
    <row r="23" spans="1:10" ht="18.75" customHeight="1" x14ac:dyDescent="0.25">
      <c r="A23" s="37" t="s">
        <v>44</v>
      </c>
      <c r="B23" s="36"/>
      <c r="C23" s="36"/>
      <c r="D23" s="36"/>
      <c r="E23" s="36">
        <v>3</v>
      </c>
      <c r="F23" s="36"/>
      <c r="G23" s="36"/>
      <c r="H23" s="36">
        <f t="shared" si="12"/>
        <v>4.1669999999999998</v>
      </c>
      <c r="I23" s="36">
        <f t="shared" si="13"/>
        <v>2.1669999999999998</v>
      </c>
      <c r="J23" s="8">
        <f t="shared" si="14"/>
        <v>6.3339999999999996</v>
      </c>
    </row>
    <row r="24" spans="1:10" ht="18.75" customHeight="1" x14ac:dyDescent="0.25">
      <c r="A24" s="37" t="s">
        <v>45</v>
      </c>
      <c r="B24" s="36"/>
      <c r="C24" s="36"/>
      <c r="D24" s="36"/>
      <c r="E24" s="36"/>
      <c r="F24" s="36">
        <v>1</v>
      </c>
      <c r="G24" s="36"/>
      <c r="H24" s="36">
        <f t="shared" ref="H24" si="15">SUM(H23-F24-D24+B24)</f>
        <v>3.1669999999999998</v>
      </c>
      <c r="I24" s="36">
        <f t="shared" ref="I24" si="16">SUM(I23-E24+C24)</f>
        <v>2.1669999999999998</v>
      </c>
      <c r="J24" s="8">
        <f t="shared" ref="J24" si="17">SUM(H24:I24)</f>
        <v>5.3339999999999996</v>
      </c>
    </row>
    <row r="25" spans="1:10" ht="18.75" customHeight="1" x14ac:dyDescent="0.25">
      <c r="A25" s="37" t="s">
        <v>46</v>
      </c>
      <c r="B25" s="36">
        <v>1.25</v>
      </c>
      <c r="C25" s="36">
        <v>1.25</v>
      </c>
      <c r="D25" s="36"/>
      <c r="E25" s="36"/>
      <c r="F25" s="36"/>
      <c r="G25" s="36"/>
      <c r="H25" s="36">
        <f t="shared" ref="H25:H26" si="18">SUM(H24-F25-D25+B25)</f>
        <v>4.4169999999999998</v>
      </c>
      <c r="I25" s="36">
        <f t="shared" ref="I25:I26" si="19">SUM(I24-E25+C25)</f>
        <v>3.4169999999999998</v>
      </c>
      <c r="J25" s="8">
        <f t="shared" ref="J25:J26" si="20">SUM(H25:I25)</f>
        <v>7.8339999999999996</v>
      </c>
    </row>
    <row r="26" spans="1:10" ht="18.75" customHeight="1" x14ac:dyDescent="0.25">
      <c r="A26" s="37" t="s">
        <v>47</v>
      </c>
      <c r="B26" s="36"/>
      <c r="C26" s="36"/>
      <c r="D26" s="36"/>
      <c r="E26" s="36">
        <v>1</v>
      </c>
      <c r="F26" s="36"/>
      <c r="G26" s="36"/>
      <c r="H26" s="36">
        <f t="shared" si="18"/>
        <v>4.4169999999999998</v>
      </c>
      <c r="I26" s="36">
        <f t="shared" si="19"/>
        <v>2.4169999999999998</v>
      </c>
      <c r="J26" s="8">
        <f t="shared" si="20"/>
        <v>6.8339999999999996</v>
      </c>
    </row>
    <row r="27" spans="1:10" ht="18.75" customHeight="1" x14ac:dyDescent="0.25">
      <c r="A27" s="37" t="s">
        <v>48</v>
      </c>
      <c r="B27" s="36"/>
      <c r="C27" s="36"/>
      <c r="D27" s="36"/>
      <c r="E27" s="36"/>
      <c r="F27" s="36"/>
      <c r="G27" s="44">
        <v>1</v>
      </c>
      <c r="H27" s="36">
        <f t="shared" ref="H27" si="21">SUM(H26-F27-D27+B27)</f>
        <v>4.4169999999999998</v>
      </c>
      <c r="I27" s="36">
        <f t="shared" ref="I27" si="22">SUM(I26-E27+C27)</f>
        <v>2.4169999999999998</v>
      </c>
      <c r="J27" s="8">
        <f t="shared" ref="J27" si="23">SUM(H27:I27)</f>
        <v>6.8339999999999996</v>
      </c>
    </row>
    <row r="28" spans="1:10" ht="18.75" customHeight="1" x14ac:dyDescent="0.25">
      <c r="A28" s="37" t="s">
        <v>49</v>
      </c>
      <c r="B28" s="36">
        <v>1.25</v>
      </c>
      <c r="C28" s="36">
        <v>1.25</v>
      </c>
      <c r="D28" s="36"/>
      <c r="E28" s="36"/>
      <c r="F28" s="36"/>
      <c r="G28" s="44"/>
      <c r="H28" s="36">
        <f t="shared" ref="H28:H29" si="24">SUM(H27-F28-D28+B28)</f>
        <v>5.6669999999999998</v>
      </c>
      <c r="I28" s="36">
        <f t="shared" ref="I28:I29" si="25">SUM(I27-E28+C28)</f>
        <v>3.6669999999999998</v>
      </c>
      <c r="J28" s="8">
        <f t="shared" ref="J28:J29" si="26">SUM(H28:I28)</f>
        <v>9.3339999999999996</v>
      </c>
    </row>
    <row r="29" spans="1:10" ht="18.75" customHeight="1" x14ac:dyDescent="0.25">
      <c r="A29" s="37" t="s">
        <v>53</v>
      </c>
      <c r="B29" s="36"/>
      <c r="C29" s="36"/>
      <c r="D29" s="36"/>
      <c r="E29" s="36">
        <v>1</v>
      </c>
      <c r="F29" s="36"/>
      <c r="G29" s="44"/>
      <c r="H29" s="36">
        <f t="shared" si="24"/>
        <v>5.6669999999999998</v>
      </c>
      <c r="I29" s="36">
        <f t="shared" si="25"/>
        <v>2.6669999999999998</v>
      </c>
      <c r="J29" s="8">
        <f t="shared" si="26"/>
        <v>8.3339999999999996</v>
      </c>
    </row>
    <row r="30" spans="1:10" ht="18.75" customHeight="1" x14ac:dyDescent="0.25">
      <c r="A30" s="37" t="s">
        <v>55</v>
      </c>
      <c r="B30" s="36">
        <v>1.25</v>
      </c>
      <c r="C30" s="36">
        <v>1.25</v>
      </c>
      <c r="D30" s="36"/>
      <c r="E30" s="36"/>
      <c r="F30" s="36"/>
      <c r="G30" s="44"/>
      <c r="H30" s="36">
        <f t="shared" ref="H30" si="27">SUM(H29-F30-D30+B30)</f>
        <v>6.9169999999999998</v>
      </c>
      <c r="I30" s="36">
        <f t="shared" ref="I30" si="28">SUM(I29-E30+C30)</f>
        <v>3.9169999999999998</v>
      </c>
      <c r="J30" s="8">
        <f t="shared" ref="J30" si="29">SUM(H30:I30)</f>
        <v>10.834</v>
      </c>
    </row>
    <row r="31" spans="1:10" ht="18.75" customHeight="1" x14ac:dyDescent="0.25">
      <c r="A31" s="37" t="s">
        <v>54</v>
      </c>
      <c r="B31" s="36"/>
      <c r="C31" s="36"/>
      <c r="D31" s="36"/>
      <c r="E31" s="36">
        <v>2</v>
      </c>
      <c r="F31" s="36"/>
      <c r="G31" s="44"/>
      <c r="H31" s="36">
        <f t="shared" ref="H31" si="30">SUM(H30-F31-D31+B31)</f>
        <v>6.9169999999999998</v>
      </c>
      <c r="I31" s="36">
        <f t="shared" ref="I31" si="31">SUM(I30-E31+C31)</f>
        <v>1.9169999999999998</v>
      </c>
      <c r="J31" s="8">
        <f t="shared" ref="J31" si="32">SUM(H31:I31)</f>
        <v>8.8339999999999996</v>
      </c>
    </row>
    <row r="32" spans="1:10" ht="18.75" customHeight="1" x14ac:dyDescent="0.25">
      <c r="A32" s="37" t="s">
        <v>56</v>
      </c>
      <c r="B32" s="36">
        <v>1.25</v>
      </c>
      <c r="C32" s="36">
        <v>1.25</v>
      </c>
      <c r="D32" s="36"/>
      <c r="E32" s="36"/>
      <c r="F32" s="36"/>
      <c r="G32" s="44"/>
      <c r="H32" s="36">
        <f t="shared" ref="H32" si="33">SUM(H31-F32-D32+B32)</f>
        <v>8.1669999999999998</v>
      </c>
      <c r="I32" s="36">
        <f t="shared" ref="I32" si="34">SUM(I31-E32+C32)</f>
        <v>3.1669999999999998</v>
      </c>
      <c r="J32" s="8">
        <f t="shared" ref="J32" si="35">SUM(H32:I32)</f>
        <v>11.334</v>
      </c>
    </row>
    <row r="33" spans="1:10" ht="18.75" customHeight="1" x14ac:dyDescent="0.25">
      <c r="A33" s="37" t="s">
        <v>57</v>
      </c>
      <c r="B33" s="36"/>
      <c r="C33" s="36"/>
      <c r="D33" s="36"/>
      <c r="E33" s="36">
        <v>1</v>
      </c>
      <c r="F33" s="36"/>
      <c r="G33" s="44"/>
      <c r="H33" s="36">
        <f t="shared" ref="H33" si="36">SUM(H32-F33-D33+B33)</f>
        <v>8.1669999999999998</v>
      </c>
      <c r="I33" s="36">
        <f t="shared" ref="I33" si="37">SUM(I32-E33+C33)</f>
        <v>2.1669999999999998</v>
      </c>
      <c r="J33" s="8">
        <f t="shared" ref="J33" si="38">SUM(H33:I33)</f>
        <v>10.334</v>
      </c>
    </row>
    <row r="34" spans="1:10" ht="18.75" customHeight="1" x14ac:dyDescent="0.25">
      <c r="A34" s="37" t="s">
        <v>59</v>
      </c>
      <c r="B34" s="36"/>
      <c r="C34" s="36"/>
      <c r="D34" s="36"/>
      <c r="E34" s="36">
        <v>2</v>
      </c>
      <c r="F34" s="36"/>
      <c r="G34" s="44"/>
      <c r="H34" s="36">
        <f t="shared" ref="H34" si="39">SUM(H33-F34-D34+B34)</f>
        <v>8.1669999999999998</v>
      </c>
      <c r="I34" s="36">
        <f t="shared" ref="I34" si="40">SUM(I33-E34+C34)</f>
        <v>0.16699999999999982</v>
      </c>
      <c r="J34" s="8">
        <f t="shared" ref="J34" si="41">SUM(H34:I34)</f>
        <v>8.3339999999999996</v>
      </c>
    </row>
    <row r="35" spans="1:10" ht="18.75" customHeight="1" x14ac:dyDescent="0.25">
      <c r="A35" s="37" t="s">
        <v>60</v>
      </c>
      <c r="B35" s="36">
        <v>1.25</v>
      </c>
      <c r="C35" s="36">
        <v>1.25</v>
      </c>
      <c r="D35" s="36"/>
      <c r="E35" s="36"/>
      <c r="F35" s="36"/>
      <c r="G35" s="44"/>
      <c r="H35" s="36">
        <f t="shared" ref="H35" si="42">SUM(H34-F35-D35+B35)</f>
        <v>9.4169999999999998</v>
      </c>
      <c r="I35" s="36">
        <f t="shared" ref="I35" si="43">SUM(I34-E35+C35)</f>
        <v>1.4169999999999998</v>
      </c>
      <c r="J35" s="8">
        <f t="shared" ref="J35" si="44">SUM(H35:I35)</f>
        <v>10.834</v>
      </c>
    </row>
    <row r="36" spans="1:10" ht="18.75" customHeight="1" x14ac:dyDescent="0.25">
      <c r="A36" s="37" t="s">
        <v>61</v>
      </c>
      <c r="B36" s="36"/>
      <c r="C36" s="36"/>
      <c r="D36" s="36"/>
      <c r="E36" s="36">
        <v>1</v>
      </c>
      <c r="F36" s="36"/>
      <c r="G36" s="44"/>
      <c r="H36" s="36">
        <f t="shared" ref="H36" si="45">SUM(H35-F36-D36+B36)</f>
        <v>9.4169999999999998</v>
      </c>
      <c r="I36" s="36">
        <f t="shared" ref="I36" si="46">SUM(I35-E36+C36)</f>
        <v>0.41699999999999982</v>
      </c>
      <c r="J36" s="8">
        <f t="shared" ref="J36" si="47">SUM(H36:I36)</f>
        <v>9.8339999999999996</v>
      </c>
    </row>
    <row r="37" spans="1:10" ht="18.75" customHeight="1" x14ac:dyDescent="0.25">
      <c r="A37" s="37" t="s">
        <v>62</v>
      </c>
      <c r="B37" s="36"/>
      <c r="C37" s="36"/>
      <c r="D37" s="36">
        <v>1</v>
      </c>
      <c r="E37" s="36"/>
      <c r="F37" s="36"/>
      <c r="G37" s="44"/>
      <c r="H37" s="36">
        <f t="shared" ref="H37" si="48">SUM(H36-F37-D37+B37)</f>
        <v>8.4169999999999998</v>
      </c>
      <c r="I37" s="36">
        <f t="shared" ref="I37" si="49">SUM(I36-E37+C37)</f>
        <v>0.41699999999999982</v>
      </c>
      <c r="J37" s="8">
        <f t="shared" ref="J37" si="50">SUM(H37:I37)</f>
        <v>8.8339999999999996</v>
      </c>
    </row>
    <row r="38" spans="1:10" ht="18.75" customHeight="1" x14ac:dyDescent="0.25">
      <c r="A38" s="37" t="s">
        <v>63</v>
      </c>
      <c r="B38" s="36">
        <v>1.25</v>
      </c>
      <c r="C38" s="36">
        <v>1.25</v>
      </c>
      <c r="D38" s="36"/>
      <c r="E38" s="36"/>
      <c r="F38" s="36"/>
      <c r="G38" s="44"/>
      <c r="H38" s="36">
        <f t="shared" ref="H38:H39" si="51">SUM(H37-F38-D38+B38)</f>
        <v>9.6669999999999998</v>
      </c>
      <c r="I38" s="36">
        <f t="shared" ref="I38:I39" si="52">SUM(I37-E38+C38)</f>
        <v>1.6669999999999998</v>
      </c>
      <c r="J38" s="8">
        <f t="shared" ref="J38:J39" si="53">SUM(H38:I38)</f>
        <v>11.334</v>
      </c>
    </row>
    <row r="39" spans="1:10" ht="18.75" customHeight="1" x14ac:dyDescent="0.25">
      <c r="A39" s="37" t="s">
        <v>64</v>
      </c>
      <c r="B39" s="36"/>
      <c r="C39" s="36"/>
      <c r="D39" s="36"/>
      <c r="E39" s="36"/>
      <c r="F39" s="36">
        <v>2</v>
      </c>
      <c r="G39" s="44"/>
      <c r="H39" s="36">
        <f t="shared" si="51"/>
        <v>7.6669999999999998</v>
      </c>
      <c r="I39" s="36">
        <f t="shared" si="52"/>
        <v>1.6669999999999998</v>
      </c>
      <c r="J39" s="8">
        <f t="shared" si="53"/>
        <v>9.3339999999999996</v>
      </c>
    </row>
    <row r="40" spans="1:10" ht="18.75" customHeight="1" x14ac:dyDescent="0.25">
      <c r="A40" s="37" t="s">
        <v>65</v>
      </c>
      <c r="B40" s="36">
        <v>1.25</v>
      </c>
      <c r="C40" s="36">
        <v>1.25</v>
      </c>
      <c r="D40" s="36"/>
      <c r="E40" s="36"/>
      <c r="F40" s="36"/>
      <c r="G40" s="44"/>
      <c r="H40" s="36">
        <f t="shared" ref="H40:H41" si="54">SUM(H39-F40-D40+B40)</f>
        <v>8.9169999999999998</v>
      </c>
      <c r="I40" s="36">
        <f t="shared" ref="I40:I41" si="55">SUM(I39-E40+C40)</f>
        <v>2.9169999999999998</v>
      </c>
      <c r="J40" s="8">
        <f t="shared" ref="J40:J41" si="56">SUM(H40:I40)</f>
        <v>11.834</v>
      </c>
    </row>
    <row r="41" spans="1:10" ht="18.75" customHeight="1" x14ac:dyDescent="0.25">
      <c r="A41" s="37" t="s">
        <v>66</v>
      </c>
      <c r="B41" s="36"/>
      <c r="C41" s="36"/>
      <c r="D41" s="36"/>
      <c r="E41" s="36">
        <v>1</v>
      </c>
      <c r="F41" s="36"/>
      <c r="G41" s="44"/>
      <c r="H41" s="36">
        <f t="shared" si="54"/>
        <v>8.9169999999999998</v>
      </c>
      <c r="I41" s="36">
        <f t="shared" si="55"/>
        <v>1.9169999999999998</v>
      </c>
      <c r="J41" s="8">
        <f t="shared" si="56"/>
        <v>10.834</v>
      </c>
    </row>
    <row r="42" spans="1:10" ht="18.75" customHeight="1" x14ac:dyDescent="0.25">
      <c r="A42" s="37" t="s">
        <v>67</v>
      </c>
      <c r="B42" s="36"/>
      <c r="C42" s="36"/>
      <c r="D42" s="36"/>
      <c r="E42" s="36"/>
      <c r="F42" s="36"/>
      <c r="G42" s="44">
        <v>1</v>
      </c>
      <c r="H42" s="36">
        <f t="shared" ref="H42:H43" si="57">SUM(H41-F42-D42+B42)</f>
        <v>8.9169999999999998</v>
      </c>
      <c r="I42" s="36">
        <f t="shared" ref="I42:I43" si="58">SUM(I41-E42+C42)</f>
        <v>1.9169999999999998</v>
      </c>
      <c r="J42" s="8">
        <f t="shared" ref="J42:J44" si="59">SUM(H42:I42)</f>
        <v>10.834</v>
      </c>
    </row>
    <row r="43" spans="1:10" ht="18.75" customHeight="1" x14ac:dyDescent="0.25">
      <c r="A43" s="37" t="s">
        <v>68</v>
      </c>
      <c r="B43" s="36"/>
      <c r="C43" s="36"/>
      <c r="D43" s="36">
        <v>3</v>
      </c>
      <c r="E43" s="36"/>
      <c r="F43" s="36"/>
      <c r="G43" s="44"/>
      <c r="H43" s="36">
        <f t="shared" si="57"/>
        <v>5.9169999999999998</v>
      </c>
      <c r="I43" s="36">
        <f t="shared" si="58"/>
        <v>1.9169999999999998</v>
      </c>
      <c r="J43" s="8">
        <f t="shared" si="59"/>
        <v>7.8339999999999996</v>
      </c>
    </row>
    <row r="44" spans="1:10" ht="18.75" customHeight="1" x14ac:dyDescent="0.25">
      <c r="A44" s="37" t="s">
        <v>69</v>
      </c>
      <c r="B44" s="36">
        <v>1.25</v>
      </c>
      <c r="C44" s="36">
        <v>1.25</v>
      </c>
      <c r="D44" s="36"/>
      <c r="E44" s="36"/>
      <c r="F44" s="36"/>
      <c r="G44" s="44"/>
      <c r="H44" s="36">
        <f>SUM(H43-F44-D44+B44)</f>
        <v>7.1669999999999998</v>
      </c>
      <c r="I44" s="36">
        <f>SUM(I43-E44+C44)</f>
        <v>3.1669999999999998</v>
      </c>
      <c r="J44" s="8">
        <f t="shared" si="59"/>
        <v>10.334</v>
      </c>
    </row>
    <row r="45" spans="1:10" ht="18.75" customHeight="1" x14ac:dyDescent="0.25">
      <c r="A45" s="37" t="s">
        <v>70</v>
      </c>
      <c r="B45" s="36"/>
      <c r="C45" s="36"/>
      <c r="D45" s="36"/>
      <c r="E45" s="36">
        <v>1</v>
      </c>
      <c r="F45" s="36"/>
      <c r="G45" s="44"/>
      <c r="H45" s="36">
        <f t="shared" ref="H45" si="60">SUM(H44-F45-D45+B45)</f>
        <v>7.1669999999999998</v>
      </c>
      <c r="I45" s="36">
        <f t="shared" ref="I45" si="61">SUM(I44-E45+C45)</f>
        <v>2.1669999999999998</v>
      </c>
      <c r="J45" s="8">
        <f t="shared" ref="J45" si="62">SUM(H45:I45)</f>
        <v>9.3339999999999996</v>
      </c>
    </row>
    <row r="46" spans="1:10" ht="18.75" customHeight="1" x14ac:dyDescent="0.25">
      <c r="A46" s="37" t="s">
        <v>71</v>
      </c>
      <c r="B46" s="36">
        <v>2.5</v>
      </c>
      <c r="C46" s="36">
        <v>2.5</v>
      </c>
      <c r="D46" s="36"/>
      <c r="E46" s="36"/>
      <c r="F46" s="36"/>
      <c r="G46" s="44"/>
      <c r="H46" s="36">
        <f t="shared" ref="H46:H47" si="63">SUM(H45-F46-D46+B46)</f>
        <v>9.6669999999999998</v>
      </c>
      <c r="I46" s="36">
        <f t="shared" ref="I46:I47" si="64">SUM(I45-E46+C46)</f>
        <v>4.6669999999999998</v>
      </c>
      <c r="J46" s="8">
        <f t="shared" ref="J46:J47" si="65">SUM(H46:I46)</f>
        <v>14.334</v>
      </c>
    </row>
    <row r="47" spans="1:10" ht="18.75" customHeight="1" x14ac:dyDescent="0.25">
      <c r="A47" s="37" t="s">
        <v>72</v>
      </c>
      <c r="B47" s="36"/>
      <c r="C47" s="36"/>
      <c r="D47" s="36"/>
      <c r="E47" s="36"/>
      <c r="F47" s="35">
        <v>1</v>
      </c>
      <c r="G47" s="44"/>
      <c r="H47" s="36">
        <f t="shared" si="63"/>
        <v>8.6669999999999998</v>
      </c>
      <c r="I47" s="36">
        <f t="shared" si="64"/>
        <v>4.6669999999999998</v>
      </c>
      <c r="J47" s="8">
        <f t="shared" si="65"/>
        <v>13.334</v>
      </c>
    </row>
    <row r="48" spans="1:10" ht="18.75" customHeight="1" x14ac:dyDescent="0.25">
      <c r="A48" s="37" t="s">
        <v>73</v>
      </c>
      <c r="B48" s="36">
        <v>5</v>
      </c>
      <c r="C48" s="36">
        <v>5</v>
      </c>
      <c r="D48" s="36"/>
      <c r="E48" s="36"/>
      <c r="F48" s="36"/>
      <c r="G48" s="44"/>
      <c r="H48" s="36">
        <f t="shared" ref="H48:H49" si="66">SUM(H47-F48-D48+B48)</f>
        <v>13.667</v>
      </c>
      <c r="I48" s="36">
        <f t="shared" ref="I48:I49" si="67">SUM(I47-E48+C48)</f>
        <v>9.6669999999999998</v>
      </c>
      <c r="J48" s="8">
        <f t="shared" ref="J48:J49" si="68">SUM(H48:I48)</f>
        <v>23.334</v>
      </c>
    </row>
    <row r="49" spans="1:10" ht="18.75" customHeight="1" x14ac:dyDescent="0.25">
      <c r="A49" s="37" t="s">
        <v>74</v>
      </c>
      <c r="B49" s="36"/>
      <c r="C49" s="36"/>
      <c r="D49" s="36"/>
      <c r="E49" s="36"/>
      <c r="F49" s="36"/>
      <c r="G49" s="47">
        <v>1</v>
      </c>
      <c r="H49" s="36">
        <f t="shared" si="66"/>
        <v>13.667</v>
      </c>
      <c r="I49" s="36">
        <f t="shared" si="67"/>
        <v>9.6669999999999998</v>
      </c>
      <c r="J49" s="8">
        <f t="shared" si="68"/>
        <v>23.334</v>
      </c>
    </row>
    <row r="50" spans="1:10" ht="18.75" customHeight="1" x14ac:dyDescent="0.25">
      <c r="A50" s="37" t="s">
        <v>75</v>
      </c>
      <c r="B50" s="36">
        <v>1.25</v>
      </c>
      <c r="C50" s="36">
        <v>1.25</v>
      </c>
      <c r="D50" s="36"/>
      <c r="E50" s="36"/>
      <c r="F50" s="36"/>
      <c r="G50" s="65"/>
      <c r="H50" s="36">
        <f t="shared" ref="H50:H51" si="69">SUM(H49-F50-D50+B50)</f>
        <v>14.917</v>
      </c>
      <c r="I50" s="36">
        <f t="shared" ref="I50:I51" si="70">SUM(I49-E50+C50)</f>
        <v>10.917</v>
      </c>
      <c r="J50" s="8">
        <f t="shared" ref="J50:J51" si="71">SUM(H50:I50)</f>
        <v>25.834</v>
      </c>
    </row>
    <row r="51" spans="1:10" ht="18.75" customHeight="1" x14ac:dyDescent="0.25">
      <c r="A51" s="37" t="s">
        <v>76</v>
      </c>
      <c r="B51" s="36"/>
      <c r="C51" s="36"/>
      <c r="D51" s="36"/>
      <c r="E51" s="36">
        <v>1</v>
      </c>
      <c r="F51" s="36"/>
      <c r="G51" s="65"/>
      <c r="H51" s="36">
        <f t="shared" si="69"/>
        <v>14.917</v>
      </c>
      <c r="I51" s="36">
        <f t="shared" si="70"/>
        <v>9.9169999999999998</v>
      </c>
      <c r="J51" s="8">
        <f t="shared" si="71"/>
        <v>24.834</v>
      </c>
    </row>
    <row r="52" spans="1:10" ht="18.75" customHeight="1" x14ac:dyDescent="0.25">
      <c r="A52" s="37"/>
      <c r="B52" s="36"/>
      <c r="C52" s="36"/>
      <c r="D52" s="36"/>
      <c r="E52" s="36"/>
      <c r="F52" s="36"/>
      <c r="G52" s="65"/>
      <c r="H52" s="36"/>
      <c r="I52" s="36"/>
      <c r="J52" s="9"/>
    </row>
    <row r="53" spans="1:10" ht="75.75" customHeight="1" x14ac:dyDescent="0.25">
      <c r="A53" s="48"/>
      <c r="B53" s="48"/>
      <c r="C53" s="48"/>
      <c r="D53" s="48"/>
      <c r="E53" s="48"/>
      <c r="F53" s="48"/>
      <c r="G53" s="48"/>
      <c r="H53" s="48"/>
      <c r="I53" s="48"/>
      <c r="J53" s="48"/>
    </row>
    <row r="54" spans="1:10" s="1" customFormat="1" x14ac:dyDescent="0.25">
      <c r="B54"/>
      <c r="C54"/>
      <c r="D54"/>
      <c r="E54"/>
      <c r="F54"/>
      <c r="H54"/>
      <c r="I54"/>
    </row>
    <row r="55" spans="1:10" s="1" customFormat="1" x14ac:dyDescent="0.25">
      <c r="B55"/>
      <c r="C55"/>
      <c r="D55"/>
      <c r="E55"/>
      <c r="F55"/>
      <c r="H55"/>
      <c r="I55"/>
    </row>
  </sheetData>
  <mergeCells count="12">
    <mergeCell ref="A53:J53"/>
    <mergeCell ref="A2:J2"/>
    <mergeCell ref="A3:J3"/>
    <mergeCell ref="A4:J4"/>
    <mergeCell ref="A5:J5"/>
    <mergeCell ref="A11:A12"/>
    <mergeCell ref="J11:J12"/>
    <mergeCell ref="B11:C11"/>
    <mergeCell ref="D11:G11"/>
    <mergeCell ref="H11:I11"/>
    <mergeCell ref="A10:J10"/>
    <mergeCell ref="A13:J13"/>
  </mergeCells>
  <phoneticPr fontId="5" type="noConversion"/>
  <printOptions horizontalCentered="1"/>
  <pageMargins left="0.23622047244094491" right="0.23622047244094491" top="0.35433070866141736" bottom="0.55118110236220474" header="0.31496062992125984" footer="0.31496062992125984"/>
  <pageSetup paperSize="9" scale="74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L15" sqref="L15"/>
    </sheetView>
  </sheetViews>
  <sheetFormatPr defaultColWidth="9" defaultRowHeight="15" x14ac:dyDescent="0.25"/>
  <cols>
    <col min="1" max="1" width="29.85546875" style="18" customWidth="1"/>
    <col min="2" max="2" width="9.42578125" style="30" customWidth="1"/>
    <col min="3" max="3" width="9.28515625" style="31" customWidth="1"/>
    <col min="4" max="4" width="9.140625" style="18" customWidth="1"/>
    <col min="5" max="5" width="8.42578125" style="30" customWidth="1"/>
    <col min="6" max="6" width="10.85546875" style="32" customWidth="1"/>
    <col min="7" max="7" width="9.7109375" style="33" customWidth="1"/>
    <col min="8" max="8" width="10.85546875" style="18" customWidth="1"/>
    <col min="9" max="9" width="9.7109375" style="30" customWidth="1"/>
    <col min="10" max="10" width="10" style="32" customWidth="1"/>
    <col min="11" max="11" width="8.7109375" style="33" customWidth="1"/>
    <col min="12" max="12" width="7.5703125" style="18" customWidth="1"/>
    <col min="13" max="16384" width="9" style="18"/>
  </cols>
  <sheetData>
    <row r="1" spans="1:13" s="11" customFormat="1" ht="52.5" customHeight="1" x14ac:dyDescent="0.25">
      <c r="C1" s="12"/>
      <c r="D1" s="13"/>
      <c r="H1" s="14"/>
    </row>
    <row r="2" spans="1:13" s="11" customFormat="1" ht="10.5" customHeight="1" x14ac:dyDescent="0.25">
      <c r="A2" s="64" t="s">
        <v>12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3" s="11" customFormat="1" ht="15.95" customHeight="1" x14ac:dyDescent="0.25">
      <c r="A3" s="64" t="s">
        <v>13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3" s="11" customFormat="1" ht="15.95" customHeight="1" x14ac:dyDescent="0.25">
      <c r="A4" s="64" t="s">
        <v>14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3" s="11" customFormat="1" ht="15.95" customHeight="1" x14ac:dyDescent="0.25">
      <c r="A5" s="64" t="s">
        <v>15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</row>
    <row r="6" spans="1:13" s="11" customFormat="1" ht="8.25" customHeight="1" x14ac:dyDescent="0.25">
      <c r="C6" s="14"/>
      <c r="H6" s="14"/>
    </row>
    <row r="7" spans="1:13" s="11" customFormat="1" ht="8.25" customHeight="1" x14ac:dyDescent="0.25">
      <c r="C7" s="14"/>
      <c r="H7" s="14"/>
    </row>
    <row r="8" spans="1:13" s="11" customFormat="1" ht="12" customHeight="1" x14ac:dyDescent="0.25">
      <c r="A8" s="15" t="s">
        <v>39</v>
      </c>
      <c r="B8" s="15"/>
      <c r="C8" s="60" t="s">
        <v>23</v>
      </c>
      <c r="D8" s="60"/>
      <c r="E8" s="60"/>
      <c r="F8" s="60"/>
      <c r="G8" s="60"/>
      <c r="I8" s="60" t="s">
        <v>24</v>
      </c>
      <c r="J8" s="60"/>
      <c r="K8" s="60"/>
      <c r="L8" s="15"/>
    </row>
    <row r="9" spans="1:13" s="11" customFormat="1" ht="12" customHeight="1" x14ac:dyDescent="0.25">
      <c r="B9" s="16"/>
      <c r="C9" s="60" t="s">
        <v>25</v>
      </c>
      <c r="D9" s="60"/>
      <c r="E9" s="60"/>
      <c r="F9" s="60"/>
      <c r="G9" s="60"/>
      <c r="I9" s="61" t="s">
        <v>26</v>
      </c>
      <c r="J9" s="61"/>
      <c r="K9" s="61"/>
      <c r="L9" s="16"/>
    </row>
    <row r="10" spans="1:13" s="11" customFormat="1" ht="12" customHeight="1" x14ac:dyDescent="0.25">
      <c r="A10" s="15" t="s">
        <v>40</v>
      </c>
      <c r="B10" s="15"/>
      <c r="C10" s="17"/>
      <c r="D10" s="16"/>
      <c r="E10" s="16"/>
      <c r="I10" s="60" t="s">
        <v>27</v>
      </c>
      <c r="J10" s="60"/>
      <c r="K10" s="60"/>
      <c r="L10" s="15"/>
    </row>
    <row r="11" spans="1:13" ht="16.5" customHeight="1" thickBot="1" x14ac:dyDescent="0.3">
      <c r="A11" s="62" t="s">
        <v>28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</row>
    <row r="12" spans="1:13" s="22" customFormat="1" ht="48" x14ac:dyDescent="0.2">
      <c r="A12" s="19" t="s">
        <v>4</v>
      </c>
      <c r="B12" s="20" t="s">
        <v>29</v>
      </c>
      <c r="C12" s="20" t="s">
        <v>30</v>
      </c>
      <c r="D12" s="20" t="s">
        <v>31</v>
      </c>
      <c r="E12" s="20" t="s">
        <v>32</v>
      </c>
      <c r="F12" s="20" t="s">
        <v>33</v>
      </c>
      <c r="G12" s="20" t="s">
        <v>34</v>
      </c>
      <c r="H12" s="20" t="s">
        <v>35</v>
      </c>
      <c r="I12" s="20" t="s">
        <v>36</v>
      </c>
      <c r="J12" s="20" t="s">
        <v>37</v>
      </c>
      <c r="K12" s="20" t="s">
        <v>38</v>
      </c>
      <c r="L12" s="21" t="s">
        <v>8</v>
      </c>
      <c r="M12" s="22" t="s">
        <v>4</v>
      </c>
    </row>
    <row r="13" spans="1:13" s="22" customFormat="1" x14ac:dyDescent="0.2">
      <c r="A13" s="34" t="s">
        <v>41</v>
      </c>
      <c r="B13" s="23"/>
      <c r="C13" s="24">
        <v>7</v>
      </c>
      <c r="D13" s="24"/>
      <c r="E13" s="23"/>
      <c r="F13" s="23"/>
      <c r="G13" s="23"/>
      <c r="H13" s="24"/>
      <c r="I13" s="23"/>
      <c r="J13" s="23"/>
      <c r="K13" s="23"/>
      <c r="L13" s="25">
        <v>7</v>
      </c>
    </row>
    <row r="14" spans="1:13" s="27" customFormat="1" x14ac:dyDescent="0.2">
      <c r="A14" s="2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5"/>
    </row>
    <row r="15" spans="1:13" s="27" customFormat="1" x14ac:dyDescent="0.2">
      <c r="A15" s="2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5"/>
    </row>
    <row r="16" spans="1:13" s="27" customFormat="1" x14ac:dyDescent="0.2">
      <c r="A16" s="2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5"/>
    </row>
    <row r="17" spans="1:12" s="27" customFormat="1" x14ac:dyDescent="0.2">
      <c r="A17" s="2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5"/>
    </row>
    <row r="18" spans="1:12" s="27" customFormat="1" x14ac:dyDescent="0.2">
      <c r="A18" s="2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5"/>
    </row>
    <row r="19" spans="1:12" s="27" customFormat="1" x14ac:dyDescent="0.2">
      <c r="A19" s="2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5"/>
    </row>
    <row r="20" spans="1:12" s="27" customFormat="1" x14ac:dyDescent="0.2">
      <c r="A20" s="28"/>
      <c r="B20" s="23"/>
      <c r="C20" s="24"/>
      <c r="D20" s="24"/>
      <c r="E20" s="23"/>
      <c r="F20" s="23"/>
      <c r="G20" s="23"/>
      <c r="H20" s="24"/>
      <c r="I20" s="23"/>
      <c r="J20" s="23"/>
      <c r="K20" s="29"/>
      <c r="L20" s="25"/>
    </row>
    <row r="21" spans="1:12" ht="75.75" customHeight="1" x14ac:dyDescent="0.25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</row>
    <row r="22" spans="1:12" s="11" customFormat="1" x14ac:dyDescent="0.25">
      <c r="C22" s="14"/>
    </row>
    <row r="23" spans="1:12" s="11" customFormat="1" x14ac:dyDescent="0.25">
      <c r="C23" s="14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Leave Card (NE) (2)</vt:lpstr>
      <vt:lpstr>'Leave Card (NE)'!Print_Area</vt:lpstr>
      <vt:lpstr>'Leave Card (NE) (2)'!Print_Area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2025-08-18T07:27:38Z</cp:lastPrinted>
  <dcterms:created xsi:type="dcterms:W3CDTF">2021-10-07T06:10:16Z</dcterms:created>
  <dcterms:modified xsi:type="dcterms:W3CDTF">2025-08-18T07:30:32Z</dcterms:modified>
</cp:coreProperties>
</file>