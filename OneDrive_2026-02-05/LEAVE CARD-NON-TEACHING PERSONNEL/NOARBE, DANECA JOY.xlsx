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CTO" sheetId="7" r:id="rId2"/>
    <sheet name="Leave Card (NE) (2)" sheetId="8" r:id="rId3"/>
  </sheets>
  <definedNames>
    <definedName name="_xlnm.Print_Area" localSheetId="0">'Leave Card (NE)'!$A$1:$J$73</definedName>
    <definedName name="_xlnm.Print_Area" localSheetId="2">'Leave Card (NE) (2)'!$A$1:$J$89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<sst xmlns="http://schemas.openxmlformats.org/spreadsheetml/2006/main" count="205" uniqueCount="114">
  <si>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</si>
  <si>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</si>
  <si>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</si>
  <si>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</si>
  <si>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</si>
  <si>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</si>
  <si>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</si>
  <si>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</si>
  <si>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</si>
  <si>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</si>
  <si>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</si>
  <si>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</si>
  <si>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</si>
  <si>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</si>
  <si>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</si>
  <si>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</si>
  <si>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</si>
  <si>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</si>
  <si>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</si>
  <si>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</si>
  <si>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</si>
  <si>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NOV.7, 2016 ORIG. APPOINTMENT</t>
  </si>
  <si>
    <t>BALANCE FORWARDED AS OF 6/30/2019</t>
  </si>
  <si>
    <t>ADD: 07/01/2019 - 12/31/2019</t>
  </si>
  <si>
    <t>ADD: 01/01/2020 - 12/31/2020</t>
  </si>
  <si>
    <t>LESS: FL 2020</t>
  </si>
  <si>
    <t>LESS: MONETIZATION 2020</t>
  </si>
  <si>
    <t>ADD: 01/01/2021 - 12/31/2021</t>
  </si>
  <si>
    <t>LESS: MONETIZATION 2021</t>
  </si>
  <si>
    <t>LESS: 11/17/2021</t>
  </si>
  <si>
    <t>LESS: FL 2021</t>
  </si>
  <si>
    <t>ADD: 01/01/22 - 02/28/22</t>
  </si>
  <si>
    <t>LESS: 03/15/22</t>
  </si>
  <si>
    <t>ADD: 03/01/22 - 04/30/22</t>
  </si>
  <si>
    <t>LESS: 06/14, 22, 23 &amp; 24/22</t>
  </si>
  <si>
    <t>ADD: 05/01/22 - 07/31/22</t>
  </si>
  <si>
    <t>ADD: 08/01/22 - 08/31/22</t>
  </si>
  <si>
    <t>LESS: MONETIZATION 2022</t>
  </si>
  <si>
    <t>ADD: 09/01/22 - 12/31/22</t>
  </si>
  <si>
    <t>LESS: 12/22/22</t>
  </si>
  <si>
    <t>LESS: 01/24/23</t>
  </si>
  <si>
    <t>ADD: 01/01/2023 - 04/30/2023</t>
  </si>
  <si>
    <t>LESS: 05/02/23</t>
  </si>
  <si>
    <t>ADD: 05/01/2023 - 08/31/2023</t>
  </si>
  <si>
    <t>LESS: MONETIZATION 2023</t>
  </si>
  <si>
    <t>ADD: 09/01/2023-10/31/2023</t>
  </si>
  <si>
    <t>LESS: 11/14-15/2023</t>
  </si>
  <si>
    <t>LESS: ADDITIONAL MONETIZATION 2023</t>
  </si>
  <si>
    <t>ADD: 11/01/2023-11/30/2023</t>
  </si>
  <si>
    <t>ADD: DISSAPPROVED FL ( 11/14-15/2023</t>
  </si>
  <si>
    <t>LESS: 12/14,15,27/2023</t>
  </si>
  <si>
    <t>LESS: 12/28/2023</t>
  </si>
  <si>
    <t>ADD: 12/01/2023-12/31/2023</t>
  </si>
  <si>
    <t>ADD: DISAPPROVED FL (12/14,15,27/2023</t>
  </si>
  <si>
    <t>ADD: 01/01-31/2024</t>
  </si>
  <si>
    <t>ADD: 02/1/2024-03/31/2024</t>
  </si>
  <si>
    <t>LESS: 04/30/2024</t>
  </si>
  <si>
    <t>LESS: 04/26/2024</t>
  </si>
  <si>
    <t>ADD: 04/1-30/2024</t>
  </si>
  <si>
    <t>LESS: 05/29/2024</t>
  </si>
  <si>
    <t>ADD: 05/1/2024-07/31/2024</t>
  </si>
  <si>
    <t>LESS: MONETIZATION 2024</t>
  </si>
  <si>
    <t>ADD: 08/1/2024-10/31/2024</t>
  </si>
  <si>
    <t>LESS: 11/22-28/2024</t>
  </si>
  <si>
    <t>ADD: 11/1/2024-12/31/2024</t>
  </si>
  <si>
    <t>ADD: 11/22-28/2024 Exigency of Service</t>
  </si>
  <si>
    <t>ADD: 01/1/2025-03/31/2025</t>
  </si>
  <si>
    <t>LESS: 04/30/2025</t>
  </si>
  <si>
    <t>ADD: 04/1/2025-06/30/2025</t>
  </si>
  <si>
    <t>LESS: 07/14/2025</t>
  </si>
  <si>
    <t>ADD: 07/1/2025-08/31/2025</t>
  </si>
  <si>
    <t>LESS: 09/18/2025 PM</t>
  </si>
  <si>
    <t>ADD: 09/1/2025-10/31/2025</t>
  </si>
  <si>
    <t>LESS: MONETIZATION 2025 (30 DAYS)</t>
  </si>
  <si>
    <t>ADD: 11/1-30/2025</t>
  </si>
  <si>
    <t>LESS: 12/12, 15-17/2025</t>
  </si>
  <si>
    <t>DATE DILED: 12/12,15-17,29/2025</t>
  </si>
  <si>
    <t>Certified Correct:</t>
  </si>
  <si>
    <t>MA. LUISA B. CATIGAN</t>
  </si>
  <si>
    <t>Administrative Officer IV</t>
  </si>
  <si>
    <t xml:space="preserve">                 HRMO</t>
  </si>
  <si>
    <t>COMPENSATORY TIME OFF (CTO)</t>
  </si>
  <si>
    <t>Special Order No. and Date Issued</t>
  </si>
  <si>
    <t>No. of Days Granted</t>
  </si>
  <si>
    <t>No. of Days Used</t>
  </si>
  <si>
    <t>Balance</t>
  </si>
  <si>
    <t>ADD: 10/17/2023</t>
  </si>
  <si>
    <t>SO# 159, S. 2023 125TH PHIL. INDEPENDENCE DAY</t>
  </si>
  <si>
    <t>LESS: 07/2/2024</t>
  </si>
  <si>
    <t>ADD: 06/6/2024</t>
  </si>
  <si>
    <t>S.O. # 021, S. 2024. 1ST Q COORDINATION MEETING CUM WORKSHOP W/ DIV. ACCOUNTANTS AND BUDGET OFFICERS</t>
  </si>
  <si>
    <t>LESS: 07/3/2024</t>
  </si>
  <si>
    <t>ADD: 06/26/2024</t>
  </si>
  <si>
    <t>S.O. # 024, S. 2024. 126TH PHILIPPINE INDEPENDENCE DAY CELEBRATION</t>
  </si>
  <si>
    <t>LESS: 05/19/2025</t>
  </si>
  <si>
    <t>ADD: 03/21/2025</t>
  </si>
  <si>
    <t>SO # 010, S. 2024 OVERTIME (DEC. 20, 2024)</t>
  </si>
  <si>
    <t>2 DAYS &amp; 30 MINS</t>
  </si>
  <si>
    <t>LESS: 07/10/2025 PM &amp; 07/11/2025 AM</t>
  </si>
  <si>
    <t>1 DAY &amp; 30 MINS</t>
  </si>
  <si>
    <t>ADD: 02/5/2025</t>
  </si>
  <si>
    <t>SO # 002, S. 2025 RIZAL DAY 2024 CELEBRATION</t>
  </si>
  <si>
    <t>LESS: 11/17/2025</t>
  </si>
  <si>
    <t>NOTE:  Valid for one (1) year only</t>
  </si>
  <si>
    <t>HRMO</t>
  </si>
  <si>
    <t>ADD: 11/7-30/2016</t>
  </si>
  <si>
    <t>ADD: 12/1-31/2016</t>
  </si>
  <si>
    <t>ADD: 01/1/2017-12/31/2017</t>
  </si>
  <si>
    <t>LESS: MANDATORY FL 2017</t>
  </si>
  <si>
    <t>ADD: 01/01/2018-12/31/2018</t>
  </si>
  <si>
    <t>LESS: MANDATORY FL 2018</t>
  </si>
  <si>
    <t>ADD: 01/1/2019-12/31/2019</t>
  </si>
  <si>
    <t>LESS: MANDATORY FL 2019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</si>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</sst>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5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3" borderId="2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31" applyNumberFormat="0" applyAlignment="0" applyProtection="0">
      <alignment vertical="center"/>
    </xf>
    <xf numFmtId="0" fontId="25" fillId="15" borderId="32" applyNumberFormat="0" applyAlignment="0" applyProtection="0">
      <alignment vertical="center"/>
    </xf>
    <xf numFmtId="0" fontId="26" fillId="15" borderId="31" applyNumberFormat="0" applyAlignment="0" applyProtection="0">
      <alignment vertical="center"/>
    </xf>
    <xf numFmtId="0" fontId="27" fillId="16" borderId="33" applyNumberFormat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29" fillId="0" borderId="35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43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58" fontId="0" fillId="0" borderId="10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76" fontId="0" fillId="2" borderId="20" xfId="0" applyNumberFormat="1" applyFill="1" applyBorder="1" applyAlignment="1">
      <alignment horizontal="center" vertical="center"/>
    </xf>
    <xf numFmtId="176" fontId="0" fillId="2" borderId="21" xfId="0" applyNumberForma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/>
    <xf numFmtId="176" fontId="0" fillId="0" borderId="21" xfId="0" applyNumberFormat="1" applyBorder="1" applyAlignment="1">
      <alignment horizontal="center" vertical="center"/>
    </xf>
    <xf numFmtId="0" fontId="5" fillId="0" borderId="0" xfId="50" applyFont="1"/>
    <xf numFmtId="0" fontId="5" fillId="0" borderId="0" xfId="49" applyFont="1"/>
    <xf numFmtId="0" fontId="6" fillId="0" borderId="0" xfId="0" applyFont="1"/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2" fillId="2" borderId="0" xfId="49" applyFont="1" applyFill="1" applyAlignment="1">
      <alignment vertical="center"/>
    </xf>
    <xf numFmtId="0" fontId="2" fillId="2" borderId="16" xfId="49" applyFont="1" applyFill="1" applyBorder="1" applyAlignment="1">
      <alignment horizontal="center" vertical="center"/>
    </xf>
    <xf numFmtId="0" fontId="2" fillId="2" borderId="0" xfId="49" applyFont="1" applyFill="1"/>
    <xf numFmtId="0" fontId="2" fillId="2" borderId="16" xfId="49" applyFont="1" applyFill="1" applyBorder="1" applyAlignment="1">
      <alignment vertical="center"/>
    </xf>
    <xf numFmtId="0" fontId="3" fillId="2" borderId="1" xfId="49" applyFont="1" applyFill="1" applyBorder="1" applyAlignment="1">
      <alignment horizontal="center" vertical="center"/>
    </xf>
    <xf numFmtId="0" fontId="7" fillId="7" borderId="2" xfId="49" applyFont="1" applyFill="1" applyBorder="1" applyAlignment="1">
      <alignment horizontal="center" vertical="center"/>
    </xf>
    <xf numFmtId="0" fontId="7" fillId="8" borderId="3" xfId="49" applyFont="1" applyFill="1" applyBorder="1" applyAlignment="1">
      <alignment horizontal="center" vertical="center"/>
    </xf>
    <xf numFmtId="0" fontId="7" fillId="8" borderId="4" xfId="49" applyFont="1" applyFill="1" applyBorder="1" applyAlignment="1">
      <alignment horizontal="center" vertical="center"/>
    </xf>
    <xf numFmtId="0" fontId="7" fillId="7" borderId="8" xfId="49" applyFont="1" applyFill="1" applyBorder="1" applyAlignment="1">
      <alignment horizontal="center" vertical="center"/>
    </xf>
    <xf numFmtId="0" fontId="8" fillId="9" borderId="15" xfId="49" applyFont="1" applyFill="1" applyBorder="1" applyAlignment="1">
      <alignment horizontal="center" vertical="center" wrapText="1"/>
    </xf>
    <xf numFmtId="0" fontId="8" fillId="9" borderId="14" xfId="49" applyFont="1" applyFill="1" applyBorder="1" applyAlignment="1">
      <alignment horizontal="center" vertical="center" wrapText="1"/>
    </xf>
    <xf numFmtId="0" fontId="8" fillId="9" borderId="23" xfId="49" applyFont="1" applyFill="1" applyBorder="1" applyAlignment="1">
      <alignment horizontal="center" vertical="center" wrapText="1"/>
    </xf>
    <xf numFmtId="0" fontId="0" fillId="0" borderId="8" xfId="49" applyFont="1" applyBorder="1" applyAlignment="1">
      <alignment horizontal="center" vertical="center" wrapText="1"/>
    </xf>
    <xf numFmtId="0" fontId="8" fillId="0" borderId="15" xfId="49" applyFont="1" applyBorder="1" applyAlignment="1">
      <alignment horizontal="center" vertical="center" wrapText="1"/>
    </xf>
    <xf numFmtId="0" fontId="8" fillId="0" borderId="14" xfId="49" applyFont="1" applyBorder="1" applyAlignment="1">
      <alignment horizontal="center" vertical="center" wrapText="1"/>
    </xf>
    <xf numFmtId="0" fontId="8" fillId="0" borderId="23" xfId="49" applyFont="1" applyBorder="1" applyAlignment="1">
      <alignment horizontal="center" vertical="center" wrapText="1"/>
    </xf>
    <xf numFmtId="0" fontId="0" fillId="0" borderId="11" xfId="49" applyFont="1" applyBorder="1" applyAlignment="1">
      <alignment horizontal="center" vertical="center" wrapText="1"/>
    </xf>
    <xf numFmtId="0" fontId="0" fillId="2" borderId="8" xfId="49" applyFont="1" applyFill="1" applyBorder="1" applyAlignment="1">
      <alignment horizontal="center" vertical="center" wrapText="1"/>
    </xf>
    <xf numFmtId="0" fontId="8" fillId="2" borderId="15" xfId="49" applyFont="1" applyFill="1" applyBorder="1" applyAlignment="1">
      <alignment horizontal="center" vertical="center" wrapText="1"/>
    </xf>
    <xf numFmtId="0" fontId="8" fillId="2" borderId="14" xfId="49" applyFont="1" applyFill="1" applyBorder="1" applyAlignment="1">
      <alignment horizontal="center" vertical="center" wrapText="1"/>
    </xf>
    <xf numFmtId="0" fontId="8" fillId="2" borderId="23" xfId="49" applyFont="1" applyFill="1" applyBorder="1" applyAlignment="1">
      <alignment horizontal="center" vertical="center" wrapText="1"/>
    </xf>
    <xf numFmtId="0" fontId="0" fillId="0" borderId="8" xfId="49" applyFont="1" applyFill="1" applyBorder="1" applyAlignment="1">
      <alignment horizontal="center" vertical="center" wrapText="1"/>
    </xf>
    <xf numFmtId="0" fontId="8" fillId="0" borderId="15" xfId="49" applyFont="1" applyFill="1" applyBorder="1" applyAlignment="1">
      <alignment horizontal="center" vertical="center" wrapText="1"/>
    </xf>
    <xf numFmtId="0" fontId="8" fillId="0" borderId="14" xfId="49" applyFont="1" applyFill="1" applyBorder="1" applyAlignment="1">
      <alignment horizontal="center" vertical="center" wrapText="1"/>
    </xf>
    <xf numFmtId="0" fontId="8" fillId="0" borderId="23" xfId="49" applyFont="1" applyFill="1" applyBorder="1" applyAlignment="1">
      <alignment horizontal="center" vertical="center" wrapText="1"/>
    </xf>
    <xf numFmtId="0" fontId="0" fillId="2" borderId="11" xfId="50" applyFont="1" applyFill="1" applyBorder="1" applyAlignment="1">
      <alignment horizontal="center" vertical="center" wrapText="1"/>
    </xf>
    <xf numFmtId="0" fontId="8" fillId="2" borderId="15" xfId="50" applyFont="1" applyFill="1" applyBorder="1" applyAlignment="1">
      <alignment horizontal="center" vertical="center" wrapText="1"/>
    </xf>
    <xf numFmtId="0" fontId="8" fillId="2" borderId="14" xfId="50" applyFont="1" applyFill="1" applyBorder="1" applyAlignment="1">
      <alignment horizontal="center" vertical="center" wrapText="1"/>
    </xf>
    <xf numFmtId="0" fontId="8" fillId="2" borderId="23" xfId="50" applyFont="1" applyFill="1" applyBorder="1" applyAlignment="1">
      <alignment horizontal="center" vertical="center" wrapText="1"/>
    </xf>
    <xf numFmtId="0" fontId="0" fillId="2" borderId="11" xfId="49" applyFill="1" applyBorder="1" applyAlignment="1">
      <alignment horizontal="center" vertical="center" wrapText="1"/>
    </xf>
    <xf numFmtId="0" fontId="8" fillId="2" borderId="11" xfId="49" applyFont="1" applyFill="1" applyBorder="1" applyAlignment="1">
      <alignment horizontal="center" vertical="center" wrapText="1"/>
    </xf>
    <xf numFmtId="0" fontId="0" fillId="2" borderId="11" xfId="49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0" fillId="0" borderId="0" xfId="49" applyAlignment="1">
      <alignment vertical="center"/>
    </xf>
    <xf numFmtId="0" fontId="8" fillId="2" borderId="0" xfId="49" applyFont="1" applyFill="1" applyAlignment="1">
      <alignment horizontal="center" vertical="center" wrapText="1"/>
    </xf>
    <xf numFmtId="0" fontId="5" fillId="2" borderId="0" xfId="49" applyFont="1" applyFill="1" applyAlignment="1">
      <alignment horizontal="center" vertical="center"/>
    </xf>
    <xf numFmtId="0" fontId="0" fillId="2" borderId="0" xfId="49" applyFill="1" applyAlignment="1">
      <alignment horizontal="center"/>
    </xf>
    <xf numFmtId="0" fontId="2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7" fillId="7" borderId="17" xfId="49" applyFont="1" applyFill="1" applyBorder="1" applyAlignment="1">
      <alignment horizontal="center" vertical="center"/>
    </xf>
    <xf numFmtId="0" fontId="7" fillId="7" borderId="20" xfId="49" applyFont="1" applyFill="1" applyBorder="1" applyAlignment="1">
      <alignment horizontal="center" vertical="center"/>
    </xf>
    <xf numFmtId="0" fontId="0" fillId="0" borderId="21" xfId="49" applyBorder="1" applyAlignment="1">
      <alignment horizontal="center" vertical="center" wrapText="1"/>
    </xf>
    <xf numFmtId="0" fontId="0" fillId="10" borderId="11" xfId="49" applyFill="1" applyBorder="1" applyAlignment="1">
      <alignment horizontal="center" vertical="center" wrapText="1"/>
    </xf>
    <xf numFmtId="0" fontId="0" fillId="2" borderId="21" xfId="49" applyFill="1" applyBorder="1" applyAlignment="1">
      <alignment horizontal="center" vertical="center" wrapText="1"/>
    </xf>
    <xf numFmtId="0" fontId="0" fillId="0" borderId="21" xfId="49" applyFill="1" applyBorder="1" applyAlignment="1">
      <alignment horizontal="center" vertical="center" wrapText="1"/>
    </xf>
    <xf numFmtId="0" fontId="0" fillId="0" borderId="11" xfId="50" applyBorder="1" applyAlignment="1">
      <alignment horizontal="center" vertical="center" wrapText="1"/>
    </xf>
    <xf numFmtId="0" fontId="0" fillId="10" borderId="11" xfId="50" applyFill="1" applyBorder="1" applyAlignment="1">
      <alignment horizontal="center" vertical="center" wrapText="1"/>
    </xf>
    <xf numFmtId="0" fontId="8" fillId="2" borderId="11" xfId="49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2" borderId="0" xfId="49" applyFill="1" applyAlignment="1">
      <alignment horizontal="center" vertical="center" wrapText="1"/>
    </xf>
    <xf numFmtId="0" fontId="9" fillId="0" borderId="0" xfId="49" applyFont="1" applyAlignment="1">
      <alignment vertical="center"/>
    </xf>
    <xf numFmtId="0" fontId="2" fillId="0" borderId="0" xfId="49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10" fillId="2" borderId="11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176" fontId="10" fillId="0" borderId="11" xfId="0" applyNumberFormat="1" applyFont="1" applyBorder="1" applyAlignment="1">
      <alignment horizontal="center" vertical="center"/>
    </xf>
    <xf numFmtId="176" fontId="10" fillId="2" borderId="11" xfId="0" applyNumberFormat="1" applyFont="1" applyFill="1" applyBorder="1" applyAlignment="1">
      <alignment horizontal="center" vertical="center" wrapText="1"/>
    </xf>
    <xf numFmtId="176" fontId="11" fillId="2" borderId="11" xfId="0" applyNumberFormat="1" applyFont="1" applyFill="1" applyBorder="1" applyAlignment="1">
      <alignment horizontal="center" vertical="center" wrapText="1"/>
    </xf>
    <xf numFmtId="176" fontId="11" fillId="0" borderId="11" xfId="0" applyNumberFormat="1" applyFont="1" applyBorder="1" applyAlignment="1">
      <alignment horizontal="center" vertical="center" wrapText="1"/>
    </xf>
    <xf numFmtId="176" fontId="10" fillId="0" borderId="11" xfId="0" applyNumberFormat="1" applyFont="1" applyBorder="1" applyAlignment="1">
      <alignment horizontal="center" vertical="center" wrapText="1"/>
    </xf>
    <xf numFmtId="176" fontId="10" fillId="11" borderId="11" xfId="0" applyNumberFormat="1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76" fontId="12" fillId="0" borderId="11" xfId="0" applyNumberFormat="1" applyFont="1" applyBorder="1" applyAlignment="1">
      <alignment horizontal="center" vertical="center" wrapText="1"/>
    </xf>
    <xf numFmtId="176" fontId="10" fillId="12" borderId="11" xfId="0" applyNumberFormat="1" applyFont="1" applyFill="1" applyBorder="1" applyAlignment="1">
      <alignment horizontal="center" vertical="center" wrapText="1"/>
    </xf>
    <xf numFmtId="176" fontId="13" fillId="0" borderId="1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76" fontId="12" fillId="2" borderId="0" xfId="0" applyNumberFormat="1" applyFont="1" applyFill="1" applyAlignment="1">
      <alignment horizontal="center" vertical="center" wrapText="1"/>
    </xf>
    <xf numFmtId="176" fontId="13" fillId="2" borderId="0" xfId="0" applyNumberFormat="1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/>
    </xf>
    <xf numFmtId="0" fontId="9" fillId="2" borderId="0" xfId="0" applyFont="1" applyFill="1"/>
    <xf numFmtId="176" fontId="0" fillId="0" borderId="0" xfId="0" applyNumberFormat="1" applyAlignment="1">
      <alignment horizontal="center"/>
    </xf>
    <xf numFmtId="176" fontId="0" fillId="0" borderId="0" xfId="0" applyNumberFormat="1"/>
    <xf numFmtId="0" fontId="14" fillId="0" borderId="0" xfId="0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161926</xdr:colOff>
      <xdr:row>0</xdr:row>
      <xdr:rowOff>114300</xdr:rowOff>
    </xdr:from>
    <xdr:to>
      <xdr:col>4</xdr:col>
      <xdr:colOff>212855</xdr:colOff>
      <xdr:row>0</xdr:row>
      <xdr:rowOff>644525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3415" y="114300"/>
          <a:ext cx="84455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4" name="TextBox 3"/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NOARBE, DANECA JOY M.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V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92239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272596</xdr:colOff>
      <xdr:row>0</xdr:row>
      <xdr:rowOff>29030</xdr:rowOff>
    </xdr:from>
    <xdr:ext cx="708251" cy="594449"/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35730" y="28575"/>
          <a:ext cx="708025" cy="594360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6</xdr:row>
      <xdr:rowOff>170961</xdr:rowOff>
    </xdr:from>
    <xdr:to>
      <xdr:col>1</xdr:col>
      <xdr:colOff>946150</xdr:colOff>
      <xdr:row>8</xdr:row>
      <xdr:rowOff>88900</xdr:rowOff>
    </xdr:to>
    <xdr:sp>
      <xdr:nvSpPr>
        <xdr:cNvPr id="3" name="TextBox 2"/>
        <xdr:cNvSpPr txBox="1"/>
      </xdr:nvSpPr>
      <xdr:spPr>
        <a:xfrm>
          <a:off x="573405" y="1268095"/>
          <a:ext cx="183642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NOARBE, DANECA JOY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>
      <xdr:nvSpPr>
        <xdr:cNvPr id="4" name="TextBox 3"/>
        <xdr:cNvSpPr txBox="1"/>
      </xdr:nvSpPr>
      <xdr:spPr>
        <a:xfrm>
          <a:off x="654050" y="1664970"/>
          <a:ext cx="97218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IV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>
      <xdr:nvSpPr>
        <xdr:cNvPr id="5" name="TextBox 4"/>
        <xdr:cNvSpPr txBox="1"/>
      </xdr:nvSpPr>
      <xdr:spPr>
        <a:xfrm>
          <a:off x="3562985" y="1687830"/>
          <a:ext cx="1454785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63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NOARBE,</a:t>
          </a:r>
          <a:r>
            <a:rPr lang="en-US" sz="1100" baseline="0"/>
            <a:t> DANECA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716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347452</xdr:colOff>
      <xdr:row>83</xdr:row>
      <xdr:rowOff>53914</xdr:rowOff>
    </xdr:from>
    <xdr:to>
      <xdr:col>9</xdr:col>
      <xdr:colOff>672043</xdr:colOff>
      <xdr:row>88</xdr:row>
      <xdr:rowOff>170731</xdr:rowOff>
    </xdr:to>
    <xdr:sp>
      <xdr:nvSpPr>
        <xdr:cNvPr id="6" name="TextBox 5"/>
        <xdr:cNvSpPr txBox="1"/>
      </xdr:nvSpPr>
      <xdr:spPr>
        <a:xfrm>
          <a:off x="6030595" y="1450086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7"/>
  <sheetViews>
    <sheetView tabSelected="1" view="pageBreakPreview" zoomScaleNormal="100" topLeftCell="A54" workbookViewId="0">
      <selection activeCell="A60" sqref="A60"/>
    </sheetView>
  </sheetViews>
  <sheetFormatPr defaultColWidth="9" defaultRowHeight="14.4"/>
  <cols>
    <col min="1" max="1" width="39.5740740740741" customWidth="1"/>
    <col min="2" max="10" width="11.5740740740741" customWidth="1"/>
    <col min="11" max="11" width="26.4259259259259" style="4" customWidth="1"/>
  </cols>
  <sheetData>
    <row r="1" s="1" customFormat="1" ht="52.5" customHeight="1"/>
    <row r="2" s="1" customFormat="1" ht="10.5" customHeight="1" spans="1:10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5.95" customHeight="1" spans="1:10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15.95" customHeight="1" spans="1:10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</row>
    <row r="5" s="1" customFormat="1" ht="15.95" customHeight="1" spans="1:10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s="1" customFormat="1" ht="8.25" customHeight="1"/>
    <row r="7" s="1" customFormat="1" ht="12" customHeight="1" spans="1:10">
      <c r="A7" s="1" t="s">
        <v>4</v>
      </c>
      <c r="B7" s="6" t="s">
        <v>5</v>
      </c>
      <c r="C7" s="6"/>
      <c r="D7" s="6"/>
      <c r="H7" s="7" t="s">
        <v>6</v>
      </c>
      <c r="I7" s="31"/>
      <c r="J7" s="7"/>
    </row>
    <row r="8" s="1" customFormat="1" ht="12" customHeight="1" spans="2:10">
      <c r="B8" s="8"/>
      <c r="C8" s="8"/>
      <c r="H8" s="8"/>
      <c r="I8" s="8"/>
      <c r="J8" s="8"/>
    </row>
    <row r="9" s="1" customFormat="1" ht="12" customHeight="1" spans="1:10">
      <c r="A9" s="1" t="s">
        <v>7</v>
      </c>
      <c r="B9" s="6" t="s">
        <v>8</v>
      </c>
      <c r="C9" s="6"/>
      <c r="D9" s="6"/>
      <c r="H9" s="7" t="s">
        <v>9</v>
      </c>
      <c r="I9" s="32"/>
      <c r="J9" s="7"/>
    </row>
    <row r="10" ht="16.5" customHeight="1" spans="1:11">
      <c r="A10" s="111" t="s">
        <v>10</v>
      </c>
      <c r="B10" s="111"/>
      <c r="C10" s="111"/>
      <c r="D10" s="111"/>
      <c r="E10" s="111"/>
      <c r="F10" s="111"/>
      <c r="G10" s="111"/>
      <c r="H10" s="111"/>
      <c r="I10" s="111"/>
      <c r="J10" s="111"/>
      <c r="K10"/>
    </row>
    <row r="11" ht="18.75" customHeight="1" spans="1:11">
      <c r="A11" s="112" t="s">
        <v>11</v>
      </c>
      <c r="B11" s="113" t="s">
        <v>12</v>
      </c>
      <c r="C11" s="113"/>
      <c r="D11" s="114" t="s">
        <v>13</v>
      </c>
      <c r="E11" s="114"/>
      <c r="F11" s="114"/>
      <c r="G11" s="114"/>
      <c r="H11" s="115" t="s">
        <v>14</v>
      </c>
      <c r="I11" s="115"/>
      <c r="J11" s="128" t="s">
        <v>15</v>
      </c>
      <c r="K11" s="129" t="s">
        <v>16</v>
      </c>
    </row>
    <row r="12" ht="18.75" customHeight="1" spans="1:11">
      <c r="A12" s="116"/>
      <c r="B12" s="117" t="s">
        <v>17</v>
      </c>
      <c r="C12" s="117" t="s">
        <v>18</v>
      </c>
      <c r="D12" s="117" t="s">
        <v>17</v>
      </c>
      <c r="E12" s="117" t="s">
        <v>18</v>
      </c>
      <c r="F12" s="117" t="s">
        <v>19</v>
      </c>
      <c r="G12" s="117" t="s">
        <v>20</v>
      </c>
      <c r="H12" s="117" t="s">
        <v>17</v>
      </c>
      <c r="I12" s="117" t="s">
        <v>18</v>
      </c>
      <c r="J12" s="130"/>
      <c r="K12" s="129"/>
    </row>
    <row r="13" ht="18.75" customHeight="1" spans="1:11">
      <c r="A13" s="118" t="s">
        <v>21</v>
      </c>
      <c r="B13" s="117"/>
      <c r="C13" s="117"/>
      <c r="D13" s="117"/>
      <c r="E13" s="117"/>
      <c r="F13" s="117"/>
      <c r="G13" s="117"/>
      <c r="H13" s="117"/>
      <c r="I13" s="117"/>
      <c r="J13" s="131"/>
      <c r="K13" s="129"/>
    </row>
    <row r="14" ht="18.75" customHeight="1" spans="1:10">
      <c r="A14" s="119" t="s">
        <v>22</v>
      </c>
      <c r="B14" s="120">
        <v>5.75</v>
      </c>
      <c r="C14" s="120">
        <v>25.75</v>
      </c>
      <c r="D14" s="120"/>
      <c r="E14" s="120"/>
      <c r="F14" s="120"/>
      <c r="G14" s="120"/>
      <c r="H14" s="120">
        <v>5.75</v>
      </c>
      <c r="I14" s="120">
        <v>25.75</v>
      </c>
      <c r="J14" s="120">
        <f>SUM(H14:I14)</f>
        <v>31.5</v>
      </c>
    </row>
    <row r="15" ht="18.75" customHeight="1" spans="1:10">
      <c r="A15" s="119" t="s">
        <v>23</v>
      </c>
      <c r="B15" s="120">
        <v>7.5</v>
      </c>
      <c r="C15" s="120">
        <v>7.5</v>
      </c>
      <c r="D15" s="120"/>
      <c r="E15" s="120"/>
      <c r="F15" s="120"/>
      <c r="G15" s="120"/>
      <c r="H15" s="120">
        <f>H14-F15-D15+B15</f>
        <v>13.25</v>
      </c>
      <c r="I15" s="120">
        <f>I14-E15+C15</f>
        <v>33.25</v>
      </c>
      <c r="J15" s="120">
        <f>SUM(H15:I15)</f>
        <v>46.5</v>
      </c>
    </row>
    <row r="16" ht="18.75" customHeight="1" spans="1:10">
      <c r="A16" s="119" t="s">
        <v>24</v>
      </c>
      <c r="B16" s="120">
        <v>15</v>
      </c>
      <c r="C16" s="120">
        <v>15</v>
      </c>
      <c r="D16" s="120"/>
      <c r="E16" s="120"/>
      <c r="F16" s="120"/>
      <c r="G16" s="120"/>
      <c r="H16" s="120">
        <f t="shared" ref="H16:H34" si="0">H15-F16-D16+B16</f>
        <v>28.25</v>
      </c>
      <c r="I16" s="120">
        <f t="shared" ref="I16:I34" si="1">I15-E16+C16</f>
        <v>48.25</v>
      </c>
      <c r="J16" s="120">
        <f t="shared" ref="J16:J34" si="2">SUM(H16:I16)</f>
        <v>76.5</v>
      </c>
    </row>
    <row r="17" ht="18.75" customHeight="1" spans="1:10">
      <c r="A17" s="119" t="s">
        <v>25</v>
      </c>
      <c r="B17" s="120"/>
      <c r="C17" s="120"/>
      <c r="D17" s="120"/>
      <c r="E17" s="120"/>
      <c r="F17" s="120">
        <v>5</v>
      </c>
      <c r="G17" s="120"/>
      <c r="H17" s="120">
        <f t="shared" si="0"/>
        <v>23.25</v>
      </c>
      <c r="I17" s="120">
        <f t="shared" si="1"/>
        <v>48.25</v>
      </c>
      <c r="J17" s="120">
        <f t="shared" si="2"/>
        <v>71.5</v>
      </c>
    </row>
    <row r="18" ht="18.75" customHeight="1" spans="1:10">
      <c r="A18" s="119" t="s">
        <v>26</v>
      </c>
      <c r="B18" s="120"/>
      <c r="C18" s="120"/>
      <c r="D18" s="120">
        <v>10</v>
      </c>
      <c r="E18" s="120"/>
      <c r="F18" s="120"/>
      <c r="G18" s="120"/>
      <c r="H18" s="120">
        <f t="shared" si="0"/>
        <v>13.25</v>
      </c>
      <c r="I18" s="120">
        <f t="shared" si="1"/>
        <v>48.25</v>
      </c>
      <c r="J18" s="120">
        <f t="shared" si="2"/>
        <v>61.5</v>
      </c>
    </row>
    <row r="19" ht="18.75" customHeight="1" spans="1:10">
      <c r="A19" s="119" t="s">
        <v>27</v>
      </c>
      <c r="B19" s="120">
        <v>15</v>
      </c>
      <c r="C19" s="120">
        <v>15</v>
      </c>
      <c r="D19" s="120"/>
      <c r="E19" s="120"/>
      <c r="F19" s="120"/>
      <c r="G19" s="120"/>
      <c r="H19" s="120">
        <f t="shared" si="0"/>
        <v>28.25</v>
      </c>
      <c r="I19" s="120">
        <f t="shared" si="1"/>
        <v>63.25</v>
      </c>
      <c r="J19" s="120">
        <f t="shared" si="2"/>
        <v>91.5</v>
      </c>
    </row>
    <row r="20" ht="18.75" customHeight="1" spans="1:10">
      <c r="A20" s="119" t="s">
        <v>28</v>
      </c>
      <c r="B20" s="120"/>
      <c r="C20" s="120"/>
      <c r="D20" s="120">
        <v>20</v>
      </c>
      <c r="E20" s="120">
        <v>9</v>
      </c>
      <c r="F20" s="120"/>
      <c r="G20" s="120"/>
      <c r="H20" s="120">
        <f t="shared" si="0"/>
        <v>8.25</v>
      </c>
      <c r="I20" s="120">
        <f t="shared" si="1"/>
        <v>54.25</v>
      </c>
      <c r="J20" s="120">
        <f t="shared" si="2"/>
        <v>62.5</v>
      </c>
    </row>
    <row r="21" ht="18.75" customHeight="1" spans="1:10">
      <c r="A21" s="119" t="s">
        <v>29</v>
      </c>
      <c r="B21" s="120"/>
      <c r="C21" s="120"/>
      <c r="D21" s="120"/>
      <c r="E21" s="120"/>
      <c r="F21" s="120">
        <v>1</v>
      </c>
      <c r="G21" s="120"/>
      <c r="H21" s="120">
        <f t="shared" si="0"/>
        <v>7.25</v>
      </c>
      <c r="I21" s="120">
        <f t="shared" si="1"/>
        <v>54.25</v>
      </c>
      <c r="J21" s="120">
        <f t="shared" si="2"/>
        <v>61.5</v>
      </c>
    </row>
    <row r="22" ht="18.75" customHeight="1" spans="1:10">
      <c r="A22" s="119" t="s">
        <v>30</v>
      </c>
      <c r="B22" s="120"/>
      <c r="C22" s="120"/>
      <c r="D22" s="120"/>
      <c r="E22" s="120"/>
      <c r="F22" s="120">
        <v>4</v>
      </c>
      <c r="G22" s="120"/>
      <c r="H22" s="120">
        <f t="shared" si="0"/>
        <v>3.25</v>
      </c>
      <c r="I22" s="120">
        <f t="shared" si="1"/>
        <v>54.25</v>
      </c>
      <c r="J22" s="120">
        <f t="shared" si="2"/>
        <v>57.5</v>
      </c>
    </row>
    <row r="23" ht="18.75" customHeight="1" spans="1:10">
      <c r="A23" s="119" t="s">
        <v>31</v>
      </c>
      <c r="B23" s="120">
        <v>2.5</v>
      </c>
      <c r="C23" s="120">
        <v>2.5</v>
      </c>
      <c r="D23" s="120"/>
      <c r="E23" s="120"/>
      <c r="F23" s="120"/>
      <c r="G23" s="120"/>
      <c r="H23" s="120">
        <f t="shared" si="0"/>
        <v>5.75</v>
      </c>
      <c r="I23" s="120">
        <f t="shared" si="1"/>
        <v>56.75</v>
      </c>
      <c r="J23" s="120">
        <f t="shared" si="2"/>
        <v>62.5</v>
      </c>
    </row>
    <row r="24" ht="18.75" customHeight="1" spans="1:10">
      <c r="A24" s="119" t="s">
        <v>32</v>
      </c>
      <c r="B24" s="120"/>
      <c r="C24" s="120"/>
      <c r="D24" s="120"/>
      <c r="E24" s="120"/>
      <c r="F24" s="120">
        <v>1</v>
      </c>
      <c r="G24" s="120"/>
      <c r="H24" s="120">
        <f t="shared" si="0"/>
        <v>4.75</v>
      </c>
      <c r="I24" s="120">
        <f t="shared" si="1"/>
        <v>56.75</v>
      </c>
      <c r="J24" s="120">
        <f t="shared" si="2"/>
        <v>61.5</v>
      </c>
    </row>
    <row r="25" ht="18.75" customHeight="1" spans="1:10">
      <c r="A25" s="119" t="s">
        <v>33</v>
      </c>
      <c r="B25" s="120">
        <v>2.5</v>
      </c>
      <c r="C25" s="120">
        <v>2.5</v>
      </c>
      <c r="D25" s="120"/>
      <c r="E25" s="120"/>
      <c r="F25" s="120"/>
      <c r="G25" s="120"/>
      <c r="H25" s="120">
        <f t="shared" si="0"/>
        <v>7.25</v>
      </c>
      <c r="I25" s="120">
        <f t="shared" si="1"/>
        <v>59.25</v>
      </c>
      <c r="J25" s="120">
        <f t="shared" si="2"/>
        <v>66.5</v>
      </c>
    </row>
    <row r="26" ht="18.75" customHeight="1" spans="1:10">
      <c r="A26" s="119" t="s">
        <v>34</v>
      </c>
      <c r="B26" s="120"/>
      <c r="C26" s="120"/>
      <c r="D26" s="120"/>
      <c r="E26" s="120"/>
      <c r="F26" s="120">
        <v>4</v>
      </c>
      <c r="G26" s="120"/>
      <c r="H26" s="120">
        <f t="shared" si="0"/>
        <v>3.25</v>
      </c>
      <c r="I26" s="120">
        <f t="shared" si="1"/>
        <v>59.25</v>
      </c>
      <c r="J26" s="120">
        <f t="shared" si="2"/>
        <v>62.5</v>
      </c>
    </row>
    <row r="27" ht="18.75" customHeight="1" spans="1:10">
      <c r="A27" s="119" t="s">
        <v>35</v>
      </c>
      <c r="B27" s="120">
        <v>3.75</v>
      </c>
      <c r="C27" s="120">
        <v>3.75</v>
      </c>
      <c r="D27" s="120"/>
      <c r="E27" s="120"/>
      <c r="F27" s="120"/>
      <c r="G27" s="120"/>
      <c r="H27" s="120">
        <f t="shared" si="0"/>
        <v>7</v>
      </c>
      <c r="I27" s="120">
        <f t="shared" si="1"/>
        <v>63</v>
      </c>
      <c r="J27" s="120">
        <f t="shared" si="2"/>
        <v>70</v>
      </c>
    </row>
    <row r="28" ht="18.75" customHeight="1" spans="1:10">
      <c r="A28" s="119" t="s">
        <v>36</v>
      </c>
      <c r="B28" s="120">
        <v>1.25</v>
      </c>
      <c r="C28" s="120">
        <v>1.25</v>
      </c>
      <c r="D28" s="120"/>
      <c r="E28" s="120"/>
      <c r="F28" s="120"/>
      <c r="G28" s="120"/>
      <c r="H28" s="120">
        <f t="shared" si="0"/>
        <v>8.25</v>
      </c>
      <c r="I28" s="120">
        <f t="shared" si="1"/>
        <v>64.25</v>
      </c>
      <c r="J28" s="120">
        <f t="shared" si="2"/>
        <v>72.5</v>
      </c>
    </row>
    <row r="29" ht="18.75" customHeight="1" spans="1:10">
      <c r="A29" s="119" t="s">
        <v>37</v>
      </c>
      <c r="B29" s="120"/>
      <c r="C29" s="120"/>
      <c r="D29" s="120">
        <v>4</v>
      </c>
      <c r="E29" s="120">
        <v>25</v>
      </c>
      <c r="F29" s="120"/>
      <c r="G29" s="120"/>
      <c r="H29" s="120">
        <f t="shared" si="0"/>
        <v>4.25</v>
      </c>
      <c r="I29" s="120">
        <f t="shared" si="1"/>
        <v>39.25</v>
      </c>
      <c r="J29" s="120">
        <f t="shared" si="2"/>
        <v>43.5</v>
      </c>
    </row>
    <row r="30" ht="18.75" customHeight="1" spans="1:10">
      <c r="A30" s="119" t="s">
        <v>38</v>
      </c>
      <c r="B30" s="120">
        <v>5</v>
      </c>
      <c r="C30" s="120">
        <v>5</v>
      </c>
      <c r="D30" s="120"/>
      <c r="E30" s="120"/>
      <c r="F30" s="120"/>
      <c r="G30" s="120"/>
      <c r="H30" s="120">
        <f t="shared" si="0"/>
        <v>9.25</v>
      </c>
      <c r="I30" s="120">
        <f t="shared" si="1"/>
        <v>44.25</v>
      </c>
      <c r="J30" s="120">
        <f t="shared" si="2"/>
        <v>53.5</v>
      </c>
    </row>
    <row r="31" ht="18.75" customHeight="1" spans="1:10">
      <c r="A31" s="121" t="s">
        <v>39</v>
      </c>
      <c r="B31" s="120"/>
      <c r="C31" s="120"/>
      <c r="D31" s="120"/>
      <c r="E31" s="120"/>
      <c r="F31" s="120"/>
      <c r="G31" s="120">
        <v>1</v>
      </c>
      <c r="H31" s="120">
        <f t="shared" si="0"/>
        <v>9.25</v>
      </c>
      <c r="I31" s="120">
        <f t="shared" si="1"/>
        <v>44.25</v>
      </c>
      <c r="J31" s="120">
        <f t="shared" si="2"/>
        <v>53.5</v>
      </c>
    </row>
    <row r="32" ht="18.75" customHeight="1" spans="1:10">
      <c r="A32" s="121" t="s">
        <v>40</v>
      </c>
      <c r="B32" s="120"/>
      <c r="C32" s="120"/>
      <c r="D32" s="120"/>
      <c r="E32" s="120"/>
      <c r="F32" s="120"/>
      <c r="G32" s="120">
        <v>1</v>
      </c>
      <c r="H32" s="120">
        <f t="shared" si="0"/>
        <v>9.25</v>
      </c>
      <c r="I32" s="120">
        <f t="shared" si="1"/>
        <v>44.25</v>
      </c>
      <c r="J32" s="120">
        <f t="shared" si="2"/>
        <v>53.5</v>
      </c>
    </row>
    <row r="33" ht="18.75" customHeight="1" spans="1:10">
      <c r="A33" s="121" t="s">
        <v>41</v>
      </c>
      <c r="B33" s="120">
        <v>5</v>
      </c>
      <c r="C33" s="120">
        <v>5</v>
      </c>
      <c r="D33" s="120"/>
      <c r="E33" s="120"/>
      <c r="F33" s="120"/>
      <c r="G33" s="120"/>
      <c r="H33" s="120">
        <f t="shared" si="0"/>
        <v>14.25</v>
      </c>
      <c r="I33" s="120">
        <f t="shared" si="1"/>
        <v>49.25</v>
      </c>
      <c r="J33" s="120">
        <f t="shared" si="2"/>
        <v>63.5</v>
      </c>
    </row>
    <row r="34" ht="18.75" customHeight="1" spans="1:10">
      <c r="A34" s="121" t="s">
        <v>42</v>
      </c>
      <c r="B34" s="120"/>
      <c r="C34" s="120"/>
      <c r="D34" s="120"/>
      <c r="E34" s="120"/>
      <c r="F34" s="120"/>
      <c r="G34" s="120">
        <v>1</v>
      </c>
      <c r="H34" s="120">
        <f t="shared" si="0"/>
        <v>14.25</v>
      </c>
      <c r="I34" s="120">
        <f t="shared" si="1"/>
        <v>49.25</v>
      </c>
      <c r="J34" s="120">
        <f t="shared" si="2"/>
        <v>63.5</v>
      </c>
    </row>
    <row r="35" ht="18.75" customHeight="1" spans="1:10">
      <c r="A35" s="121" t="s">
        <v>43</v>
      </c>
      <c r="B35" s="120">
        <v>5</v>
      </c>
      <c r="C35" s="120">
        <v>5</v>
      </c>
      <c r="D35" s="120"/>
      <c r="E35" s="120"/>
      <c r="F35" s="120"/>
      <c r="G35" s="120"/>
      <c r="H35" s="120">
        <f t="shared" ref="H35:H53" si="3">H34-F35-D35+B35</f>
        <v>19.25</v>
      </c>
      <c r="I35" s="120">
        <f t="shared" ref="I35:I53" si="4">I34-E35+C35</f>
        <v>54.25</v>
      </c>
      <c r="J35" s="120">
        <f t="shared" ref="J35:J53" si="5">SUM(H35:I35)</f>
        <v>73.5</v>
      </c>
    </row>
    <row r="36" ht="18.75" customHeight="1" spans="1:10">
      <c r="A36" s="121" t="s">
        <v>44</v>
      </c>
      <c r="B36" s="120"/>
      <c r="C36" s="120"/>
      <c r="D36" s="122">
        <v>13</v>
      </c>
      <c r="E36" s="122">
        <v>8</v>
      </c>
      <c r="F36" s="122"/>
      <c r="G36" s="122"/>
      <c r="H36" s="120">
        <f t="shared" si="3"/>
        <v>6.25</v>
      </c>
      <c r="I36" s="120">
        <f t="shared" si="4"/>
        <v>46.25</v>
      </c>
      <c r="J36" s="120">
        <f t="shared" si="5"/>
        <v>52.5</v>
      </c>
    </row>
    <row r="37" ht="18.75" customHeight="1" spans="1:10">
      <c r="A37" s="121" t="s">
        <v>45</v>
      </c>
      <c r="B37" s="120">
        <v>2.5</v>
      </c>
      <c r="C37" s="120">
        <v>2.5</v>
      </c>
      <c r="D37" s="122"/>
      <c r="E37" s="122"/>
      <c r="F37" s="122"/>
      <c r="G37" s="122"/>
      <c r="H37" s="120">
        <f t="shared" si="3"/>
        <v>8.75</v>
      </c>
      <c r="I37" s="120">
        <f t="shared" si="4"/>
        <v>48.75</v>
      </c>
      <c r="J37" s="120">
        <f t="shared" si="5"/>
        <v>57.5</v>
      </c>
    </row>
    <row r="38" ht="18.75" customHeight="1" spans="1:10">
      <c r="A38" s="121" t="s">
        <v>46</v>
      </c>
      <c r="B38" s="120"/>
      <c r="C38" s="120"/>
      <c r="D38" s="122"/>
      <c r="E38" s="122"/>
      <c r="F38" s="122">
        <v>2</v>
      </c>
      <c r="G38" s="122"/>
      <c r="H38" s="120">
        <f t="shared" si="3"/>
        <v>6.75</v>
      </c>
      <c r="I38" s="120">
        <f t="shared" si="4"/>
        <v>48.75</v>
      </c>
      <c r="J38" s="120">
        <f t="shared" si="5"/>
        <v>55.5</v>
      </c>
    </row>
    <row r="39" ht="18.75" customHeight="1" spans="1:10">
      <c r="A39" s="121" t="s">
        <v>47</v>
      </c>
      <c r="B39" s="120"/>
      <c r="C39" s="120"/>
      <c r="D39" s="122"/>
      <c r="E39" s="122">
        <v>8</v>
      </c>
      <c r="F39" s="122"/>
      <c r="G39" s="122"/>
      <c r="H39" s="120">
        <f t="shared" si="3"/>
        <v>6.75</v>
      </c>
      <c r="I39" s="120">
        <f t="shared" si="4"/>
        <v>40.75</v>
      </c>
      <c r="J39" s="120">
        <f t="shared" si="5"/>
        <v>47.5</v>
      </c>
    </row>
    <row r="40" ht="18.75" customHeight="1" spans="1:10">
      <c r="A40" s="121" t="s">
        <v>48</v>
      </c>
      <c r="B40" s="120">
        <v>1.25</v>
      </c>
      <c r="C40" s="120">
        <v>1.25</v>
      </c>
      <c r="D40" s="120"/>
      <c r="E40" s="120"/>
      <c r="F40" s="120"/>
      <c r="G40" s="120"/>
      <c r="H40" s="120">
        <f t="shared" si="3"/>
        <v>8</v>
      </c>
      <c r="I40" s="120">
        <f t="shared" si="4"/>
        <v>42</v>
      </c>
      <c r="J40" s="120">
        <f t="shared" si="5"/>
        <v>50</v>
      </c>
    </row>
    <row r="41" ht="18.75" customHeight="1" spans="1:10">
      <c r="A41" s="121" t="s">
        <v>49</v>
      </c>
      <c r="B41" s="123">
        <v>2</v>
      </c>
      <c r="C41" s="123"/>
      <c r="D41" s="123"/>
      <c r="E41" s="123"/>
      <c r="F41" s="123"/>
      <c r="G41" s="123"/>
      <c r="H41" s="120">
        <f t="shared" si="3"/>
        <v>10</v>
      </c>
      <c r="I41" s="120">
        <f t="shared" si="4"/>
        <v>42</v>
      </c>
      <c r="J41" s="120">
        <f t="shared" si="5"/>
        <v>52</v>
      </c>
    </row>
    <row r="42" ht="18.75" customHeight="1" spans="1:10">
      <c r="A42" s="121" t="s">
        <v>50</v>
      </c>
      <c r="B42" s="123"/>
      <c r="C42" s="123"/>
      <c r="D42" s="123"/>
      <c r="E42" s="123"/>
      <c r="F42" s="123">
        <v>3</v>
      </c>
      <c r="G42" s="123"/>
      <c r="H42" s="120">
        <f t="shared" si="3"/>
        <v>7</v>
      </c>
      <c r="I42" s="120">
        <f t="shared" si="4"/>
        <v>42</v>
      </c>
      <c r="J42" s="120">
        <f t="shared" si="5"/>
        <v>49</v>
      </c>
    </row>
    <row r="43" ht="18.75" customHeight="1" spans="1:10">
      <c r="A43" s="121" t="s">
        <v>51</v>
      </c>
      <c r="B43" s="123"/>
      <c r="C43" s="123"/>
      <c r="D43" s="123"/>
      <c r="E43" s="123"/>
      <c r="F43" s="123"/>
      <c r="G43" s="123">
        <v>1</v>
      </c>
      <c r="H43" s="120">
        <f t="shared" si="3"/>
        <v>7</v>
      </c>
      <c r="I43" s="120">
        <f t="shared" si="4"/>
        <v>42</v>
      </c>
      <c r="J43" s="120">
        <f t="shared" si="5"/>
        <v>49</v>
      </c>
    </row>
    <row r="44" ht="18.75" customHeight="1" spans="1:10">
      <c r="A44" s="121" t="s">
        <v>52</v>
      </c>
      <c r="B44" s="123">
        <v>1.25</v>
      </c>
      <c r="C44" s="123">
        <v>1.25</v>
      </c>
      <c r="D44" s="123"/>
      <c r="E44" s="123"/>
      <c r="F44" s="123"/>
      <c r="G44" s="123"/>
      <c r="H44" s="120">
        <f t="shared" si="3"/>
        <v>8.25</v>
      </c>
      <c r="I44" s="120">
        <f t="shared" si="4"/>
        <v>43.25</v>
      </c>
      <c r="J44" s="120">
        <f t="shared" si="5"/>
        <v>51.5</v>
      </c>
    </row>
    <row r="45" ht="18.75" customHeight="1" spans="1:10">
      <c r="A45" s="121" t="s">
        <v>53</v>
      </c>
      <c r="B45" s="123">
        <v>3</v>
      </c>
      <c r="C45" s="123"/>
      <c r="D45" s="123"/>
      <c r="E45" s="123"/>
      <c r="F45" s="123"/>
      <c r="G45" s="123"/>
      <c r="H45" s="120">
        <f t="shared" si="3"/>
        <v>11.25</v>
      </c>
      <c r="I45" s="120">
        <f t="shared" si="4"/>
        <v>43.25</v>
      </c>
      <c r="J45" s="120">
        <f t="shared" si="5"/>
        <v>54.5</v>
      </c>
    </row>
    <row r="46" ht="18.75" customHeight="1" spans="1:10">
      <c r="A46" s="121" t="s">
        <v>54</v>
      </c>
      <c r="B46" s="123">
        <v>1.25</v>
      </c>
      <c r="C46" s="123">
        <v>1.25</v>
      </c>
      <c r="D46" s="123"/>
      <c r="E46" s="123"/>
      <c r="F46" s="123"/>
      <c r="G46" s="123"/>
      <c r="H46" s="120">
        <f t="shared" si="3"/>
        <v>12.5</v>
      </c>
      <c r="I46" s="120">
        <f t="shared" si="4"/>
        <v>44.5</v>
      </c>
      <c r="J46" s="120">
        <f t="shared" si="5"/>
        <v>57</v>
      </c>
    </row>
    <row r="47" ht="18.75" customHeight="1" spans="1:10">
      <c r="A47" s="121" t="s">
        <v>55</v>
      </c>
      <c r="B47" s="123">
        <v>2.5</v>
      </c>
      <c r="C47" s="123">
        <v>2.5</v>
      </c>
      <c r="D47" s="123"/>
      <c r="E47" s="123"/>
      <c r="F47" s="123"/>
      <c r="G47" s="123"/>
      <c r="H47" s="120">
        <f t="shared" si="3"/>
        <v>15</v>
      </c>
      <c r="I47" s="120">
        <f t="shared" si="4"/>
        <v>47</v>
      </c>
      <c r="J47" s="120">
        <f t="shared" si="5"/>
        <v>62</v>
      </c>
    </row>
    <row r="48" ht="18.75" customHeight="1" spans="1:10">
      <c r="A48" s="121" t="s">
        <v>56</v>
      </c>
      <c r="B48" s="124"/>
      <c r="C48" s="124"/>
      <c r="D48" s="124"/>
      <c r="E48" s="124"/>
      <c r="F48" s="125"/>
      <c r="G48" s="126">
        <v>1</v>
      </c>
      <c r="H48" s="120">
        <f t="shared" si="3"/>
        <v>15</v>
      </c>
      <c r="I48" s="120">
        <f t="shared" si="4"/>
        <v>47</v>
      </c>
      <c r="J48" s="120">
        <f t="shared" si="5"/>
        <v>62</v>
      </c>
    </row>
    <row r="49" ht="18.75" customHeight="1" spans="1:10">
      <c r="A49" s="121" t="s">
        <v>57</v>
      </c>
      <c r="B49" s="124"/>
      <c r="C49" s="124"/>
      <c r="D49" s="124"/>
      <c r="E49" s="124"/>
      <c r="F49" s="125"/>
      <c r="G49" s="126">
        <v>1</v>
      </c>
      <c r="H49" s="120">
        <f t="shared" si="3"/>
        <v>15</v>
      </c>
      <c r="I49" s="120">
        <f t="shared" si="4"/>
        <v>47</v>
      </c>
      <c r="J49" s="120">
        <f t="shared" si="5"/>
        <v>62</v>
      </c>
    </row>
    <row r="50" ht="18.75" customHeight="1" spans="1:10">
      <c r="A50" s="121" t="s">
        <v>58</v>
      </c>
      <c r="B50" s="123">
        <v>1.25</v>
      </c>
      <c r="C50" s="123">
        <v>1.25</v>
      </c>
      <c r="D50" s="123"/>
      <c r="E50" s="123"/>
      <c r="F50" s="126"/>
      <c r="G50" s="125"/>
      <c r="H50" s="120">
        <f t="shared" si="3"/>
        <v>16.25</v>
      </c>
      <c r="I50" s="120">
        <f t="shared" si="4"/>
        <v>48.25</v>
      </c>
      <c r="J50" s="120">
        <f t="shared" si="5"/>
        <v>64.5</v>
      </c>
    </row>
    <row r="51" ht="18.75" customHeight="1" spans="1:10">
      <c r="A51" s="121" t="s">
        <v>59</v>
      </c>
      <c r="B51" s="123"/>
      <c r="C51" s="123"/>
      <c r="D51" s="123"/>
      <c r="E51" s="123">
        <v>1</v>
      </c>
      <c r="F51" s="126"/>
      <c r="G51" s="125"/>
      <c r="H51" s="120">
        <f t="shared" si="3"/>
        <v>16.25</v>
      </c>
      <c r="I51" s="120">
        <f t="shared" si="4"/>
        <v>47.25</v>
      </c>
      <c r="J51" s="120">
        <f t="shared" si="5"/>
        <v>63.5</v>
      </c>
    </row>
    <row r="52" ht="18.75" customHeight="1" spans="1:10">
      <c r="A52" s="121" t="s">
        <v>60</v>
      </c>
      <c r="B52" s="123">
        <v>3.75</v>
      </c>
      <c r="C52" s="123">
        <v>3.75</v>
      </c>
      <c r="D52" s="123"/>
      <c r="E52" s="123"/>
      <c r="F52" s="126"/>
      <c r="G52" s="125"/>
      <c r="H52" s="120">
        <f t="shared" si="3"/>
        <v>20</v>
      </c>
      <c r="I52" s="120">
        <f t="shared" si="4"/>
        <v>51</v>
      </c>
      <c r="J52" s="120">
        <f t="shared" si="5"/>
        <v>71</v>
      </c>
    </row>
    <row r="53" ht="18.75" customHeight="1" spans="1:10">
      <c r="A53" s="121" t="s">
        <v>61</v>
      </c>
      <c r="B53" s="126"/>
      <c r="C53" s="126"/>
      <c r="D53" s="126">
        <v>15</v>
      </c>
      <c r="E53" s="126">
        <v>10</v>
      </c>
      <c r="F53" s="126"/>
      <c r="G53" s="125"/>
      <c r="H53" s="122">
        <f t="shared" si="3"/>
        <v>5</v>
      </c>
      <c r="I53" s="122">
        <f t="shared" si="4"/>
        <v>41</v>
      </c>
      <c r="J53" s="122">
        <f t="shared" si="5"/>
        <v>46</v>
      </c>
    </row>
    <row r="54" ht="18.75" customHeight="1" spans="1:10">
      <c r="A54" s="121" t="s">
        <v>62</v>
      </c>
      <c r="B54" s="126">
        <v>3.75</v>
      </c>
      <c r="C54" s="126">
        <v>3.75</v>
      </c>
      <c r="D54" s="126"/>
      <c r="E54" s="126"/>
      <c r="F54" s="126"/>
      <c r="G54" s="125"/>
      <c r="H54" s="122">
        <f t="shared" ref="H54:H55" si="6">H53-F54-D54+B54</f>
        <v>8.75</v>
      </c>
      <c r="I54" s="122">
        <f t="shared" ref="I54:I55" si="7">I53-E54+C54</f>
        <v>44.75</v>
      </c>
      <c r="J54" s="122">
        <f t="shared" ref="J54:J55" si="8">SUM(H54:I54)</f>
        <v>53.5</v>
      </c>
    </row>
    <row r="55" ht="18.75" customHeight="1" spans="1:10">
      <c r="A55" s="121" t="s">
        <v>63</v>
      </c>
      <c r="B55" s="126"/>
      <c r="C55" s="126"/>
      <c r="D55" s="126"/>
      <c r="E55" s="126"/>
      <c r="F55" s="126">
        <v>5</v>
      </c>
      <c r="G55" s="125"/>
      <c r="H55" s="122">
        <f t="shared" si="6"/>
        <v>3.75</v>
      </c>
      <c r="I55" s="122">
        <f t="shared" si="7"/>
        <v>44.75</v>
      </c>
      <c r="J55" s="122">
        <f t="shared" si="8"/>
        <v>48.5</v>
      </c>
    </row>
    <row r="56" ht="18.75" customHeight="1" spans="1:10">
      <c r="A56" s="121" t="s">
        <v>64</v>
      </c>
      <c r="B56" s="126">
        <v>2.5</v>
      </c>
      <c r="C56" s="126">
        <v>2.5</v>
      </c>
      <c r="D56" s="126"/>
      <c r="E56" s="126"/>
      <c r="F56" s="126"/>
      <c r="G56" s="125"/>
      <c r="H56" s="122">
        <f t="shared" ref="H56:H58" si="9">H55-F56-D56+B56</f>
        <v>6.25</v>
      </c>
      <c r="I56" s="122">
        <f t="shared" ref="I56:I58" si="10">I55-E56+C56</f>
        <v>47.25</v>
      </c>
      <c r="J56" s="122">
        <f t="shared" ref="J56:J58" si="11">SUM(H56:I56)</f>
        <v>53.5</v>
      </c>
    </row>
    <row r="57" ht="18.75" customHeight="1" spans="1:10">
      <c r="A57" s="121" t="s">
        <v>65</v>
      </c>
      <c r="B57" s="126">
        <v>5</v>
      </c>
      <c r="C57" s="126"/>
      <c r="D57" s="126"/>
      <c r="E57" s="126"/>
      <c r="F57" s="126"/>
      <c r="G57" s="125"/>
      <c r="H57" s="122">
        <f t="shared" si="9"/>
        <v>11.25</v>
      </c>
      <c r="I57" s="122">
        <f t="shared" si="10"/>
        <v>47.25</v>
      </c>
      <c r="J57" s="122">
        <f t="shared" si="11"/>
        <v>58.5</v>
      </c>
    </row>
    <row r="58" ht="18.75" customHeight="1" spans="1:10">
      <c r="A58" s="121" t="s">
        <v>66</v>
      </c>
      <c r="B58" s="126">
        <v>3.75</v>
      </c>
      <c r="C58" s="126">
        <v>3.75</v>
      </c>
      <c r="D58" s="126"/>
      <c r="E58" s="126"/>
      <c r="F58" s="126"/>
      <c r="G58" s="125"/>
      <c r="H58" s="122">
        <f t="shared" si="9"/>
        <v>15</v>
      </c>
      <c r="I58" s="122">
        <f t="shared" si="10"/>
        <v>51</v>
      </c>
      <c r="J58" s="122">
        <f t="shared" si="11"/>
        <v>66</v>
      </c>
    </row>
    <row r="59" ht="18.75" customHeight="1" spans="1:10">
      <c r="A59" s="121" t="s">
        <v>67</v>
      </c>
      <c r="B59" s="126"/>
      <c r="C59" s="126"/>
      <c r="D59" s="126"/>
      <c r="E59" s="126"/>
      <c r="F59" s="126"/>
      <c r="G59" s="127">
        <v>1</v>
      </c>
      <c r="H59" s="122">
        <f t="shared" ref="H59" si="12">H58-F59-D59+B59</f>
        <v>15</v>
      </c>
      <c r="I59" s="122">
        <f t="shared" ref="I59" si="13">I58-E59+C59</f>
        <v>51</v>
      </c>
      <c r="J59" s="122">
        <f t="shared" ref="J59" si="14">SUM(H59:I59)</f>
        <v>66</v>
      </c>
    </row>
    <row r="60" ht="18.75" customHeight="1" spans="1:10">
      <c r="A60" s="121" t="s">
        <v>68</v>
      </c>
      <c r="B60" s="126">
        <v>3.75</v>
      </c>
      <c r="C60" s="126">
        <v>3.75</v>
      </c>
      <c r="D60" s="126"/>
      <c r="E60" s="126"/>
      <c r="F60" s="126"/>
      <c r="G60" s="126"/>
      <c r="H60" s="122">
        <f t="shared" ref="H60" si="15">H59-F60-D60+B60</f>
        <v>18.75</v>
      </c>
      <c r="I60" s="122">
        <f t="shared" ref="I60" si="16">I59-E60+C60</f>
        <v>54.75</v>
      </c>
      <c r="J60" s="122">
        <f t="shared" ref="J60" si="17">SUM(H60:I60)</f>
        <v>73.5</v>
      </c>
    </row>
    <row r="61" ht="18.75" customHeight="1" spans="1:10">
      <c r="A61" s="121" t="s">
        <v>69</v>
      </c>
      <c r="B61" s="126"/>
      <c r="C61" s="126"/>
      <c r="D61" s="126"/>
      <c r="E61" s="126">
        <v>1</v>
      </c>
      <c r="F61" s="126"/>
      <c r="G61" s="125"/>
      <c r="H61" s="122">
        <f t="shared" ref="H61" si="18">H60-F61-D61+B61</f>
        <v>18.75</v>
      </c>
      <c r="I61" s="122">
        <f t="shared" ref="I61" si="19">I60-E61+C61</f>
        <v>53.75</v>
      </c>
      <c r="J61" s="122">
        <f t="shared" ref="J61" si="20">SUM(H61:I61)</f>
        <v>72.5</v>
      </c>
    </row>
    <row r="62" ht="18.75" customHeight="1" spans="1:10">
      <c r="A62" s="121" t="s">
        <v>70</v>
      </c>
      <c r="B62" s="126">
        <v>2.5</v>
      </c>
      <c r="C62" s="126">
        <v>2.5</v>
      </c>
      <c r="D62" s="126"/>
      <c r="E62" s="126"/>
      <c r="F62" s="126"/>
      <c r="G62" s="125"/>
      <c r="H62" s="122">
        <f t="shared" ref="H62:H63" si="21">H61-F62-D62+B62</f>
        <v>21.25</v>
      </c>
      <c r="I62" s="122">
        <f t="shared" ref="I62:I63" si="22">I61-E62+C62</f>
        <v>56.25</v>
      </c>
      <c r="J62" s="122">
        <f t="shared" ref="J62:J63" si="23">SUM(H62:I62)</f>
        <v>77.5</v>
      </c>
    </row>
    <row r="63" ht="18.75" customHeight="1" spans="1:10">
      <c r="A63" s="121" t="s">
        <v>71</v>
      </c>
      <c r="B63" s="126"/>
      <c r="C63" s="126"/>
      <c r="D63" s="126"/>
      <c r="E63" s="126">
        <v>0.5</v>
      </c>
      <c r="F63" s="126"/>
      <c r="G63" s="125"/>
      <c r="H63" s="122">
        <f t="shared" si="21"/>
        <v>21.25</v>
      </c>
      <c r="I63" s="122">
        <f t="shared" si="22"/>
        <v>55.75</v>
      </c>
      <c r="J63" s="122">
        <f t="shared" si="23"/>
        <v>77</v>
      </c>
    </row>
    <row r="64" ht="18.75" customHeight="1" spans="1:10">
      <c r="A64" s="121" t="s">
        <v>72</v>
      </c>
      <c r="B64" s="126">
        <v>2.5</v>
      </c>
      <c r="C64" s="126">
        <v>2.5</v>
      </c>
      <c r="D64" s="126"/>
      <c r="E64" s="126"/>
      <c r="F64" s="126"/>
      <c r="G64" s="125"/>
      <c r="H64" s="122">
        <f t="shared" ref="H64:H65" si="24">H63-F64-D64+B64</f>
        <v>23.75</v>
      </c>
      <c r="I64" s="122">
        <f t="shared" ref="I64:I65" si="25">I63-E64+C64</f>
        <v>58.25</v>
      </c>
      <c r="J64" s="122">
        <f t="shared" ref="J64:J65" si="26">SUM(H64:I64)</f>
        <v>82</v>
      </c>
    </row>
    <row r="65" ht="18.75" customHeight="1" spans="1:10">
      <c r="A65" s="121" t="s">
        <v>73</v>
      </c>
      <c r="B65" s="126"/>
      <c r="C65" s="126"/>
      <c r="D65" s="126">
        <v>18.75</v>
      </c>
      <c r="E65" s="126">
        <v>11.25</v>
      </c>
      <c r="F65" s="126"/>
      <c r="G65" s="125"/>
      <c r="H65" s="122">
        <f t="shared" si="24"/>
        <v>5</v>
      </c>
      <c r="I65" s="122">
        <f t="shared" si="25"/>
        <v>47</v>
      </c>
      <c r="J65" s="122">
        <f t="shared" si="26"/>
        <v>52</v>
      </c>
    </row>
    <row r="66" ht="18.75" customHeight="1" spans="1:10">
      <c r="A66" s="121" t="s">
        <v>74</v>
      </c>
      <c r="B66" s="126">
        <v>1.25</v>
      </c>
      <c r="C66" s="126">
        <v>1.25</v>
      </c>
      <c r="D66" s="126"/>
      <c r="E66" s="126"/>
      <c r="F66" s="126"/>
      <c r="G66" s="125"/>
      <c r="H66" s="122">
        <f>H65-F66-D66+B66</f>
        <v>6.25</v>
      </c>
      <c r="I66" s="122">
        <f>I65-E66+C66</f>
        <v>48.25</v>
      </c>
      <c r="J66" s="122">
        <f>SUM(H66:I66)</f>
        <v>54.5</v>
      </c>
    </row>
    <row r="67" ht="18.75" customHeight="1" spans="1:11">
      <c r="A67" s="121" t="s">
        <v>75</v>
      </c>
      <c r="B67" s="132"/>
      <c r="C67" s="132"/>
      <c r="D67" s="132"/>
      <c r="E67" s="132"/>
      <c r="F67" s="133">
        <v>4</v>
      </c>
      <c r="G67" s="134"/>
      <c r="H67" s="122">
        <f>H66-F67-D67+B67</f>
        <v>2.25</v>
      </c>
      <c r="I67" s="122">
        <f>I66-E67+C67</f>
        <v>48.25</v>
      </c>
      <c r="J67" s="122">
        <f>SUM(H67:I67)</f>
        <v>50.5</v>
      </c>
      <c r="K67" s="142" t="s">
        <v>76</v>
      </c>
    </row>
    <row r="68" ht="18.75" customHeight="1" spans="1:10">
      <c r="A68" s="135"/>
      <c r="B68" s="136"/>
      <c r="C68" s="136"/>
      <c r="D68" s="136"/>
      <c r="E68" s="136"/>
      <c r="F68" s="136"/>
      <c r="G68" s="137"/>
      <c r="H68" s="138"/>
      <c r="I68" s="138"/>
      <c r="J68" s="138"/>
    </row>
    <row r="69" s="1" customFormat="1" ht="15" customHeight="1" spans="7:10">
      <c r="G69" s="1" t="s">
        <v>77</v>
      </c>
      <c r="H69" s="138"/>
      <c r="I69" s="138"/>
      <c r="J69" s="138"/>
    </row>
    <row r="70" s="1" customFormat="1" ht="15" customHeight="1"/>
    <row r="71" s="1" customFormat="1" ht="15" customHeight="1" spans="8:8">
      <c r="H71" s="139" t="s">
        <v>78</v>
      </c>
    </row>
    <row r="72" s="1" customFormat="1" ht="15" customHeight="1" spans="8:8">
      <c r="H72" s="1" t="s">
        <v>79</v>
      </c>
    </row>
    <row r="73" s="1" customFormat="1" ht="15" customHeight="1" spans="8:8">
      <c r="H73" s="1" t="s">
        <v>80</v>
      </c>
    </row>
    <row r="74" spans="1:10">
      <c r="A74" s="135"/>
      <c r="B74" s="140"/>
      <c r="C74" s="140"/>
      <c r="D74" s="140"/>
      <c r="E74" s="140"/>
      <c r="F74" s="140"/>
      <c r="G74" s="140"/>
      <c r="H74" s="140"/>
      <c r="I74" s="140"/>
      <c r="J74" s="140"/>
    </row>
    <row r="75" spans="1:10">
      <c r="A75" s="135"/>
      <c r="B75" s="140"/>
      <c r="C75" s="140"/>
      <c r="D75" s="140"/>
      <c r="E75" s="140"/>
      <c r="F75" s="140"/>
      <c r="G75" s="140"/>
      <c r="H75" s="140"/>
      <c r="I75" s="140"/>
      <c r="J75" s="140"/>
    </row>
    <row r="76" spans="1:10">
      <c r="A76" s="135"/>
      <c r="B76" s="140"/>
      <c r="C76" s="140"/>
      <c r="D76" s="140"/>
      <c r="E76" s="140"/>
      <c r="F76" s="140"/>
      <c r="G76" s="140"/>
      <c r="H76" s="140"/>
      <c r="I76" s="140"/>
      <c r="J76" s="140"/>
    </row>
    <row r="77" spans="1:10">
      <c r="A77" s="135"/>
      <c r="B77" s="140"/>
      <c r="C77" s="140"/>
      <c r="D77" s="140"/>
      <c r="E77" s="140"/>
      <c r="F77" s="140"/>
      <c r="G77" s="140"/>
      <c r="H77" s="140"/>
      <c r="I77" s="140"/>
      <c r="J77" s="140"/>
    </row>
    <row r="78" spans="1:10">
      <c r="A78" s="135"/>
      <c r="B78" s="140"/>
      <c r="C78" s="140"/>
      <c r="D78" s="140"/>
      <c r="E78" s="140"/>
      <c r="F78" s="140"/>
      <c r="G78" s="140"/>
      <c r="H78" s="140"/>
      <c r="I78" s="140"/>
      <c r="J78" s="140"/>
    </row>
    <row r="79" spans="1:10">
      <c r="A79" s="135"/>
      <c r="B79" s="140"/>
      <c r="C79" s="140"/>
      <c r="D79" s="140"/>
      <c r="E79" s="140"/>
      <c r="F79" s="140"/>
      <c r="G79" s="140"/>
      <c r="H79" s="140"/>
      <c r="I79" s="140"/>
      <c r="J79" s="140"/>
    </row>
    <row r="80" spans="1:10">
      <c r="A80" s="135"/>
      <c r="B80" s="140"/>
      <c r="C80" s="140"/>
      <c r="D80" s="140"/>
      <c r="E80" s="140"/>
      <c r="F80" s="140"/>
      <c r="G80" s="140"/>
      <c r="H80" s="140"/>
      <c r="I80" s="140"/>
      <c r="J80" s="140"/>
    </row>
    <row r="81" spans="1:10">
      <c r="A81" s="135"/>
      <c r="B81" s="140"/>
      <c r="C81" s="140"/>
      <c r="D81" s="140"/>
      <c r="E81" s="140"/>
      <c r="F81" s="140"/>
      <c r="G81" s="140"/>
      <c r="H81" s="140"/>
      <c r="I81" s="140"/>
      <c r="J81" s="140"/>
    </row>
    <row r="82" spans="1:10">
      <c r="A82" s="135"/>
      <c r="B82" s="140"/>
      <c r="C82" s="140"/>
      <c r="D82" s="140"/>
      <c r="E82" s="140"/>
      <c r="F82" s="140"/>
      <c r="G82" s="140"/>
      <c r="H82" s="140"/>
      <c r="I82" s="140"/>
      <c r="J82" s="140"/>
    </row>
    <row r="83" spans="1:10">
      <c r="A83" s="135"/>
      <c r="B83" s="140"/>
      <c r="C83" s="140"/>
      <c r="D83" s="140"/>
      <c r="E83" s="140"/>
      <c r="F83" s="140"/>
      <c r="G83" s="140"/>
      <c r="H83" s="140"/>
      <c r="I83" s="140"/>
      <c r="J83" s="140"/>
    </row>
    <row r="84" spans="1:10">
      <c r="A84" s="135"/>
      <c r="B84" s="140"/>
      <c r="C84" s="140"/>
      <c r="D84" s="140"/>
      <c r="E84" s="140"/>
      <c r="F84" s="140"/>
      <c r="G84" s="140"/>
      <c r="H84" s="140"/>
      <c r="I84" s="140"/>
      <c r="J84" s="140"/>
    </row>
    <row r="85" spans="1:10">
      <c r="A85" s="135"/>
      <c r="B85" s="140"/>
      <c r="C85" s="140"/>
      <c r="D85" s="140"/>
      <c r="E85" s="140"/>
      <c r="F85" s="140"/>
      <c r="G85" s="140"/>
      <c r="H85" s="140"/>
      <c r="I85" s="140"/>
      <c r="J85" s="140"/>
    </row>
    <row r="86" spans="1:10">
      <c r="A86" s="135"/>
      <c r="B86" s="140"/>
      <c r="C86" s="140"/>
      <c r="D86" s="140"/>
      <c r="E86" s="140"/>
      <c r="F86" s="140"/>
      <c r="G86" s="140"/>
      <c r="H86" s="140"/>
      <c r="I86" s="140"/>
      <c r="J86" s="140"/>
    </row>
    <row r="87" spans="1:10">
      <c r="A87" s="135"/>
      <c r="B87" s="140"/>
      <c r="C87" s="140"/>
      <c r="D87" s="140"/>
      <c r="E87" s="140"/>
      <c r="F87" s="140"/>
      <c r="G87" s="140"/>
      <c r="H87" s="140"/>
      <c r="I87" s="140"/>
      <c r="J87" s="140"/>
    </row>
    <row r="88" spans="2:10">
      <c r="B88" s="141"/>
      <c r="C88" s="141"/>
      <c r="D88" s="141"/>
      <c r="E88" s="141"/>
      <c r="F88" s="141"/>
      <c r="G88" s="141"/>
      <c r="H88" s="141"/>
      <c r="I88" s="141"/>
      <c r="J88" s="141"/>
    </row>
    <row r="89" spans="2:10">
      <c r="B89" s="141"/>
      <c r="C89" s="141"/>
      <c r="D89" s="141"/>
      <c r="E89" s="141"/>
      <c r="F89" s="141"/>
      <c r="G89" s="141"/>
      <c r="H89" s="141"/>
      <c r="I89" s="141"/>
      <c r="J89" s="141"/>
    </row>
    <row r="90" spans="2:10">
      <c r="B90" s="141"/>
      <c r="C90" s="141"/>
      <c r="D90" s="141"/>
      <c r="E90" s="141"/>
      <c r="F90" s="141"/>
      <c r="G90" s="141"/>
      <c r="H90" s="141"/>
      <c r="I90" s="141"/>
      <c r="J90" s="141"/>
    </row>
    <row r="91" spans="2:10">
      <c r="B91" s="141"/>
      <c r="C91" s="141"/>
      <c r="D91" s="141"/>
      <c r="E91" s="141"/>
      <c r="F91" s="141"/>
      <c r="G91" s="141"/>
      <c r="H91" s="141"/>
      <c r="I91" s="141"/>
      <c r="J91" s="141"/>
    </row>
    <row r="92" spans="2:10">
      <c r="B92" s="141"/>
      <c r="C92" s="141"/>
      <c r="D92" s="141"/>
      <c r="E92" s="141"/>
      <c r="F92" s="141"/>
      <c r="G92" s="141"/>
      <c r="H92" s="141"/>
      <c r="I92" s="141"/>
      <c r="J92" s="141"/>
    </row>
    <row r="93" spans="2:10">
      <c r="B93" s="141"/>
      <c r="C93" s="141"/>
      <c r="D93" s="141"/>
      <c r="E93" s="141"/>
      <c r="F93" s="141"/>
      <c r="G93" s="141"/>
      <c r="H93" s="141"/>
      <c r="I93" s="141"/>
      <c r="J93" s="141"/>
    </row>
    <row r="94" spans="2:10">
      <c r="B94" s="141"/>
      <c r="C94" s="141"/>
      <c r="D94" s="141"/>
      <c r="E94" s="141"/>
      <c r="F94" s="141"/>
      <c r="G94" s="141"/>
      <c r="H94" s="141"/>
      <c r="I94" s="141"/>
      <c r="J94" s="141"/>
    </row>
    <row r="95" spans="2:10">
      <c r="B95" s="141"/>
      <c r="C95" s="141"/>
      <c r="D95" s="141"/>
      <c r="E95" s="141"/>
      <c r="F95" s="141"/>
      <c r="G95" s="141"/>
      <c r="H95" s="141"/>
      <c r="I95" s="141"/>
      <c r="J95" s="141"/>
    </row>
    <row r="96" spans="2:10">
      <c r="B96" s="141"/>
      <c r="C96" s="141"/>
      <c r="D96" s="141"/>
      <c r="E96" s="141"/>
      <c r="F96" s="141"/>
      <c r="G96" s="141"/>
      <c r="H96" s="141"/>
      <c r="I96" s="141"/>
      <c r="J96" s="141"/>
    </row>
    <row r="97" spans="2:10">
      <c r="B97" s="141"/>
      <c r="C97" s="141"/>
      <c r="D97" s="141"/>
      <c r="E97" s="141"/>
      <c r="F97" s="141"/>
      <c r="G97" s="141"/>
      <c r="H97" s="141"/>
      <c r="I97" s="141"/>
      <c r="J97" s="141"/>
    </row>
    <row r="98" spans="2:10">
      <c r="B98" s="141"/>
      <c r="C98" s="141"/>
      <c r="D98" s="141"/>
      <c r="E98" s="141"/>
      <c r="F98" s="141"/>
      <c r="G98" s="141"/>
      <c r="H98" s="141"/>
      <c r="I98" s="141"/>
      <c r="J98" s="141"/>
    </row>
    <row r="99" spans="2:10">
      <c r="B99" s="141"/>
      <c r="C99" s="141"/>
      <c r="D99" s="141"/>
      <c r="E99" s="141"/>
      <c r="F99" s="141"/>
      <c r="G99" s="141"/>
      <c r="H99" s="141"/>
      <c r="I99" s="141"/>
      <c r="J99" s="141"/>
    </row>
    <row r="100" spans="2:10">
      <c r="B100" s="141"/>
      <c r="C100" s="141"/>
      <c r="D100" s="141"/>
      <c r="E100" s="141"/>
      <c r="F100" s="141"/>
      <c r="G100" s="141"/>
      <c r="H100" s="141"/>
      <c r="I100" s="141"/>
      <c r="J100" s="141"/>
    </row>
    <row r="101" spans="2:10">
      <c r="B101" s="141"/>
      <c r="C101" s="141"/>
      <c r="D101" s="141"/>
      <c r="E101" s="141"/>
      <c r="F101" s="141"/>
      <c r="G101" s="141"/>
      <c r="H101" s="141"/>
      <c r="I101" s="141"/>
      <c r="J101" s="141"/>
    </row>
    <row r="102" spans="2:10">
      <c r="B102" s="141"/>
      <c r="C102" s="141"/>
      <c r="D102" s="141"/>
      <c r="E102" s="141"/>
      <c r="F102" s="141"/>
      <c r="G102" s="141"/>
      <c r="H102" s="141"/>
      <c r="I102" s="141"/>
      <c r="J102" s="141"/>
    </row>
    <row r="103" spans="2:10">
      <c r="B103" s="141"/>
      <c r="C103" s="141"/>
      <c r="D103" s="141"/>
      <c r="E103" s="141"/>
      <c r="F103" s="141"/>
      <c r="G103" s="141"/>
      <c r="H103" s="141"/>
      <c r="I103" s="141"/>
      <c r="J103" s="141"/>
    </row>
    <row r="104" spans="2:10">
      <c r="B104" s="141"/>
      <c r="C104" s="141"/>
      <c r="D104" s="141"/>
      <c r="E104" s="141"/>
      <c r="F104" s="141"/>
      <c r="G104" s="141"/>
      <c r="H104" s="141"/>
      <c r="I104" s="141"/>
      <c r="J104" s="141"/>
    </row>
    <row r="105" spans="2:10">
      <c r="B105" s="141"/>
      <c r="C105" s="141"/>
      <c r="D105" s="141"/>
      <c r="E105" s="141"/>
      <c r="F105" s="141"/>
      <c r="G105" s="141"/>
      <c r="H105" s="141"/>
      <c r="I105" s="141"/>
      <c r="J105" s="141"/>
    </row>
    <row r="106" spans="2:10">
      <c r="B106" s="141"/>
      <c r="C106" s="141"/>
      <c r="D106" s="141"/>
      <c r="E106" s="141"/>
      <c r="F106" s="141"/>
      <c r="G106" s="141"/>
      <c r="H106" s="141"/>
      <c r="I106" s="141"/>
      <c r="J106" s="141"/>
    </row>
    <row r="107" spans="2:10">
      <c r="B107" s="141"/>
      <c r="C107" s="141"/>
      <c r="D107" s="141"/>
      <c r="E107" s="141"/>
      <c r="F107" s="141"/>
      <c r="G107" s="141"/>
      <c r="H107" s="141"/>
      <c r="I107" s="141"/>
      <c r="J107" s="141"/>
    </row>
    <row r="108" spans="2:10">
      <c r="B108" s="141"/>
      <c r="C108" s="141"/>
      <c r="D108" s="141"/>
      <c r="E108" s="141"/>
      <c r="F108" s="141"/>
      <c r="G108" s="141"/>
      <c r="H108" s="141"/>
      <c r="I108" s="141"/>
      <c r="J108" s="141"/>
    </row>
    <row r="109" spans="2:10">
      <c r="B109" s="141"/>
      <c r="C109" s="141"/>
      <c r="D109" s="141"/>
      <c r="E109" s="141"/>
      <c r="F109" s="141"/>
      <c r="G109" s="141"/>
      <c r="H109" s="141"/>
      <c r="I109" s="141"/>
      <c r="J109" s="141"/>
    </row>
    <row r="110" spans="2:10">
      <c r="B110" s="141"/>
      <c r="C110" s="141"/>
      <c r="D110" s="141"/>
      <c r="E110" s="141"/>
      <c r="F110" s="141"/>
      <c r="G110" s="141"/>
      <c r="H110" s="141"/>
      <c r="I110" s="141"/>
      <c r="J110" s="141"/>
    </row>
    <row r="111" spans="2:10">
      <c r="B111" s="141"/>
      <c r="C111" s="141"/>
      <c r="D111" s="141"/>
      <c r="E111" s="141"/>
      <c r="F111" s="141"/>
      <c r="G111" s="141"/>
      <c r="H111" s="141"/>
      <c r="I111" s="141"/>
      <c r="J111" s="141"/>
    </row>
    <row r="112" spans="2:10">
      <c r="B112" s="141"/>
      <c r="C112" s="141"/>
      <c r="D112" s="141"/>
      <c r="E112" s="141"/>
      <c r="F112" s="141"/>
      <c r="G112" s="141"/>
      <c r="H112" s="141"/>
      <c r="I112" s="141"/>
      <c r="J112" s="141"/>
    </row>
    <row r="113" spans="2:10">
      <c r="B113" s="141"/>
      <c r="C113" s="141"/>
      <c r="D113" s="141"/>
      <c r="E113" s="141"/>
      <c r="F113" s="141"/>
      <c r="G113" s="141"/>
      <c r="H113" s="141"/>
      <c r="I113" s="141"/>
      <c r="J113" s="141"/>
    </row>
    <row r="114" spans="2:10">
      <c r="B114" s="141"/>
      <c r="C114" s="141"/>
      <c r="D114" s="141"/>
      <c r="E114" s="141"/>
      <c r="F114" s="141"/>
      <c r="G114" s="141"/>
      <c r="H114" s="141"/>
      <c r="I114" s="141"/>
      <c r="J114" s="141"/>
    </row>
    <row r="115" spans="2:10">
      <c r="B115" s="141"/>
      <c r="C115" s="141"/>
      <c r="D115" s="141"/>
      <c r="E115" s="141"/>
      <c r="F115" s="141"/>
      <c r="G115" s="141"/>
      <c r="H115" s="141"/>
      <c r="I115" s="141"/>
      <c r="J115" s="141"/>
    </row>
    <row r="116" spans="2:10">
      <c r="B116" s="141"/>
      <c r="C116" s="141"/>
      <c r="D116" s="141"/>
      <c r="E116" s="141"/>
      <c r="F116" s="141"/>
      <c r="G116" s="141"/>
      <c r="H116" s="141"/>
      <c r="I116" s="141"/>
      <c r="J116" s="141"/>
    </row>
    <row r="117" spans="2:10">
      <c r="B117" s="141"/>
      <c r="C117" s="141"/>
      <c r="D117" s="141"/>
      <c r="E117" s="141"/>
      <c r="F117" s="141"/>
      <c r="G117" s="141"/>
      <c r="H117" s="141"/>
      <c r="I117" s="141"/>
      <c r="J117" s="141"/>
    </row>
    <row r="118" spans="2:10">
      <c r="B118" s="141"/>
      <c r="C118" s="141"/>
      <c r="D118" s="141"/>
      <c r="E118" s="141"/>
      <c r="F118" s="141"/>
      <c r="G118" s="141"/>
      <c r="H118" s="141"/>
      <c r="I118" s="141"/>
      <c r="J118" s="141"/>
    </row>
    <row r="119" spans="2:10">
      <c r="B119" s="141"/>
      <c r="C119" s="141"/>
      <c r="D119" s="141"/>
      <c r="E119" s="141"/>
      <c r="F119" s="141"/>
      <c r="G119" s="141"/>
      <c r="H119" s="141"/>
      <c r="I119" s="141"/>
      <c r="J119" s="141"/>
    </row>
    <row r="120" spans="2:10">
      <c r="B120" s="141"/>
      <c r="C120" s="141"/>
      <c r="D120" s="141"/>
      <c r="E120" s="141"/>
      <c r="F120" s="141"/>
      <c r="G120" s="141"/>
      <c r="H120" s="141"/>
      <c r="I120" s="141"/>
      <c r="J120" s="141"/>
    </row>
    <row r="121" spans="2:10">
      <c r="B121" s="141"/>
      <c r="C121" s="141"/>
      <c r="D121" s="141"/>
      <c r="E121" s="141"/>
      <c r="F121" s="141"/>
      <c r="G121" s="141"/>
      <c r="H121" s="141"/>
      <c r="I121" s="141"/>
      <c r="J121" s="141"/>
    </row>
    <row r="122" spans="2:10">
      <c r="B122" s="141"/>
      <c r="C122" s="141"/>
      <c r="D122" s="141"/>
      <c r="E122" s="141"/>
      <c r="F122" s="141"/>
      <c r="G122" s="141"/>
      <c r="H122" s="141"/>
      <c r="I122" s="141"/>
      <c r="J122" s="141"/>
    </row>
    <row r="123" spans="2:10">
      <c r="B123" s="141"/>
      <c r="C123" s="141"/>
      <c r="D123" s="141"/>
      <c r="E123" s="141"/>
      <c r="F123" s="141"/>
      <c r="G123" s="141"/>
      <c r="H123" s="141"/>
      <c r="I123" s="141"/>
      <c r="J123" s="141"/>
    </row>
    <row r="124" spans="2:10">
      <c r="B124" s="141"/>
      <c r="C124" s="141"/>
      <c r="D124" s="141"/>
      <c r="E124" s="141"/>
      <c r="F124" s="141"/>
      <c r="G124" s="141"/>
      <c r="H124" s="141"/>
      <c r="I124" s="141"/>
      <c r="J124" s="141"/>
    </row>
    <row r="125" spans="2:10">
      <c r="B125" s="141"/>
      <c r="C125" s="141"/>
      <c r="D125" s="141"/>
      <c r="E125" s="141"/>
      <c r="F125" s="141"/>
      <c r="G125" s="141"/>
      <c r="H125" s="141"/>
      <c r="I125" s="141"/>
      <c r="J125" s="141"/>
    </row>
    <row r="126" spans="2:10">
      <c r="B126" s="141"/>
      <c r="C126" s="141"/>
      <c r="D126" s="141"/>
      <c r="E126" s="141"/>
      <c r="F126" s="141"/>
      <c r="G126" s="141"/>
      <c r="H126" s="141"/>
      <c r="I126" s="141"/>
      <c r="J126" s="141"/>
    </row>
    <row r="127" spans="2:10">
      <c r="B127" s="141"/>
      <c r="C127" s="141"/>
      <c r="D127" s="141"/>
      <c r="E127" s="141"/>
      <c r="F127" s="141"/>
      <c r="G127" s="141"/>
      <c r="H127" s="141"/>
      <c r="I127" s="141"/>
      <c r="J127" s="141"/>
    </row>
    <row r="128" spans="2:10">
      <c r="B128" s="141"/>
      <c r="C128" s="141"/>
      <c r="D128" s="141"/>
      <c r="E128" s="141"/>
      <c r="F128" s="141"/>
      <c r="G128" s="141"/>
      <c r="H128" s="141"/>
      <c r="I128" s="141"/>
      <c r="J128" s="141"/>
    </row>
    <row r="129" spans="2:10">
      <c r="B129" s="141"/>
      <c r="C129" s="141"/>
      <c r="D129" s="141"/>
      <c r="E129" s="141"/>
      <c r="F129" s="141"/>
      <c r="G129" s="141"/>
      <c r="H129" s="141"/>
      <c r="I129" s="141"/>
      <c r="J129" s="141"/>
    </row>
    <row r="130" spans="2:10">
      <c r="B130" s="141"/>
      <c r="C130" s="141"/>
      <c r="D130" s="141"/>
      <c r="E130" s="141"/>
      <c r="F130" s="141"/>
      <c r="G130" s="141"/>
      <c r="H130" s="141"/>
      <c r="I130" s="141"/>
      <c r="J130" s="141"/>
    </row>
    <row r="131" spans="2:10">
      <c r="B131" s="141"/>
      <c r="C131" s="141"/>
      <c r="D131" s="141"/>
      <c r="E131" s="141"/>
      <c r="F131" s="141"/>
      <c r="G131" s="141"/>
      <c r="H131" s="141"/>
      <c r="I131" s="141"/>
      <c r="J131" s="141"/>
    </row>
    <row r="132" spans="2:10">
      <c r="B132" s="141"/>
      <c r="C132" s="141"/>
      <c r="D132" s="141"/>
      <c r="E132" s="141"/>
      <c r="F132" s="141"/>
      <c r="G132" s="141"/>
      <c r="H132" s="141"/>
      <c r="I132" s="141"/>
      <c r="J132" s="141"/>
    </row>
    <row r="133" spans="2:10">
      <c r="B133" s="141"/>
      <c r="C133" s="141"/>
      <c r="D133" s="141"/>
      <c r="E133" s="141"/>
      <c r="F133" s="141"/>
      <c r="G133" s="141"/>
      <c r="H133" s="141"/>
      <c r="I133" s="141"/>
      <c r="J133" s="141"/>
    </row>
    <row r="134" spans="2:10">
      <c r="B134" s="141"/>
      <c r="C134" s="141"/>
      <c r="D134" s="141"/>
      <c r="E134" s="141"/>
      <c r="F134" s="141"/>
      <c r="G134" s="141"/>
      <c r="H134" s="141"/>
      <c r="I134" s="141"/>
      <c r="J134" s="141"/>
    </row>
    <row r="135" spans="2:10">
      <c r="B135" s="141"/>
      <c r="C135" s="141"/>
      <c r="D135" s="141"/>
      <c r="E135" s="141"/>
      <c r="F135" s="141"/>
      <c r="G135" s="141"/>
      <c r="H135" s="141"/>
      <c r="I135" s="141"/>
      <c r="J135" s="141"/>
    </row>
    <row r="136" spans="2:10">
      <c r="B136" s="141"/>
      <c r="C136" s="141"/>
      <c r="D136" s="141"/>
      <c r="E136" s="141"/>
      <c r="F136" s="141"/>
      <c r="G136" s="141"/>
      <c r="H136" s="141"/>
      <c r="I136" s="141"/>
      <c r="J136" s="141"/>
    </row>
    <row r="137" spans="2:10">
      <c r="B137" s="141"/>
      <c r="C137" s="141"/>
      <c r="D137" s="141"/>
      <c r="E137" s="141"/>
      <c r="F137" s="141"/>
      <c r="G137" s="141"/>
      <c r="H137" s="141"/>
      <c r="I137" s="141"/>
      <c r="J137" s="141"/>
    </row>
    <row r="138" spans="2:10">
      <c r="B138" s="141"/>
      <c r="C138" s="141"/>
      <c r="D138" s="141"/>
      <c r="E138" s="141"/>
      <c r="F138" s="141"/>
      <c r="G138" s="141"/>
      <c r="H138" s="141"/>
      <c r="I138" s="141"/>
      <c r="J138" s="141"/>
    </row>
    <row r="139" spans="2:10">
      <c r="B139" s="141"/>
      <c r="C139" s="141"/>
      <c r="D139" s="141"/>
      <c r="E139" s="141"/>
      <c r="F139" s="141"/>
      <c r="G139" s="141"/>
      <c r="H139" s="141"/>
      <c r="I139" s="141"/>
      <c r="J139" s="141"/>
    </row>
    <row r="140" spans="2:10">
      <c r="B140" s="141"/>
      <c r="C140" s="141"/>
      <c r="D140" s="141"/>
      <c r="E140" s="141"/>
      <c r="F140" s="141"/>
      <c r="G140" s="141"/>
      <c r="H140" s="141"/>
      <c r="I140" s="141"/>
      <c r="J140" s="141"/>
    </row>
    <row r="141" spans="2:10">
      <c r="B141" s="141"/>
      <c r="C141" s="141"/>
      <c r="D141" s="141"/>
      <c r="E141" s="141"/>
      <c r="F141" s="141"/>
      <c r="G141" s="141"/>
      <c r="H141" s="141"/>
      <c r="I141" s="141"/>
      <c r="J141" s="141"/>
    </row>
    <row r="142" spans="2:10">
      <c r="B142" s="141"/>
      <c r="C142" s="141"/>
      <c r="D142" s="141"/>
      <c r="E142" s="141"/>
      <c r="F142" s="141"/>
      <c r="G142" s="141"/>
      <c r="H142" s="141"/>
      <c r="I142" s="141"/>
      <c r="J142" s="141"/>
    </row>
    <row r="143" spans="2:10">
      <c r="B143" s="141"/>
      <c r="C143" s="141"/>
      <c r="D143" s="141"/>
      <c r="E143" s="141"/>
      <c r="F143" s="141"/>
      <c r="G143" s="141"/>
      <c r="H143" s="141"/>
      <c r="I143" s="141"/>
      <c r="J143" s="141"/>
    </row>
    <row r="144" spans="2:10">
      <c r="B144" s="141"/>
      <c r="C144" s="141"/>
      <c r="D144" s="141"/>
      <c r="E144" s="141"/>
      <c r="F144" s="141"/>
      <c r="G144" s="141"/>
      <c r="H144" s="141"/>
      <c r="I144" s="141"/>
      <c r="J144" s="141"/>
    </row>
    <row r="145" spans="2:10">
      <c r="B145" s="141"/>
      <c r="C145" s="141"/>
      <c r="D145" s="141"/>
      <c r="E145" s="141"/>
      <c r="F145" s="141"/>
      <c r="G145" s="141"/>
      <c r="H145" s="141"/>
      <c r="I145" s="141"/>
      <c r="J145" s="141"/>
    </row>
    <row r="146" spans="2:10">
      <c r="B146" s="141"/>
      <c r="C146" s="141"/>
      <c r="D146" s="141"/>
      <c r="E146" s="141"/>
      <c r="F146" s="141"/>
      <c r="G146" s="141"/>
      <c r="H146" s="141"/>
      <c r="I146" s="141"/>
      <c r="J146" s="141"/>
    </row>
    <row r="147" spans="2:10">
      <c r="B147" s="141"/>
      <c r="C147" s="141"/>
      <c r="D147" s="141"/>
      <c r="E147" s="141"/>
      <c r="F147" s="141"/>
      <c r="G147" s="141"/>
      <c r="H147" s="141"/>
      <c r="I147" s="141"/>
      <c r="J147" s="141"/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5" right="0.25" top="0.25" bottom="0.25" header="0.3" footer="0.3"/>
  <pageSetup paperSize="9" scale="6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1"/>
  <sheetViews>
    <sheetView view="pageBreakPreview" zoomScaleNormal="100" topLeftCell="A12" workbookViewId="0">
      <selection activeCell="F23" sqref="F23"/>
    </sheetView>
  </sheetViews>
  <sheetFormatPr defaultColWidth="9" defaultRowHeight="14.4"/>
  <cols>
    <col min="1" max="1" width="23.712962962963" style="49" customWidth="1"/>
    <col min="2" max="2" width="11.4259259259259" style="49" customWidth="1"/>
    <col min="3" max="4" width="9.13888888888889" style="49"/>
    <col min="5" max="5" width="13" style="49" customWidth="1"/>
    <col min="6" max="11" width="9.13888888888889" style="49"/>
    <col min="12" max="12" width="10.5740740740741" style="49" customWidth="1"/>
  </cols>
  <sheetData>
    <row r="1" spans="1:12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>
      <c r="A4" s="51" t="s">
        <v>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spans="1:12">
      <c r="A5" s="51" t="s">
        <v>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12">
      <c r="A6" s="51" t="s">
        <v>2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</row>
    <row r="7" spans="1:12">
      <c r="A7" s="51" t="s">
        <v>3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</row>
    <row r="8" spans="1:1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</row>
    <row r="9" spans="1:12">
      <c r="A9" s="50" t="s">
        <v>4</v>
      </c>
      <c r="B9" s="50"/>
      <c r="C9" s="52" t="s">
        <v>5</v>
      </c>
      <c r="D9" s="52"/>
      <c r="E9" s="50"/>
      <c r="F9" s="50"/>
      <c r="G9" s="52" t="s">
        <v>6</v>
      </c>
      <c r="H9" s="53"/>
      <c r="I9" s="50"/>
      <c r="J9" s="50"/>
      <c r="K9" s="50"/>
      <c r="L9" s="50"/>
    </row>
    <row r="10" spans="1:12">
      <c r="A10" s="50"/>
      <c r="B10" s="50"/>
      <c r="C10" s="54"/>
      <c r="D10" s="50"/>
      <c r="E10" s="50"/>
      <c r="F10" s="50"/>
      <c r="G10" s="54"/>
      <c r="H10" s="54"/>
      <c r="I10" s="50"/>
      <c r="J10" s="50"/>
      <c r="K10" s="50"/>
      <c r="L10" s="50"/>
    </row>
    <row r="11" spans="1:12">
      <c r="A11" s="50" t="s">
        <v>7</v>
      </c>
      <c r="B11" s="50"/>
      <c r="C11" s="52" t="s">
        <v>8</v>
      </c>
      <c r="D11" s="52"/>
      <c r="E11" s="50"/>
      <c r="F11" s="50"/>
      <c r="G11" s="52" t="s">
        <v>9</v>
      </c>
      <c r="H11" s="55"/>
      <c r="I11" s="50"/>
      <c r="J11" s="50"/>
      <c r="K11" s="50"/>
      <c r="L11" s="50"/>
    </row>
    <row r="12" ht="21.75" spans="1:12">
      <c r="A12" s="56" t="s">
        <v>81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</row>
    <row r="13" spans="1:12">
      <c r="A13" s="57" t="s">
        <v>11</v>
      </c>
      <c r="B13" s="58" t="s">
        <v>12</v>
      </c>
      <c r="C13" s="59"/>
      <c r="D13" s="59"/>
      <c r="E13" s="59"/>
      <c r="F13" s="59"/>
      <c r="G13" s="59"/>
      <c r="H13" s="59"/>
      <c r="I13" s="59"/>
      <c r="J13" s="59"/>
      <c r="K13" s="59"/>
      <c r="L13" s="97" t="s">
        <v>15</v>
      </c>
    </row>
    <row r="14" spans="1:12">
      <c r="A14" s="60"/>
      <c r="B14" s="61" t="s">
        <v>82</v>
      </c>
      <c r="C14" s="62"/>
      <c r="D14" s="62"/>
      <c r="E14" s="63"/>
      <c r="F14" s="61" t="s">
        <v>83</v>
      </c>
      <c r="G14" s="63"/>
      <c r="H14" s="61" t="s">
        <v>84</v>
      </c>
      <c r="I14" s="63"/>
      <c r="J14" s="61" t="s">
        <v>85</v>
      </c>
      <c r="K14" s="63"/>
      <c r="L14" s="98"/>
    </row>
    <row r="15" ht="26.1" customHeight="1" spans="1:12">
      <c r="A15" s="64" t="s">
        <v>86</v>
      </c>
      <c r="B15" s="65" t="s">
        <v>87</v>
      </c>
      <c r="C15" s="66"/>
      <c r="D15" s="66"/>
      <c r="E15" s="67"/>
      <c r="F15" s="65">
        <v>1</v>
      </c>
      <c r="G15" s="67"/>
      <c r="H15" s="65">
        <v>0</v>
      </c>
      <c r="I15" s="67"/>
      <c r="J15" s="65">
        <v>1</v>
      </c>
      <c r="K15" s="67"/>
      <c r="L15" s="99">
        <v>1</v>
      </c>
    </row>
    <row r="16" ht="30" customHeight="1" spans="1:12">
      <c r="A16" s="68" t="s">
        <v>88</v>
      </c>
      <c r="B16" s="65" t="s">
        <v>87</v>
      </c>
      <c r="C16" s="66"/>
      <c r="D16" s="66"/>
      <c r="E16" s="67"/>
      <c r="F16" s="65"/>
      <c r="G16" s="67"/>
      <c r="H16" s="65">
        <v>1</v>
      </c>
      <c r="I16" s="67"/>
      <c r="J16" s="65">
        <v>0</v>
      </c>
      <c r="K16" s="67"/>
      <c r="L16" s="100">
        <v>0</v>
      </c>
    </row>
    <row r="17" ht="37.5" customHeight="1" spans="1:12">
      <c r="A17" s="69" t="s">
        <v>89</v>
      </c>
      <c r="B17" s="70" t="s">
        <v>90</v>
      </c>
      <c r="C17" s="71"/>
      <c r="D17" s="71"/>
      <c r="E17" s="72"/>
      <c r="F17" s="70">
        <v>3</v>
      </c>
      <c r="G17" s="72"/>
      <c r="H17" s="70">
        <v>0</v>
      </c>
      <c r="I17" s="72"/>
      <c r="J17" s="70">
        <v>3</v>
      </c>
      <c r="K17" s="72"/>
      <c r="L17" s="101">
        <v>3</v>
      </c>
    </row>
    <row r="18" ht="39.75" customHeight="1" spans="1:12">
      <c r="A18" s="73" t="s">
        <v>91</v>
      </c>
      <c r="B18" s="74" t="s">
        <v>90</v>
      </c>
      <c r="C18" s="75"/>
      <c r="D18" s="75"/>
      <c r="E18" s="76"/>
      <c r="F18" s="74"/>
      <c r="G18" s="76"/>
      <c r="H18" s="74">
        <v>1</v>
      </c>
      <c r="I18" s="76"/>
      <c r="J18" s="74">
        <v>2</v>
      </c>
      <c r="K18" s="76"/>
      <c r="L18" s="102">
        <v>2</v>
      </c>
    </row>
    <row r="19" s="46" customFormat="1" ht="25.5" customHeight="1" spans="1:12">
      <c r="A19" s="77" t="s">
        <v>92</v>
      </c>
      <c r="B19" s="78" t="s">
        <v>93</v>
      </c>
      <c r="C19" s="79"/>
      <c r="D19" s="79"/>
      <c r="E19" s="80"/>
      <c r="F19" s="78">
        <v>1</v>
      </c>
      <c r="G19" s="80"/>
      <c r="H19" s="78">
        <v>1</v>
      </c>
      <c r="I19" s="80"/>
      <c r="J19" s="78">
        <v>0</v>
      </c>
      <c r="K19" s="80"/>
      <c r="L19" s="103">
        <v>0</v>
      </c>
    </row>
    <row r="20" s="46" customFormat="1" ht="25.5" customHeight="1" spans="1:12">
      <c r="A20" s="77" t="s">
        <v>94</v>
      </c>
      <c r="B20" s="78" t="s">
        <v>93</v>
      </c>
      <c r="C20" s="79"/>
      <c r="D20" s="79"/>
      <c r="E20" s="80"/>
      <c r="F20" s="78"/>
      <c r="G20" s="80"/>
      <c r="H20" s="78">
        <v>1</v>
      </c>
      <c r="I20" s="80"/>
      <c r="J20" s="78">
        <v>0</v>
      </c>
      <c r="K20" s="80"/>
      <c r="L20" s="104">
        <v>0</v>
      </c>
    </row>
    <row r="21" s="47" customFormat="1" ht="25.5" customHeight="1" spans="1:12">
      <c r="A21" s="81" t="s">
        <v>95</v>
      </c>
      <c r="B21" s="82" t="s">
        <v>96</v>
      </c>
      <c r="C21" s="82"/>
      <c r="D21" s="82"/>
      <c r="E21" s="82"/>
      <c r="F21" s="82" t="s">
        <v>97</v>
      </c>
      <c r="G21" s="82"/>
      <c r="H21" s="82">
        <v>0</v>
      </c>
      <c r="I21" s="82"/>
      <c r="J21" s="82" t="s">
        <v>97</v>
      </c>
      <c r="K21" s="82"/>
      <c r="L21" s="105" t="s">
        <v>97</v>
      </c>
    </row>
    <row r="22" s="47" customFormat="1" ht="30.75" customHeight="1" spans="1:12">
      <c r="A22" s="83" t="s">
        <v>98</v>
      </c>
      <c r="B22" s="82" t="s">
        <v>96</v>
      </c>
      <c r="C22" s="82"/>
      <c r="D22" s="82"/>
      <c r="E22" s="82"/>
      <c r="F22" s="70"/>
      <c r="G22" s="72"/>
      <c r="H22" s="82">
        <v>1</v>
      </c>
      <c r="I22" s="82"/>
      <c r="J22" s="82" t="s">
        <v>99</v>
      </c>
      <c r="K22" s="82"/>
      <c r="L22" s="105" t="s">
        <v>99</v>
      </c>
    </row>
    <row r="23" s="48" customFormat="1" ht="19.5" customHeight="1" spans="1:12">
      <c r="A23" s="84" t="s">
        <v>100</v>
      </c>
      <c r="B23" s="85" t="s">
        <v>101</v>
      </c>
      <c r="C23" s="86"/>
      <c r="D23" s="86"/>
      <c r="E23" s="87"/>
      <c r="F23" s="88">
        <v>1</v>
      </c>
      <c r="G23" s="89"/>
      <c r="H23" s="85">
        <v>0</v>
      </c>
      <c r="I23" s="87"/>
      <c r="J23" s="85">
        <v>1</v>
      </c>
      <c r="K23" s="87"/>
      <c r="L23" s="106">
        <v>1</v>
      </c>
    </row>
    <row r="24" s="48" customFormat="1" ht="19.5" customHeight="1" spans="1:12">
      <c r="A24" s="84" t="s">
        <v>102</v>
      </c>
      <c r="B24" s="85" t="s">
        <v>101</v>
      </c>
      <c r="C24" s="86"/>
      <c r="D24" s="86"/>
      <c r="E24" s="87"/>
      <c r="F24" s="88"/>
      <c r="G24" s="89"/>
      <c r="H24" s="85">
        <v>1</v>
      </c>
      <c r="I24" s="87"/>
      <c r="J24" s="85">
        <v>0</v>
      </c>
      <c r="K24" s="87"/>
      <c r="L24" s="107">
        <v>0</v>
      </c>
    </row>
    <row r="25" spans="1:12">
      <c r="A25" s="90" t="s">
        <v>103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108"/>
    </row>
    <row r="26" ht="4.5" customHeight="1" spans="1:12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</row>
    <row r="27" spans="1:12">
      <c r="A27" s="50"/>
      <c r="B27" s="50"/>
      <c r="C27" s="93"/>
      <c r="D27" s="50"/>
      <c r="E27" s="50"/>
      <c r="F27" s="50"/>
      <c r="G27" s="50"/>
      <c r="H27" s="50"/>
      <c r="I27" s="50" t="s">
        <v>77</v>
      </c>
      <c r="J27" s="50"/>
      <c r="K27" s="50"/>
      <c r="L27" s="50"/>
    </row>
    <row r="28" ht="12.75" customHeight="1" spans="1:12">
      <c r="A28" s="50"/>
      <c r="B28" s="50"/>
      <c r="C28" s="93"/>
      <c r="D28" s="50"/>
      <c r="E28" s="50"/>
      <c r="F28" s="50"/>
      <c r="G28" s="50"/>
      <c r="H28" s="50"/>
      <c r="I28" s="50"/>
      <c r="J28" s="50"/>
      <c r="K28" s="50"/>
      <c r="L28" s="50"/>
    </row>
    <row r="29" spans="1:10">
      <c r="A29" s="94"/>
      <c r="B29" s="94"/>
      <c r="I29" s="109" t="s">
        <v>78</v>
      </c>
      <c r="J29" s="110"/>
    </row>
    <row r="30" spans="1:9">
      <c r="A30" s="95"/>
      <c r="B30" s="95"/>
      <c r="I30" s="49" t="s">
        <v>79</v>
      </c>
    </row>
    <row r="31" spans="1:10">
      <c r="A31" s="96"/>
      <c r="B31" s="96"/>
      <c r="I31" s="96" t="s">
        <v>104</v>
      </c>
      <c r="J31" s="96"/>
    </row>
  </sheetData>
  <mergeCells count="55">
    <mergeCell ref="A4:L4"/>
    <mergeCell ref="A5:L5"/>
    <mergeCell ref="A6:L6"/>
    <mergeCell ref="A7:L7"/>
    <mergeCell ref="A12:L12"/>
    <mergeCell ref="B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H23:I23"/>
    <mergeCell ref="J23:K23"/>
    <mergeCell ref="B24:E24"/>
    <mergeCell ref="H24:I24"/>
    <mergeCell ref="J24:K24"/>
    <mergeCell ref="A26:L26"/>
    <mergeCell ref="A29:B29"/>
    <mergeCell ref="A30:B30"/>
    <mergeCell ref="A31:B31"/>
    <mergeCell ref="I31:J31"/>
    <mergeCell ref="A13:A14"/>
    <mergeCell ref="L13:L14"/>
  </mergeCells>
  <pageMargins left="0.7" right="0.7" top="0.75" bottom="0.75" header="0.3" footer="0.3"/>
  <pageSetup paperSize="9" scale="66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87"/>
  <sheetViews>
    <sheetView view="pageBreakPreview" zoomScale="106" zoomScaleNormal="100" topLeftCell="A4" workbookViewId="0">
      <selection activeCell="B27" sqref="B27"/>
    </sheetView>
  </sheetViews>
  <sheetFormatPr defaultColWidth="9" defaultRowHeight="14.4"/>
  <cols>
    <col min="1" max="1" width="36.5740740740741" customWidth="1"/>
    <col min="2" max="5" width="11.5740740740741" customWidth="1"/>
    <col min="6" max="7" width="11.5740740740741" style="3" customWidth="1"/>
    <col min="8" max="10" width="11.5740740740741" customWidth="1"/>
    <col min="11" max="11" width="26.4259259259259" style="4" customWidth="1"/>
  </cols>
  <sheetData>
    <row r="1" s="1" customFormat="1" ht="52.5" customHeight="1"/>
    <row r="2" s="1" customFormat="1" ht="10.5" customHeight="1" spans="1:10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5.95" customHeight="1" spans="1:10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15.95" customHeight="1" spans="1:10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</row>
    <row r="5" s="1" customFormat="1" ht="15.95" customHeight="1" spans="1:10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s="1" customFormat="1" ht="8.25" customHeight="1"/>
    <row r="7" s="1" customFormat="1" ht="12" customHeight="1" spans="1:10">
      <c r="A7" s="1" t="s">
        <v>4</v>
      </c>
      <c r="B7" s="6" t="s">
        <v>5</v>
      </c>
      <c r="C7" s="6"/>
      <c r="D7" s="6"/>
      <c r="H7" s="7" t="s">
        <v>6</v>
      </c>
      <c r="I7" s="31"/>
      <c r="J7" s="7"/>
    </row>
    <row r="8" s="1" customFormat="1" ht="12" customHeight="1" spans="2:10">
      <c r="B8" s="8"/>
      <c r="C8" s="8"/>
      <c r="H8" s="8"/>
      <c r="I8" s="8"/>
      <c r="J8" s="8"/>
    </row>
    <row r="9" s="1" customFormat="1" ht="12" customHeight="1" spans="1:10">
      <c r="A9" s="1" t="s">
        <v>7</v>
      </c>
      <c r="B9" s="6" t="s">
        <v>8</v>
      </c>
      <c r="C9" s="6"/>
      <c r="D9" s="6"/>
      <c r="H9" s="7" t="s">
        <v>9</v>
      </c>
      <c r="I9" s="32"/>
      <c r="J9" s="7"/>
    </row>
    <row r="10" ht="23.25" customHeight="1" spans="1:11">
      <c r="A10" s="9" t="s">
        <v>10</v>
      </c>
      <c r="B10" s="9"/>
      <c r="C10" s="9"/>
      <c r="D10" s="9"/>
      <c r="E10" s="9"/>
      <c r="F10" s="9"/>
      <c r="G10" s="9"/>
      <c r="H10" s="9"/>
      <c r="I10" s="9"/>
      <c r="J10" s="9"/>
      <c r="K10"/>
    </row>
    <row r="11" ht="18.75" customHeight="1" spans="1:11">
      <c r="A11" s="10" t="s">
        <v>11</v>
      </c>
      <c r="B11" s="11" t="s">
        <v>12</v>
      </c>
      <c r="C11" s="12"/>
      <c r="D11" s="13" t="s">
        <v>13</v>
      </c>
      <c r="E11" s="14"/>
      <c r="F11" s="14"/>
      <c r="G11" s="15"/>
      <c r="H11" s="16" t="s">
        <v>14</v>
      </c>
      <c r="I11" s="33"/>
      <c r="J11" s="34" t="s">
        <v>15</v>
      </c>
      <c r="K11" s="35" t="s">
        <v>16</v>
      </c>
    </row>
    <row r="12" ht="18.75" customHeight="1" spans="1:11">
      <c r="A12" s="17"/>
      <c r="B12" s="18" t="s">
        <v>17</v>
      </c>
      <c r="C12" s="18" t="s">
        <v>18</v>
      </c>
      <c r="D12" s="18" t="s">
        <v>17</v>
      </c>
      <c r="E12" s="18" t="s">
        <v>18</v>
      </c>
      <c r="F12" s="18" t="s">
        <v>19</v>
      </c>
      <c r="G12" s="18" t="s">
        <v>20</v>
      </c>
      <c r="H12" s="18" t="s">
        <v>17</v>
      </c>
      <c r="I12" s="18" t="s">
        <v>18</v>
      </c>
      <c r="J12" s="36"/>
      <c r="K12" s="35"/>
    </row>
    <row r="13" ht="30.75" customHeight="1" spans="1:10">
      <c r="A13" s="19" t="s">
        <v>105</v>
      </c>
      <c r="B13" s="20">
        <v>1</v>
      </c>
      <c r="C13" s="20">
        <v>1</v>
      </c>
      <c r="D13" s="20"/>
      <c r="E13" s="20"/>
      <c r="F13" s="20"/>
      <c r="G13" s="20"/>
      <c r="H13" s="21">
        <f>B13</f>
        <v>1</v>
      </c>
      <c r="I13" s="21">
        <f>C13</f>
        <v>1</v>
      </c>
      <c r="J13" s="37">
        <f>SUM(H13:I13)</f>
        <v>2</v>
      </c>
    </row>
    <row r="14" ht="12" customHeight="1" spans="1:10">
      <c r="A14" s="22" t="s">
        <v>106</v>
      </c>
      <c r="B14" s="23">
        <v>1.25</v>
      </c>
      <c r="C14" s="23">
        <v>1.25</v>
      </c>
      <c r="D14" s="23"/>
      <c r="E14" s="23"/>
      <c r="F14" s="23"/>
      <c r="G14" s="23"/>
      <c r="H14" s="24">
        <f>H13-F14-D14+B14</f>
        <v>2.25</v>
      </c>
      <c r="I14" s="24">
        <f>I13-E14+C14</f>
        <v>2.25</v>
      </c>
      <c r="J14" s="38">
        <f>SUM(H14:I14)</f>
        <v>4.5</v>
      </c>
    </row>
    <row r="15" ht="12" customHeight="1" spans="1:10">
      <c r="A15" s="22" t="s">
        <v>107</v>
      </c>
      <c r="B15" s="23">
        <v>15</v>
      </c>
      <c r="C15" s="23">
        <v>15</v>
      </c>
      <c r="D15" s="23"/>
      <c r="E15" s="23"/>
      <c r="F15" s="23"/>
      <c r="G15" s="23"/>
      <c r="H15" s="24">
        <f t="shared" ref="H15:H44" si="0">H14-F15-D15+B15</f>
        <v>17.25</v>
      </c>
      <c r="I15" s="24">
        <f t="shared" ref="I15:I44" si="1">I14-E15+C15</f>
        <v>17.25</v>
      </c>
      <c r="J15" s="38">
        <f t="shared" ref="J15:J44" si="2">SUM(H15:I15)</f>
        <v>34.5</v>
      </c>
    </row>
    <row r="16" ht="12.75" customHeight="1" spans="1:10">
      <c r="A16" s="22" t="s">
        <v>108</v>
      </c>
      <c r="B16" s="23"/>
      <c r="C16" s="23"/>
      <c r="D16" s="23"/>
      <c r="E16" s="23"/>
      <c r="F16" s="23">
        <v>5</v>
      </c>
      <c r="G16" s="23"/>
      <c r="H16" s="24">
        <f t="shared" si="0"/>
        <v>12.25</v>
      </c>
      <c r="I16" s="24">
        <f t="shared" si="1"/>
        <v>17.25</v>
      </c>
      <c r="J16" s="38">
        <f t="shared" si="2"/>
        <v>29.5</v>
      </c>
    </row>
    <row r="17" ht="12.75" customHeight="1" spans="1:10">
      <c r="A17" s="22" t="s">
        <v>109</v>
      </c>
      <c r="B17" s="23">
        <v>15</v>
      </c>
      <c r="C17" s="23">
        <v>15</v>
      </c>
      <c r="D17" s="23"/>
      <c r="E17" s="23"/>
      <c r="F17" s="23"/>
      <c r="G17" s="23"/>
      <c r="H17" s="24">
        <f t="shared" si="0"/>
        <v>27.25</v>
      </c>
      <c r="I17" s="24">
        <f t="shared" si="1"/>
        <v>32.25</v>
      </c>
      <c r="J17" s="38">
        <f t="shared" si="2"/>
        <v>59.5</v>
      </c>
    </row>
    <row r="18" ht="12" customHeight="1" spans="1:10">
      <c r="A18" s="22" t="s">
        <v>110</v>
      </c>
      <c r="B18" s="23"/>
      <c r="C18" s="23"/>
      <c r="D18" s="23"/>
      <c r="E18" s="23"/>
      <c r="F18" s="23">
        <v>5</v>
      </c>
      <c r="G18" s="23"/>
      <c r="H18" s="24">
        <f t="shared" si="0"/>
        <v>22.25</v>
      </c>
      <c r="I18" s="24">
        <f t="shared" si="1"/>
        <v>32.25</v>
      </c>
      <c r="J18" s="38">
        <f t="shared" si="2"/>
        <v>54.5</v>
      </c>
    </row>
    <row r="19" ht="12" customHeight="1" spans="1:10">
      <c r="A19" s="22" t="s">
        <v>111</v>
      </c>
      <c r="B19" s="23">
        <v>15</v>
      </c>
      <c r="C19" s="23">
        <v>15</v>
      </c>
      <c r="D19" s="23"/>
      <c r="E19" s="23"/>
      <c r="F19" s="23"/>
      <c r="G19" s="23"/>
      <c r="H19" s="24">
        <f t="shared" si="0"/>
        <v>37.25</v>
      </c>
      <c r="I19" s="24">
        <f t="shared" si="1"/>
        <v>47.25</v>
      </c>
      <c r="J19" s="38">
        <f t="shared" si="2"/>
        <v>84.5</v>
      </c>
    </row>
    <row r="20" ht="12" customHeight="1" spans="1:10">
      <c r="A20" s="22" t="s">
        <v>112</v>
      </c>
      <c r="B20" s="23"/>
      <c r="C20" s="23"/>
      <c r="D20" s="23"/>
      <c r="E20" s="23"/>
      <c r="F20" s="23">
        <v>5</v>
      </c>
      <c r="G20" s="23"/>
      <c r="H20" s="24">
        <f t="shared" si="0"/>
        <v>32.25</v>
      </c>
      <c r="I20" s="24">
        <f t="shared" si="1"/>
        <v>47.25</v>
      </c>
      <c r="J20" s="38">
        <f t="shared" si="2"/>
        <v>79.5</v>
      </c>
    </row>
    <row r="21" ht="12" customHeight="1" spans="1:10">
      <c r="A21" s="22" t="s">
        <v>24</v>
      </c>
      <c r="B21" s="23">
        <v>15</v>
      </c>
      <c r="C21" s="23">
        <v>15</v>
      </c>
      <c r="D21" s="23"/>
      <c r="E21" s="23"/>
      <c r="F21" s="23"/>
      <c r="G21" s="23"/>
      <c r="H21" s="24">
        <f t="shared" si="0"/>
        <v>47.25</v>
      </c>
      <c r="I21" s="24">
        <f t="shared" si="1"/>
        <v>62.25</v>
      </c>
      <c r="J21" s="38">
        <f t="shared" si="2"/>
        <v>109.5</v>
      </c>
    </row>
    <row r="22" ht="12" customHeight="1" spans="1:10">
      <c r="A22" s="22" t="s">
        <v>25</v>
      </c>
      <c r="B22" s="23"/>
      <c r="C22" s="23"/>
      <c r="D22" s="23"/>
      <c r="E22" s="23"/>
      <c r="F22" s="23">
        <v>5</v>
      </c>
      <c r="G22" s="23"/>
      <c r="H22" s="24">
        <f t="shared" si="0"/>
        <v>42.25</v>
      </c>
      <c r="I22" s="24">
        <f t="shared" si="1"/>
        <v>62.25</v>
      </c>
      <c r="J22" s="38">
        <f t="shared" si="2"/>
        <v>104.5</v>
      </c>
    </row>
    <row r="23" ht="12" customHeight="1" spans="1:10">
      <c r="A23" s="22" t="s">
        <v>26</v>
      </c>
      <c r="B23" s="23"/>
      <c r="C23" s="23"/>
      <c r="D23" s="23">
        <v>10</v>
      </c>
      <c r="E23" s="23"/>
      <c r="F23" s="23"/>
      <c r="G23" s="23"/>
      <c r="H23" s="24">
        <f t="shared" si="0"/>
        <v>32.25</v>
      </c>
      <c r="I23" s="24">
        <f t="shared" si="1"/>
        <v>62.25</v>
      </c>
      <c r="J23" s="38">
        <f t="shared" si="2"/>
        <v>94.5</v>
      </c>
    </row>
    <row r="24" ht="12" customHeight="1" spans="1:10">
      <c r="A24" s="22" t="s">
        <v>27</v>
      </c>
      <c r="B24" s="23">
        <v>15</v>
      </c>
      <c r="C24" s="23">
        <v>15</v>
      </c>
      <c r="D24" s="23"/>
      <c r="E24" s="23"/>
      <c r="F24" s="23"/>
      <c r="G24" s="23"/>
      <c r="H24" s="24">
        <f t="shared" si="0"/>
        <v>47.25</v>
      </c>
      <c r="I24" s="24">
        <f t="shared" si="1"/>
        <v>77.25</v>
      </c>
      <c r="J24" s="38">
        <f t="shared" si="2"/>
        <v>124.5</v>
      </c>
    </row>
    <row r="25" ht="12.75" customHeight="1" spans="1:10">
      <c r="A25" s="22" t="s">
        <v>28</v>
      </c>
      <c r="B25" s="23"/>
      <c r="C25" s="23"/>
      <c r="D25" s="23">
        <v>20</v>
      </c>
      <c r="E25" s="23">
        <v>9</v>
      </c>
      <c r="F25" s="23"/>
      <c r="G25" s="23"/>
      <c r="H25" s="24">
        <f t="shared" si="0"/>
        <v>27.25</v>
      </c>
      <c r="I25" s="24">
        <f t="shared" si="1"/>
        <v>68.25</v>
      </c>
      <c r="J25" s="38">
        <f t="shared" si="2"/>
        <v>95.5</v>
      </c>
    </row>
    <row r="26" ht="12" customHeight="1" spans="1:10">
      <c r="A26" s="22" t="s">
        <v>29</v>
      </c>
      <c r="B26" s="23"/>
      <c r="C26" s="23"/>
      <c r="D26" s="23"/>
      <c r="E26" s="23"/>
      <c r="F26" s="23">
        <v>1</v>
      </c>
      <c r="G26" s="23"/>
      <c r="H26" s="24">
        <f t="shared" si="0"/>
        <v>26.25</v>
      </c>
      <c r="I26" s="24">
        <f t="shared" si="1"/>
        <v>68.25</v>
      </c>
      <c r="J26" s="38">
        <f t="shared" si="2"/>
        <v>94.5</v>
      </c>
    </row>
    <row r="27" ht="12" customHeight="1" spans="1:10">
      <c r="A27" s="22" t="s">
        <v>30</v>
      </c>
      <c r="B27" s="23"/>
      <c r="C27" s="23"/>
      <c r="D27" s="23"/>
      <c r="E27" s="23"/>
      <c r="F27" s="23">
        <v>4</v>
      </c>
      <c r="G27" s="23"/>
      <c r="H27" s="24">
        <f t="shared" si="0"/>
        <v>22.25</v>
      </c>
      <c r="I27" s="24">
        <f t="shared" si="1"/>
        <v>68.25</v>
      </c>
      <c r="J27" s="38">
        <f t="shared" si="2"/>
        <v>90.5</v>
      </c>
    </row>
    <row r="28" ht="12" customHeight="1" spans="1:10">
      <c r="A28" s="22" t="s">
        <v>31</v>
      </c>
      <c r="B28" s="23">
        <v>2.5</v>
      </c>
      <c r="C28" s="23">
        <v>2.5</v>
      </c>
      <c r="D28" s="23"/>
      <c r="E28" s="23"/>
      <c r="F28" s="23"/>
      <c r="G28" s="23"/>
      <c r="H28" s="24">
        <f t="shared" si="0"/>
        <v>24.75</v>
      </c>
      <c r="I28" s="24">
        <f t="shared" si="1"/>
        <v>70.75</v>
      </c>
      <c r="J28" s="38">
        <f t="shared" si="2"/>
        <v>95.5</v>
      </c>
    </row>
    <row r="29" ht="12" customHeight="1" spans="1:10">
      <c r="A29" s="22" t="s">
        <v>32</v>
      </c>
      <c r="B29" s="23"/>
      <c r="C29" s="23"/>
      <c r="D29" s="23"/>
      <c r="E29" s="23"/>
      <c r="F29" s="23">
        <v>1</v>
      </c>
      <c r="G29" s="23"/>
      <c r="H29" s="24">
        <f t="shared" si="0"/>
        <v>23.75</v>
      </c>
      <c r="I29" s="24">
        <f t="shared" si="1"/>
        <v>70.75</v>
      </c>
      <c r="J29" s="38">
        <f t="shared" si="2"/>
        <v>94.5</v>
      </c>
    </row>
    <row r="30" ht="18.75" customHeight="1" spans="1:10">
      <c r="A30" s="25" t="s">
        <v>33</v>
      </c>
      <c r="B30" s="23">
        <v>2.5</v>
      </c>
      <c r="C30" s="23">
        <v>2.5</v>
      </c>
      <c r="D30" s="23"/>
      <c r="E30" s="23"/>
      <c r="F30" s="23"/>
      <c r="G30" s="23"/>
      <c r="H30" s="24">
        <f t="shared" si="0"/>
        <v>26.25</v>
      </c>
      <c r="I30" s="24">
        <f t="shared" si="1"/>
        <v>73.25</v>
      </c>
      <c r="J30" s="38">
        <f t="shared" si="2"/>
        <v>99.5</v>
      </c>
    </row>
    <row r="31" ht="12" customHeight="1" spans="1:10">
      <c r="A31" s="26" t="s">
        <v>34</v>
      </c>
      <c r="B31" s="23"/>
      <c r="C31" s="23"/>
      <c r="D31" s="23"/>
      <c r="E31" s="23"/>
      <c r="F31" s="23">
        <v>4</v>
      </c>
      <c r="G31" s="23"/>
      <c r="H31" s="24">
        <f t="shared" si="0"/>
        <v>22.25</v>
      </c>
      <c r="I31" s="24">
        <f t="shared" si="1"/>
        <v>73.25</v>
      </c>
      <c r="J31" s="38">
        <f t="shared" si="2"/>
        <v>95.5</v>
      </c>
    </row>
    <row r="32" ht="13.5" customHeight="1" spans="1:10">
      <c r="A32" s="26" t="s">
        <v>35</v>
      </c>
      <c r="B32" s="23">
        <v>3.75</v>
      </c>
      <c r="C32" s="23">
        <v>3.75</v>
      </c>
      <c r="D32" s="23"/>
      <c r="E32" s="23"/>
      <c r="F32" s="23"/>
      <c r="G32" s="23"/>
      <c r="H32" s="24">
        <f t="shared" si="0"/>
        <v>26</v>
      </c>
      <c r="I32" s="24">
        <f t="shared" si="1"/>
        <v>77</v>
      </c>
      <c r="J32" s="38">
        <f t="shared" si="2"/>
        <v>103</v>
      </c>
    </row>
    <row r="33" ht="12" customHeight="1" spans="1:10">
      <c r="A33" s="22" t="s">
        <v>36</v>
      </c>
      <c r="B33" s="23">
        <v>1.25</v>
      </c>
      <c r="C33" s="23">
        <v>1.25</v>
      </c>
      <c r="D33" s="23"/>
      <c r="E33" s="23"/>
      <c r="F33" s="23"/>
      <c r="G33" s="23"/>
      <c r="H33" s="24">
        <f t="shared" si="0"/>
        <v>27.25</v>
      </c>
      <c r="I33" s="24">
        <f t="shared" si="1"/>
        <v>78.25</v>
      </c>
      <c r="J33" s="38">
        <f t="shared" si="2"/>
        <v>105.5</v>
      </c>
    </row>
    <row r="34" ht="12" customHeight="1" spans="1:10">
      <c r="A34" s="22" t="s">
        <v>37</v>
      </c>
      <c r="B34" s="23"/>
      <c r="C34" s="23"/>
      <c r="D34" s="23">
        <v>4</v>
      </c>
      <c r="E34" s="23">
        <v>25</v>
      </c>
      <c r="F34" s="23"/>
      <c r="G34" s="23"/>
      <c r="H34" s="24">
        <f t="shared" si="0"/>
        <v>23.25</v>
      </c>
      <c r="I34" s="24">
        <f t="shared" si="1"/>
        <v>53.25</v>
      </c>
      <c r="J34" s="38">
        <f t="shared" si="2"/>
        <v>76.5</v>
      </c>
    </row>
    <row r="35" ht="14.25" customHeight="1" spans="1:10">
      <c r="A35" s="22" t="s">
        <v>38</v>
      </c>
      <c r="B35" s="23">
        <v>5</v>
      </c>
      <c r="C35" s="23">
        <v>5</v>
      </c>
      <c r="D35" s="23"/>
      <c r="E35" s="23"/>
      <c r="F35" s="23"/>
      <c r="G35" s="23"/>
      <c r="H35" s="24">
        <f t="shared" si="0"/>
        <v>28.25</v>
      </c>
      <c r="I35" s="24">
        <f t="shared" si="1"/>
        <v>58.25</v>
      </c>
      <c r="J35" s="38">
        <f t="shared" si="2"/>
        <v>86.5</v>
      </c>
    </row>
    <row r="36" ht="12" customHeight="1" spans="1:10">
      <c r="A36" s="22" t="s">
        <v>39</v>
      </c>
      <c r="B36" s="23"/>
      <c r="C36" s="23"/>
      <c r="D36" s="23"/>
      <c r="E36" s="23"/>
      <c r="F36" s="23"/>
      <c r="G36" s="23">
        <v>1</v>
      </c>
      <c r="H36" s="24">
        <f t="shared" si="0"/>
        <v>28.25</v>
      </c>
      <c r="I36" s="24">
        <f t="shared" si="1"/>
        <v>58.25</v>
      </c>
      <c r="J36" s="38">
        <f t="shared" si="2"/>
        <v>86.5</v>
      </c>
    </row>
    <row r="37" ht="12" customHeight="1" spans="1:10">
      <c r="A37" s="22" t="s">
        <v>40</v>
      </c>
      <c r="B37" s="23"/>
      <c r="C37" s="23"/>
      <c r="D37" s="23"/>
      <c r="E37" s="23"/>
      <c r="F37" s="23"/>
      <c r="G37" s="23">
        <v>1</v>
      </c>
      <c r="H37" s="24">
        <f t="shared" si="0"/>
        <v>28.25</v>
      </c>
      <c r="I37" s="24">
        <f t="shared" si="1"/>
        <v>58.25</v>
      </c>
      <c r="J37" s="38">
        <f t="shared" si="2"/>
        <v>86.5</v>
      </c>
    </row>
    <row r="38" ht="12" customHeight="1" spans="1:10">
      <c r="A38" s="22" t="s">
        <v>41</v>
      </c>
      <c r="B38" s="23">
        <v>5</v>
      </c>
      <c r="C38" s="23">
        <v>5</v>
      </c>
      <c r="D38" s="23"/>
      <c r="E38" s="23"/>
      <c r="F38" s="23"/>
      <c r="G38" s="23"/>
      <c r="H38" s="24">
        <f t="shared" si="0"/>
        <v>33.25</v>
      </c>
      <c r="I38" s="24">
        <f t="shared" si="1"/>
        <v>63.25</v>
      </c>
      <c r="J38" s="38">
        <f t="shared" si="2"/>
        <v>96.5</v>
      </c>
    </row>
    <row r="39" s="2" customFormat="1" ht="12" customHeight="1" spans="1:11">
      <c r="A39" s="22" t="s">
        <v>42</v>
      </c>
      <c r="B39" s="23"/>
      <c r="C39" s="23"/>
      <c r="D39" s="23"/>
      <c r="E39" s="23"/>
      <c r="F39" s="23"/>
      <c r="G39" s="23">
        <v>1</v>
      </c>
      <c r="H39" s="24">
        <f t="shared" si="0"/>
        <v>33.25</v>
      </c>
      <c r="I39" s="24">
        <f t="shared" si="1"/>
        <v>63.25</v>
      </c>
      <c r="J39" s="38">
        <f t="shared" si="2"/>
        <v>96.5</v>
      </c>
      <c r="K39" s="39"/>
    </row>
    <row r="40" s="2" customFormat="1" ht="12" customHeight="1" spans="1:11">
      <c r="A40" s="22" t="s">
        <v>43</v>
      </c>
      <c r="B40" s="23">
        <v>5</v>
      </c>
      <c r="C40" s="23">
        <v>5</v>
      </c>
      <c r="D40" s="23"/>
      <c r="E40" s="23"/>
      <c r="F40" s="23"/>
      <c r="G40" s="23"/>
      <c r="H40" s="24">
        <f t="shared" si="0"/>
        <v>38.25</v>
      </c>
      <c r="I40" s="24">
        <f t="shared" si="1"/>
        <v>68.25</v>
      </c>
      <c r="J40" s="38">
        <f t="shared" si="2"/>
        <v>106.5</v>
      </c>
      <c r="K40" s="39"/>
    </row>
    <row r="41" s="2" customFormat="1" ht="12.75" customHeight="1" spans="1:11">
      <c r="A41" s="22" t="s">
        <v>44</v>
      </c>
      <c r="B41" s="23"/>
      <c r="C41" s="23"/>
      <c r="D41" s="23">
        <v>13</v>
      </c>
      <c r="E41" s="23">
        <v>8</v>
      </c>
      <c r="F41" s="23"/>
      <c r="G41" s="23"/>
      <c r="H41" s="24">
        <f t="shared" si="0"/>
        <v>25.25</v>
      </c>
      <c r="I41" s="24">
        <f t="shared" si="1"/>
        <v>60.25</v>
      </c>
      <c r="J41" s="38">
        <f t="shared" si="2"/>
        <v>85.5</v>
      </c>
      <c r="K41" s="39"/>
    </row>
    <row r="42" ht="12" customHeight="1" spans="1:10">
      <c r="A42" s="22" t="s">
        <v>45</v>
      </c>
      <c r="B42" s="23">
        <v>2.5</v>
      </c>
      <c r="C42" s="23">
        <v>2.5</v>
      </c>
      <c r="D42" s="23"/>
      <c r="E42" s="23"/>
      <c r="F42" s="23"/>
      <c r="G42" s="23"/>
      <c r="H42" s="24">
        <f t="shared" si="0"/>
        <v>27.75</v>
      </c>
      <c r="I42" s="24">
        <f t="shared" si="1"/>
        <v>62.75</v>
      </c>
      <c r="J42" s="38">
        <f t="shared" si="2"/>
        <v>90.5</v>
      </c>
    </row>
    <row r="43" ht="15.75" customHeight="1" spans="1:10">
      <c r="A43" s="22" t="s">
        <v>46</v>
      </c>
      <c r="B43" s="23"/>
      <c r="C43" s="23"/>
      <c r="D43" s="23"/>
      <c r="E43" s="23"/>
      <c r="F43" s="23">
        <v>2</v>
      </c>
      <c r="G43" s="23"/>
      <c r="H43" s="24">
        <f t="shared" si="0"/>
        <v>25.75</v>
      </c>
      <c r="I43" s="24">
        <f t="shared" si="1"/>
        <v>62.75</v>
      </c>
      <c r="J43" s="38">
        <f t="shared" si="2"/>
        <v>88.5</v>
      </c>
    </row>
    <row r="44" s="2" customFormat="1" ht="16.5" customHeight="1" spans="1:11">
      <c r="A44" s="22" t="s">
        <v>47</v>
      </c>
      <c r="B44" s="23"/>
      <c r="C44" s="23"/>
      <c r="D44" s="23"/>
      <c r="E44" s="23">
        <v>8</v>
      </c>
      <c r="F44" s="23"/>
      <c r="G44" s="23"/>
      <c r="H44" s="24">
        <f t="shared" si="0"/>
        <v>25.75</v>
      </c>
      <c r="I44" s="24">
        <f t="shared" si="1"/>
        <v>54.75</v>
      </c>
      <c r="J44" s="38">
        <f t="shared" si="2"/>
        <v>80.5</v>
      </c>
      <c r="K44" s="39"/>
    </row>
    <row r="45" s="2" customFormat="1" ht="12" customHeight="1" spans="1:11">
      <c r="A45" s="22" t="s">
        <v>48</v>
      </c>
      <c r="B45" s="23">
        <v>1.25</v>
      </c>
      <c r="C45" s="23">
        <v>1.25</v>
      </c>
      <c r="D45" s="23"/>
      <c r="E45" s="23"/>
      <c r="F45" s="23"/>
      <c r="G45" s="23"/>
      <c r="H45" s="24">
        <f t="shared" ref="H45:H66" si="3">H44-F45-D45+B45</f>
        <v>27</v>
      </c>
      <c r="I45" s="24">
        <f t="shared" ref="I45:I66" si="4">I44-E45+C45</f>
        <v>56</v>
      </c>
      <c r="J45" s="38">
        <f t="shared" ref="J45:J66" si="5">SUM(H45:I45)</f>
        <v>83</v>
      </c>
      <c r="K45" s="39"/>
    </row>
    <row r="46" ht="12" customHeight="1" spans="1:10">
      <c r="A46" s="22" t="s">
        <v>49</v>
      </c>
      <c r="B46" s="23">
        <v>2</v>
      </c>
      <c r="C46" s="23"/>
      <c r="D46" s="23"/>
      <c r="E46" s="23"/>
      <c r="F46" s="23"/>
      <c r="G46" s="23"/>
      <c r="H46" s="24">
        <f t="shared" si="3"/>
        <v>29</v>
      </c>
      <c r="I46" s="24">
        <f t="shared" si="4"/>
        <v>56</v>
      </c>
      <c r="J46" s="38">
        <f t="shared" si="5"/>
        <v>85</v>
      </c>
    </row>
    <row r="47" ht="16.5" customHeight="1" spans="1:10">
      <c r="A47" s="22" t="s">
        <v>50</v>
      </c>
      <c r="B47" s="23"/>
      <c r="C47" s="23"/>
      <c r="D47" s="23"/>
      <c r="E47" s="23"/>
      <c r="F47" s="23">
        <v>3</v>
      </c>
      <c r="G47" s="23"/>
      <c r="H47" s="24">
        <f t="shared" si="3"/>
        <v>26</v>
      </c>
      <c r="I47" s="24">
        <f t="shared" si="4"/>
        <v>56</v>
      </c>
      <c r="J47" s="38">
        <f t="shared" si="5"/>
        <v>82</v>
      </c>
    </row>
    <row r="48" ht="12" customHeight="1" spans="1:10">
      <c r="A48" s="22" t="s">
        <v>51</v>
      </c>
      <c r="B48" s="23"/>
      <c r="C48" s="23"/>
      <c r="D48" s="23"/>
      <c r="E48" s="23"/>
      <c r="F48" s="23"/>
      <c r="G48" s="23">
        <v>1</v>
      </c>
      <c r="H48" s="24">
        <f t="shared" si="3"/>
        <v>26</v>
      </c>
      <c r="I48" s="24">
        <f t="shared" si="4"/>
        <v>56</v>
      </c>
      <c r="J48" s="38">
        <f t="shared" si="5"/>
        <v>82</v>
      </c>
    </row>
    <row r="49" ht="12" customHeight="1" spans="1:10">
      <c r="A49" s="22" t="s">
        <v>52</v>
      </c>
      <c r="B49" s="23">
        <v>1.25</v>
      </c>
      <c r="C49" s="23">
        <v>1.25</v>
      </c>
      <c r="D49" s="23"/>
      <c r="E49" s="23"/>
      <c r="F49" s="23"/>
      <c r="G49" s="27"/>
      <c r="H49" s="24">
        <f t="shared" si="3"/>
        <v>27.25</v>
      </c>
      <c r="I49" s="24">
        <f t="shared" si="4"/>
        <v>57.25</v>
      </c>
      <c r="J49" s="38">
        <f t="shared" si="5"/>
        <v>84.5</v>
      </c>
    </row>
    <row r="50" ht="12" customHeight="1" spans="1:10">
      <c r="A50" s="22" t="s">
        <v>53</v>
      </c>
      <c r="B50" s="23">
        <v>3</v>
      </c>
      <c r="C50" s="23"/>
      <c r="D50" s="23"/>
      <c r="E50" s="23"/>
      <c r="F50" s="23"/>
      <c r="G50" s="27"/>
      <c r="H50" s="24">
        <f t="shared" si="3"/>
        <v>30.25</v>
      </c>
      <c r="I50" s="24">
        <f t="shared" si="4"/>
        <v>57.25</v>
      </c>
      <c r="J50" s="38">
        <f t="shared" si="5"/>
        <v>87.5</v>
      </c>
    </row>
    <row r="51" ht="12" customHeight="1" spans="1:10">
      <c r="A51" s="28" t="s">
        <v>54</v>
      </c>
      <c r="B51" s="27">
        <v>1.25</v>
      </c>
      <c r="C51" s="27">
        <v>1.25</v>
      </c>
      <c r="D51" s="27"/>
      <c r="E51" s="27"/>
      <c r="F51" s="27"/>
      <c r="G51" s="27"/>
      <c r="H51" s="24">
        <f t="shared" si="3"/>
        <v>31.5</v>
      </c>
      <c r="I51" s="24">
        <f t="shared" si="4"/>
        <v>58.5</v>
      </c>
      <c r="J51" s="38">
        <f t="shared" si="5"/>
        <v>90</v>
      </c>
    </row>
    <row r="52" ht="12" customHeight="1" spans="1:10">
      <c r="A52" s="22" t="s">
        <v>55</v>
      </c>
      <c r="B52" s="27">
        <v>2.5</v>
      </c>
      <c r="C52" s="27">
        <v>2.5</v>
      </c>
      <c r="D52" s="27"/>
      <c r="E52" s="27"/>
      <c r="F52" s="27"/>
      <c r="G52" s="27"/>
      <c r="H52" s="24">
        <f t="shared" si="3"/>
        <v>34</v>
      </c>
      <c r="I52" s="24">
        <f t="shared" si="4"/>
        <v>61</v>
      </c>
      <c r="J52" s="38">
        <f t="shared" si="5"/>
        <v>95</v>
      </c>
    </row>
    <row r="53" ht="14.25" customHeight="1" spans="1:10">
      <c r="A53" s="29" t="s">
        <v>56</v>
      </c>
      <c r="B53" s="27"/>
      <c r="C53" s="27"/>
      <c r="D53" s="27"/>
      <c r="E53" s="27"/>
      <c r="F53" s="27"/>
      <c r="G53" s="27">
        <v>1</v>
      </c>
      <c r="H53" s="24">
        <f t="shared" si="3"/>
        <v>34</v>
      </c>
      <c r="I53" s="24">
        <f t="shared" si="4"/>
        <v>61</v>
      </c>
      <c r="J53" s="38">
        <f t="shared" si="5"/>
        <v>95</v>
      </c>
    </row>
    <row r="54" ht="12" customHeight="1" spans="1:10">
      <c r="A54" s="30" t="s">
        <v>57</v>
      </c>
      <c r="B54" s="23"/>
      <c r="C54" s="23"/>
      <c r="D54" s="23"/>
      <c r="E54" s="23"/>
      <c r="F54" s="23"/>
      <c r="G54" s="23">
        <v>1</v>
      </c>
      <c r="H54" s="24">
        <f t="shared" si="3"/>
        <v>34</v>
      </c>
      <c r="I54" s="24">
        <f t="shared" si="4"/>
        <v>61</v>
      </c>
      <c r="J54" s="38">
        <f t="shared" si="5"/>
        <v>95</v>
      </c>
    </row>
    <row r="55" ht="15.75" customHeight="1" spans="1:10">
      <c r="A55" s="30" t="s">
        <v>58</v>
      </c>
      <c r="B55" s="23">
        <v>1.25</v>
      </c>
      <c r="C55" s="23">
        <v>1.25</v>
      </c>
      <c r="D55" s="23"/>
      <c r="E55" s="23"/>
      <c r="F55" s="23"/>
      <c r="G55" s="23"/>
      <c r="H55" s="24">
        <f t="shared" si="3"/>
        <v>35.25</v>
      </c>
      <c r="I55" s="24">
        <f t="shared" si="4"/>
        <v>62.25</v>
      </c>
      <c r="J55" s="38">
        <f t="shared" si="5"/>
        <v>97.5</v>
      </c>
    </row>
    <row r="56" ht="12" customHeight="1" spans="1:10">
      <c r="A56" s="30" t="s">
        <v>59</v>
      </c>
      <c r="B56" s="23"/>
      <c r="C56" s="23"/>
      <c r="D56" s="23"/>
      <c r="E56" s="23">
        <v>1</v>
      </c>
      <c r="F56" s="23"/>
      <c r="G56" s="23"/>
      <c r="H56" s="24">
        <f t="shared" si="3"/>
        <v>35.25</v>
      </c>
      <c r="I56" s="24">
        <f t="shared" si="4"/>
        <v>61.25</v>
      </c>
      <c r="J56" s="38">
        <f t="shared" si="5"/>
        <v>96.5</v>
      </c>
    </row>
    <row r="57" ht="14.25" customHeight="1" spans="1:10">
      <c r="A57" s="30" t="s">
        <v>60</v>
      </c>
      <c r="B57" s="23">
        <v>3.75</v>
      </c>
      <c r="C57" s="23">
        <v>3.75</v>
      </c>
      <c r="D57" s="23"/>
      <c r="E57" s="23"/>
      <c r="F57" s="23"/>
      <c r="G57" s="23"/>
      <c r="H57" s="24">
        <f t="shared" si="3"/>
        <v>39</v>
      </c>
      <c r="I57" s="24">
        <f t="shared" si="4"/>
        <v>65</v>
      </c>
      <c r="J57" s="38">
        <f t="shared" si="5"/>
        <v>104</v>
      </c>
    </row>
    <row r="58" ht="15" customHeight="1" spans="1:10">
      <c r="A58" s="29" t="s">
        <v>61</v>
      </c>
      <c r="B58" s="23"/>
      <c r="C58" s="23"/>
      <c r="D58" s="23">
        <v>15</v>
      </c>
      <c r="E58" s="23">
        <v>10</v>
      </c>
      <c r="F58" s="23"/>
      <c r="G58" s="23"/>
      <c r="H58" s="24">
        <f t="shared" si="3"/>
        <v>24</v>
      </c>
      <c r="I58" s="24">
        <f t="shared" si="4"/>
        <v>55</v>
      </c>
      <c r="J58" s="38">
        <f t="shared" si="5"/>
        <v>79</v>
      </c>
    </row>
    <row r="59" ht="12" customHeight="1" spans="1:10">
      <c r="A59" s="22"/>
      <c r="B59" s="27"/>
      <c r="C59" s="27"/>
      <c r="D59" s="23"/>
      <c r="E59" s="23"/>
      <c r="F59" s="23"/>
      <c r="G59" s="23"/>
      <c r="H59" s="24">
        <f t="shared" si="3"/>
        <v>24</v>
      </c>
      <c r="I59" s="24">
        <f t="shared" si="4"/>
        <v>55</v>
      </c>
      <c r="J59" s="38">
        <f t="shared" si="5"/>
        <v>79</v>
      </c>
    </row>
    <row r="60" ht="12" customHeight="1" spans="1:10">
      <c r="A60" s="30"/>
      <c r="B60" s="23"/>
      <c r="C60" s="23"/>
      <c r="D60" s="23"/>
      <c r="E60" s="23"/>
      <c r="F60" s="23"/>
      <c r="G60" s="23"/>
      <c r="H60" s="24">
        <f t="shared" si="3"/>
        <v>24</v>
      </c>
      <c r="I60" s="24">
        <f t="shared" si="4"/>
        <v>55</v>
      </c>
      <c r="J60" s="38">
        <f t="shared" si="5"/>
        <v>79</v>
      </c>
    </row>
    <row r="61" ht="12" customHeight="1" spans="1:10">
      <c r="A61" s="22"/>
      <c r="B61" s="23"/>
      <c r="C61" s="23"/>
      <c r="D61" s="23"/>
      <c r="E61" s="23"/>
      <c r="F61" s="23"/>
      <c r="G61" s="23"/>
      <c r="H61" s="24">
        <f t="shared" si="3"/>
        <v>24</v>
      </c>
      <c r="I61" s="24">
        <f t="shared" si="4"/>
        <v>55</v>
      </c>
      <c r="J61" s="38">
        <f t="shared" si="5"/>
        <v>79</v>
      </c>
    </row>
    <row r="62" ht="15.75" customHeight="1" spans="1:10">
      <c r="A62" s="29"/>
      <c r="B62" s="23"/>
      <c r="C62" s="23"/>
      <c r="D62" s="23"/>
      <c r="E62" s="23"/>
      <c r="F62" s="23"/>
      <c r="G62" s="23"/>
      <c r="H62" s="24">
        <f t="shared" si="3"/>
        <v>24</v>
      </c>
      <c r="I62" s="24">
        <f t="shared" si="4"/>
        <v>55</v>
      </c>
      <c r="J62" s="38">
        <f t="shared" si="5"/>
        <v>79</v>
      </c>
    </row>
    <row r="63" ht="13.5" customHeight="1" spans="1:10">
      <c r="A63" s="30"/>
      <c r="B63" s="23"/>
      <c r="C63" s="23"/>
      <c r="D63" s="23"/>
      <c r="E63" s="23"/>
      <c r="F63" s="23"/>
      <c r="G63" s="23"/>
      <c r="H63" s="24">
        <f t="shared" si="3"/>
        <v>24</v>
      </c>
      <c r="I63" s="24">
        <f t="shared" si="4"/>
        <v>55</v>
      </c>
      <c r="J63" s="38">
        <f t="shared" si="5"/>
        <v>79</v>
      </c>
    </row>
    <row r="64" ht="12" customHeight="1" spans="1:10">
      <c r="A64" s="28"/>
      <c r="B64" s="27"/>
      <c r="C64" s="27"/>
      <c r="D64" s="23"/>
      <c r="E64" s="23"/>
      <c r="F64" s="23"/>
      <c r="G64" s="23"/>
      <c r="H64" s="24">
        <f t="shared" si="3"/>
        <v>24</v>
      </c>
      <c r="I64" s="24">
        <f t="shared" si="4"/>
        <v>55</v>
      </c>
      <c r="J64" s="38">
        <f t="shared" si="5"/>
        <v>79</v>
      </c>
    </row>
    <row r="65" ht="12" customHeight="1" spans="1:10">
      <c r="A65" s="28"/>
      <c r="B65" s="27"/>
      <c r="C65" s="27"/>
      <c r="D65" s="23"/>
      <c r="E65" s="23"/>
      <c r="F65" s="23"/>
      <c r="G65" s="23"/>
      <c r="H65" s="24">
        <f t="shared" si="3"/>
        <v>24</v>
      </c>
      <c r="I65" s="24">
        <f t="shared" si="4"/>
        <v>55</v>
      </c>
      <c r="J65" s="38">
        <f t="shared" si="5"/>
        <v>79</v>
      </c>
    </row>
    <row r="66" ht="12" customHeight="1" spans="1:10">
      <c r="A66" s="28"/>
      <c r="B66" s="27"/>
      <c r="C66" s="27"/>
      <c r="D66" s="23"/>
      <c r="E66" s="23"/>
      <c r="F66" s="23"/>
      <c r="G66" s="23"/>
      <c r="H66" s="24">
        <f t="shared" si="3"/>
        <v>24</v>
      </c>
      <c r="I66" s="24">
        <f t="shared" si="4"/>
        <v>55</v>
      </c>
      <c r="J66" s="38">
        <f t="shared" si="5"/>
        <v>79</v>
      </c>
    </row>
    <row r="67" ht="12" customHeight="1" spans="1:10">
      <c r="A67" s="22"/>
      <c r="B67" s="23"/>
      <c r="C67" s="23"/>
      <c r="D67" s="23"/>
      <c r="E67" s="23"/>
      <c r="F67" s="23"/>
      <c r="G67" s="23"/>
      <c r="H67" s="24">
        <f t="shared" ref="H67:H83" si="6">H66-F67-D67+B67</f>
        <v>24</v>
      </c>
      <c r="I67" s="24">
        <f t="shared" ref="I67:I83" si="7">I66-E67+C67</f>
        <v>55</v>
      </c>
      <c r="J67" s="38">
        <f t="shared" ref="J67:J83" si="8">SUM(H67:I67)</f>
        <v>79</v>
      </c>
    </row>
    <row r="68" ht="12" customHeight="1" spans="1:10">
      <c r="A68" s="40"/>
      <c r="B68" s="27"/>
      <c r="C68" s="27"/>
      <c r="D68" s="27"/>
      <c r="E68" s="27"/>
      <c r="F68" s="27"/>
      <c r="G68" s="27"/>
      <c r="H68" s="24">
        <f t="shared" si="6"/>
        <v>24</v>
      </c>
      <c r="I68" s="24">
        <f t="shared" si="7"/>
        <v>55</v>
      </c>
      <c r="J68" s="38">
        <f t="shared" si="8"/>
        <v>79</v>
      </c>
    </row>
    <row r="69" ht="12" customHeight="1" spans="1:10">
      <c r="A69" s="41"/>
      <c r="B69" s="23"/>
      <c r="C69" s="23"/>
      <c r="D69" s="23"/>
      <c r="E69" s="23"/>
      <c r="F69" s="23"/>
      <c r="G69" s="23"/>
      <c r="H69" s="24">
        <f t="shared" si="6"/>
        <v>24</v>
      </c>
      <c r="I69" s="24">
        <f t="shared" si="7"/>
        <v>55</v>
      </c>
      <c r="J69" s="38">
        <f t="shared" si="8"/>
        <v>79</v>
      </c>
    </row>
    <row r="70" ht="12" customHeight="1" spans="1:10">
      <c r="A70" s="41"/>
      <c r="B70" s="23"/>
      <c r="C70" s="23"/>
      <c r="D70" s="23"/>
      <c r="E70" s="23"/>
      <c r="F70" s="23"/>
      <c r="G70" s="23"/>
      <c r="H70" s="24">
        <f t="shared" si="6"/>
        <v>24</v>
      </c>
      <c r="I70" s="24">
        <f t="shared" si="7"/>
        <v>55</v>
      </c>
      <c r="J70" s="38">
        <f t="shared" si="8"/>
        <v>79</v>
      </c>
    </row>
    <row r="71" ht="12" customHeight="1" spans="1:10">
      <c r="A71" s="41"/>
      <c r="B71" s="23"/>
      <c r="C71" s="23"/>
      <c r="D71" s="23"/>
      <c r="E71" s="23"/>
      <c r="F71" s="23"/>
      <c r="G71" s="23"/>
      <c r="H71" s="24">
        <f t="shared" si="6"/>
        <v>24</v>
      </c>
      <c r="I71" s="24">
        <f t="shared" si="7"/>
        <v>55</v>
      </c>
      <c r="J71" s="38">
        <f t="shared" si="8"/>
        <v>79</v>
      </c>
    </row>
    <row r="72" ht="12" customHeight="1" spans="1:10">
      <c r="A72" s="41"/>
      <c r="B72" s="23"/>
      <c r="C72" s="23"/>
      <c r="D72" s="23"/>
      <c r="E72" s="23"/>
      <c r="F72" s="23"/>
      <c r="G72" s="23"/>
      <c r="H72" s="24">
        <f t="shared" si="6"/>
        <v>24</v>
      </c>
      <c r="I72" s="24">
        <f t="shared" si="7"/>
        <v>55</v>
      </c>
      <c r="J72" s="38">
        <f t="shared" si="8"/>
        <v>79</v>
      </c>
    </row>
    <row r="73" ht="12" customHeight="1" spans="1:10">
      <c r="A73" s="41"/>
      <c r="B73" s="27"/>
      <c r="C73" s="27"/>
      <c r="D73" s="23"/>
      <c r="E73" s="23"/>
      <c r="F73" s="23"/>
      <c r="G73" s="23"/>
      <c r="H73" s="24">
        <f t="shared" si="6"/>
        <v>24</v>
      </c>
      <c r="I73" s="24">
        <f t="shared" si="7"/>
        <v>55</v>
      </c>
      <c r="J73" s="38">
        <f t="shared" si="8"/>
        <v>79</v>
      </c>
    </row>
    <row r="74" ht="12" customHeight="1" spans="1:10">
      <c r="A74" s="41"/>
      <c r="B74" s="23"/>
      <c r="C74" s="23"/>
      <c r="D74" s="23"/>
      <c r="E74" s="23"/>
      <c r="F74" s="23"/>
      <c r="G74" s="23"/>
      <c r="H74" s="24">
        <f t="shared" si="6"/>
        <v>24</v>
      </c>
      <c r="I74" s="24">
        <f t="shared" si="7"/>
        <v>55</v>
      </c>
      <c r="J74" s="38">
        <f t="shared" si="8"/>
        <v>79</v>
      </c>
    </row>
    <row r="75" ht="12" customHeight="1" spans="1:10">
      <c r="A75" s="22"/>
      <c r="B75" s="23"/>
      <c r="C75" s="23"/>
      <c r="D75" s="23"/>
      <c r="E75" s="23"/>
      <c r="F75" s="23"/>
      <c r="G75" s="23"/>
      <c r="H75" s="24">
        <f t="shared" si="6"/>
        <v>24</v>
      </c>
      <c r="I75" s="24">
        <f t="shared" si="7"/>
        <v>55</v>
      </c>
      <c r="J75" s="38">
        <f t="shared" si="8"/>
        <v>79</v>
      </c>
    </row>
    <row r="76" ht="12" customHeight="1" spans="1:10">
      <c r="A76" s="41"/>
      <c r="B76" s="23"/>
      <c r="C76" s="23"/>
      <c r="D76" s="23"/>
      <c r="E76" s="23"/>
      <c r="F76" s="23"/>
      <c r="G76" s="23"/>
      <c r="H76" s="24">
        <f t="shared" si="6"/>
        <v>24</v>
      </c>
      <c r="I76" s="24">
        <f t="shared" si="7"/>
        <v>55</v>
      </c>
      <c r="J76" s="38">
        <f t="shared" si="8"/>
        <v>79</v>
      </c>
    </row>
    <row r="77" ht="12" customHeight="1" spans="1:10">
      <c r="A77" s="41"/>
      <c r="B77" s="23"/>
      <c r="C77" s="23"/>
      <c r="D77" s="23"/>
      <c r="E77" s="23"/>
      <c r="F77" s="23"/>
      <c r="G77" s="23"/>
      <c r="H77" s="24">
        <f t="shared" si="6"/>
        <v>24</v>
      </c>
      <c r="I77" s="24">
        <f t="shared" si="7"/>
        <v>55</v>
      </c>
      <c r="J77" s="38">
        <f t="shared" si="8"/>
        <v>79</v>
      </c>
    </row>
    <row r="78" ht="13.5" customHeight="1" spans="1:10">
      <c r="A78" s="42"/>
      <c r="B78" s="27"/>
      <c r="C78" s="27"/>
      <c r="D78" s="27"/>
      <c r="E78" s="27"/>
      <c r="F78" s="27"/>
      <c r="G78" s="27"/>
      <c r="H78" s="24">
        <f t="shared" si="6"/>
        <v>24</v>
      </c>
      <c r="I78" s="24">
        <f t="shared" si="7"/>
        <v>55</v>
      </c>
      <c r="J78" s="38">
        <f t="shared" si="8"/>
        <v>79</v>
      </c>
    </row>
    <row r="79" ht="12" customHeight="1" spans="1:10">
      <c r="A79" s="42"/>
      <c r="B79" s="27"/>
      <c r="C79" s="27"/>
      <c r="D79" s="27"/>
      <c r="E79" s="27"/>
      <c r="F79" s="27"/>
      <c r="G79" s="27"/>
      <c r="H79" s="24">
        <f t="shared" si="6"/>
        <v>24</v>
      </c>
      <c r="I79" s="24">
        <f t="shared" si="7"/>
        <v>55</v>
      </c>
      <c r="J79" s="38">
        <f t="shared" si="8"/>
        <v>79</v>
      </c>
    </row>
    <row r="80" ht="12" customHeight="1" spans="1:10">
      <c r="A80" s="41"/>
      <c r="B80" s="23"/>
      <c r="C80" s="23"/>
      <c r="D80" s="23"/>
      <c r="E80" s="23"/>
      <c r="F80" s="23"/>
      <c r="G80" s="23"/>
      <c r="H80" s="24">
        <f t="shared" si="6"/>
        <v>24</v>
      </c>
      <c r="I80" s="24">
        <f t="shared" si="7"/>
        <v>55</v>
      </c>
      <c r="J80" s="38">
        <f t="shared" si="8"/>
        <v>79</v>
      </c>
    </row>
    <row r="81" ht="14.25" customHeight="1" spans="1:10">
      <c r="A81" s="43"/>
      <c r="B81" s="44"/>
      <c r="C81" s="44"/>
      <c r="D81" s="43"/>
      <c r="E81" s="23"/>
      <c r="F81" s="23"/>
      <c r="G81" s="23"/>
      <c r="H81" s="23">
        <f t="shared" si="6"/>
        <v>24</v>
      </c>
      <c r="I81" s="23">
        <f t="shared" si="7"/>
        <v>55</v>
      </c>
      <c r="J81" s="45">
        <f t="shared" si="8"/>
        <v>79</v>
      </c>
    </row>
    <row r="82" ht="14.25" customHeight="1" spans="1:10">
      <c r="A82" s="43"/>
      <c r="B82" s="43"/>
      <c r="C82" s="43"/>
      <c r="D82" s="43"/>
      <c r="E82" s="23"/>
      <c r="F82" s="23"/>
      <c r="G82" s="23"/>
      <c r="H82" s="23">
        <f t="shared" si="6"/>
        <v>24</v>
      </c>
      <c r="I82" s="23">
        <f t="shared" si="7"/>
        <v>55</v>
      </c>
      <c r="J82" s="45">
        <f t="shared" si="8"/>
        <v>79</v>
      </c>
    </row>
    <row r="83" ht="14.25" customHeight="1" spans="1:10">
      <c r="A83" s="43"/>
      <c r="B83" s="43"/>
      <c r="C83" s="43"/>
      <c r="D83" s="43"/>
      <c r="E83" s="23"/>
      <c r="F83" s="23"/>
      <c r="G83" s="23"/>
      <c r="H83" s="23">
        <f t="shared" si="6"/>
        <v>24</v>
      </c>
      <c r="I83" s="23">
        <f t="shared" si="7"/>
        <v>55</v>
      </c>
      <c r="J83" s="45">
        <f t="shared" si="8"/>
        <v>79</v>
      </c>
    </row>
    <row r="87" spans="6:6">
      <c r="F87" s="3" t="s">
        <v>113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36220472440945" right="0.236220472440945" top="0.118110236220472" bottom="0.118110236220472" header="0.31496062992126" footer="0.31496062992126"/>
  <pageSetup paperSize="9" scale="71" fitToHeight="0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Leave Card (NE)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2025-12-11T07:33:00Z</cp:lastPrinted>
  <dcterms:modified xsi:type="dcterms:W3CDTF">2026-01-01T02:56:00Z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D47EF80F4B3B4678A8399D3D071DB2FC_12</vt:lpwstr>
  </property>
  <property fmtid="{D5CDD505-2E9C-101B-9397-08002B2CF9AE}" pid="3" name="KSOProductBuildVer">
    <vt:lpwstr>1033-12.2.0.23196</vt:lpwstr>
  </property>
</Properties>
</file>