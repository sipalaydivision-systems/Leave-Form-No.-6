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2437BD38-BC8E-45DB-ABA8-AEDC7F7A63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" sheetId="9" r:id="rId2"/>
    <sheet name="Leave Card (Addt'l)" sheetId="10" r:id="rId3"/>
  </sheets>
  <definedNames>
    <definedName name="_xlnm.Print_Area" localSheetId="2">'Leave Card (Addt''l)'!$A$1:$K$28</definedName>
    <definedName name="_xlnm.Print_Area" localSheetId="0">'Leave Card (NE)'!$A$1:$J$117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0" i="6" l="1"/>
  <c r="H111" i="6" s="1"/>
  <c r="J111" i="6" s="1"/>
  <c r="I110" i="6"/>
  <c r="J110" i="6"/>
  <c r="I111" i="6"/>
  <c r="B45" i="6"/>
  <c r="C13" i="6" l="1"/>
  <c r="B13" i="6"/>
  <c r="I13" i="6" l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H13" i="6"/>
  <c r="H14" i="6" s="1"/>
  <c r="H15" i="6" s="1"/>
  <c r="H16" i="6" s="1"/>
  <c r="I92" i="6" l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I107" i="6" s="1"/>
  <c r="I108" i="6" s="1"/>
  <c r="H17" i="6"/>
  <c r="J16" i="6"/>
  <c r="J15" i="6"/>
  <c r="J13" i="6"/>
  <c r="J14" i="6"/>
  <c r="I109" i="6" l="1"/>
  <c r="H18" i="6"/>
  <c r="J17" i="6"/>
  <c r="H19" i="6" l="1"/>
  <c r="J18" i="6"/>
  <c r="H20" i="6" l="1"/>
  <c r="J19" i="6"/>
  <c r="H21" i="6" l="1"/>
  <c r="J20" i="6"/>
  <c r="H22" i="6" l="1"/>
  <c r="J21" i="6"/>
  <c r="H23" i="6" l="1"/>
  <c r="J22" i="6"/>
  <c r="J23" i="6" l="1"/>
  <c r="H24" i="6"/>
  <c r="H25" i="6" l="1"/>
  <c r="J24" i="6"/>
  <c r="J25" i="6" l="1"/>
  <c r="H26" i="6"/>
  <c r="H27" i="6" l="1"/>
  <c r="J26" i="6"/>
  <c r="J27" i="6" l="1"/>
  <c r="H28" i="6"/>
  <c r="H29" i="6" l="1"/>
  <c r="J28" i="6"/>
  <c r="H30" i="6" l="1"/>
  <c r="J29" i="6"/>
  <c r="H31" i="6" l="1"/>
  <c r="J30" i="6"/>
  <c r="J31" i="6" l="1"/>
  <c r="H32" i="6"/>
  <c r="H33" i="6" l="1"/>
  <c r="J32" i="6"/>
  <c r="J33" i="6" l="1"/>
  <c r="H34" i="6"/>
  <c r="H35" i="6" l="1"/>
  <c r="J34" i="6"/>
  <c r="J35" i="6" l="1"/>
  <c r="H36" i="6"/>
  <c r="H37" i="6" l="1"/>
  <c r="J36" i="6"/>
  <c r="J37" i="6" l="1"/>
  <c r="H38" i="6"/>
  <c r="H39" i="6" l="1"/>
  <c r="J38" i="6"/>
  <c r="J39" i="6" l="1"/>
  <c r="H40" i="6"/>
  <c r="H41" i="6" l="1"/>
  <c r="J40" i="6"/>
  <c r="J41" i="6" l="1"/>
  <c r="H42" i="6"/>
  <c r="H43" i="6" l="1"/>
  <c r="J42" i="6"/>
  <c r="H44" i="6" l="1"/>
  <c r="J43" i="6"/>
  <c r="H45" i="6" l="1"/>
  <c r="J44" i="6"/>
  <c r="J45" i="6" l="1"/>
  <c r="H46" i="6"/>
  <c r="H47" i="6" l="1"/>
  <c r="J46" i="6"/>
  <c r="J47" i="6" l="1"/>
  <c r="H48" i="6"/>
  <c r="H49" i="6" l="1"/>
  <c r="J48" i="6"/>
  <c r="H50" i="6" l="1"/>
  <c r="J49" i="6"/>
  <c r="H51" i="6" l="1"/>
  <c r="J50" i="6"/>
  <c r="J51" i="6" l="1"/>
  <c r="H52" i="6"/>
  <c r="H53" i="6" l="1"/>
  <c r="J52" i="6"/>
  <c r="J53" i="6" l="1"/>
  <c r="H54" i="6"/>
  <c r="H55" i="6" l="1"/>
  <c r="J54" i="6"/>
  <c r="J55" i="6" l="1"/>
  <c r="H56" i="6"/>
  <c r="H57" i="6" l="1"/>
  <c r="J56" i="6"/>
  <c r="J57" i="6" l="1"/>
  <c r="H58" i="6"/>
  <c r="H59" i="6" l="1"/>
  <c r="J58" i="6"/>
  <c r="J59" i="6" l="1"/>
  <c r="H60" i="6"/>
  <c r="H61" i="6" l="1"/>
  <c r="J60" i="6"/>
  <c r="J61" i="6" l="1"/>
  <c r="H62" i="6"/>
  <c r="H63" i="6" l="1"/>
  <c r="J62" i="6"/>
  <c r="J63" i="6" l="1"/>
  <c r="H64" i="6"/>
  <c r="H65" i="6" l="1"/>
  <c r="J64" i="6"/>
  <c r="J65" i="6" l="1"/>
  <c r="H66" i="6"/>
  <c r="H67" i="6" l="1"/>
  <c r="J66" i="6"/>
  <c r="J67" i="6" l="1"/>
  <c r="H68" i="6"/>
  <c r="H69" i="6" l="1"/>
  <c r="J68" i="6"/>
  <c r="H70" i="6" l="1"/>
  <c r="J69" i="6"/>
  <c r="H71" i="6" l="1"/>
  <c r="J70" i="6"/>
  <c r="H72" i="6" l="1"/>
  <c r="J71" i="6"/>
  <c r="J72" i="6" l="1"/>
  <c r="H73" i="6"/>
  <c r="J73" i="6" l="1"/>
  <c r="H74" i="6"/>
  <c r="J74" i="6" l="1"/>
  <c r="H75" i="6"/>
  <c r="J75" i="6" l="1"/>
  <c r="H76" i="6"/>
  <c r="H77" i="6" s="1"/>
  <c r="J77" i="6" l="1"/>
  <c r="H78" i="6"/>
  <c r="J76" i="6"/>
  <c r="J78" i="6" l="1"/>
  <c r="H79" i="6"/>
  <c r="J79" i="6" l="1"/>
  <c r="H80" i="6"/>
  <c r="J80" i="6" l="1"/>
  <c r="H81" i="6"/>
  <c r="J81" i="6" l="1"/>
  <c r="H82" i="6"/>
  <c r="J82" i="6" l="1"/>
  <c r="H83" i="6"/>
  <c r="H84" i="6" l="1"/>
  <c r="J83" i="6"/>
  <c r="J84" i="6" l="1"/>
  <c r="H85" i="6"/>
  <c r="J85" i="6" l="1"/>
  <c r="H86" i="6"/>
  <c r="J86" i="6" l="1"/>
  <c r="H87" i="6"/>
  <c r="J87" i="6" l="1"/>
  <c r="H88" i="6"/>
  <c r="J88" i="6" l="1"/>
  <c r="H89" i="6"/>
  <c r="J89" i="6" l="1"/>
  <c r="H90" i="6"/>
  <c r="J90" i="6" l="1"/>
  <c r="H91" i="6"/>
  <c r="H92" i="6" l="1"/>
  <c r="J91" i="6"/>
  <c r="J92" i="6" l="1"/>
  <c r="H93" i="6"/>
  <c r="J93" i="6" l="1"/>
  <c r="H94" i="6"/>
  <c r="H95" i="6" s="1"/>
  <c r="H96" i="6" l="1"/>
  <c r="J95" i="6"/>
  <c r="J94" i="6"/>
  <c r="J96" i="6" l="1"/>
  <c r="H97" i="6"/>
  <c r="H98" i="6" l="1"/>
  <c r="J97" i="6"/>
  <c r="J98" i="6" l="1"/>
  <c r="H99" i="6"/>
  <c r="J99" i="6" l="1"/>
  <c r="H100" i="6"/>
  <c r="H101" i="6" s="1"/>
  <c r="J101" i="6" l="1"/>
  <c r="H102" i="6"/>
  <c r="J100" i="6"/>
  <c r="J102" i="6" l="1"/>
  <c r="H103" i="6"/>
  <c r="J103" i="6" l="1"/>
  <c r="H104" i="6"/>
  <c r="J104" i="6" l="1"/>
  <c r="H105" i="6"/>
  <c r="J105" i="6" l="1"/>
  <c r="H106" i="6"/>
  <c r="J106" i="6" l="1"/>
  <c r="H107" i="6"/>
  <c r="J107" i="6" l="1"/>
  <c r="H108" i="6"/>
  <c r="H109" i="6" l="1"/>
  <c r="J109" i="6" s="1"/>
  <c r="J108" i="6"/>
</calcChain>
</file>

<file path=xl/sharedStrings.xml><?xml version="1.0" encoding="utf-8"?>
<sst xmlns="http://schemas.openxmlformats.org/spreadsheetml/2006/main" count="182" uniqueCount="160">
  <si>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</si>
  <si>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</si>
  <si>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</si>
  <si>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</si>
  <si>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</si>
  <si>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</si>
  <si>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</si>
  <si>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</si>
  <si>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</si>
  <si>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</si>
  <si>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095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</si>
  <si>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</si>
  <si>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</si>
  <si>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</si>
  <si>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</si>
  <si>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</si>
  <si>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</si>
  <si>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</si>
  <si>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</si>
  <si>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</si>
  <si>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</si>
  <si>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</si>
  <si>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01/17/2022 - 01/31/2022</t>
  </si>
  <si>
    <t>ADD: 02/01/2022 - 02/28/2022</t>
  </si>
  <si>
    <t>ADD: 03/01/2022 - 03/31/2022</t>
  </si>
  <si>
    <t>LESS: 04/18/22</t>
  </si>
  <si>
    <t>ADD: 04/01/22 - 08/31/22</t>
  </si>
  <si>
    <t>LESS: 09/12/22</t>
  </si>
  <si>
    <t>ADD: 09/01/22 - 09/30/22</t>
  </si>
  <si>
    <t>LESS: 10/11 &amp; 12/22</t>
  </si>
  <si>
    <t>LESS: 11/4/22</t>
  </si>
  <si>
    <t>ADD: 10/01/22 - 10/31/22</t>
  </si>
  <si>
    <t>LESS: 12/6/22</t>
  </si>
  <si>
    <t>LESS: 12/7, 9 &amp; 12/22</t>
  </si>
  <si>
    <t>ADD: 11/01/22 - 12/31/22</t>
  </si>
  <si>
    <t>LESS: 01/12/23</t>
  </si>
  <si>
    <t xml:space="preserve">LESS: 01/18/23 </t>
  </si>
  <si>
    <t>ADD: 01/01/23 - 01/31/23</t>
  </si>
  <si>
    <t>LESS: 02/06/23</t>
  </si>
  <si>
    <t>LESS: 02/13/23</t>
  </si>
  <si>
    <t>ADD: 02/01/23 - 02/28/23</t>
  </si>
  <si>
    <t>LESS: 03/20/23</t>
  </si>
  <si>
    <t>LESS: 04/03/23</t>
  </si>
  <si>
    <t>ADD: 03/01/23 - 04/30/23</t>
  </si>
  <si>
    <t>LESS: 05/24/23</t>
  </si>
  <si>
    <t>ADD: 05/01/23 - 05/31/23</t>
  </si>
  <si>
    <t>LESS: 05/25/23</t>
  </si>
  <si>
    <t>LESS: 05/26/23 &amp; 6/01/23</t>
  </si>
  <si>
    <t>LESS: 06/07/23</t>
  </si>
  <si>
    <t>ADD: 06/01/23 - 06/30/23</t>
  </si>
  <si>
    <t>LESS: JUNE 13 - JULY 07, 2023</t>
  </si>
  <si>
    <t>LESS: 07/24/23</t>
  </si>
  <si>
    <t>ADD: 07/01/23 - 07/31/23</t>
  </si>
  <si>
    <t>LESS: 08/7 &amp; 9/23</t>
  </si>
  <si>
    <t>ADD: 08/01/23 - 08/31/23</t>
  </si>
  <si>
    <t>LESS: 09/11&amp;15/2023</t>
  </si>
  <si>
    <t>ADD: 09/01/2023-09/30/2023</t>
  </si>
  <si>
    <t>LESS:10/13,20 NOV. 03, 2023</t>
  </si>
  <si>
    <t>ADD: 10/01/2023-10/31/2023</t>
  </si>
  <si>
    <t>LESS: 11/16/2023</t>
  </si>
  <si>
    <t>LESS: 12/1/2023</t>
  </si>
  <si>
    <t>ADD: 11/01/2023-11/30/2023</t>
  </si>
  <si>
    <t>LESS: 12/21,22,27/2023</t>
  </si>
  <si>
    <t>ADD: 12/01-31/2023</t>
  </si>
  <si>
    <t>LESS: 12/28/2024 (UNDERTIME PM)</t>
  </si>
  <si>
    <t>ADD: 01/01/2024-04/30/2024</t>
  </si>
  <si>
    <t>LESS: 05/24/2024</t>
  </si>
  <si>
    <t>LESS: 06/3-4/2024</t>
  </si>
  <si>
    <t>LESS: 06/5/2024</t>
  </si>
  <si>
    <t>ADD: 05/1-31/2024</t>
  </si>
  <si>
    <t>LESS: 06/18/2024</t>
  </si>
  <si>
    <t>ADD: 06/1-30/2024</t>
  </si>
  <si>
    <t>LESS: 07/01/2024</t>
  </si>
  <si>
    <t>ADD: 07/1-31/2024</t>
  </si>
  <si>
    <t>LESS: MONETIZATION 2024</t>
  </si>
  <si>
    <t>LESS: 08/19-22/2024</t>
  </si>
  <si>
    <t>ADD: 08/1-31/2024</t>
  </si>
  <si>
    <t>LESS: 09/16-17/2024</t>
  </si>
  <si>
    <t>ADD: 09/1-31/2024</t>
  </si>
  <si>
    <t>LESS: 10/04/2024</t>
  </si>
  <si>
    <t>LESS: 10/21/2024</t>
  </si>
  <si>
    <t>LESS: 10/31 &amp; 11/4/2024</t>
  </si>
  <si>
    <t>ADD: 10/1-31/2024</t>
  </si>
  <si>
    <t>LESS: 12/2,26, 27/2024</t>
  </si>
  <si>
    <t>LESS: 12/23/2024</t>
  </si>
  <si>
    <t>LESS: 11/25/2024</t>
  </si>
  <si>
    <t>ADD: 11/1-30/2024</t>
  </si>
  <si>
    <t>LESS: 12/13/2024 PM (Undertime)</t>
  </si>
  <si>
    <t>ADD: 12/1-31/2024</t>
  </si>
  <si>
    <t>LESS: 01/3/2025</t>
  </si>
  <si>
    <t>LESS: 01/13/2025</t>
  </si>
  <si>
    <t>LESS: 01/27/2025</t>
  </si>
  <si>
    <t>ADD: 01/1/2025-02/28/2025</t>
  </si>
  <si>
    <t>LESS: 03/19 &amp; 24/2025</t>
  </si>
  <si>
    <t>LESS: 03/04/2025</t>
  </si>
  <si>
    <t>LESS: 04/14/2025</t>
  </si>
  <si>
    <t>ADD: 03/1-31/2025</t>
  </si>
  <si>
    <t>LESS: 03/31/2025</t>
  </si>
  <si>
    <t>LESS: 04/28/2025</t>
  </si>
  <si>
    <t>ADD: 04/1-30/2025</t>
  </si>
  <si>
    <t>LESS: 05/19-20/2025</t>
  </si>
  <si>
    <t>LESS: 06/2/2025</t>
  </si>
  <si>
    <t>ADD: 05/1-31/2025</t>
  </si>
  <si>
    <t>LESS: 06/13/2025</t>
  </si>
  <si>
    <t>ADD: 06/1-30/2025</t>
  </si>
  <si>
    <t>LESS: 06/25, 27, &amp; 30, 2025</t>
  </si>
  <si>
    <t>LESS: 07/8/2025</t>
  </si>
  <si>
    <t>LESS: 07/14/2025</t>
  </si>
  <si>
    <t>ADD: 07/1-30/2025</t>
  </si>
  <si>
    <t>LESS: 07/30/2025</t>
  </si>
  <si>
    <t>LESS: 08/8/2025 PM (Undertime)</t>
  </si>
  <si>
    <t>LESS: 08/13/2025</t>
  </si>
  <si>
    <t>ADD: 08/1-31/2025</t>
  </si>
  <si>
    <t>LESS: 08/29/2025</t>
  </si>
  <si>
    <t>LESS: 09/29/2025</t>
  </si>
  <si>
    <t>ADD: 09/1/2025-11/30/2025</t>
  </si>
  <si>
    <t>LESS: 11/21 &amp; 12/01/2025</t>
  </si>
  <si>
    <t>LESS: 12/9, 23 &amp; 26/2025</t>
  </si>
  <si>
    <t>date filed 12/29/2025</t>
  </si>
  <si>
    <t>LESS: 12/02/2025 AM-UNDERTIME</t>
  </si>
  <si>
    <t>ADD: 12/1-31/2025</t>
  </si>
  <si>
    <t>LESS: 01/06/2026</t>
  </si>
  <si>
    <t>Certified Correct:</t>
  </si>
  <si>
    <t>MA. LUISA B. CATIGAN</t>
  </si>
  <si>
    <t>Administrative Officer IV</t>
  </si>
  <si>
    <t>HRMO</t>
  </si>
  <si>
    <t>NAME         : PLOTEÑA, JOCELYN</t>
  </si>
  <si>
    <t>DISTRICT             : _______________________</t>
  </si>
  <si>
    <t>EMPLOYEE NO   : __________</t>
  </si>
  <si>
    <t>SCHOOL/OFFICE : OSDS</t>
  </si>
  <si>
    <t>STATION CODE   : __________</t>
  </si>
  <si>
    <t>POSITION   : ADAS III</t>
  </si>
  <si>
    <t>DIVISION CODE   : __________</t>
  </si>
  <si>
    <t>COMPENSATORY TIME OFF (CTO)</t>
  </si>
  <si>
    <t>Special Order No. and Date Issued</t>
  </si>
  <si>
    <t>No. of Days Granted</t>
  </si>
  <si>
    <t>No. of Days Used</t>
  </si>
  <si>
    <t>Balance</t>
  </si>
  <si>
    <t>ADD: JULY 13, 2022</t>
  </si>
  <si>
    <t>SO NO. 052, S. 2022 124TH PHILIPPINE INDEPENDENCE DAY CELEBRATION</t>
  </si>
  <si>
    <t>LESS: DEC . 29, 2022</t>
  </si>
  <si>
    <t>NOTE:  Valid for one (1) year only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</si>
  <si>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</si>
  <si>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</si>
  <si>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</si>
  <si>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</si>
  <si>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</si>
  <si>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</si>
  <si>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</si>
  <si>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</si>
  <si>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</si>
  <si>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</si>
  <si>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</si>
  <si>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</si>
  <si>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</si>
  <si>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</si>
  <si>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</si>
  <si>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</si>
  <si>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</si>
  <si>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DEC. 29, 2023 - APRIL 11,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</si>
</sst>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1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4" fillId="0" borderId="0" xfId="0" applyFont="1"/>
    <xf numFmtId="0" fontId="0" fillId="2" borderId="0" xfId="0" applyFill="1" applyAlignment="1">
      <alignment horizontal="center"/>
    </xf>
    <xf numFmtId="0" fontId="7" fillId="0" borderId="0" xfId="0" applyFont="1"/>
    <xf numFmtId="0" fontId="0" fillId="2" borderId="7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8" fillId="0" borderId="0" xfId="0" applyFont="1"/>
    <xf numFmtId="0" fontId="6" fillId="2" borderId="11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9" fillId="2" borderId="0" xfId="1" applyFill="1"/>
    <xf numFmtId="0" fontId="1" fillId="2" borderId="0" xfId="1" applyFont="1" applyFill="1" applyAlignment="1">
      <alignment horizontal="center" wrapText="1"/>
    </xf>
    <xf numFmtId="0" fontId="1" fillId="2" borderId="0" xfId="1" applyFont="1" applyFill="1" applyAlignment="1">
      <alignment wrapText="1"/>
    </xf>
    <xf numFmtId="0" fontId="9" fillId="2" borderId="0" xfId="1" applyFill="1" applyAlignment="1">
      <alignment horizontal="center"/>
    </xf>
    <xf numFmtId="0" fontId="9" fillId="0" borderId="0" xfId="1"/>
    <xf numFmtId="0" fontId="1" fillId="2" borderId="0" xfId="1" applyFont="1" applyFill="1" applyAlignment="1">
      <alignment vertical="center"/>
    </xf>
    <xf numFmtId="0" fontId="1" fillId="2" borderId="0" xfId="1" applyFont="1" applyFill="1"/>
    <xf numFmtId="0" fontId="1" fillId="2" borderId="0" xfId="1" applyFont="1" applyFill="1" applyAlignment="1">
      <alignment horizontal="center"/>
    </xf>
    <xf numFmtId="0" fontId="5" fillId="7" borderId="18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 wrapText="1"/>
    </xf>
    <xf numFmtId="0" fontId="5" fillId="7" borderId="3" xfId="1" applyFont="1" applyFill="1" applyBorder="1" applyAlignment="1">
      <alignment horizontal="center" vertical="center"/>
    </xf>
    <xf numFmtId="0" fontId="9" fillId="2" borderId="1" xfId="1" applyFill="1" applyBorder="1" applyAlignment="1">
      <alignment horizontal="center" vertical="center"/>
    </xf>
    <xf numFmtId="0" fontId="9" fillId="2" borderId="1" xfId="1" applyFill="1" applyBorder="1" applyAlignment="1">
      <alignment horizontal="center" vertical="center" wrapText="1"/>
    </xf>
    <xf numFmtId="0" fontId="9" fillId="2" borderId="2" xfId="1" applyFill="1" applyBorder="1" applyAlignment="1">
      <alignment horizontal="center" vertical="center" wrapText="1"/>
    </xf>
    <xf numFmtId="0" fontId="9" fillId="2" borderId="7" xfId="1" applyFill="1" applyBorder="1" applyAlignment="1">
      <alignment horizontal="center" vertical="center" wrapText="1"/>
    </xf>
    <xf numFmtId="0" fontId="9" fillId="0" borderId="8" xfId="1" applyBorder="1" applyAlignment="1">
      <alignment horizontal="center" vertical="center"/>
    </xf>
    <xf numFmtId="0" fontId="9" fillId="0" borderId="1" xfId="1" applyBorder="1" applyAlignment="1">
      <alignment horizontal="center" vertical="center"/>
    </xf>
    <xf numFmtId="0" fontId="9" fillId="0" borderId="8" xfId="1" applyBorder="1" applyAlignment="1">
      <alignment vertical="center"/>
    </xf>
    <xf numFmtId="164" fontId="9" fillId="2" borderId="1" xfId="1" applyNumberFormat="1" applyFill="1" applyBorder="1" applyAlignment="1">
      <alignment horizontal="center" vertical="center"/>
    </xf>
    <xf numFmtId="0" fontId="0" fillId="2" borderId="7" xfId="1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1" fillId="2" borderId="4" xfId="0" quotePrefix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1" fillId="2" borderId="23" xfId="0" applyFont="1" applyFill="1" applyBorder="1" applyAlignment="1">
      <alignment vertical="center"/>
    </xf>
    <xf numFmtId="0" fontId="1" fillId="2" borderId="0" xfId="0" applyFont="1" applyFill="1"/>
    <xf numFmtId="0" fontId="1" fillId="2" borderId="23" xfId="0" applyFont="1" applyFill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164" fontId="0" fillId="2" borderId="23" xfId="0" applyNumberFormat="1" applyFill="1" applyBorder="1" applyAlignment="1">
      <alignment horizontal="center" vertical="center"/>
    </xf>
    <xf numFmtId="0" fontId="10" fillId="2" borderId="0" xfId="0" applyFont="1" applyFill="1"/>
    <xf numFmtId="0" fontId="0" fillId="2" borderId="28" xfId="0" applyFill="1" applyBorder="1"/>
    <xf numFmtId="0" fontId="0" fillId="2" borderId="4" xfId="0" applyFill="1" applyBorder="1"/>
    <xf numFmtId="0" fontId="0" fillId="2" borderId="30" xfId="0" applyFill="1" applyBorder="1"/>
    <xf numFmtId="0" fontId="11" fillId="0" borderId="0" xfId="0" applyFont="1"/>
    <xf numFmtId="0" fontId="0" fillId="2" borderId="4" xfId="0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9" fillId="2" borderId="0" xfId="1" applyFill="1" applyAlignment="1">
      <alignment horizontal="center" vertical="center"/>
    </xf>
    <xf numFmtId="0" fontId="1" fillId="2" borderId="0" xfId="1" applyFont="1" applyFill="1" applyAlignment="1">
      <alignment horizontal="left" vertical="center"/>
    </xf>
    <xf numFmtId="0" fontId="1" fillId="2" borderId="0" xfId="1" applyFont="1" applyFill="1" applyAlignment="1">
      <alignment horizontal="left"/>
    </xf>
    <xf numFmtId="0" fontId="2" fillId="2" borderId="13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561975</xdr:colOff>
      <xdr:row>0</xdr:row>
      <xdr:rowOff>104775</xdr:rowOff>
    </xdr:from>
    <xdr:to>
      <xdr:col>4</xdr:col>
      <xdr:colOff>419100</xdr:colOff>
      <xdr:row>0</xdr:row>
      <xdr:rowOff>635000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104775"/>
          <a:ext cx="628650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B9DBD2B-3E11-41DD-9D37-879F813BF7E3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PLOTEÑA, JOCELYN M.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60F54FC-E4C8-400B-9581-7C96820BBD2B}"/>
            </a:ext>
          </a:extLst>
        </xdr:cNvPr>
        <xdr:cNvSpPr txBox="1"/>
      </xdr:nvSpPr>
      <xdr:spPr>
        <a:xfrm>
          <a:off x="616683" y="1724757"/>
          <a:ext cx="20087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B38862-864C-45F9-86F4-3CBA2229F5CD}"/>
            </a:ext>
          </a:extLst>
        </xdr:cNvPr>
        <xdr:cNvSpPr txBox="1"/>
      </xdr:nvSpPr>
      <xdr:spPr>
        <a:xfrm>
          <a:off x="402199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 - 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1097645</xdr:colOff>
      <xdr:row>0</xdr:row>
      <xdr:rowOff>146505</xdr:rowOff>
    </xdr:from>
    <xdr:to>
      <xdr:col>2</xdr:col>
      <xdr:colOff>285750</xdr:colOff>
      <xdr:row>3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8F1032-87AB-4091-973D-1D2C99E92DB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83545" y="146505"/>
          <a:ext cx="724805" cy="634546"/>
        </a:xfrm>
        <a:prstGeom prst="rect">
          <a:avLst/>
        </a:prstGeom>
        <a:noFill/>
      </xdr:spPr>
    </xdr:pic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4C2D9BE-3946-4E7B-832C-1D523CA0FA21}"/>
            </a:ext>
          </a:extLst>
        </xdr:cNvPr>
        <xdr:cNvCxnSpPr/>
      </xdr:nvCxnSpPr>
      <xdr:spPr>
        <a:xfrm>
          <a:off x="752475" y="1647825"/>
          <a:ext cx="1047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282576</xdr:colOff>
      <xdr:row>0</xdr:row>
      <xdr:rowOff>76200</xdr:rowOff>
    </xdr:from>
    <xdr:to>
      <xdr:col>5</xdr:col>
      <xdr:colOff>473205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06851" y="76200"/>
          <a:ext cx="828804" cy="5334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265662</xdr:colOff>
      <xdr:row>0</xdr:row>
      <xdr:rowOff>28769</xdr:rowOff>
    </xdr:from>
    <xdr:to>
      <xdr:col>5</xdr:col>
      <xdr:colOff>229571</xdr:colOff>
      <xdr:row>1</xdr:row>
      <xdr:rowOff>228989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6BCD0C-6720-4FCD-A9A3-CA07B970776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89937" y="28769"/>
          <a:ext cx="602084" cy="62884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603D025-DDD6-4A63-A1C7-2B85F16B97B1}"/>
            </a:ext>
          </a:extLst>
        </xdr:cNvPr>
        <xdr:cNvSpPr txBox="1"/>
      </xdr:nvSpPr>
      <xdr:spPr>
        <a:xfrm>
          <a:off x="76200" y="5553075"/>
          <a:ext cx="2905125" cy="390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816429</xdr:colOff>
      <xdr:row>6</xdr:row>
      <xdr:rowOff>146050</xdr:rowOff>
    </xdr:from>
    <xdr:to>
      <xdr:col>2</xdr:col>
      <xdr:colOff>252830</xdr:colOff>
      <xdr:row>8</xdr:row>
      <xdr:rowOff>133349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ECD34DA-FC2E-4D2C-89B1-6C194D653AD4}"/>
            </a:ext>
          </a:extLst>
        </xdr:cNvPr>
        <xdr:cNvSpPr txBox="1"/>
      </xdr:nvSpPr>
      <xdr:spPr>
        <a:xfrm>
          <a:off x="816429" y="1965325"/>
          <a:ext cx="1884326" cy="415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PLOTEÑA, JOCELYN M.</a:t>
          </a:r>
        </a:p>
      </xdr:txBody>
    </xdr:sp>
    <xdr:clientData/>
  </xdr:twoCellAnchor>
  <xdr:twoCellAnchor>
    <xdr:from>
      <xdr:col>0</xdr:col>
      <xdr:colOff>822908</xdr:colOff>
      <xdr:row>8</xdr:row>
      <xdr:rowOff>120650</xdr:rowOff>
    </xdr:from>
    <xdr:to>
      <xdr:col>2</xdr:col>
      <xdr:colOff>246609</xdr:colOff>
      <xdr:row>9</xdr:row>
      <xdr:rowOff>127225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EBA7D2F-9A9E-4574-A48D-2E4179BECC10}"/>
            </a:ext>
          </a:extLst>
        </xdr:cNvPr>
        <xdr:cNvSpPr txBox="1"/>
      </xdr:nvSpPr>
      <xdr:spPr>
        <a:xfrm>
          <a:off x="822908" y="2368550"/>
          <a:ext cx="1871626" cy="244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3</xdr:col>
      <xdr:colOff>596122</xdr:colOff>
      <xdr:row>7</xdr:row>
      <xdr:rowOff>177800</xdr:rowOff>
    </xdr:from>
    <xdr:to>
      <xdr:col>6</xdr:col>
      <xdr:colOff>21557</xdr:colOff>
      <xdr:row>9</xdr:row>
      <xdr:rowOff>23552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E503CCE-7676-44F9-B0BD-DEB6E098079E}"/>
            </a:ext>
          </a:extLst>
        </xdr:cNvPr>
        <xdr:cNvSpPr txBox="1"/>
      </xdr:nvSpPr>
      <xdr:spPr>
        <a:xfrm>
          <a:off x="3682222" y="2187575"/>
          <a:ext cx="1339960" cy="3220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8"/>
  <sheetViews>
    <sheetView tabSelected="1" view="pageBreakPreview" topLeftCell="A96" zoomScaleNormal="100" zoomScaleSheetLayoutView="100" workbookViewId="0">
      <selection activeCell="K113" sqref="K113"/>
    </sheetView>
  </sheetViews>
  <sheetFormatPr defaultRowHeight="15"/>
  <cols>
    <col min="1" max="1" width="31.5703125" customWidth="1"/>
    <col min="2" max="10" width="11.5703125" customWidth="1"/>
    <col min="11" max="11" width="26.42578125" style="4" customWidth="1"/>
  </cols>
  <sheetData>
    <row r="1" spans="1:11" s="1" customFormat="1" ht="52.5" customHeight="1">
      <c r="A1" s="54"/>
      <c r="B1" s="55"/>
      <c r="C1" s="55"/>
      <c r="D1" s="55"/>
      <c r="E1" s="55"/>
      <c r="F1" s="55"/>
      <c r="G1" s="55"/>
      <c r="H1" s="55"/>
      <c r="I1" s="55"/>
      <c r="J1" s="56"/>
    </row>
    <row r="2" spans="1:11" s="1" customFormat="1" ht="10.5" customHeight="1">
      <c r="A2" s="87" t="s">
        <v>0</v>
      </c>
      <c r="B2" s="88"/>
      <c r="C2" s="88"/>
      <c r="D2" s="88"/>
      <c r="E2" s="88"/>
      <c r="F2" s="88"/>
      <c r="G2" s="88"/>
      <c r="H2" s="88"/>
      <c r="I2" s="88"/>
      <c r="J2" s="89"/>
    </row>
    <row r="3" spans="1:11" s="1" customFormat="1" ht="15.95" customHeight="1">
      <c r="A3" s="87" t="s">
        <v>1</v>
      </c>
      <c r="B3" s="88"/>
      <c r="C3" s="88"/>
      <c r="D3" s="88"/>
      <c r="E3" s="88"/>
      <c r="F3" s="88"/>
      <c r="G3" s="88"/>
      <c r="H3" s="88"/>
      <c r="I3" s="88"/>
      <c r="J3" s="89"/>
    </row>
    <row r="4" spans="1:11" s="1" customFormat="1" ht="15.95" customHeight="1">
      <c r="A4" s="87" t="s">
        <v>2</v>
      </c>
      <c r="B4" s="88"/>
      <c r="C4" s="88"/>
      <c r="D4" s="88"/>
      <c r="E4" s="88"/>
      <c r="F4" s="88"/>
      <c r="G4" s="88"/>
      <c r="H4" s="88"/>
      <c r="I4" s="88"/>
      <c r="J4" s="89"/>
    </row>
    <row r="5" spans="1:11" s="1" customFormat="1" ht="15.95" customHeight="1">
      <c r="A5" s="87" t="s">
        <v>3</v>
      </c>
      <c r="B5" s="88"/>
      <c r="C5" s="88"/>
      <c r="D5" s="88"/>
      <c r="E5" s="88"/>
      <c r="F5" s="88"/>
      <c r="G5" s="88"/>
      <c r="H5" s="88"/>
      <c r="I5" s="88"/>
      <c r="J5" s="89"/>
    </row>
    <row r="6" spans="1:11" s="1" customFormat="1" ht="8.25" customHeight="1">
      <c r="A6" s="57"/>
      <c r="J6" s="58"/>
    </row>
    <row r="7" spans="1:11" s="1" customFormat="1" ht="12" customHeight="1">
      <c r="A7" s="57" t="s">
        <v>4</v>
      </c>
      <c r="B7" s="77" t="s">
        <v>5</v>
      </c>
      <c r="C7" s="77"/>
      <c r="D7" s="77"/>
      <c r="H7" s="3" t="s">
        <v>6</v>
      </c>
      <c r="I7" s="15">
        <v>6446694</v>
      </c>
      <c r="J7" s="59"/>
    </row>
    <row r="8" spans="1:11" s="1" customFormat="1" ht="12" customHeight="1">
      <c r="A8" s="57"/>
      <c r="B8" s="60"/>
      <c r="C8" s="60"/>
      <c r="H8" s="60"/>
      <c r="I8" s="60"/>
      <c r="J8" s="61"/>
    </row>
    <row r="9" spans="1:11" s="1" customFormat="1" ht="12" customHeight="1">
      <c r="A9" s="57" t="s">
        <v>7</v>
      </c>
      <c r="B9" s="77" t="s">
        <v>8</v>
      </c>
      <c r="C9" s="77"/>
      <c r="D9" s="77"/>
      <c r="H9" s="3" t="s">
        <v>9</v>
      </c>
      <c r="I9" s="48" t="s">
        <v>10</v>
      </c>
      <c r="J9" s="59"/>
    </row>
    <row r="10" spans="1:11" ht="16.5" customHeight="1" thickBot="1">
      <c r="A10" s="78" t="s">
        <v>11</v>
      </c>
      <c r="B10" s="79"/>
      <c r="C10" s="79"/>
      <c r="D10" s="79"/>
      <c r="E10" s="79"/>
      <c r="F10" s="79"/>
      <c r="G10" s="79"/>
      <c r="H10" s="79"/>
      <c r="I10" s="79"/>
      <c r="J10" s="80"/>
      <c r="K10"/>
    </row>
    <row r="11" spans="1:11" ht="18.75" customHeight="1">
      <c r="A11" s="85" t="s">
        <v>12</v>
      </c>
      <c r="B11" s="81" t="s">
        <v>13</v>
      </c>
      <c r="C11" s="81"/>
      <c r="D11" s="74" t="s">
        <v>14</v>
      </c>
      <c r="E11" s="75"/>
      <c r="F11" s="75"/>
      <c r="G11" s="76"/>
      <c r="H11" s="84" t="s">
        <v>15</v>
      </c>
      <c r="I11" s="84"/>
      <c r="J11" s="82" t="s">
        <v>16</v>
      </c>
      <c r="K11" s="73" t="s">
        <v>17</v>
      </c>
    </row>
    <row r="12" spans="1:11" ht="18.75" customHeight="1">
      <c r="A12" s="86"/>
      <c r="B12" s="2" t="s">
        <v>18</v>
      </c>
      <c r="C12" s="2" t="s">
        <v>19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18</v>
      </c>
      <c r="I12" s="2" t="s">
        <v>19</v>
      </c>
      <c r="J12" s="83"/>
      <c r="K12" s="73"/>
    </row>
    <row r="13" spans="1:11" ht="18.75" customHeight="1">
      <c r="A13" s="62" t="s">
        <v>22</v>
      </c>
      <c r="B13" s="16">
        <f>SUM(1.25/30)*15</f>
        <v>0.625</v>
      </c>
      <c r="C13" s="16">
        <f>SUM(1.25/30)*15</f>
        <v>0.625</v>
      </c>
      <c r="D13" s="16"/>
      <c r="E13" s="16"/>
      <c r="F13" s="16"/>
      <c r="G13" s="16"/>
      <c r="H13" s="16">
        <f>B13</f>
        <v>0.625</v>
      </c>
      <c r="I13" s="16">
        <f>C13</f>
        <v>0.625</v>
      </c>
      <c r="J13" s="16">
        <f t="shared" ref="J13:J15" si="0">SUM(H13:I13)</f>
        <v>1.25</v>
      </c>
    </row>
    <row r="14" spans="1:11" ht="18.75" customHeight="1">
      <c r="A14" s="62" t="s">
        <v>23</v>
      </c>
      <c r="B14" s="16">
        <v>1.25</v>
      </c>
      <c r="C14" s="16">
        <v>1.25</v>
      </c>
      <c r="D14" s="16"/>
      <c r="E14" s="16"/>
      <c r="F14" s="16"/>
      <c r="G14" s="16"/>
      <c r="H14" s="16">
        <f>H13-F14-D14+B14</f>
        <v>1.875</v>
      </c>
      <c r="I14" s="16">
        <f>I13-E14+C14</f>
        <v>1.875</v>
      </c>
      <c r="J14" s="16">
        <f t="shared" si="0"/>
        <v>3.75</v>
      </c>
    </row>
    <row r="15" spans="1:11" ht="18.75" customHeight="1">
      <c r="A15" s="62" t="s">
        <v>24</v>
      </c>
      <c r="B15" s="16">
        <v>1.25</v>
      </c>
      <c r="C15" s="16">
        <v>1.25</v>
      </c>
      <c r="D15" s="16"/>
      <c r="E15" s="16"/>
      <c r="F15" s="16"/>
      <c r="G15" s="16"/>
      <c r="H15" s="16">
        <f t="shared" ref="H15" si="1">H14-F15-D15+B15</f>
        <v>3.125</v>
      </c>
      <c r="I15" s="16">
        <f t="shared" ref="I15" si="2">I14-E15+C15</f>
        <v>3.125</v>
      </c>
      <c r="J15" s="16">
        <f t="shared" si="0"/>
        <v>6.25</v>
      </c>
    </row>
    <row r="16" spans="1:11" ht="18.75" customHeight="1">
      <c r="A16" s="62" t="s">
        <v>25</v>
      </c>
      <c r="B16" s="16"/>
      <c r="C16" s="16"/>
      <c r="D16" s="16"/>
      <c r="E16" s="16">
        <v>1</v>
      </c>
      <c r="F16" s="16"/>
      <c r="G16" s="16"/>
      <c r="H16" s="16">
        <f t="shared" ref="H16:H70" si="3">H15-F16-D16+B16</f>
        <v>3.125</v>
      </c>
      <c r="I16" s="16">
        <f t="shared" ref="I16:I70" si="4">I15-E16+C16</f>
        <v>2.125</v>
      </c>
      <c r="J16" s="16">
        <f t="shared" ref="J16:J70" si="5">SUM(H16:I16)</f>
        <v>5.25</v>
      </c>
    </row>
    <row r="17" spans="1:10" ht="18.75" customHeight="1">
      <c r="A17" s="62" t="s">
        <v>26</v>
      </c>
      <c r="B17" s="16">
        <v>6.25</v>
      </c>
      <c r="C17" s="16">
        <v>6.14</v>
      </c>
      <c r="D17" s="16"/>
      <c r="E17" s="16"/>
      <c r="F17" s="16"/>
      <c r="G17" s="16"/>
      <c r="H17" s="16">
        <f t="shared" si="3"/>
        <v>9.375</v>
      </c>
      <c r="I17" s="16">
        <f t="shared" si="4"/>
        <v>8.2650000000000006</v>
      </c>
      <c r="J17" s="16">
        <f t="shared" si="5"/>
        <v>17.64</v>
      </c>
    </row>
    <row r="18" spans="1:10" ht="18.75" customHeight="1">
      <c r="A18" s="62" t="s">
        <v>27</v>
      </c>
      <c r="B18" s="16"/>
      <c r="C18" s="16"/>
      <c r="D18" s="16"/>
      <c r="E18" s="16"/>
      <c r="F18" s="16"/>
      <c r="G18" s="17">
        <v>1</v>
      </c>
      <c r="H18" s="16">
        <f t="shared" si="3"/>
        <v>9.375</v>
      </c>
      <c r="I18" s="16">
        <f t="shared" si="4"/>
        <v>8.2650000000000006</v>
      </c>
      <c r="J18" s="16">
        <f t="shared" si="5"/>
        <v>17.64</v>
      </c>
    </row>
    <row r="19" spans="1:10" ht="18.75" customHeight="1">
      <c r="A19" s="62" t="s">
        <v>28</v>
      </c>
      <c r="B19" s="16">
        <v>1.25</v>
      </c>
      <c r="C19" s="16">
        <v>1.25</v>
      </c>
      <c r="D19" s="16"/>
      <c r="E19" s="16"/>
      <c r="F19" s="16"/>
      <c r="G19" s="16"/>
      <c r="H19" s="16">
        <f t="shared" si="3"/>
        <v>10.625</v>
      </c>
      <c r="I19" s="16">
        <f t="shared" si="4"/>
        <v>9.5150000000000006</v>
      </c>
      <c r="J19" s="16">
        <f t="shared" si="5"/>
        <v>20.14</v>
      </c>
    </row>
    <row r="20" spans="1:10" ht="18.75" customHeight="1">
      <c r="A20" s="62" t="s">
        <v>29</v>
      </c>
      <c r="B20" s="16"/>
      <c r="C20" s="16"/>
      <c r="D20" s="16"/>
      <c r="E20" s="16"/>
      <c r="F20" s="16">
        <v>2</v>
      </c>
      <c r="G20" s="16"/>
      <c r="H20" s="16">
        <f t="shared" si="3"/>
        <v>8.625</v>
      </c>
      <c r="I20" s="16">
        <f t="shared" si="4"/>
        <v>9.5150000000000006</v>
      </c>
      <c r="J20" s="16">
        <f t="shared" si="5"/>
        <v>18.14</v>
      </c>
    </row>
    <row r="21" spans="1:10" ht="18.75" customHeight="1">
      <c r="A21" s="62" t="s">
        <v>30</v>
      </c>
      <c r="B21" s="16"/>
      <c r="C21" s="16"/>
      <c r="D21" s="16"/>
      <c r="E21" s="16"/>
      <c r="F21" s="16"/>
      <c r="G21" s="17">
        <v>1</v>
      </c>
      <c r="H21" s="16">
        <f t="shared" si="3"/>
        <v>8.625</v>
      </c>
      <c r="I21" s="16">
        <f t="shared" si="4"/>
        <v>9.5150000000000006</v>
      </c>
      <c r="J21" s="16">
        <f t="shared" si="5"/>
        <v>18.14</v>
      </c>
    </row>
    <row r="22" spans="1:10" ht="18.75" customHeight="1">
      <c r="A22" s="62" t="s">
        <v>31</v>
      </c>
      <c r="B22" s="16">
        <v>1.25</v>
      </c>
      <c r="C22" s="16">
        <v>1.25</v>
      </c>
      <c r="D22" s="16"/>
      <c r="E22" s="16"/>
      <c r="F22" s="16"/>
      <c r="G22" s="16"/>
      <c r="H22" s="16">
        <f t="shared" si="3"/>
        <v>9.875</v>
      </c>
      <c r="I22" s="16">
        <f t="shared" si="4"/>
        <v>10.765000000000001</v>
      </c>
      <c r="J22" s="16">
        <f t="shared" si="5"/>
        <v>20.64</v>
      </c>
    </row>
    <row r="23" spans="1:10" ht="18.75" customHeight="1">
      <c r="A23" s="62" t="s">
        <v>32</v>
      </c>
      <c r="B23" s="16"/>
      <c r="C23" s="16"/>
      <c r="D23" s="16"/>
      <c r="E23" s="16"/>
      <c r="F23" s="16"/>
      <c r="G23" s="16">
        <v>1</v>
      </c>
      <c r="H23" s="16">
        <f t="shared" si="3"/>
        <v>9.875</v>
      </c>
      <c r="I23" s="16">
        <f t="shared" si="4"/>
        <v>10.765000000000001</v>
      </c>
      <c r="J23" s="16">
        <f t="shared" si="5"/>
        <v>20.64</v>
      </c>
    </row>
    <row r="24" spans="1:10" ht="18.75" customHeight="1">
      <c r="A24" s="62" t="s">
        <v>33</v>
      </c>
      <c r="B24" s="16"/>
      <c r="C24" s="16"/>
      <c r="D24" s="16"/>
      <c r="E24" s="16"/>
      <c r="F24" s="16">
        <v>3</v>
      </c>
      <c r="G24" s="16"/>
      <c r="H24" s="16">
        <f t="shared" si="3"/>
        <v>6.875</v>
      </c>
      <c r="I24" s="16">
        <f t="shared" si="4"/>
        <v>10.765000000000001</v>
      </c>
      <c r="J24" s="16">
        <f t="shared" si="5"/>
        <v>17.64</v>
      </c>
    </row>
    <row r="25" spans="1:10" ht="18.75" customHeight="1">
      <c r="A25" s="62" t="s">
        <v>34</v>
      </c>
      <c r="B25" s="16">
        <v>2.5</v>
      </c>
      <c r="C25" s="16">
        <v>2.5</v>
      </c>
      <c r="D25" s="16"/>
      <c r="E25" s="16"/>
      <c r="F25" s="16"/>
      <c r="G25" s="16"/>
      <c r="H25" s="16">
        <f t="shared" si="3"/>
        <v>9.375</v>
      </c>
      <c r="I25" s="16">
        <f t="shared" si="4"/>
        <v>13.265000000000001</v>
      </c>
      <c r="J25" s="16">
        <f t="shared" si="5"/>
        <v>22.64</v>
      </c>
    </row>
    <row r="26" spans="1:10" ht="18.75" customHeight="1">
      <c r="A26" s="63" t="s">
        <v>35</v>
      </c>
      <c r="B26" s="16"/>
      <c r="C26" s="16"/>
      <c r="D26" s="16"/>
      <c r="E26" s="16"/>
      <c r="F26" s="16">
        <v>1</v>
      </c>
      <c r="G26" s="16"/>
      <c r="H26" s="16">
        <f t="shared" si="3"/>
        <v>8.375</v>
      </c>
      <c r="I26" s="16">
        <f t="shared" si="4"/>
        <v>13.265000000000001</v>
      </c>
      <c r="J26" s="16">
        <f t="shared" si="5"/>
        <v>21.64</v>
      </c>
    </row>
    <row r="27" spans="1:10" ht="18.75" customHeight="1">
      <c r="A27" s="63" t="s">
        <v>36</v>
      </c>
      <c r="B27" s="16"/>
      <c r="C27" s="16"/>
      <c r="D27" s="16"/>
      <c r="E27" s="16"/>
      <c r="F27" s="20">
        <v>1</v>
      </c>
      <c r="G27" s="16"/>
      <c r="H27" s="16">
        <f t="shared" si="3"/>
        <v>7.375</v>
      </c>
      <c r="I27" s="16">
        <f t="shared" si="4"/>
        <v>13.265000000000001</v>
      </c>
      <c r="J27" s="16">
        <f t="shared" si="5"/>
        <v>20.64</v>
      </c>
    </row>
    <row r="28" spans="1:10" ht="18.75" customHeight="1">
      <c r="A28" s="62" t="s">
        <v>37</v>
      </c>
      <c r="B28" s="16">
        <v>1.25</v>
      </c>
      <c r="C28" s="16">
        <v>1.25</v>
      </c>
      <c r="D28" s="16"/>
      <c r="E28" s="16"/>
      <c r="F28" s="16"/>
      <c r="G28" s="16"/>
      <c r="H28" s="16">
        <f t="shared" si="3"/>
        <v>8.625</v>
      </c>
      <c r="I28" s="16">
        <f t="shared" si="4"/>
        <v>14.515000000000001</v>
      </c>
      <c r="J28" s="16">
        <f t="shared" si="5"/>
        <v>23.14</v>
      </c>
    </row>
    <row r="29" spans="1:10" ht="18.75" customHeight="1">
      <c r="A29" s="64" t="s">
        <v>38</v>
      </c>
      <c r="B29" s="22"/>
      <c r="C29" s="22"/>
      <c r="D29" s="22"/>
      <c r="E29" s="22"/>
      <c r="F29" s="22">
        <v>1</v>
      </c>
      <c r="G29" s="22"/>
      <c r="H29" s="16">
        <f t="shared" si="3"/>
        <v>7.625</v>
      </c>
      <c r="I29" s="16">
        <f t="shared" si="4"/>
        <v>14.515000000000001</v>
      </c>
      <c r="J29" s="16">
        <f t="shared" si="5"/>
        <v>22.14</v>
      </c>
    </row>
    <row r="30" spans="1:10">
      <c r="A30" s="64" t="s">
        <v>39</v>
      </c>
      <c r="B30" s="18"/>
      <c r="C30" s="18"/>
      <c r="D30" s="18"/>
      <c r="E30" s="18"/>
      <c r="F30" s="18"/>
      <c r="G30" s="19">
        <v>1</v>
      </c>
      <c r="H30" s="16">
        <f t="shared" si="3"/>
        <v>7.625</v>
      </c>
      <c r="I30" s="16">
        <f t="shared" si="4"/>
        <v>14.515000000000001</v>
      </c>
      <c r="J30" s="16">
        <f t="shared" si="5"/>
        <v>22.14</v>
      </c>
    </row>
    <row r="31" spans="1:10" ht="18" customHeight="1">
      <c r="A31" s="62" t="s">
        <v>40</v>
      </c>
      <c r="B31" s="16">
        <v>1.25</v>
      </c>
      <c r="C31" s="16">
        <v>1.25</v>
      </c>
      <c r="D31" s="18"/>
      <c r="E31" s="18"/>
      <c r="F31" s="18"/>
      <c r="G31" s="19"/>
      <c r="H31" s="16">
        <f t="shared" si="3"/>
        <v>8.875</v>
      </c>
      <c r="I31" s="16">
        <f t="shared" si="4"/>
        <v>15.765000000000001</v>
      </c>
      <c r="J31" s="16">
        <f t="shared" si="5"/>
        <v>24.64</v>
      </c>
    </row>
    <row r="32" spans="1:10">
      <c r="A32" s="64" t="s">
        <v>41</v>
      </c>
      <c r="B32" s="18"/>
      <c r="C32" s="18"/>
      <c r="D32" s="18"/>
      <c r="E32" s="20">
        <v>1</v>
      </c>
      <c r="F32" s="18"/>
      <c r="G32" s="19"/>
      <c r="H32" s="16">
        <f t="shared" si="3"/>
        <v>8.875</v>
      </c>
      <c r="I32" s="16">
        <f t="shared" si="4"/>
        <v>14.765000000000001</v>
      </c>
      <c r="J32" s="16">
        <f t="shared" si="5"/>
        <v>23.64</v>
      </c>
    </row>
    <row r="33" spans="1:10">
      <c r="A33" s="64" t="s">
        <v>42</v>
      </c>
      <c r="B33" s="18"/>
      <c r="C33" s="18"/>
      <c r="D33" s="18"/>
      <c r="E33" s="18"/>
      <c r="F33" s="20">
        <v>1</v>
      </c>
      <c r="G33" s="21"/>
      <c r="H33" s="16">
        <f t="shared" si="3"/>
        <v>7.875</v>
      </c>
      <c r="I33" s="16">
        <f t="shared" si="4"/>
        <v>14.765000000000001</v>
      </c>
      <c r="J33" s="16">
        <f t="shared" si="5"/>
        <v>22.64</v>
      </c>
    </row>
    <row r="34" spans="1:10">
      <c r="A34" s="62" t="s">
        <v>43</v>
      </c>
      <c r="B34" s="18">
        <v>2.5</v>
      </c>
      <c r="C34" s="18">
        <v>2.5</v>
      </c>
      <c r="D34" s="18"/>
      <c r="E34" s="18"/>
      <c r="F34" s="18"/>
      <c r="G34" s="19"/>
      <c r="H34" s="16">
        <f t="shared" si="3"/>
        <v>10.375</v>
      </c>
      <c r="I34" s="16">
        <f t="shared" si="4"/>
        <v>17.265000000000001</v>
      </c>
      <c r="J34" s="16">
        <f t="shared" si="5"/>
        <v>27.64</v>
      </c>
    </row>
    <row r="35" spans="1:10">
      <c r="A35" s="53" t="s">
        <v>44</v>
      </c>
      <c r="B35" s="18"/>
      <c r="C35" s="18"/>
      <c r="D35" s="18"/>
      <c r="E35" s="18"/>
      <c r="F35" s="18"/>
      <c r="G35" s="18">
        <v>1</v>
      </c>
      <c r="H35" s="16">
        <f t="shared" si="3"/>
        <v>10.375</v>
      </c>
      <c r="I35" s="16">
        <f t="shared" si="4"/>
        <v>17.265000000000001</v>
      </c>
      <c r="J35" s="16">
        <f t="shared" si="5"/>
        <v>27.64</v>
      </c>
    </row>
    <row r="36" spans="1:10">
      <c r="A36" s="62" t="s">
        <v>45</v>
      </c>
      <c r="B36" s="18">
        <v>1.25</v>
      </c>
      <c r="C36" s="18">
        <v>1.25</v>
      </c>
      <c r="D36" s="18"/>
      <c r="E36" s="18"/>
      <c r="F36" s="18"/>
      <c r="G36" s="18"/>
      <c r="H36" s="16">
        <f t="shared" si="3"/>
        <v>11.625</v>
      </c>
      <c r="I36" s="16">
        <f t="shared" si="4"/>
        <v>18.515000000000001</v>
      </c>
      <c r="J36" s="16">
        <f t="shared" si="5"/>
        <v>30.14</v>
      </c>
    </row>
    <row r="37" spans="1:10">
      <c r="A37" s="53" t="s">
        <v>46</v>
      </c>
      <c r="B37" s="18"/>
      <c r="C37" s="18"/>
      <c r="D37" s="18"/>
      <c r="E37" s="20"/>
      <c r="F37" s="18">
        <v>1</v>
      </c>
      <c r="G37" s="18"/>
      <c r="H37" s="16">
        <f t="shared" si="3"/>
        <v>10.625</v>
      </c>
      <c r="I37" s="16">
        <f t="shared" si="4"/>
        <v>18.515000000000001</v>
      </c>
      <c r="J37" s="16">
        <f t="shared" si="5"/>
        <v>29.14</v>
      </c>
    </row>
    <row r="38" spans="1:10">
      <c r="A38" s="53" t="s">
        <v>47</v>
      </c>
      <c r="B38" s="18"/>
      <c r="C38" s="18"/>
      <c r="D38" s="18"/>
      <c r="E38" s="20">
        <v>2</v>
      </c>
      <c r="F38" s="18"/>
      <c r="G38" s="18"/>
      <c r="H38" s="16">
        <f t="shared" si="3"/>
        <v>10.625</v>
      </c>
      <c r="I38" s="16">
        <f t="shared" si="4"/>
        <v>16.515000000000001</v>
      </c>
      <c r="J38" s="16">
        <f t="shared" si="5"/>
        <v>27.14</v>
      </c>
    </row>
    <row r="39" spans="1:10">
      <c r="A39" s="53" t="s">
        <v>48</v>
      </c>
      <c r="B39" s="18"/>
      <c r="C39" s="18"/>
      <c r="D39" s="18"/>
      <c r="E39" s="18"/>
      <c r="F39" s="18"/>
      <c r="G39" s="18">
        <v>1</v>
      </c>
      <c r="H39" s="16">
        <f t="shared" si="3"/>
        <v>10.625</v>
      </c>
      <c r="I39" s="16">
        <f t="shared" si="4"/>
        <v>16.515000000000001</v>
      </c>
      <c r="J39" s="16">
        <f t="shared" si="5"/>
        <v>27.14</v>
      </c>
    </row>
    <row r="40" spans="1:10">
      <c r="A40" s="62" t="s">
        <v>49</v>
      </c>
      <c r="B40" s="18">
        <v>1.25</v>
      </c>
      <c r="C40" s="18">
        <v>1.25</v>
      </c>
      <c r="D40" s="18"/>
      <c r="E40" s="18"/>
      <c r="F40" s="18"/>
      <c r="G40" s="18"/>
      <c r="H40" s="16">
        <f t="shared" si="3"/>
        <v>11.875</v>
      </c>
      <c r="I40" s="16">
        <f t="shared" si="4"/>
        <v>17.765000000000001</v>
      </c>
      <c r="J40" s="16">
        <f t="shared" si="5"/>
        <v>29.64</v>
      </c>
    </row>
    <row r="41" spans="1:10">
      <c r="A41" s="24" t="s">
        <v>50</v>
      </c>
      <c r="B41" s="24"/>
      <c r="C41" s="24"/>
      <c r="D41" s="20">
        <v>1</v>
      </c>
      <c r="E41" s="20">
        <v>17</v>
      </c>
      <c r="F41" s="24"/>
      <c r="G41" s="24"/>
      <c r="H41" s="16">
        <f t="shared" si="3"/>
        <v>10.875</v>
      </c>
      <c r="I41" s="16">
        <f t="shared" si="4"/>
        <v>0.76500000000000057</v>
      </c>
      <c r="J41" s="16">
        <f t="shared" si="5"/>
        <v>11.64</v>
      </c>
    </row>
    <row r="42" spans="1:10">
      <c r="A42" s="24" t="s">
        <v>51</v>
      </c>
      <c r="B42" s="24"/>
      <c r="C42" s="24"/>
      <c r="D42" s="20">
        <v>1</v>
      </c>
      <c r="E42" s="24"/>
      <c r="F42" s="24"/>
      <c r="G42" s="24"/>
      <c r="H42" s="16">
        <f t="shared" si="3"/>
        <v>9.875</v>
      </c>
      <c r="I42" s="16">
        <f t="shared" si="4"/>
        <v>0.76500000000000057</v>
      </c>
      <c r="J42" s="16">
        <f t="shared" si="5"/>
        <v>10.64</v>
      </c>
    </row>
    <row r="43" spans="1:10">
      <c r="A43" s="62" t="s">
        <v>52</v>
      </c>
      <c r="B43" s="18">
        <v>1.25</v>
      </c>
      <c r="C43" s="18">
        <v>1.25</v>
      </c>
      <c r="D43" s="24"/>
      <c r="E43" s="24"/>
      <c r="F43" s="24"/>
      <c r="G43" s="24"/>
      <c r="H43" s="16">
        <f t="shared" si="3"/>
        <v>11.125</v>
      </c>
      <c r="I43" s="16">
        <f t="shared" si="4"/>
        <v>2.0150000000000006</v>
      </c>
      <c r="J43" s="16">
        <f t="shared" si="5"/>
        <v>13.14</v>
      </c>
    </row>
    <row r="44" spans="1:10">
      <c r="A44" s="24" t="s">
        <v>53</v>
      </c>
      <c r="B44" s="24"/>
      <c r="C44" s="24"/>
      <c r="D44" s="24"/>
      <c r="E44" s="25">
        <v>2</v>
      </c>
      <c r="F44" s="24"/>
      <c r="G44" s="24"/>
      <c r="H44" s="16">
        <f t="shared" si="3"/>
        <v>11.125</v>
      </c>
      <c r="I44" s="16">
        <f t="shared" si="4"/>
        <v>1.5000000000000568E-2</v>
      </c>
      <c r="J44" s="16">
        <f t="shared" si="5"/>
        <v>11.14</v>
      </c>
    </row>
    <row r="45" spans="1:10">
      <c r="A45" s="62" t="s">
        <v>54</v>
      </c>
      <c r="B45" s="24">
        <f>1.25*1</f>
        <v>1.25</v>
      </c>
      <c r="C45" s="24">
        <v>1.25</v>
      </c>
      <c r="D45" s="24"/>
      <c r="E45" s="24"/>
      <c r="F45" s="24"/>
      <c r="G45" s="24"/>
      <c r="H45" s="16">
        <f t="shared" si="3"/>
        <v>12.375</v>
      </c>
      <c r="I45" s="16">
        <f t="shared" si="4"/>
        <v>1.2650000000000006</v>
      </c>
      <c r="J45" s="16">
        <f t="shared" si="5"/>
        <v>13.64</v>
      </c>
    </row>
    <row r="46" spans="1:10">
      <c r="A46" s="24" t="s">
        <v>55</v>
      </c>
      <c r="B46" s="24"/>
      <c r="C46" s="24"/>
      <c r="D46" s="24">
        <v>2</v>
      </c>
      <c r="E46" s="24"/>
      <c r="F46" s="24"/>
      <c r="G46" s="24"/>
      <c r="H46" s="16">
        <f t="shared" si="3"/>
        <v>10.375</v>
      </c>
      <c r="I46" s="16">
        <f t="shared" si="4"/>
        <v>1.2650000000000006</v>
      </c>
      <c r="J46" s="16">
        <f t="shared" si="5"/>
        <v>11.64</v>
      </c>
    </row>
    <row r="47" spans="1:10">
      <c r="A47" s="24" t="s">
        <v>56</v>
      </c>
      <c r="B47" s="24">
        <v>1.25</v>
      </c>
      <c r="C47" s="24">
        <v>1.25</v>
      </c>
      <c r="D47" s="24"/>
      <c r="E47" s="26"/>
      <c r="F47" s="24"/>
      <c r="G47" s="24"/>
      <c r="H47" s="16">
        <f t="shared" si="3"/>
        <v>11.625</v>
      </c>
      <c r="I47" s="16">
        <f t="shared" si="4"/>
        <v>2.5150000000000006</v>
      </c>
      <c r="J47" s="16">
        <f t="shared" si="5"/>
        <v>14.14</v>
      </c>
    </row>
    <row r="48" spans="1:10">
      <c r="A48" s="24" t="s">
        <v>57</v>
      </c>
      <c r="B48" s="24"/>
      <c r="C48" s="24"/>
      <c r="D48" s="24">
        <v>3</v>
      </c>
      <c r="E48" s="24"/>
      <c r="F48" s="24"/>
      <c r="G48" s="24"/>
      <c r="H48" s="16">
        <f t="shared" si="3"/>
        <v>8.625</v>
      </c>
      <c r="I48" s="16">
        <f t="shared" si="4"/>
        <v>2.5150000000000006</v>
      </c>
      <c r="J48" s="16">
        <f t="shared" si="5"/>
        <v>11.14</v>
      </c>
    </row>
    <row r="49" spans="1:10">
      <c r="A49" s="24" t="s">
        <v>58</v>
      </c>
      <c r="B49" s="24">
        <v>1.25</v>
      </c>
      <c r="C49" s="24">
        <v>1.25</v>
      </c>
      <c r="D49" s="24"/>
      <c r="E49" s="24"/>
      <c r="F49" s="24"/>
      <c r="G49" s="24"/>
      <c r="H49" s="16">
        <f t="shared" si="3"/>
        <v>9.875</v>
      </c>
      <c r="I49" s="16">
        <f t="shared" si="4"/>
        <v>3.7650000000000006</v>
      </c>
      <c r="J49" s="16">
        <f t="shared" si="5"/>
        <v>13.64</v>
      </c>
    </row>
    <row r="50" spans="1:10">
      <c r="A50" s="24" t="s">
        <v>59</v>
      </c>
      <c r="B50" s="24"/>
      <c r="C50" s="24"/>
      <c r="D50" s="24">
        <v>1</v>
      </c>
      <c r="E50" s="24"/>
      <c r="F50" s="24"/>
      <c r="G50" s="24"/>
      <c r="H50" s="16">
        <f t="shared" si="3"/>
        <v>8.875</v>
      </c>
      <c r="I50" s="16">
        <f t="shared" si="4"/>
        <v>3.7650000000000006</v>
      </c>
      <c r="J50" s="16">
        <f t="shared" si="5"/>
        <v>12.64</v>
      </c>
    </row>
    <row r="51" spans="1:10">
      <c r="A51" s="24" t="s">
        <v>60</v>
      </c>
      <c r="B51" s="24"/>
      <c r="C51" s="24"/>
      <c r="D51" s="24">
        <v>1</v>
      </c>
      <c r="E51" s="24"/>
      <c r="F51" s="24"/>
      <c r="G51" s="24"/>
      <c r="H51" s="16">
        <f t="shared" si="3"/>
        <v>7.875</v>
      </c>
      <c r="I51" s="16">
        <f t="shared" si="4"/>
        <v>3.7650000000000006</v>
      </c>
      <c r="J51" s="16">
        <f t="shared" si="5"/>
        <v>11.64</v>
      </c>
    </row>
    <row r="52" spans="1:10">
      <c r="A52" s="24" t="s">
        <v>61</v>
      </c>
      <c r="B52" s="24">
        <v>1.25</v>
      </c>
      <c r="C52" s="24">
        <v>1.25</v>
      </c>
      <c r="D52" s="24"/>
      <c r="E52" s="24"/>
      <c r="F52" s="24"/>
      <c r="G52" s="24"/>
      <c r="H52" s="16">
        <f t="shared" si="3"/>
        <v>9.125</v>
      </c>
      <c r="I52" s="16">
        <f t="shared" si="4"/>
        <v>5.0150000000000006</v>
      </c>
      <c r="J52" s="16">
        <f t="shared" si="5"/>
        <v>14.14</v>
      </c>
    </row>
    <row r="53" spans="1:10">
      <c r="A53" s="24" t="s">
        <v>62</v>
      </c>
      <c r="B53" s="24"/>
      <c r="C53" s="24"/>
      <c r="D53" s="24"/>
      <c r="E53" s="24">
        <v>3</v>
      </c>
      <c r="F53" s="24"/>
      <c r="G53" s="24"/>
      <c r="H53" s="16">
        <f t="shared" si="3"/>
        <v>9.125</v>
      </c>
      <c r="I53" s="16">
        <f t="shared" si="4"/>
        <v>2.0150000000000006</v>
      </c>
      <c r="J53" s="16">
        <f t="shared" si="5"/>
        <v>11.14</v>
      </c>
    </row>
    <row r="54" spans="1:10">
      <c r="A54" s="24" t="s">
        <v>63</v>
      </c>
      <c r="B54" s="24">
        <v>1.25</v>
      </c>
      <c r="C54" s="24">
        <v>1.25</v>
      </c>
      <c r="D54" s="24"/>
      <c r="E54" s="24"/>
      <c r="F54" s="24"/>
      <c r="G54" s="24"/>
      <c r="H54" s="16">
        <f t="shared" si="3"/>
        <v>10.375</v>
      </c>
      <c r="I54" s="16">
        <f t="shared" si="4"/>
        <v>3.2650000000000006</v>
      </c>
      <c r="J54" s="16">
        <f t="shared" si="5"/>
        <v>13.64</v>
      </c>
    </row>
    <row r="55" spans="1:10">
      <c r="A55" s="24" t="s">
        <v>64</v>
      </c>
      <c r="B55" s="24"/>
      <c r="C55" s="24"/>
      <c r="D55" s="24">
        <v>0.5</v>
      </c>
      <c r="E55" s="24"/>
      <c r="F55" s="24"/>
      <c r="G55" s="24"/>
      <c r="H55" s="16">
        <f t="shared" si="3"/>
        <v>9.875</v>
      </c>
      <c r="I55" s="16">
        <f t="shared" si="4"/>
        <v>3.2650000000000006</v>
      </c>
      <c r="J55" s="16">
        <f t="shared" si="5"/>
        <v>13.14</v>
      </c>
    </row>
    <row r="56" spans="1:10">
      <c r="A56" s="24" t="s">
        <v>65</v>
      </c>
      <c r="B56" s="24">
        <v>5</v>
      </c>
      <c r="C56" s="24">
        <v>5</v>
      </c>
      <c r="D56" s="24"/>
      <c r="E56" s="24"/>
      <c r="F56" s="24"/>
      <c r="G56" s="24"/>
      <c r="H56" s="16">
        <f t="shared" si="3"/>
        <v>14.875</v>
      </c>
      <c r="I56" s="16">
        <f t="shared" si="4"/>
        <v>8.2650000000000006</v>
      </c>
      <c r="J56" s="16">
        <f t="shared" si="5"/>
        <v>23.14</v>
      </c>
    </row>
    <row r="57" spans="1:10">
      <c r="A57" s="24" t="s">
        <v>66</v>
      </c>
      <c r="B57" s="24"/>
      <c r="C57" s="24"/>
      <c r="D57" s="24"/>
      <c r="E57" s="24"/>
      <c r="F57" s="24"/>
      <c r="G57" s="24">
        <v>1</v>
      </c>
      <c r="H57" s="16">
        <f t="shared" si="3"/>
        <v>14.875</v>
      </c>
      <c r="I57" s="16">
        <f t="shared" si="4"/>
        <v>8.2650000000000006</v>
      </c>
      <c r="J57" s="16">
        <f t="shared" si="5"/>
        <v>23.14</v>
      </c>
    </row>
    <row r="58" spans="1:10">
      <c r="A58" s="24" t="s">
        <v>67</v>
      </c>
      <c r="B58" s="24"/>
      <c r="C58" s="24"/>
      <c r="D58" s="24"/>
      <c r="E58" s="24"/>
      <c r="F58" s="24">
        <v>2</v>
      </c>
      <c r="G58" s="24"/>
      <c r="H58" s="16">
        <f t="shared" si="3"/>
        <v>12.875</v>
      </c>
      <c r="I58" s="16">
        <f t="shared" si="4"/>
        <v>8.2650000000000006</v>
      </c>
      <c r="J58" s="16">
        <f t="shared" si="5"/>
        <v>21.14</v>
      </c>
    </row>
    <row r="59" spans="1:10">
      <c r="A59" s="24" t="s">
        <v>68</v>
      </c>
      <c r="B59" s="24"/>
      <c r="C59" s="24"/>
      <c r="D59" s="24"/>
      <c r="E59" s="24"/>
      <c r="F59" s="24"/>
      <c r="G59" s="24">
        <v>1</v>
      </c>
      <c r="H59" s="16">
        <f t="shared" si="3"/>
        <v>12.875</v>
      </c>
      <c r="I59" s="16">
        <f t="shared" si="4"/>
        <v>8.2650000000000006</v>
      </c>
      <c r="J59" s="16">
        <f t="shared" si="5"/>
        <v>21.14</v>
      </c>
    </row>
    <row r="60" spans="1:10">
      <c r="A60" s="24" t="s">
        <v>69</v>
      </c>
      <c r="B60" s="24">
        <v>1.25</v>
      </c>
      <c r="C60" s="24">
        <v>1.25</v>
      </c>
      <c r="D60" s="24"/>
      <c r="E60" s="24"/>
      <c r="F60" s="24"/>
      <c r="G60" s="24"/>
      <c r="H60" s="16">
        <f t="shared" si="3"/>
        <v>14.125</v>
      </c>
      <c r="I60" s="16">
        <f t="shared" si="4"/>
        <v>9.5150000000000006</v>
      </c>
      <c r="J60" s="16">
        <f t="shared" si="5"/>
        <v>23.64</v>
      </c>
    </row>
    <row r="61" spans="1:10">
      <c r="A61" s="24" t="s">
        <v>70</v>
      </c>
      <c r="B61" s="24"/>
      <c r="C61" s="24"/>
      <c r="D61" s="24"/>
      <c r="E61" s="24">
        <v>1</v>
      </c>
      <c r="F61" s="24"/>
      <c r="G61" s="24"/>
      <c r="H61" s="16">
        <f t="shared" si="3"/>
        <v>14.125</v>
      </c>
      <c r="I61" s="16">
        <f t="shared" si="4"/>
        <v>8.5150000000000006</v>
      </c>
      <c r="J61" s="16">
        <f t="shared" si="5"/>
        <v>22.64</v>
      </c>
    </row>
    <row r="62" spans="1:10">
      <c r="A62" s="24" t="s">
        <v>71</v>
      </c>
      <c r="B62" s="24">
        <v>1.25</v>
      </c>
      <c r="C62" s="24">
        <v>1.25</v>
      </c>
      <c r="D62" s="24"/>
      <c r="E62" s="24"/>
      <c r="F62" s="24"/>
      <c r="G62" s="24"/>
      <c r="H62" s="16">
        <f t="shared" si="3"/>
        <v>15.375</v>
      </c>
      <c r="I62" s="16">
        <f t="shared" si="4"/>
        <v>9.7650000000000006</v>
      </c>
      <c r="J62" s="16">
        <f t="shared" si="5"/>
        <v>25.14</v>
      </c>
    </row>
    <row r="63" spans="1:10">
      <c r="A63" s="24" t="s">
        <v>72</v>
      </c>
      <c r="B63" s="24"/>
      <c r="C63" s="24"/>
      <c r="D63" s="24"/>
      <c r="E63" s="24">
        <v>1</v>
      </c>
      <c r="F63" s="24"/>
      <c r="G63" s="24"/>
      <c r="H63" s="16">
        <f t="shared" si="3"/>
        <v>15.375</v>
      </c>
      <c r="I63" s="16">
        <f t="shared" si="4"/>
        <v>8.7650000000000006</v>
      </c>
      <c r="J63" s="16">
        <f t="shared" si="5"/>
        <v>24.14</v>
      </c>
    </row>
    <row r="64" spans="1:10">
      <c r="A64" s="24" t="s">
        <v>73</v>
      </c>
      <c r="B64" s="24">
        <v>1.25</v>
      </c>
      <c r="C64" s="24">
        <v>1.25</v>
      </c>
      <c r="D64" s="24"/>
      <c r="E64" s="24"/>
      <c r="F64" s="24"/>
      <c r="G64" s="24"/>
      <c r="H64" s="16">
        <f t="shared" si="3"/>
        <v>16.625</v>
      </c>
      <c r="I64" s="16">
        <f t="shared" si="4"/>
        <v>10.015000000000001</v>
      </c>
      <c r="J64" s="16">
        <f t="shared" si="5"/>
        <v>26.64</v>
      </c>
    </row>
    <row r="65" spans="1:10">
      <c r="A65" s="24" t="s">
        <v>74</v>
      </c>
      <c r="B65" s="24"/>
      <c r="C65" s="24"/>
      <c r="D65" s="24">
        <v>10</v>
      </c>
      <c r="E65" s="24"/>
      <c r="F65" s="24"/>
      <c r="G65" s="24"/>
      <c r="H65" s="16">
        <f t="shared" si="3"/>
        <v>6.625</v>
      </c>
      <c r="I65" s="16">
        <f t="shared" si="4"/>
        <v>10.015000000000001</v>
      </c>
      <c r="J65" s="16">
        <f t="shared" si="5"/>
        <v>16.64</v>
      </c>
    </row>
    <row r="66" spans="1:10">
      <c r="A66" s="24" t="s">
        <v>75</v>
      </c>
      <c r="B66" s="24"/>
      <c r="C66" s="24"/>
      <c r="D66" s="24"/>
      <c r="E66" s="24">
        <v>4</v>
      </c>
      <c r="F66" s="24"/>
      <c r="G66" s="24"/>
      <c r="H66" s="16">
        <f t="shared" si="3"/>
        <v>6.625</v>
      </c>
      <c r="I66" s="16">
        <f t="shared" si="4"/>
        <v>6.0150000000000006</v>
      </c>
      <c r="J66" s="16">
        <f t="shared" si="5"/>
        <v>12.64</v>
      </c>
    </row>
    <row r="67" spans="1:10">
      <c r="A67" s="24" t="s">
        <v>76</v>
      </c>
      <c r="B67" s="24">
        <v>1.25</v>
      </c>
      <c r="C67" s="24">
        <v>1.25</v>
      </c>
      <c r="D67" s="24"/>
      <c r="E67" s="24"/>
      <c r="F67" s="24"/>
      <c r="G67" s="24"/>
      <c r="H67" s="16">
        <f t="shared" si="3"/>
        <v>7.875</v>
      </c>
      <c r="I67" s="16">
        <f t="shared" si="4"/>
        <v>7.2650000000000006</v>
      </c>
      <c r="J67" s="16">
        <f t="shared" si="5"/>
        <v>15.14</v>
      </c>
    </row>
    <row r="68" spans="1:10">
      <c r="A68" s="24" t="s">
        <v>77</v>
      </c>
      <c r="B68" s="24"/>
      <c r="C68" s="24"/>
      <c r="D68" s="24"/>
      <c r="E68" s="24">
        <v>2</v>
      </c>
      <c r="F68" s="24"/>
      <c r="G68" s="24"/>
      <c r="H68" s="16">
        <f t="shared" si="3"/>
        <v>7.875</v>
      </c>
      <c r="I68" s="16">
        <f t="shared" si="4"/>
        <v>5.2650000000000006</v>
      </c>
      <c r="J68" s="16">
        <f t="shared" si="5"/>
        <v>13.14</v>
      </c>
    </row>
    <row r="69" spans="1:10">
      <c r="A69" s="24" t="s">
        <v>78</v>
      </c>
      <c r="B69" s="24">
        <v>1.25</v>
      </c>
      <c r="C69" s="24">
        <v>1.25</v>
      </c>
      <c r="D69" s="24"/>
      <c r="E69" s="24"/>
      <c r="F69" s="24"/>
      <c r="G69" s="24"/>
      <c r="H69" s="16">
        <f t="shared" si="3"/>
        <v>9.125</v>
      </c>
      <c r="I69" s="16">
        <f t="shared" si="4"/>
        <v>6.5150000000000006</v>
      </c>
      <c r="J69" s="16">
        <f t="shared" si="5"/>
        <v>15.64</v>
      </c>
    </row>
    <row r="70" spans="1:10">
      <c r="A70" s="24" t="s">
        <v>79</v>
      </c>
      <c r="B70" s="24"/>
      <c r="C70" s="24"/>
      <c r="D70" s="24"/>
      <c r="E70" s="24">
        <v>1</v>
      </c>
      <c r="F70" s="24"/>
      <c r="G70" s="24"/>
      <c r="H70" s="16">
        <f t="shared" si="3"/>
        <v>9.125</v>
      </c>
      <c r="I70" s="16">
        <f t="shared" si="4"/>
        <v>5.5150000000000006</v>
      </c>
      <c r="J70" s="16">
        <f t="shared" si="5"/>
        <v>14.64</v>
      </c>
    </row>
    <row r="71" spans="1:10">
      <c r="A71" s="24" t="s">
        <v>80</v>
      </c>
      <c r="B71" s="24"/>
      <c r="C71" s="24"/>
      <c r="D71" s="24"/>
      <c r="E71" s="24">
        <v>1</v>
      </c>
      <c r="F71" s="24"/>
      <c r="G71" s="24"/>
      <c r="H71" s="16">
        <f t="shared" ref="H71:H74" si="6">H70-F71-D71+B71</f>
        <v>9.125</v>
      </c>
      <c r="I71" s="16">
        <f t="shared" ref="I71:I74" si="7">I70-E71+C71</f>
        <v>4.5150000000000006</v>
      </c>
      <c r="J71" s="16">
        <f t="shared" ref="J71:J74" si="8">SUM(H71:I71)</f>
        <v>13.64</v>
      </c>
    </row>
    <row r="72" spans="1:10">
      <c r="A72" s="24" t="s">
        <v>81</v>
      </c>
      <c r="B72" s="24"/>
      <c r="C72" s="24"/>
      <c r="D72" s="24">
        <v>1.5</v>
      </c>
      <c r="E72" s="24"/>
      <c r="F72" s="24"/>
      <c r="G72" s="24"/>
      <c r="H72" s="16">
        <f t="shared" si="6"/>
        <v>7.625</v>
      </c>
      <c r="I72" s="16">
        <f t="shared" si="7"/>
        <v>4.5150000000000006</v>
      </c>
      <c r="J72" s="16">
        <f t="shared" si="8"/>
        <v>12.14</v>
      </c>
    </row>
    <row r="73" spans="1:10">
      <c r="A73" s="24" t="s">
        <v>82</v>
      </c>
      <c r="B73" s="24">
        <v>1.25</v>
      </c>
      <c r="C73" s="24">
        <v>1.25</v>
      </c>
      <c r="D73" s="24"/>
      <c r="E73" s="24"/>
      <c r="F73" s="24"/>
      <c r="G73" s="24"/>
      <c r="H73" s="16">
        <f t="shared" si="6"/>
        <v>8.875</v>
      </c>
      <c r="I73" s="16">
        <f t="shared" si="7"/>
        <v>5.7650000000000006</v>
      </c>
      <c r="J73" s="16">
        <f t="shared" si="8"/>
        <v>14.64</v>
      </c>
    </row>
    <row r="74" spans="1:10">
      <c r="A74" s="24" t="s">
        <v>83</v>
      </c>
      <c r="B74" s="24"/>
      <c r="C74" s="24"/>
      <c r="D74" s="24"/>
      <c r="E74" s="24"/>
      <c r="F74" s="24">
        <v>3</v>
      </c>
      <c r="G74" s="24"/>
      <c r="H74" s="16">
        <f t="shared" si="6"/>
        <v>5.875</v>
      </c>
      <c r="I74" s="16">
        <f t="shared" si="7"/>
        <v>5.7650000000000006</v>
      </c>
      <c r="J74" s="16">
        <f t="shared" si="8"/>
        <v>11.64</v>
      </c>
    </row>
    <row r="75" spans="1:10">
      <c r="A75" s="24" t="s">
        <v>84</v>
      </c>
      <c r="B75" s="24"/>
      <c r="C75" s="24"/>
      <c r="D75" s="24"/>
      <c r="E75" s="24"/>
      <c r="F75" s="24"/>
      <c r="G75" s="24">
        <v>1</v>
      </c>
      <c r="H75" s="16">
        <f t="shared" ref="H75" si="9">H74-F75-D75+B75</f>
        <v>5.875</v>
      </c>
      <c r="I75" s="16">
        <f t="shared" ref="I75" si="10">I74-E75+C75</f>
        <v>5.7650000000000006</v>
      </c>
      <c r="J75" s="16">
        <f t="shared" ref="J75" si="11">SUM(H75:I75)</f>
        <v>11.64</v>
      </c>
    </row>
    <row r="76" spans="1:10">
      <c r="A76" s="24" t="s">
        <v>85</v>
      </c>
      <c r="B76" s="24"/>
      <c r="C76" s="24"/>
      <c r="D76" s="24"/>
      <c r="E76" s="24">
        <v>1</v>
      </c>
      <c r="F76" s="24"/>
      <c r="G76" s="24"/>
      <c r="H76" s="16">
        <f t="shared" ref="H76" si="12">H75-F76-D76+B76</f>
        <v>5.875</v>
      </c>
      <c r="I76" s="16">
        <f t="shared" ref="I76" si="13">I75-E76+C76</f>
        <v>4.7650000000000006</v>
      </c>
      <c r="J76" s="16">
        <f t="shared" ref="J76" si="14">SUM(H76:I76)</f>
        <v>10.64</v>
      </c>
    </row>
    <row r="77" spans="1:10">
      <c r="A77" s="24" t="s">
        <v>86</v>
      </c>
      <c r="B77" s="24">
        <v>1.25</v>
      </c>
      <c r="C77" s="24">
        <v>1.25</v>
      </c>
      <c r="D77" s="24"/>
      <c r="E77" s="24"/>
      <c r="F77" s="24"/>
      <c r="G77" s="24"/>
      <c r="H77" s="16">
        <f t="shared" ref="H77:H81" si="15">H76-F77-D77+B77</f>
        <v>7.125</v>
      </c>
      <c r="I77" s="16">
        <f t="shared" ref="I77:I81" si="16">I76-E77+C77</f>
        <v>6.0150000000000006</v>
      </c>
      <c r="J77" s="16">
        <f t="shared" ref="J77:J81" si="17">SUM(H77:I77)</f>
        <v>13.14</v>
      </c>
    </row>
    <row r="78" spans="1:10">
      <c r="A78" s="24" t="s">
        <v>87</v>
      </c>
      <c r="B78" s="24"/>
      <c r="C78" s="24"/>
      <c r="D78" s="24">
        <v>0.5</v>
      </c>
      <c r="E78" s="24"/>
      <c r="F78" s="24"/>
      <c r="G78" s="24"/>
      <c r="H78" s="16">
        <f t="shared" si="15"/>
        <v>6.625</v>
      </c>
      <c r="I78" s="16">
        <f t="shared" si="16"/>
        <v>6.0150000000000006</v>
      </c>
      <c r="J78" s="16">
        <f t="shared" si="17"/>
        <v>12.64</v>
      </c>
    </row>
    <row r="79" spans="1:10">
      <c r="A79" s="24" t="s">
        <v>88</v>
      </c>
      <c r="B79" s="24">
        <v>1.25</v>
      </c>
      <c r="C79" s="24">
        <v>1.25</v>
      </c>
      <c r="D79" s="24"/>
      <c r="E79" s="24"/>
      <c r="F79" s="24"/>
      <c r="G79" s="24"/>
      <c r="H79" s="16">
        <f t="shared" si="15"/>
        <v>7.875</v>
      </c>
      <c r="I79" s="16">
        <f t="shared" si="16"/>
        <v>7.2650000000000006</v>
      </c>
      <c r="J79" s="16">
        <f t="shared" si="17"/>
        <v>15.14</v>
      </c>
    </row>
    <row r="80" spans="1:10">
      <c r="A80" s="24" t="s">
        <v>89</v>
      </c>
      <c r="B80" s="24"/>
      <c r="C80" s="24"/>
      <c r="D80" s="24"/>
      <c r="E80" s="24">
        <v>1</v>
      </c>
      <c r="F80" s="24"/>
      <c r="G80" s="24"/>
      <c r="H80" s="16">
        <f t="shared" si="15"/>
        <v>7.875</v>
      </c>
      <c r="I80" s="16">
        <f t="shared" si="16"/>
        <v>6.2650000000000006</v>
      </c>
      <c r="J80" s="16">
        <f t="shared" si="17"/>
        <v>14.14</v>
      </c>
    </row>
    <row r="81" spans="1:10">
      <c r="A81" s="24" t="s">
        <v>90</v>
      </c>
      <c r="B81" s="24"/>
      <c r="C81" s="24"/>
      <c r="D81" s="24"/>
      <c r="E81" s="24">
        <v>1</v>
      </c>
      <c r="F81" s="24"/>
      <c r="G81" s="24"/>
      <c r="H81" s="16">
        <f t="shared" si="15"/>
        <v>7.875</v>
      </c>
      <c r="I81" s="16">
        <f t="shared" si="16"/>
        <v>5.2650000000000006</v>
      </c>
      <c r="J81" s="16">
        <f t="shared" si="17"/>
        <v>13.14</v>
      </c>
    </row>
    <row r="82" spans="1:10">
      <c r="A82" s="24" t="s">
        <v>91</v>
      </c>
      <c r="B82" s="24"/>
      <c r="C82" s="24"/>
      <c r="D82" s="24"/>
      <c r="E82" s="24">
        <v>1</v>
      </c>
      <c r="F82" s="24"/>
      <c r="G82" s="24"/>
      <c r="H82" s="16">
        <f t="shared" ref="H82" si="18">H81-F82-D82+B82</f>
        <v>7.875</v>
      </c>
      <c r="I82" s="16">
        <f t="shared" ref="I82" si="19">I81-E82+C82</f>
        <v>4.2650000000000006</v>
      </c>
      <c r="J82" s="16">
        <f t="shared" ref="J82" si="20">SUM(H82:I82)</f>
        <v>12.14</v>
      </c>
    </row>
    <row r="83" spans="1:10">
      <c r="A83" s="24" t="s">
        <v>92</v>
      </c>
      <c r="B83" s="24">
        <v>2.5</v>
      </c>
      <c r="C83" s="24">
        <v>2.5</v>
      </c>
      <c r="D83" s="24"/>
      <c r="E83" s="24"/>
      <c r="F83" s="24"/>
      <c r="G83" s="24"/>
      <c r="H83" s="16">
        <f t="shared" ref="H83" si="21">H82-F83-D83+B83</f>
        <v>10.375</v>
      </c>
      <c r="I83" s="16">
        <f t="shared" ref="I83" si="22">I82-E83+C83</f>
        <v>6.7650000000000006</v>
      </c>
      <c r="J83" s="16">
        <f t="shared" ref="J83" si="23">SUM(H83:I83)</f>
        <v>17.14</v>
      </c>
    </row>
    <row r="84" spans="1:10">
      <c r="A84" s="24" t="s">
        <v>93</v>
      </c>
      <c r="B84" s="24"/>
      <c r="C84" s="24"/>
      <c r="D84" s="24"/>
      <c r="E84" s="24"/>
      <c r="F84" s="49">
        <v>2</v>
      </c>
      <c r="G84" s="24"/>
      <c r="H84" s="16">
        <f t="shared" ref="H84" si="24">H83-F84-D84+B84</f>
        <v>8.375</v>
      </c>
      <c r="I84" s="16">
        <f t="shared" ref="I84" si="25">I83-E84+C84</f>
        <v>6.7650000000000006</v>
      </c>
      <c r="J84" s="16">
        <f t="shared" ref="J84" si="26">SUM(H84:I84)</f>
        <v>15.14</v>
      </c>
    </row>
    <row r="85" spans="1:10">
      <c r="A85" s="24" t="s">
        <v>94</v>
      </c>
      <c r="B85" s="24"/>
      <c r="C85" s="24"/>
      <c r="D85" s="24"/>
      <c r="E85" s="24">
        <v>1</v>
      </c>
      <c r="F85" s="24"/>
      <c r="G85" s="24"/>
      <c r="H85" s="16">
        <f t="shared" ref="H85" si="27">H84-F85-D85+B85</f>
        <v>8.375</v>
      </c>
      <c r="I85" s="16">
        <f t="shared" ref="I85" si="28">I84-E85+C85</f>
        <v>5.7650000000000006</v>
      </c>
      <c r="J85" s="16">
        <f t="shared" ref="J85" si="29">SUM(H85:I85)</f>
        <v>14.14</v>
      </c>
    </row>
    <row r="86" spans="1:10">
      <c r="A86" s="24" t="s">
        <v>95</v>
      </c>
      <c r="B86" s="24"/>
      <c r="C86" s="24"/>
      <c r="D86" s="24"/>
      <c r="E86" s="24"/>
      <c r="F86" s="24"/>
      <c r="G86" s="52">
        <v>1</v>
      </c>
      <c r="H86" s="16">
        <f t="shared" ref="H86" si="30">H85-F86-D86+B86</f>
        <v>8.375</v>
      </c>
      <c r="I86" s="16">
        <f t="shared" ref="I86" si="31">I85-E86+C86</f>
        <v>5.7650000000000006</v>
      </c>
      <c r="J86" s="16">
        <f t="shared" ref="J86" si="32">SUM(H86:I86)</f>
        <v>14.14</v>
      </c>
    </row>
    <row r="87" spans="1:10">
      <c r="A87" s="24" t="s">
        <v>96</v>
      </c>
      <c r="B87" s="24">
        <v>1.25</v>
      </c>
      <c r="C87" s="24">
        <v>1.25</v>
      </c>
      <c r="D87" s="24"/>
      <c r="E87" s="24"/>
      <c r="F87" s="24"/>
      <c r="G87" s="24"/>
      <c r="H87" s="16">
        <f t="shared" ref="H87:H88" si="33">H86-F87-D87+B87</f>
        <v>9.625</v>
      </c>
      <c r="I87" s="16">
        <f t="shared" ref="I87:I88" si="34">I86-E87+C87</f>
        <v>7.0150000000000006</v>
      </c>
      <c r="J87" s="16">
        <f t="shared" ref="J87:J88" si="35">SUM(H87:I87)</f>
        <v>16.64</v>
      </c>
    </row>
    <row r="88" spans="1:10">
      <c r="A88" s="24" t="s">
        <v>97</v>
      </c>
      <c r="B88" s="24"/>
      <c r="C88" s="24"/>
      <c r="D88" s="24"/>
      <c r="E88" s="24">
        <v>1</v>
      </c>
      <c r="F88" s="24"/>
      <c r="G88" s="24"/>
      <c r="H88" s="16">
        <f t="shared" si="33"/>
        <v>9.625</v>
      </c>
      <c r="I88" s="16">
        <f t="shared" si="34"/>
        <v>6.0150000000000006</v>
      </c>
      <c r="J88" s="16">
        <f t="shared" si="35"/>
        <v>15.64</v>
      </c>
    </row>
    <row r="89" spans="1:10">
      <c r="A89" s="24" t="s">
        <v>98</v>
      </c>
      <c r="B89" s="24"/>
      <c r="C89" s="24"/>
      <c r="D89" s="24"/>
      <c r="E89" s="24">
        <v>1</v>
      </c>
      <c r="F89" s="24"/>
      <c r="G89" s="24"/>
      <c r="H89" s="16">
        <f t="shared" ref="H89" si="36">H88-F89-D89+B89</f>
        <v>9.625</v>
      </c>
      <c r="I89" s="16">
        <f t="shared" ref="I89" si="37">I88-E89+C89</f>
        <v>5.0150000000000006</v>
      </c>
      <c r="J89" s="16">
        <f t="shared" ref="J89" si="38">SUM(H89:I89)</f>
        <v>14.64</v>
      </c>
    </row>
    <row r="90" spans="1:10">
      <c r="A90" s="24" t="s">
        <v>99</v>
      </c>
      <c r="B90" s="24">
        <v>1.25</v>
      </c>
      <c r="C90" s="24">
        <v>1.25</v>
      </c>
      <c r="D90" s="24"/>
      <c r="E90" s="24"/>
      <c r="F90" s="24"/>
      <c r="G90" s="24"/>
      <c r="H90" s="16">
        <f t="shared" ref="H90:H92" si="39">H89-F90-D90+B90</f>
        <v>10.875</v>
      </c>
      <c r="I90" s="16">
        <f t="shared" ref="I90:I92" si="40">I89-E90+C90</f>
        <v>6.2650000000000006</v>
      </c>
      <c r="J90" s="16">
        <f t="shared" ref="J90:J92" si="41">SUM(H90:I90)</f>
        <v>17.14</v>
      </c>
    </row>
    <row r="91" spans="1:10">
      <c r="A91" s="24" t="s">
        <v>100</v>
      </c>
      <c r="B91" s="24"/>
      <c r="C91" s="24"/>
      <c r="D91" s="24"/>
      <c r="E91" s="24"/>
      <c r="F91" s="49">
        <v>2</v>
      </c>
      <c r="G91" s="24"/>
      <c r="H91" s="16">
        <f t="shared" si="39"/>
        <v>8.875</v>
      </c>
      <c r="I91" s="16">
        <f t="shared" si="40"/>
        <v>6.2650000000000006</v>
      </c>
      <c r="J91" s="16">
        <f t="shared" si="41"/>
        <v>15.14</v>
      </c>
    </row>
    <row r="92" spans="1:10">
      <c r="A92" s="24" t="s">
        <v>101</v>
      </c>
      <c r="B92" s="24"/>
      <c r="C92" s="24"/>
      <c r="D92" s="24"/>
      <c r="E92" s="24"/>
      <c r="F92" s="24"/>
      <c r="G92" s="52">
        <v>1</v>
      </c>
      <c r="H92" s="16">
        <f t="shared" si="39"/>
        <v>8.875</v>
      </c>
      <c r="I92" s="16">
        <f t="shared" si="40"/>
        <v>6.2650000000000006</v>
      </c>
      <c r="J92" s="16">
        <f t="shared" si="41"/>
        <v>15.14</v>
      </c>
    </row>
    <row r="93" spans="1:10">
      <c r="A93" s="24" t="s">
        <v>102</v>
      </c>
      <c r="B93" s="24">
        <v>1.25</v>
      </c>
      <c r="C93" s="24">
        <v>1.25</v>
      </c>
      <c r="D93" s="24"/>
      <c r="E93" s="24"/>
      <c r="F93" s="24"/>
      <c r="G93" s="24"/>
      <c r="H93" s="16">
        <f t="shared" ref="H93:H94" si="42">H92-F93-D93+B93</f>
        <v>10.125</v>
      </c>
      <c r="I93" s="16">
        <f t="shared" ref="I93:I94" si="43">I92-E93+C93</f>
        <v>7.5150000000000006</v>
      </c>
      <c r="J93" s="16">
        <f t="shared" ref="J93:J94" si="44">SUM(H93:I93)</f>
        <v>17.64</v>
      </c>
    </row>
    <row r="94" spans="1:10">
      <c r="A94" s="24" t="s">
        <v>103</v>
      </c>
      <c r="B94" s="24"/>
      <c r="C94" s="24"/>
      <c r="D94" s="24"/>
      <c r="E94" s="24">
        <v>1</v>
      </c>
      <c r="F94" s="24"/>
      <c r="G94" s="24"/>
      <c r="H94" s="16">
        <f t="shared" si="42"/>
        <v>10.125</v>
      </c>
      <c r="I94" s="16">
        <f t="shared" si="43"/>
        <v>6.5150000000000006</v>
      </c>
      <c r="J94" s="16">
        <f t="shared" si="44"/>
        <v>16.64</v>
      </c>
    </row>
    <row r="95" spans="1:10">
      <c r="A95" s="24" t="s">
        <v>104</v>
      </c>
      <c r="B95" s="24">
        <v>1.25</v>
      </c>
      <c r="C95" s="24">
        <v>1.25</v>
      </c>
      <c r="D95" s="24"/>
      <c r="E95" s="24"/>
      <c r="F95" s="24"/>
      <c r="G95" s="24"/>
      <c r="H95" s="16">
        <f t="shared" ref="H95:H98" si="45">H94-F95-D95+B95</f>
        <v>11.375</v>
      </c>
      <c r="I95" s="16">
        <f t="shared" ref="I95:I98" si="46">I94-E95+C95</f>
        <v>7.7650000000000006</v>
      </c>
      <c r="J95" s="16">
        <f t="shared" ref="J95:J98" si="47">SUM(H95:I95)</f>
        <v>19.14</v>
      </c>
    </row>
    <row r="96" spans="1:10">
      <c r="A96" s="24" t="s">
        <v>105</v>
      </c>
      <c r="B96" s="24"/>
      <c r="C96" s="24"/>
      <c r="D96" s="24"/>
      <c r="E96" s="24">
        <v>3</v>
      </c>
      <c r="F96" s="24"/>
      <c r="G96" s="24"/>
      <c r="H96" s="16">
        <f t="shared" si="45"/>
        <v>11.375</v>
      </c>
      <c r="I96" s="16">
        <f t="shared" si="46"/>
        <v>4.7650000000000006</v>
      </c>
      <c r="J96" s="16">
        <f t="shared" si="47"/>
        <v>16.14</v>
      </c>
    </row>
    <row r="97" spans="1:11">
      <c r="A97" s="24" t="s">
        <v>106</v>
      </c>
      <c r="B97" s="24"/>
      <c r="C97" s="24"/>
      <c r="D97" s="24"/>
      <c r="E97" s="24"/>
      <c r="F97" s="49">
        <v>1</v>
      </c>
      <c r="G97" s="24"/>
      <c r="H97" s="16">
        <f t="shared" si="45"/>
        <v>10.375</v>
      </c>
      <c r="I97" s="16">
        <f t="shared" si="46"/>
        <v>4.7650000000000006</v>
      </c>
      <c r="J97" s="16">
        <f t="shared" si="47"/>
        <v>15.14</v>
      </c>
    </row>
    <row r="98" spans="1:11">
      <c r="A98" s="24" t="s">
        <v>107</v>
      </c>
      <c r="B98" s="24"/>
      <c r="C98" s="24"/>
      <c r="D98" s="24"/>
      <c r="E98" s="24"/>
      <c r="F98" s="24"/>
      <c r="G98" s="52">
        <v>1</v>
      </c>
      <c r="H98" s="16">
        <f t="shared" si="45"/>
        <v>10.375</v>
      </c>
      <c r="I98" s="16">
        <f t="shared" si="46"/>
        <v>4.7650000000000006</v>
      </c>
      <c r="J98" s="16">
        <f t="shared" si="47"/>
        <v>15.14</v>
      </c>
    </row>
    <row r="99" spans="1:11">
      <c r="A99" s="24" t="s">
        <v>108</v>
      </c>
      <c r="B99" s="24">
        <v>1.25</v>
      </c>
      <c r="C99" s="24">
        <v>1.25</v>
      </c>
      <c r="D99" s="24"/>
      <c r="E99" s="24"/>
      <c r="F99" s="24"/>
      <c r="G99" s="24"/>
      <c r="H99" s="16">
        <f t="shared" ref="H99:H100" si="48">H98-F99-D99+B99</f>
        <v>11.625</v>
      </c>
      <c r="I99" s="16">
        <f t="shared" ref="I99:I100" si="49">I98-E99+C99</f>
        <v>6.0150000000000006</v>
      </c>
      <c r="J99" s="16">
        <f t="shared" ref="J99:J100" si="50">SUM(H99:I99)</f>
        <v>17.64</v>
      </c>
    </row>
    <row r="100" spans="1:11">
      <c r="A100" s="24" t="s">
        <v>109</v>
      </c>
      <c r="B100" s="24"/>
      <c r="C100" s="24"/>
      <c r="D100" s="24"/>
      <c r="E100" s="24">
        <v>1</v>
      </c>
      <c r="F100" s="24"/>
      <c r="G100" s="24"/>
      <c r="H100" s="16">
        <f t="shared" si="48"/>
        <v>11.625</v>
      </c>
      <c r="I100" s="16">
        <f t="shared" si="49"/>
        <v>5.0150000000000006</v>
      </c>
      <c r="J100" s="16">
        <f t="shared" si="50"/>
        <v>16.64</v>
      </c>
    </row>
    <row r="101" spans="1:11">
      <c r="A101" s="24" t="s">
        <v>110</v>
      </c>
      <c r="B101" s="24"/>
      <c r="C101" s="24"/>
      <c r="D101" s="24">
        <v>0.5</v>
      </c>
      <c r="E101" s="24"/>
      <c r="F101" s="24"/>
      <c r="G101" s="24"/>
      <c r="H101" s="16">
        <f t="shared" ref="H101:H104" si="51">H100-F101-D101+B101</f>
        <v>11.125</v>
      </c>
      <c r="I101" s="16">
        <f t="shared" ref="I101:I104" si="52">I100-E101+C101</f>
        <v>5.0150000000000006</v>
      </c>
      <c r="J101" s="16">
        <f t="shared" ref="J101:J104" si="53">SUM(H101:I101)</f>
        <v>16.14</v>
      </c>
    </row>
    <row r="102" spans="1:11">
      <c r="A102" s="24" t="s">
        <v>111</v>
      </c>
      <c r="B102" s="24"/>
      <c r="C102" s="24"/>
      <c r="D102" s="24">
        <v>1</v>
      </c>
      <c r="E102" s="24"/>
      <c r="F102" s="24"/>
      <c r="G102" s="24"/>
      <c r="H102" s="16">
        <f t="shared" si="51"/>
        <v>10.125</v>
      </c>
      <c r="I102" s="16">
        <f t="shared" si="52"/>
        <v>5.0150000000000006</v>
      </c>
      <c r="J102" s="16">
        <f t="shared" si="53"/>
        <v>15.14</v>
      </c>
    </row>
    <row r="103" spans="1:11">
      <c r="A103" s="24" t="s">
        <v>112</v>
      </c>
      <c r="B103" s="24">
        <v>1.25</v>
      </c>
      <c r="C103" s="24">
        <v>1.25</v>
      </c>
      <c r="D103" s="24"/>
      <c r="E103" s="24"/>
      <c r="F103" s="24"/>
      <c r="G103" s="24"/>
      <c r="H103" s="16">
        <f t="shared" si="51"/>
        <v>11.375</v>
      </c>
      <c r="I103" s="16">
        <f t="shared" si="52"/>
        <v>6.2650000000000006</v>
      </c>
      <c r="J103" s="16">
        <f t="shared" si="53"/>
        <v>17.64</v>
      </c>
    </row>
    <row r="104" spans="1:11">
      <c r="A104" s="24" t="s">
        <v>113</v>
      </c>
      <c r="B104" s="24"/>
      <c r="C104" s="24"/>
      <c r="D104" s="24"/>
      <c r="E104" s="24">
        <v>1</v>
      </c>
      <c r="F104" s="24"/>
      <c r="G104" s="24"/>
      <c r="H104" s="16">
        <f t="shared" si="51"/>
        <v>11.375</v>
      </c>
      <c r="I104" s="16">
        <f t="shared" si="52"/>
        <v>5.2650000000000006</v>
      </c>
      <c r="J104" s="16">
        <f t="shared" si="53"/>
        <v>16.64</v>
      </c>
    </row>
    <row r="105" spans="1:11">
      <c r="A105" s="24" t="s">
        <v>114</v>
      </c>
      <c r="B105" s="24"/>
      <c r="C105" s="24"/>
      <c r="D105" s="24"/>
      <c r="E105" s="24">
        <v>1</v>
      </c>
      <c r="F105" s="24"/>
      <c r="G105" s="24"/>
      <c r="H105" s="16">
        <f t="shared" ref="H105" si="54">H104-F105-D105+B105</f>
        <v>11.375</v>
      </c>
      <c r="I105" s="16">
        <f t="shared" ref="I105" si="55">I104-E105+C105</f>
        <v>4.2650000000000006</v>
      </c>
      <c r="J105" s="16">
        <f t="shared" ref="J105" si="56">SUM(H105:I105)</f>
        <v>15.64</v>
      </c>
    </row>
    <row r="106" spans="1:11">
      <c r="A106" s="24" t="s">
        <v>115</v>
      </c>
      <c r="B106" s="24">
        <v>3.75</v>
      </c>
      <c r="C106" s="24">
        <v>3.75</v>
      </c>
      <c r="D106" s="24"/>
      <c r="E106" s="24"/>
      <c r="F106" s="24"/>
      <c r="G106" s="24"/>
      <c r="H106" s="16">
        <f t="shared" ref="H106:H107" si="57">H105-F106-D106+B106</f>
        <v>15.125</v>
      </c>
      <c r="I106" s="16">
        <f t="shared" ref="I106:I107" si="58">I105-E106+C106</f>
        <v>8.0150000000000006</v>
      </c>
      <c r="J106" s="16">
        <f t="shared" ref="J106:J107" si="59">SUM(H106:I106)</f>
        <v>23.14</v>
      </c>
    </row>
    <row r="107" spans="1:11">
      <c r="A107" s="24" t="s">
        <v>116</v>
      </c>
      <c r="B107" s="24"/>
      <c r="C107" s="24"/>
      <c r="D107" s="24"/>
      <c r="E107" s="24">
        <v>2</v>
      </c>
      <c r="F107" s="24"/>
      <c r="G107" s="24"/>
      <c r="H107" s="16">
        <f t="shared" si="57"/>
        <v>15.125</v>
      </c>
      <c r="I107" s="16">
        <f t="shared" si="58"/>
        <v>6.0150000000000006</v>
      </c>
      <c r="J107" s="16">
        <f t="shared" si="59"/>
        <v>21.14</v>
      </c>
    </row>
    <row r="108" spans="1:11">
      <c r="A108" s="24" t="s">
        <v>117</v>
      </c>
      <c r="B108" s="24"/>
      <c r="C108" s="24"/>
      <c r="D108" s="24">
        <v>3</v>
      </c>
      <c r="E108" s="24"/>
      <c r="F108" s="24"/>
      <c r="G108" s="24"/>
      <c r="H108" s="16">
        <f t="shared" ref="H108" si="60">H107-F108-D108+B108</f>
        <v>12.125</v>
      </c>
      <c r="I108" s="16">
        <f t="shared" ref="I108" si="61">I107-E108+C108</f>
        <v>6.0150000000000006</v>
      </c>
      <c r="J108" s="16">
        <f t="shared" ref="J108" si="62">SUM(H108:I108)</f>
        <v>18.14</v>
      </c>
      <c r="K108" s="71" t="s">
        <v>118</v>
      </c>
    </row>
    <row r="109" spans="1:11">
      <c r="A109" s="24" t="s">
        <v>119</v>
      </c>
      <c r="B109" s="24"/>
      <c r="C109" s="24"/>
      <c r="D109" s="24">
        <v>0.5</v>
      </c>
      <c r="E109" s="24"/>
      <c r="F109" s="24"/>
      <c r="G109" s="24"/>
      <c r="H109" s="16">
        <f t="shared" ref="H109" si="63">H108-F109-D109+B109</f>
        <v>11.625</v>
      </c>
      <c r="I109" s="16">
        <f t="shared" ref="I109" si="64">I108-E109+C109</f>
        <v>6.0150000000000006</v>
      </c>
      <c r="J109" s="16">
        <f t="shared" ref="J109" si="65">SUM(H109:I109)</f>
        <v>17.64</v>
      </c>
    </row>
    <row r="110" spans="1:11">
      <c r="A110" s="24" t="s">
        <v>120</v>
      </c>
      <c r="B110" s="24">
        <v>1.25</v>
      </c>
      <c r="C110" s="24">
        <v>1.25</v>
      </c>
      <c r="D110" s="24"/>
      <c r="E110" s="24"/>
      <c r="F110" s="24"/>
      <c r="G110" s="24"/>
      <c r="H110" s="16">
        <f t="shared" ref="H110:H111" si="66">H109-F110-D110+B110</f>
        <v>12.875</v>
      </c>
      <c r="I110" s="16">
        <f t="shared" ref="I110:I111" si="67">I109-E110+C110</f>
        <v>7.2650000000000006</v>
      </c>
      <c r="J110" s="16">
        <f t="shared" ref="J110:J111" si="68">SUM(H110:I110)</f>
        <v>20.14</v>
      </c>
    </row>
    <row r="111" spans="1:11">
      <c r="A111" s="24" t="s">
        <v>121</v>
      </c>
      <c r="B111" s="24"/>
      <c r="C111" s="24"/>
      <c r="D111" s="24"/>
      <c r="E111" s="24">
        <v>1</v>
      </c>
      <c r="F111" s="24"/>
      <c r="G111" s="24"/>
      <c r="H111" s="16">
        <f t="shared" si="66"/>
        <v>12.875</v>
      </c>
      <c r="I111" s="16">
        <f t="shared" si="67"/>
        <v>6.2650000000000006</v>
      </c>
      <c r="J111" s="16">
        <f t="shared" si="68"/>
        <v>19.14</v>
      </c>
    </row>
    <row r="112" spans="1:11">
      <c r="A112" s="65"/>
      <c r="B112" s="23"/>
      <c r="C112" s="23"/>
      <c r="D112" s="23"/>
      <c r="E112" s="23"/>
      <c r="F112" s="23"/>
      <c r="G112" s="23"/>
      <c r="H112" s="51"/>
      <c r="I112" s="51"/>
      <c r="J112" s="66"/>
    </row>
    <row r="113" spans="1:10" s="1" customFormat="1" ht="15" customHeight="1">
      <c r="A113" s="57"/>
      <c r="B113" s="50"/>
      <c r="C113" s="50"/>
      <c r="D113" s="50"/>
      <c r="F113" s="1" t="s">
        <v>122</v>
      </c>
      <c r="J113" s="58"/>
    </row>
    <row r="114" spans="1:10" s="1" customFormat="1" ht="15" customHeight="1">
      <c r="A114" s="57"/>
      <c r="J114" s="58"/>
    </row>
    <row r="115" spans="1:10" s="1" customFormat="1" ht="15" customHeight="1">
      <c r="A115" s="57"/>
      <c r="G115" s="67" t="s">
        <v>123</v>
      </c>
      <c r="J115" s="58"/>
    </row>
    <row r="116" spans="1:10" s="1" customFormat="1" ht="15" customHeight="1">
      <c r="A116" s="57"/>
      <c r="G116" s="1" t="s">
        <v>124</v>
      </c>
      <c r="J116" s="58"/>
    </row>
    <row r="117" spans="1:10" s="1" customFormat="1" ht="15" customHeight="1">
      <c r="A117" s="68"/>
      <c r="B117" s="69"/>
      <c r="C117" s="69"/>
      <c r="D117" s="69"/>
      <c r="E117" s="69"/>
      <c r="F117" s="69"/>
      <c r="G117" s="72" t="s">
        <v>125</v>
      </c>
      <c r="H117" s="72"/>
      <c r="I117" s="69"/>
      <c r="J117" s="70"/>
    </row>
    <row r="118" spans="1:10">
      <c r="B118" s="23"/>
      <c r="C118" s="23"/>
      <c r="D118" s="23"/>
      <c r="E118" s="23"/>
      <c r="F118" s="23"/>
      <c r="G118" s="23"/>
      <c r="H118" s="23"/>
      <c r="I118" s="23"/>
      <c r="J118" s="23"/>
    </row>
  </sheetData>
  <mergeCells count="14">
    <mergeCell ref="A2:J2"/>
    <mergeCell ref="A3:J3"/>
    <mergeCell ref="A4:J4"/>
    <mergeCell ref="A5:J5"/>
    <mergeCell ref="B7:D7"/>
    <mergeCell ref="G117:H117"/>
    <mergeCell ref="K11:K12"/>
    <mergeCell ref="D11:G11"/>
    <mergeCell ref="B9:D9"/>
    <mergeCell ref="A10:J10"/>
    <mergeCell ref="B11:C11"/>
    <mergeCell ref="J11:J12"/>
    <mergeCell ref="H11:I11"/>
    <mergeCell ref="A11:A12"/>
  </mergeCells>
  <printOptions horizontalCentered="1"/>
  <pageMargins left="0.19685039370078741" right="0.19685039370078741" top="0.51181102362204722" bottom="0.11811023622047245" header="0.31496062992125984" footer="0.31496062992125984"/>
  <pageSetup paperSize="9" scale="74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view="pageBreakPreview" topLeftCell="A4" zoomScaleNormal="100" zoomScaleSheetLayoutView="100" workbookViewId="0">
      <selection activeCell="B37" sqref="B37"/>
    </sheetView>
  </sheetViews>
  <sheetFormatPr defaultRowHeight="15"/>
  <cols>
    <col min="1" max="1" width="21.28515625" customWidth="1"/>
    <col min="2" max="2" width="22" customWidth="1"/>
    <col min="3" max="3" width="11.140625" customWidth="1"/>
    <col min="5" max="5" width="6.7109375" customWidth="1"/>
  </cols>
  <sheetData>
    <row r="1" spans="1:12" s="1" customFormat="1" ht="20.100000000000001" customHeight="1">
      <c r="C1" s="111"/>
      <c r="D1" s="112"/>
      <c r="H1" s="5"/>
    </row>
    <row r="2" spans="1:12" s="1" customFormat="1" ht="10.5" customHeight="1">
      <c r="A2" s="88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</row>
    <row r="3" spans="1:12" s="1" customFormat="1" ht="15.95" customHeight="1">
      <c r="A3" s="88" t="s">
        <v>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2" s="1" customFormat="1" ht="15.95" customHeight="1">
      <c r="A4" s="88" t="s">
        <v>2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</row>
    <row r="5" spans="1:12" s="1" customFormat="1" ht="15.95" customHeight="1">
      <c r="A5" s="88" t="s">
        <v>3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</row>
    <row r="6" spans="1:12" s="1" customFormat="1" ht="8.25" customHeight="1">
      <c r="C6" s="5"/>
      <c r="H6" s="5"/>
    </row>
    <row r="7" spans="1:12" s="1" customFormat="1" ht="8.25" customHeight="1">
      <c r="C7" s="5"/>
      <c r="H7" s="5"/>
    </row>
    <row r="8" spans="1:12" s="1" customFormat="1" ht="12" customHeight="1">
      <c r="A8" s="3" t="s">
        <v>126</v>
      </c>
      <c r="B8" s="3"/>
      <c r="C8" s="77" t="s">
        <v>127</v>
      </c>
      <c r="D8" s="77"/>
      <c r="E8" s="77"/>
      <c r="F8" s="77"/>
      <c r="G8" s="77"/>
      <c r="I8" s="77" t="s">
        <v>128</v>
      </c>
      <c r="J8" s="77"/>
      <c r="K8" s="77"/>
      <c r="L8" s="3"/>
    </row>
    <row r="9" spans="1:12" s="1" customFormat="1" ht="12" customHeight="1">
      <c r="B9" s="60"/>
      <c r="C9" s="77" t="s">
        <v>129</v>
      </c>
      <c r="D9" s="77"/>
      <c r="E9" s="77"/>
      <c r="F9" s="77"/>
      <c r="G9" s="77"/>
      <c r="I9" s="113" t="s">
        <v>130</v>
      </c>
      <c r="J9" s="113"/>
      <c r="K9" s="113"/>
      <c r="L9" s="60"/>
    </row>
    <row r="10" spans="1:12" s="1" customFormat="1" ht="12" customHeight="1">
      <c r="A10" s="3" t="s">
        <v>131</v>
      </c>
      <c r="B10" s="3"/>
      <c r="C10" s="114"/>
      <c r="D10" s="60"/>
      <c r="E10" s="60"/>
      <c r="I10" s="77" t="s">
        <v>132</v>
      </c>
      <c r="J10" s="77"/>
      <c r="K10" s="77"/>
      <c r="L10" s="3"/>
    </row>
    <row r="11" spans="1:12" ht="16.5" customHeight="1" thickBot="1">
      <c r="A11" s="79" t="s">
        <v>133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</row>
    <row r="12" spans="1:12" s="6" customFormat="1" ht="18.75" customHeight="1">
      <c r="A12" s="90" t="s">
        <v>12</v>
      </c>
      <c r="B12" s="92" t="s">
        <v>13</v>
      </c>
      <c r="C12" s="93"/>
      <c r="D12" s="93"/>
      <c r="E12" s="93"/>
      <c r="F12" s="93"/>
      <c r="G12" s="93"/>
      <c r="H12" s="93"/>
      <c r="I12" s="93"/>
      <c r="J12" s="93"/>
      <c r="K12" s="93"/>
      <c r="L12" s="94" t="s">
        <v>16</v>
      </c>
    </row>
    <row r="13" spans="1:12" s="6" customFormat="1" ht="24" customHeight="1">
      <c r="A13" s="91"/>
      <c r="B13" s="96" t="s">
        <v>134</v>
      </c>
      <c r="C13" s="97"/>
      <c r="D13" s="97"/>
      <c r="E13" s="98"/>
      <c r="F13" s="96" t="s">
        <v>135</v>
      </c>
      <c r="G13" s="98"/>
      <c r="H13" s="96" t="s">
        <v>136</v>
      </c>
      <c r="I13" s="98"/>
      <c r="J13" s="96" t="s">
        <v>137</v>
      </c>
      <c r="K13" s="98"/>
      <c r="L13" s="95"/>
    </row>
    <row r="14" spans="1:12" s="6" customFormat="1" ht="24.95" customHeight="1">
      <c r="A14" s="7" t="s">
        <v>138</v>
      </c>
      <c r="B14" s="99" t="s">
        <v>139</v>
      </c>
      <c r="C14" s="103"/>
      <c r="D14" s="103"/>
      <c r="E14" s="100"/>
      <c r="F14" s="10">
        <v>1</v>
      </c>
      <c r="G14" s="11"/>
      <c r="H14" s="99">
        <v>0</v>
      </c>
      <c r="I14" s="100"/>
      <c r="J14" s="99">
        <v>1</v>
      </c>
      <c r="K14" s="100"/>
      <c r="L14" s="8">
        <v>1</v>
      </c>
    </row>
    <row r="15" spans="1:12" s="9" customFormat="1" ht="25.5" customHeight="1">
      <c r="A15" s="7" t="s">
        <v>140</v>
      </c>
      <c r="B15" s="99"/>
      <c r="C15" s="103"/>
      <c r="D15" s="103"/>
      <c r="E15" s="100"/>
      <c r="F15" s="10"/>
      <c r="G15" s="11"/>
      <c r="H15" s="99">
        <v>1</v>
      </c>
      <c r="I15" s="100"/>
      <c r="J15" s="99">
        <v>0</v>
      </c>
      <c r="K15" s="100"/>
      <c r="L15" s="47">
        <v>0</v>
      </c>
    </row>
    <row r="16" spans="1:12" s="9" customFormat="1">
      <c r="A16" s="7"/>
      <c r="B16" s="99"/>
      <c r="C16" s="103"/>
      <c r="D16" s="103"/>
      <c r="E16" s="100"/>
      <c r="F16" s="99"/>
      <c r="G16" s="100"/>
      <c r="H16" s="99"/>
      <c r="I16" s="100"/>
      <c r="J16" s="99"/>
      <c r="K16" s="100"/>
      <c r="L16" s="8"/>
    </row>
    <row r="17" spans="1:12" s="9" customFormat="1">
      <c r="A17" s="12" t="s">
        <v>141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/>
    </row>
    <row r="18" spans="1:12" ht="18.95" customHeight="1">
      <c r="A18" s="101"/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</row>
    <row r="19" spans="1:12" s="1" customFormat="1">
      <c r="A19" s="1" t="s">
        <v>122</v>
      </c>
      <c r="C19" s="5"/>
    </row>
    <row r="20" spans="1:12" s="1" customFormat="1">
      <c r="C20" s="5"/>
    </row>
    <row r="21" spans="1:12">
      <c r="A21" s="102" t="s">
        <v>123</v>
      </c>
      <c r="B21" s="102"/>
    </row>
    <row r="22" spans="1:12">
      <c r="A22" s="104" t="s">
        <v>124</v>
      </c>
      <c r="B22" s="104"/>
    </row>
    <row r="23" spans="1:12">
      <c r="A23" s="105" t="s">
        <v>125</v>
      </c>
      <c r="B23" s="105"/>
    </row>
  </sheetData>
  <mergeCells count="31">
    <mergeCell ref="A22:B22"/>
    <mergeCell ref="A23:B23"/>
    <mergeCell ref="B16:E16"/>
    <mergeCell ref="F16:G16"/>
    <mergeCell ref="H16:I16"/>
    <mergeCell ref="J16:K16"/>
    <mergeCell ref="A18:L18"/>
    <mergeCell ref="A21:B21"/>
    <mergeCell ref="J13:K13"/>
    <mergeCell ref="B14:E14"/>
    <mergeCell ref="H14:I14"/>
    <mergeCell ref="J14:K14"/>
    <mergeCell ref="B15:E15"/>
    <mergeCell ref="H15:I15"/>
    <mergeCell ref="J15:K15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2:L2"/>
    <mergeCell ref="A3:L3"/>
    <mergeCell ref="A4:L4"/>
    <mergeCell ref="A5:L5"/>
    <mergeCell ref="C8:G8"/>
    <mergeCell ref="I8:K8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"/>
  <sheetViews>
    <sheetView view="pageBreakPreview" topLeftCell="A4" zoomScaleNormal="100" workbookViewId="0">
      <selection activeCell="E16" sqref="E16"/>
    </sheetView>
  </sheetViews>
  <sheetFormatPr defaultColWidth="9" defaultRowHeight="15"/>
  <cols>
    <col min="1" max="1" width="27.140625" style="31" customWidth="1"/>
    <col min="2" max="11" width="9.5703125" style="31" customWidth="1"/>
    <col min="12" max="12" width="7.5703125" style="31" customWidth="1"/>
    <col min="13" max="16384" width="9" style="31"/>
  </cols>
  <sheetData>
    <row r="1" spans="1:12" ht="33.75" customHeight="1">
      <c r="A1" s="27"/>
      <c r="B1" s="27"/>
      <c r="C1" s="28"/>
      <c r="D1" s="29"/>
      <c r="E1" s="27"/>
      <c r="F1" s="27"/>
      <c r="G1" s="27"/>
      <c r="H1" s="30"/>
      <c r="I1" s="27"/>
      <c r="J1" s="27"/>
      <c r="K1" s="27"/>
      <c r="L1" s="27"/>
    </row>
    <row r="2" spans="1:12" ht="33.75" customHeight="1">
      <c r="A2" s="106" t="s">
        <v>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</row>
    <row r="3" spans="1:12" ht="39.950000000000003" customHeight="1">
      <c r="A3" s="106" t="s">
        <v>1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</row>
    <row r="4" spans="1:12" ht="12" customHeight="1">
      <c r="A4" s="106" t="s">
        <v>2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</row>
    <row r="5" spans="1:12" ht="12" customHeight="1">
      <c r="A5" s="106" t="s">
        <v>3</v>
      </c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</row>
    <row r="6" spans="1:12" ht="12" customHeight="1">
      <c r="A6" s="27"/>
      <c r="B6" s="27"/>
      <c r="C6" s="30"/>
      <c r="D6" s="27"/>
      <c r="E6" s="27"/>
      <c r="F6" s="27"/>
      <c r="G6" s="27"/>
      <c r="H6" s="30"/>
      <c r="I6" s="27"/>
      <c r="J6" s="27"/>
      <c r="K6" s="27"/>
      <c r="L6" s="27"/>
    </row>
    <row r="7" spans="1:12">
      <c r="A7" s="27"/>
      <c r="B7" s="27"/>
      <c r="C7" s="30"/>
      <c r="D7" s="27"/>
      <c r="E7" s="27"/>
      <c r="F7" s="27"/>
      <c r="G7" s="27"/>
      <c r="H7" s="30"/>
      <c r="I7" s="27"/>
      <c r="J7" s="27"/>
      <c r="K7" s="27"/>
      <c r="L7" s="27"/>
    </row>
    <row r="8" spans="1:12" ht="18.75" customHeight="1">
      <c r="A8" s="32" t="s">
        <v>142</v>
      </c>
      <c r="B8" s="32"/>
      <c r="C8" s="107" t="s">
        <v>143</v>
      </c>
      <c r="D8" s="107"/>
      <c r="E8" s="107"/>
      <c r="F8" s="107"/>
      <c r="G8" s="107"/>
      <c r="H8" s="27"/>
      <c r="I8" s="107" t="s">
        <v>144</v>
      </c>
      <c r="J8" s="107"/>
      <c r="K8" s="107"/>
      <c r="L8" s="32"/>
    </row>
    <row r="9" spans="1:12" ht="18.75" customHeight="1">
      <c r="A9" s="27"/>
      <c r="B9" s="33"/>
      <c r="C9" s="107" t="s">
        <v>145</v>
      </c>
      <c r="D9" s="107"/>
      <c r="E9" s="107"/>
      <c r="F9" s="107"/>
      <c r="G9" s="107"/>
      <c r="H9" s="27"/>
      <c r="I9" s="108" t="s">
        <v>146</v>
      </c>
      <c r="J9" s="108"/>
      <c r="K9" s="108"/>
      <c r="L9" s="33"/>
    </row>
    <row r="10" spans="1:12" ht="18.75" customHeight="1">
      <c r="A10" s="32" t="s">
        <v>147</v>
      </c>
      <c r="B10" s="32"/>
      <c r="C10" s="34"/>
      <c r="D10" s="33"/>
      <c r="E10" s="33"/>
      <c r="F10" s="27"/>
      <c r="G10" s="27"/>
      <c r="H10" s="27"/>
      <c r="I10" s="107" t="s">
        <v>132</v>
      </c>
      <c r="J10" s="107"/>
      <c r="K10" s="107"/>
      <c r="L10" s="32"/>
    </row>
    <row r="11" spans="1:12" ht="18.75" customHeight="1" thickBot="1">
      <c r="A11" s="109" t="s">
        <v>148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</row>
    <row r="12" spans="1:12" ht="33" customHeight="1">
      <c r="A12" s="35" t="s">
        <v>12</v>
      </c>
      <c r="B12" s="36" t="s">
        <v>149</v>
      </c>
      <c r="C12" s="36" t="s">
        <v>150</v>
      </c>
      <c r="D12" s="36" t="s">
        <v>151</v>
      </c>
      <c r="E12" s="36" t="s">
        <v>152</v>
      </c>
      <c r="F12" s="36" t="s">
        <v>153</v>
      </c>
      <c r="G12" s="36" t="s">
        <v>154</v>
      </c>
      <c r="H12" s="36" t="s">
        <v>155</v>
      </c>
      <c r="I12" s="36" t="s">
        <v>156</v>
      </c>
      <c r="J12" s="36" t="s">
        <v>157</v>
      </c>
      <c r="K12" s="36" t="s">
        <v>158</v>
      </c>
      <c r="L12" s="37" t="s">
        <v>16</v>
      </c>
    </row>
    <row r="13" spans="1:12" ht="18.75" customHeight="1">
      <c r="A13" s="46" t="s">
        <v>159</v>
      </c>
      <c r="B13" s="38">
        <v>105</v>
      </c>
      <c r="C13" s="39"/>
      <c r="D13" s="39"/>
      <c r="E13" s="38"/>
      <c r="F13" s="38"/>
      <c r="G13" s="38"/>
      <c r="H13" s="39"/>
      <c r="I13" s="38"/>
      <c r="J13" s="38"/>
      <c r="K13" s="38"/>
      <c r="L13" s="40">
        <v>105</v>
      </c>
    </row>
    <row r="14" spans="1:12" ht="18.75" customHeight="1">
      <c r="A14" s="41"/>
      <c r="B14" s="38"/>
      <c r="C14" s="39"/>
      <c r="D14" s="39"/>
      <c r="E14" s="38"/>
      <c r="F14" s="38"/>
      <c r="G14" s="38"/>
      <c r="H14" s="39"/>
      <c r="I14" s="38"/>
      <c r="J14" s="38"/>
      <c r="K14" s="38"/>
      <c r="L14" s="40"/>
    </row>
    <row r="15" spans="1:12" ht="18.75" customHeight="1">
      <c r="A15" s="42"/>
      <c r="B15" s="38"/>
      <c r="C15" s="39"/>
      <c r="D15" s="39"/>
      <c r="E15" s="38"/>
      <c r="F15" s="38"/>
      <c r="G15" s="38"/>
      <c r="H15" s="39"/>
      <c r="I15" s="38"/>
      <c r="J15" s="38"/>
      <c r="K15" s="38"/>
      <c r="L15" s="40"/>
    </row>
    <row r="16" spans="1:12" ht="18.75" customHeight="1">
      <c r="A16" s="43"/>
      <c r="B16" s="38"/>
      <c r="C16" s="39"/>
      <c r="D16" s="39"/>
      <c r="E16" s="38"/>
      <c r="F16" s="38"/>
      <c r="G16" s="38"/>
      <c r="H16" s="39"/>
      <c r="I16" s="38"/>
      <c r="J16" s="38"/>
      <c r="K16" s="38"/>
      <c r="L16" s="40"/>
    </row>
    <row r="17" spans="1:12" ht="18.75" customHeight="1">
      <c r="A17" s="39"/>
      <c r="B17" s="38"/>
      <c r="C17" s="39"/>
      <c r="D17" s="39"/>
      <c r="E17" s="38"/>
      <c r="F17" s="38"/>
      <c r="G17" s="38"/>
      <c r="H17" s="39"/>
      <c r="I17" s="38"/>
      <c r="J17" s="38"/>
      <c r="K17" s="38"/>
      <c r="L17" s="40"/>
    </row>
    <row r="18" spans="1:12" ht="18.75" customHeight="1">
      <c r="A18" s="41"/>
      <c r="B18" s="38"/>
      <c r="C18" s="39"/>
      <c r="D18" s="39"/>
      <c r="E18" s="38"/>
      <c r="F18" s="38"/>
      <c r="G18" s="38"/>
      <c r="H18" s="39"/>
      <c r="I18" s="38"/>
      <c r="J18" s="38"/>
      <c r="K18" s="38"/>
      <c r="L18" s="40"/>
    </row>
    <row r="19" spans="1:12" ht="18.75" customHeight="1">
      <c r="A19" s="41"/>
      <c r="B19" s="38"/>
      <c r="C19" s="39"/>
      <c r="D19" s="39"/>
      <c r="E19" s="38"/>
      <c r="F19" s="38"/>
      <c r="G19" s="38"/>
      <c r="H19" s="39"/>
      <c r="I19" s="38"/>
      <c r="J19" s="38"/>
      <c r="K19" s="38"/>
      <c r="L19" s="40"/>
    </row>
    <row r="20" spans="1:12" ht="18.75" customHeight="1">
      <c r="A20" s="41"/>
      <c r="B20" s="38"/>
      <c r="C20" s="39"/>
      <c r="D20" s="39"/>
      <c r="E20" s="38"/>
      <c r="F20" s="38"/>
      <c r="G20" s="38"/>
      <c r="H20" s="39"/>
      <c r="I20" s="38"/>
      <c r="J20" s="38"/>
      <c r="K20" s="38"/>
      <c r="L20" s="40"/>
    </row>
    <row r="21" spans="1:12" ht="18.75" customHeight="1">
      <c r="A21" s="44"/>
      <c r="B21" s="38"/>
      <c r="C21" s="39"/>
      <c r="D21" s="39"/>
      <c r="E21" s="38"/>
      <c r="F21" s="38"/>
      <c r="G21" s="38"/>
      <c r="H21" s="39"/>
      <c r="I21" s="38"/>
      <c r="J21" s="38"/>
      <c r="K21" s="45"/>
      <c r="L21" s="40"/>
    </row>
    <row r="22" spans="1:12" ht="18.75" customHeight="1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</row>
    <row r="23" spans="1:12" ht="18.75" customHeight="1">
      <c r="A23" s="27"/>
      <c r="B23" s="27"/>
      <c r="C23" s="30"/>
      <c r="D23" s="27"/>
      <c r="E23" s="27"/>
      <c r="F23" s="27"/>
      <c r="G23" s="27"/>
      <c r="H23" s="27"/>
      <c r="I23" s="27"/>
      <c r="J23" s="27"/>
      <c r="K23" s="27"/>
      <c r="L23" s="27"/>
    </row>
    <row r="24" spans="1:12" ht="18.75" customHeight="1">
      <c r="A24" s="27"/>
      <c r="B24" s="27"/>
      <c r="C24" s="30"/>
      <c r="D24" s="27"/>
      <c r="E24" s="27"/>
      <c r="F24" s="27"/>
      <c r="G24" s="27"/>
      <c r="H24" s="27"/>
      <c r="I24" s="27"/>
      <c r="J24" s="27"/>
      <c r="K24" s="27"/>
      <c r="L24" s="27"/>
    </row>
    <row r="25" spans="1:12" ht="18.75" customHeight="1"/>
    <row r="26" spans="1:12" ht="18.75" customHeight="1"/>
    <row r="27" spans="1:12" ht="18.75" customHeight="1"/>
    <row r="28" spans="1:12" ht="18.75" customHeight="1"/>
  </sheetData>
  <mergeCells count="11">
    <mergeCell ref="C9:G9"/>
    <mergeCell ref="I9:K9"/>
    <mergeCell ref="I10:K10"/>
    <mergeCell ref="A11:L11"/>
    <mergeCell ref="A22:L22"/>
    <mergeCell ref="A2:L2"/>
    <mergeCell ref="A3:L3"/>
    <mergeCell ref="A4:L4"/>
    <mergeCell ref="A5:L5"/>
    <mergeCell ref="C8:G8"/>
    <mergeCell ref="I8:K8"/>
  </mergeCells>
  <printOptions horizontalCentered="1" verticalCentered="1"/>
  <pageMargins left="0.25" right="0.25" top="0.25" bottom="0.25" header="0.3" footer="0.3"/>
  <pageSetup paperSize="9" scale="9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JOCELYN MAMUGAY</cp:lastModifiedBy>
  <cp:revision/>
  <dcterms:created xsi:type="dcterms:W3CDTF">2021-10-07T06:10:16Z</dcterms:created>
  <dcterms:modified xsi:type="dcterms:W3CDTF">2026-01-29T07:47:00Z</dcterms:modified>
  <cp:category/>
  <cp:contentStatus/>
</cp:coreProperties>
</file>