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RRECTED" sheetId="6" r:id="rId1"/>
    <sheet name="CTO" sheetId="10" r:id="rId2"/>
    <sheet name="ELECTION" sheetId="8" r:id="rId3"/>
    <sheet name="Leave Card (NE) (2)" sheetId="9" r:id="rId4"/>
    <sheet name="Leave Card (NE) (3)" sheetId="11" r:id="rId5"/>
  </sheets>
  <definedNames>
    <definedName name="_xlnm.Print_Area" localSheetId="0">CORRECTED!$A$1:$J$109</definedName>
    <definedName name="_xlnm.Print_Area" localSheetId="3">'Leave Card (NE) (2)'!$A$1:$G$23</definedName>
    <definedName name="_xlnm.Print_Area" localSheetId="4">'Leave Card (NE) (3)'!$A$1:$J$99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<sst xmlns="http://schemas.openxmlformats.org/spreadsheetml/2006/main" count="319" uniqueCount="164">
  <si>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</si>
  <si>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</si>
  <si>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</si>
  <si>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</si>
  <si>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</si>
  <si>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</si>
  <si>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</si>
  <si>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</si>
  <si>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</si>
  <si>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</si>
  <si>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</si>
  <si>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</si>
  <si>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</si>
  <si>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</si>
  <si>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</si>
  <si>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</si>
  <si>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</si>
  <si>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</si>
  <si>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</si>
  <si>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</si>
  <si>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</si>
  <si>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11/07/2016 - 11/30/2016</t>
  </si>
  <si>
    <t>ADD: 12/1-31/2016</t>
  </si>
  <si>
    <t>ADD: 01/01/2017 - 12/31/2017</t>
  </si>
  <si>
    <t>LESS: FL 2017</t>
  </si>
  <si>
    <t>ADD: 01/01/2018 - 12/31/2018</t>
  </si>
  <si>
    <t>LESS: FL 2018</t>
  </si>
  <si>
    <t>LESS: MONETIZATION 2018</t>
  </si>
  <si>
    <t>ADD: 01/01/2019 - 12/31/2019</t>
  </si>
  <si>
    <t>LESS: FL 2019</t>
  </si>
  <si>
    <t>ADD: 01/01/2020 - 12/31/2020</t>
  </si>
  <si>
    <t>LESS: MONETIZATION 2020</t>
  </si>
  <si>
    <t>LESS: FL 2020</t>
  </si>
  <si>
    <t>ADD: 01/01/2021 - 12/31/2021</t>
  </si>
  <si>
    <t>LESS: MONETIZATION 2021</t>
  </si>
  <si>
    <t>LESS: 12/28 &amp; 29/2021</t>
  </si>
  <si>
    <t>LESS: FL 2021</t>
  </si>
  <si>
    <t>LESS: 02/21/22</t>
  </si>
  <si>
    <t>ADD: 01/01/22 - 02/28/22</t>
  </si>
  <si>
    <t>LESS: 03/25/22</t>
  </si>
  <si>
    <t>ADD: 03/01/22 - 04/30/22</t>
  </si>
  <si>
    <t>LESS:05/30/22</t>
  </si>
  <si>
    <t>LESS:05/31/22</t>
  </si>
  <si>
    <t>ADD: 05/01/22 - 06/30/22</t>
  </si>
  <si>
    <t>LESS:07/01/22</t>
  </si>
  <si>
    <t>LESS:07/27/22</t>
  </si>
  <si>
    <t>ADD: 07/01/22 - 07/31/22</t>
  </si>
  <si>
    <t>LESS:08/12/22</t>
  </si>
  <si>
    <t>ADD: 08/01/22 - 08/31/22</t>
  </si>
  <si>
    <t>LESS:09/8 &amp; 9/22</t>
  </si>
  <si>
    <t>LESS:09/29/22</t>
  </si>
  <si>
    <t>ADD: 09/01/22 - 09/30/22</t>
  </si>
  <si>
    <t>LESS:10/24/22</t>
  </si>
  <si>
    <t>LESS: MONETIZATION 2022</t>
  </si>
  <si>
    <t>LESS:10/25/22</t>
  </si>
  <si>
    <t>ADD: 10/01/22 - 11/30/22</t>
  </si>
  <si>
    <t>LESS:12/12/22</t>
  </si>
  <si>
    <t>ADD: 12/01/22 - 12/31/22</t>
  </si>
  <si>
    <t>LESS: 12/29/22 AM</t>
  </si>
  <si>
    <t>LESS: 01/06/23</t>
  </si>
  <si>
    <t>LESS: 01/30/23</t>
  </si>
  <si>
    <t>ADD: 01/01/23 - 01/31/23</t>
  </si>
  <si>
    <t>LESS: 02/23/23</t>
  </si>
  <si>
    <t>ADD: 02/01/23 - 04/30/23</t>
  </si>
  <si>
    <t>LESS: 05/29 &amp; 31/ 23</t>
  </si>
  <si>
    <t>LESS: 05/30/23</t>
  </si>
  <si>
    <t>ADD: 05/01/23 - 06/30/23</t>
  </si>
  <si>
    <t>LESS: 06/27/23</t>
  </si>
  <si>
    <t>LESS: 07/07/23</t>
  </si>
  <si>
    <t>ADD: 07/01/23 - 08/31/23</t>
  </si>
  <si>
    <t>LESS: MONETIZATION 2023</t>
  </si>
  <si>
    <t>ADD: 09/01/2023-09/30/2023</t>
  </si>
  <si>
    <t>LESS: 10/23/2023</t>
  </si>
  <si>
    <t>LESS: 11/03/2023</t>
  </si>
  <si>
    <t>LESS: 10/24/2023</t>
  </si>
  <si>
    <t>ADD: 10/01/2023-10/31/2023</t>
  </si>
  <si>
    <t>ADD: 11/01/2023-11/30/2023</t>
  </si>
  <si>
    <t>LESS: 12/11/2023</t>
  </si>
  <si>
    <t>LESS: 12/1&amp;5/2023</t>
  </si>
  <si>
    <t>ADD: 12/01/2023-12/31/2023</t>
  </si>
  <si>
    <t>LESS: 01/02/2024</t>
  </si>
  <si>
    <t>ADD: 01/01-31/2024</t>
  </si>
  <si>
    <t>LESS: 02/23/2024</t>
  </si>
  <si>
    <t>LESS: 02/19/2024</t>
  </si>
  <si>
    <t>ADD: 02/01-29/2024</t>
  </si>
  <si>
    <t>LESS: 03/13/24</t>
  </si>
  <si>
    <t>ADD: 03/1-31/2024</t>
  </si>
  <si>
    <t>LESS: 04/17-19/2024</t>
  </si>
  <si>
    <t>ADD: 04/1-30/2024</t>
  </si>
  <si>
    <t>LESS: 05/30/2024</t>
  </si>
  <si>
    <t>ADD: 05/1/2024-08/31/2024</t>
  </si>
  <si>
    <t>LESS: MONETIZATION 2024</t>
  </si>
  <si>
    <t>ADD: 09/1-30/2024</t>
  </si>
  <si>
    <t>LESS: 10/8-9/2024</t>
  </si>
  <si>
    <t>LESS: 10/22/2024</t>
  </si>
  <si>
    <t>LESS: 10/23/2024</t>
  </si>
  <si>
    <t>ADD: 10/1/2024-11/30/2024</t>
  </si>
  <si>
    <t>LESS: 12/10/2024</t>
  </si>
  <si>
    <t>ADD: 12/1-31/2024</t>
  </si>
  <si>
    <t>LESS: MANDATORY FL 2024</t>
  </si>
  <si>
    <t>LESS: 01/27/2025</t>
  </si>
  <si>
    <t>ADD: 01/1/2025-04/30/2025</t>
  </si>
  <si>
    <t>LESS:05/30/2025</t>
  </si>
  <si>
    <t>ADD: 05/1/2025-06/30/2025</t>
  </si>
  <si>
    <t>LESS: MONETIZATION 2025 (30 DAYS)</t>
  </si>
  <si>
    <t>ADD: 07/1/2025-09/30/2025</t>
  </si>
  <si>
    <t>LESS: 10/23/2025</t>
  </si>
  <si>
    <t>ADD: 10/1/2025-11/30/2025</t>
  </si>
  <si>
    <t>LESS: 12/23 &amp; 26/2025</t>
  </si>
  <si>
    <t>DATE FILED: 12/22,26,29</t>
  </si>
  <si>
    <t>Certified Correct:</t>
  </si>
  <si>
    <t>MA. LUISA B. CATIGAN</t>
  </si>
  <si>
    <t>Administrative Officer IV</t>
  </si>
  <si>
    <t xml:space="preserve">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</si>
  <si>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</si>
  <si>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</si>
  <si>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</si>
  <si>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</si>
  <si>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</si>
  <si>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06/6/2024</t>
  </si>
  <si>
    <t>S.O. # 021, S. 2024. 1ST Q COORDINATION MEETING CUM WORKSHOP W/ DIV. ACCOUNTANTS AND BUDGET OFFICERS</t>
  </si>
  <si>
    <t>LESS: 07/02/2024</t>
  </si>
  <si>
    <t>LESS: 08/02/2024</t>
  </si>
  <si>
    <t>LESS: 04/14/2025</t>
  </si>
  <si>
    <t>ADD: 06/5/2025</t>
  </si>
  <si>
    <t>S.O. # 033, S. 2025 SSES &amp; STE FOR SY 2025-2026</t>
  </si>
  <si>
    <t>LESS: 10/20/2025</t>
  </si>
  <si>
    <t>LESS: 12/11-12/2025</t>
  </si>
  <si>
    <t>NOTE:  Valid for one (1) year only</t>
  </si>
  <si>
    <t>HRMO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</si>
  <si>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</si>
  <si>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</si>
  <si>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</si>
  <si>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</si>
  <si>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</si>
  <si>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</si>
  <si>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</si>
  <si>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LESS: JULY 14, 2023</t>
  </si>
  <si>
    <t>LESS: 12/03/2023</t>
  </si>
  <si>
    <t>LESS: 01/29/2024</t>
  </si>
  <si>
    <t>LESS: 05/24/2024</t>
  </si>
  <si>
    <t xml:space="preserve"> </t>
  </si>
  <si>
    <t>Name       :</t>
  </si>
  <si>
    <t>LORIEZO, TERESA JOY</t>
  </si>
  <si>
    <t>POSITION:</t>
  </si>
  <si>
    <t>ADAS III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</si>
  <si>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</si>
  <si>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</si>
  <si>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</si>
  <si>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</si>
  <si>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</si>
  <si>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</si>
  <si>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AUGUST 25, 2022</t>
  </si>
  <si>
    <t>S.O. #052, s. 2022, dated JULY 13, 2022</t>
  </si>
  <si>
    <t>124TH PHILIPPINE INDEPENDENCE DAY CELEBRATION</t>
  </si>
  <si>
    <t>ADD: 10/17/2023</t>
  </si>
  <si>
    <t xml:space="preserve">S.O. #159, s. 2023, </t>
  </si>
  <si>
    <t>125th PHILIPPINE INDEPENDENCE DAY CELEBRATION</t>
  </si>
  <si>
    <t>LESS: 06/24/2024</t>
  </si>
  <si>
    <t>Note: Validity of S.O. is One (1) from the date it was granted</t>
  </si>
  <si>
    <t>Total Remaining Balance</t>
  </si>
  <si>
    <t>CERTIFIED CORRECT:</t>
  </si>
  <si>
    <t>LESS:09/8(.5 &amp;9/22</t>
  </si>
  <si>
    <t>LESS:12/26/22 (pm)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</si>
</sst>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37" applyNumberFormat="0" applyAlignment="0" applyProtection="0">
      <alignment vertical="center"/>
    </xf>
    <xf numFmtId="0" fontId="25" fillId="15" borderId="38" applyNumberFormat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27" fillId="16" borderId="39" applyNumberFormat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0" fillId="0" borderId="0"/>
  </cellStyleXfs>
  <cellXfs count="150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58" fontId="0" fillId="0" borderId="9" xfId="0" applyNumberFormat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6" fontId="0" fillId="2" borderId="0" xfId="0" applyNumberFormat="1" applyFill="1" applyAlignment="1">
      <alignment horizontal="center" vertical="center"/>
    </xf>
    <xf numFmtId="0" fontId="5" fillId="2" borderId="0" xfId="0" applyFont="1" applyFill="1"/>
    <xf numFmtId="176" fontId="6" fillId="0" borderId="16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0" fillId="2" borderId="12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2" fillId="2" borderId="1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6" fontId="8" fillId="2" borderId="8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1" fontId="8" fillId="9" borderId="16" xfId="0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1" fontId="7" fillId="2" borderId="25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10" borderId="13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2" fillId="2" borderId="0" xfId="49" applyFont="1" applyFill="1" applyAlignment="1">
      <alignment vertical="center"/>
    </xf>
    <xf numFmtId="0" fontId="2" fillId="2" borderId="12" xfId="49" applyFont="1" applyFill="1" applyBorder="1" applyAlignment="1">
      <alignment horizontal="center" vertical="center"/>
    </xf>
    <xf numFmtId="0" fontId="2" fillId="2" borderId="0" xfId="49" applyFont="1" applyFill="1"/>
    <xf numFmtId="0" fontId="2" fillId="2" borderId="12" xfId="49" applyFont="1" applyFill="1" applyBorder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11" fillId="10" borderId="2" xfId="49" applyFont="1" applyFill="1" applyBorder="1" applyAlignment="1">
      <alignment horizontal="center" vertical="center"/>
    </xf>
    <xf numFmtId="0" fontId="11" fillId="12" borderId="4" xfId="49" applyFont="1" applyFill="1" applyBorder="1" applyAlignment="1">
      <alignment horizontal="center" vertical="center"/>
    </xf>
    <xf numFmtId="0" fontId="11" fillId="12" borderId="5" xfId="49" applyFont="1" applyFill="1" applyBorder="1" applyAlignment="1">
      <alignment horizontal="center" vertical="center"/>
    </xf>
    <xf numFmtId="0" fontId="11" fillId="10" borderId="7" xfId="49" applyFont="1" applyFill="1" applyBorder="1" applyAlignment="1">
      <alignment horizontal="center" vertical="center"/>
    </xf>
    <xf numFmtId="0" fontId="12" fillId="11" borderId="32" xfId="49" applyFont="1" applyFill="1" applyBorder="1" applyAlignment="1">
      <alignment horizontal="center" vertical="center" wrapText="1"/>
    </xf>
    <xf numFmtId="0" fontId="12" fillId="11" borderId="20" xfId="49" applyFont="1" applyFill="1" applyBorder="1" applyAlignment="1">
      <alignment horizontal="center" vertical="center" wrapText="1"/>
    </xf>
    <xf numFmtId="0" fontId="12" fillId="11" borderId="19" xfId="49" applyFont="1" applyFill="1" applyBorder="1" applyAlignment="1">
      <alignment horizontal="center" vertical="center" wrapText="1"/>
    </xf>
    <xf numFmtId="0" fontId="0" fillId="2" borderId="7" xfId="49" applyFont="1" applyFill="1" applyBorder="1" applyAlignment="1">
      <alignment horizontal="center" vertical="center" wrapText="1"/>
    </xf>
    <xf numFmtId="0" fontId="12" fillId="2" borderId="32" xfId="49" applyFont="1" applyFill="1" applyBorder="1" applyAlignment="1">
      <alignment horizontal="center" vertical="center" wrapText="1"/>
    </xf>
    <xf numFmtId="0" fontId="12" fillId="2" borderId="20" xfId="49" applyFont="1" applyFill="1" applyBorder="1" applyAlignment="1">
      <alignment horizontal="center" vertical="center" wrapText="1"/>
    </xf>
    <xf numFmtId="0" fontId="12" fillId="2" borderId="19" xfId="49" applyFont="1" applyFill="1" applyBorder="1" applyAlignment="1">
      <alignment horizontal="center" vertical="center" wrapText="1"/>
    </xf>
    <xf numFmtId="0" fontId="0" fillId="0" borderId="7" xfId="49" applyFont="1" applyBorder="1" applyAlignment="1">
      <alignment horizontal="center" vertical="center" wrapText="1"/>
    </xf>
    <xf numFmtId="0" fontId="12" fillId="0" borderId="32" xfId="49" applyFont="1" applyBorder="1" applyAlignment="1">
      <alignment horizontal="center" vertical="center" wrapText="1"/>
    </xf>
    <xf numFmtId="0" fontId="12" fillId="0" borderId="19" xfId="49" applyFont="1" applyBorder="1" applyAlignment="1">
      <alignment horizontal="center" vertical="center" wrapText="1"/>
    </xf>
    <xf numFmtId="0" fontId="0" fillId="0" borderId="8" xfId="49" applyFont="1" applyBorder="1" applyAlignment="1">
      <alignment horizontal="center" vertical="center" wrapText="1"/>
    </xf>
    <xf numFmtId="0" fontId="0" fillId="0" borderId="0" xfId="49" applyAlignment="1">
      <alignment vertical="center"/>
    </xf>
    <xf numFmtId="0" fontId="12" fillId="2" borderId="0" xfId="49" applyFont="1" applyFill="1" applyAlignment="1">
      <alignment horizontal="center" vertical="center" wrapText="1"/>
    </xf>
    <xf numFmtId="0" fontId="10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2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11" fillId="10" borderId="13" xfId="49" applyFont="1" applyFill="1" applyBorder="1" applyAlignment="1">
      <alignment horizontal="center" vertical="center"/>
    </xf>
    <xf numFmtId="0" fontId="11" fillId="10" borderId="15" xfId="49" applyFont="1" applyFill="1" applyBorder="1" applyAlignment="1">
      <alignment horizontal="center" vertical="center"/>
    </xf>
    <xf numFmtId="0" fontId="0" fillId="2" borderId="16" xfId="49" applyFill="1" applyBorder="1" applyAlignment="1">
      <alignment horizontal="center" vertical="center" wrapText="1"/>
    </xf>
    <xf numFmtId="0" fontId="0" fillId="0" borderId="16" xfId="49" applyBorder="1" applyAlignment="1">
      <alignment horizontal="center" vertical="center" wrapText="1"/>
    </xf>
    <xf numFmtId="0" fontId="0" fillId="9" borderId="8" xfId="49" applyFill="1" applyBorder="1" applyAlignment="1">
      <alignment horizontal="center" vertical="center" wrapText="1"/>
    </xf>
    <xf numFmtId="0" fontId="0" fillId="9" borderId="16" xfId="49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 wrapText="1"/>
    </xf>
    <xf numFmtId="0" fontId="5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58" fontId="0" fillId="0" borderId="8" xfId="0" applyNumberFormat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76" fontId="0" fillId="0" borderId="8" xfId="0" applyNumberFormat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14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234951</xdr:colOff>
      <xdr:row>0</xdr:row>
      <xdr:rowOff>142875</xdr:rowOff>
    </xdr:from>
    <xdr:to>
      <xdr:col>4</xdr:col>
      <xdr:colOff>152400</xdr:colOff>
      <xdr:row>1</xdr:row>
      <xdr:rowOff>6350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6440" y="142875"/>
          <a:ext cx="71120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507267</xdr:colOff>
      <xdr:row>5</xdr:row>
      <xdr:rowOff>28086</xdr:rowOff>
    </xdr:from>
    <xdr:to>
      <xdr:col>0</xdr:col>
      <xdr:colOff>2516066</xdr:colOff>
      <xdr:row>7</xdr:row>
      <xdr:rowOff>20760</xdr:rowOff>
    </xdr:to>
    <xdr:sp>
      <xdr:nvSpPr>
        <xdr:cNvPr id="4" name="TextBox 3"/>
        <xdr:cNvSpPr txBox="1"/>
      </xdr:nvSpPr>
      <xdr:spPr>
        <a:xfrm>
          <a:off x="506730" y="1435735"/>
          <a:ext cx="200914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LORIEZO,</a:t>
          </a:r>
          <a:r>
            <a:rPr lang="en-US" sz="1100" baseline="0"/>
            <a:t> TERESA JOY F.</a:t>
          </a:r>
          <a:endParaRPr lang="en-US" sz="1100"/>
        </a:p>
      </xdr:txBody>
    </xdr:sp>
    <xdr:clientData/>
  </xdr:twoCellAnchor>
  <xdr:twoCellAnchor>
    <xdr:from>
      <xdr:col>0</xdr:col>
      <xdr:colOff>683358</xdr:colOff>
      <xdr:row>7</xdr:row>
      <xdr:rowOff>80107</xdr:rowOff>
    </xdr:from>
    <xdr:to>
      <xdr:col>1</xdr:col>
      <xdr:colOff>53732</xdr:colOff>
      <xdr:row>9</xdr:row>
      <xdr:rowOff>25155</xdr:rowOff>
    </xdr:to>
    <xdr:sp>
      <xdr:nvSpPr>
        <xdr:cNvPr id="5" name="TextBox 4"/>
        <xdr:cNvSpPr txBox="1"/>
      </xdr:nvSpPr>
      <xdr:spPr>
        <a:xfrm>
          <a:off x="683260" y="1744980"/>
          <a:ext cx="208407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AO-II</a:t>
          </a:r>
          <a:endParaRPr lang="en-US" sz="1100"/>
        </a:p>
      </xdr:txBody>
    </xdr:sp>
    <xdr:clientData/>
  </xdr:twoCellAnchor>
  <xdr:twoCellAnchor>
    <xdr:from>
      <xdr:col>2</xdr:col>
      <xdr:colOff>243743</xdr:colOff>
      <xdr:row>7</xdr:row>
      <xdr:rowOff>80841</xdr:rowOff>
    </xdr:from>
    <xdr:to>
      <xdr:col>4</xdr:col>
      <xdr:colOff>433021</xdr:colOff>
      <xdr:row>9</xdr:row>
      <xdr:rowOff>26134</xdr:rowOff>
    </xdr:to>
    <xdr:sp>
      <xdr:nvSpPr>
        <xdr:cNvPr id="6" name="TextBox 5"/>
        <xdr:cNvSpPr txBox="1"/>
      </xdr:nvSpPr>
      <xdr:spPr>
        <a:xfrm>
          <a:off x="3750945" y="17456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272596</xdr:colOff>
      <xdr:row>0</xdr:row>
      <xdr:rowOff>29030</xdr:rowOff>
    </xdr:from>
    <xdr:ext cx="708251" cy="594449"/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35730" y="28575"/>
          <a:ext cx="708025" cy="594360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>
      <xdr:nvSpPr>
        <xdr:cNvPr id="3" name="TextBox 2"/>
        <xdr:cNvSpPr txBox="1"/>
      </xdr:nvSpPr>
      <xdr:spPr>
        <a:xfrm>
          <a:off x="573405" y="1268095"/>
          <a:ext cx="183642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LORIEZO, TERESA JOY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>
      <xdr:nvSpPr>
        <xdr:cNvPr id="4" name="TextBox 3"/>
        <xdr:cNvSpPr txBox="1"/>
      </xdr:nvSpPr>
      <xdr:spPr>
        <a:xfrm>
          <a:off x="654050" y="1664970"/>
          <a:ext cx="97218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>
      <xdr:nvSpPr>
        <xdr:cNvPr id="5" name="TextBox 4"/>
        <xdr:cNvSpPr txBox="1"/>
      </xdr:nvSpPr>
      <xdr:spPr>
        <a:xfrm>
          <a:off x="3562985" y="1687830"/>
          <a:ext cx="145478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19</xdr:row>
      <xdr:rowOff>209550</xdr:rowOff>
    </xdr:from>
    <xdr:to>
      <xdr:col>3</xdr:col>
      <xdr:colOff>533400</xdr:colOff>
      <xdr:row>21</xdr:row>
      <xdr:rowOff>123825</xdr:rowOff>
    </xdr:to>
    <xdr:sp>
      <xdr:nvSpPr>
        <xdr:cNvPr id="2" name="TextBox 1"/>
        <xdr:cNvSpPr txBox="1"/>
      </xdr:nvSpPr>
      <xdr:spPr>
        <a:xfrm>
          <a:off x="76200" y="5654040"/>
          <a:ext cx="444500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359288</xdr:colOff>
      <xdr:row>0</xdr:row>
      <xdr:rowOff>50800</xdr:rowOff>
    </xdr:from>
    <xdr:to>
      <xdr:col>3</xdr:col>
      <xdr:colOff>462581</xdr:colOff>
      <xdr:row>1</xdr:row>
      <xdr:rowOff>6350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29355" y="50800"/>
          <a:ext cx="72072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45478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LORIEZO,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TERESA JOY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>
      <xdr:nvSpPr>
        <xdr:cNvPr id="5" name="TextBox 4"/>
        <xdr:cNvSpPr txBox="1"/>
      </xdr:nvSpPr>
      <xdr:spPr>
        <a:xfrm>
          <a:off x="616585" y="1725930"/>
          <a:ext cx="141160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1</xdr:col>
      <xdr:colOff>1173095</xdr:colOff>
      <xdr:row>7</xdr:row>
      <xdr:rowOff>83709</xdr:rowOff>
    </xdr:from>
    <xdr:to>
      <xdr:col>3</xdr:col>
      <xdr:colOff>525478</xdr:colOff>
      <xdr:row>9</xdr:row>
      <xdr:rowOff>11403</xdr:rowOff>
    </xdr:to>
    <xdr:sp>
      <xdr:nvSpPr>
        <xdr:cNvPr id="6" name="TextBox 5"/>
        <xdr:cNvSpPr txBox="1"/>
      </xdr:nvSpPr>
      <xdr:spPr>
        <a:xfrm>
          <a:off x="3201035" y="1748155"/>
          <a:ext cx="131191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2745" y="66040"/>
          <a:ext cx="955675" cy="70548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234951</xdr:colOff>
      <xdr:row>0</xdr:row>
      <xdr:rowOff>142875</xdr:rowOff>
    </xdr:from>
    <xdr:to>
      <xdr:col>4</xdr:col>
      <xdr:colOff>152400</xdr:colOff>
      <xdr:row>1</xdr:row>
      <xdr:rowOff>6350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6440" y="142875"/>
          <a:ext cx="71120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507267</xdr:colOff>
      <xdr:row>5</xdr:row>
      <xdr:rowOff>28086</xdr:rowOff>
    </xdr:from>
    <xdr:to>
      <xdr:col>0</xdr:col>
      <xdr:colOff>2516066</xdr:colOff>
      <xdr:row>7</xdr:row>
      <xdr:rowOff>20760</xdr:rowOff>
    </xdr:to>
    <xdr:sp>
      <xdr:nvSpPr>
        <xdr:cNvPr id="3" name="TextBox 2"/>
        <xdr:cNvSpPr txBox="1"/>
      </xdr:nvSpPr>
      <xdr:spPr>
        <a:xfrm>
          <a:off x="506730" y="1435735"/>
          <a:ext cx="200914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LORIEZO,</a:t>
          </a:r>
          <a:r>
            <a:rPr lang="en-US" sz="1100" baseline="0"/>
            <a:t> TERESA JOY</a:t>
          </a:r>
          <a:endParaRPr lang="en-US" sz="1100"/>
        </a:p>
      </xdr:txBody>
    </xdr:sp>
    <xdr:clientData/>
  </xdr:twoCellAnchor>
  <xdr:twoCellAnchor>
    <xdr:from>
      <xdr:col>0</xdr:col>
      <xdr:colOff>683358</xdr:colOff>
      <xdr:row>7</xdr:row>
      <xdr:rowOff>80107</xdr:rowOff>
    </xdr:from>
    <xdr:to>
      <xdr:col>1</xdr:col>
      <xdr:colOff>53732</xdr:colOff>
      <xdr:row>9</xdr:row>
      <xdr:rowOff>25155</xdr:rowOff>
    </xdr:to>
    <xdr:sp>
      <xdr:nvSpPr>
        <xdr:cNvPr id="4" name="TextBox 3"/>
        <xdr:cNvSpPr txBox="1"/>
      </xdr:nvSpPr>
      <xdr:spPr>
        <a:xfrm>
          <a:off x="683260" y="1744980"/>
          <a:ext cx="208407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2</xdr:col>
      <xdr:colOff>243743</xdr:colOff>
      <xdr:row>7</xdr:row>
      <xdr:rowOff>80841</xdr:rowOff>
    </xdr:from>
    <xdr:to>
      <xdr:col>4</xdr:col>
      <xdr:colOff>433021</xdr:colOff>
      <xdr:row>9</xdr:row>
      <xdr:rowOff>26134</xdr:rowOff>
    </xdr:to>
    <xdr:sp>
      <xdr:nvSpPr>
        <xdr:cNvPr id="5" name="TextBox 4"/>
        <xdr:cNvSpPr txBox="1"/>
      </xdr:nvSpPr>
      <xdr:spPr>
        <a:xfrm>
          <a:off x="3750945" y="17456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 - 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09"/>
  <sheetViews>
    <sheetView tabSelected="1" view="pageBreakPreview" zoomScaleNormal="100" topLeftCell="A83" workbookViewId="0">
      <selection activeCell="B103" sqref="B103"/>
    </sheetView>
  </sheetViews>
  <sheetFormatPr defaultColWidth="9" defaultRowHeight="14.4"/>
  <cols>
    <col min="1" max="1" width="39.5740740740741" customWidth="1"/>
    <col min="2" max="10" width="11.5740740740741" customWidth="1"/>
    <col min="11" max="11" width="26.4259259259259" style="2" customWidth="1"/>
  </cols>
  <sheetData>
    <row r="1" s="1" customFormat="1" ht="52.5" customHeight="1"/>
    <row r="2" s="1" customFormat="1" ht="10.5" customHeight="1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15.95" customHeight="1" spans="1:10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="1" customFormat="1" ht="15.95" customHeight="1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="1" customFormat="1" ht="15.95" customHeight="1" spans="1:10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s="1" customFormat="1" ht="8.25" customHeight="1"/>
    <row r="7" s="1" customFormat="1" ht="12" customHeight="1" spans="1:10">
      <c r="A7" s="1" t="s">
        <v>4</v>
      </c>
      <c r="B7" s="4" t="s">
        <v>5</v>
      </c>
      <c r="C7" s="4"/>
      <c r="D7" s="4"/>
      <c r="H7" s="5" t="s">
        <v>6</v>
      </c>
      <c r="I7" s="27"/>
      <c r="J7" s="5"/>
    </row>
    <row r="8" s="1" customFormat="1" ht="12" customHeight="1" spans="2:10">
      <c r="B8" s="6"/>
      <c r="C8" s="6"/>
      <c r="H8" s="6"/>
      <c r="I8" s="6"/>
      <c r="J8" s="6"/>
    </row>
    <row r="9" s="1" customFormat="1" ht="12" customHeight="1" spans="1:10">
      <c r="A9" s="1" t="s">
        <v>7</v>
      </c>
      <c r="B9" s="4" t="s">
        <v>8</v>
      </c>
      <c r="C9" s="4"/>
      <c r="D9" s="4"/>
      <c r="H9" s="5" t="s">
        <v>9</v>
      </c>
      <c r="I9" s="28"/>
      <c r="J9" s="5"/>
    </row>
    <row r="10" ht="16.5" customHeight="1" spans="1:11">
      <c r="A10" s="7" t="s">
        <v>10</v>
      </c>
      <c r="B10" s="7"/>
      <c r="C10" s="7"/>
      <c r="D10" s="7"/>
      <c r="E10" s="7"/>
      <c r="F10" s="7"/>
      <c r="G10" s="7"/>
      <c r="H10" s="7"/>
      <c r="I10" s="7"/>
      <c r="J10" s="7"/>
      <c r="K10"/>
    </row>
    <row r="11" ht="15" customHeight="1" spans="1:11">
      <c r="A11" s="8" t="s">
        <v>11</v>
      </c>
      <c r="B11" s="9" t="s">
        <v>12</v>
      </c>
      <c r="C11" s="9"/>
      <c r="D11" s="10" t="s">
        <v>13</v>
      </c>
      <c r="E11" s="11"/>
      <c r="F11" s="11"/>
      <c r="G11" s="12"/>
      <c r="H11" s="13" t="s">
        <v>14</v>
      </c>
      <c r="I11" s="13"/>
      <c r="J11" s="29" t="s">
        <v>15</v>
      </c>
      <c r="K11" s="30" t="s">
        <v>16</v>
      </c>
    </row>
    <row r="12" ht="15" customHeight="1" spans="1:11">
      <c r="A12" s="14"/>
      <c r="B12" s="15" t="s">
        <v>17</v>
      </c>
      <c r="C12" s="15" t="s">
        <v>18</v>
      </c>
      <c r="D12" s="15" t="s">
        <v>17</v>
      </c>
      <c r="E12" s="15" t="s">
        <v>18</v>
      </c>
      <c r="F12" s="15" t="s">
        <v>19</v>
      </c>
      <c r="G12" s="15" t="s">
        <v>20</v>
      </c>
      <c r="H12" s="15" t="s">
        <v>17</v>
      </c>
      <c r="I12" s="15" t="s">
        <v>18</v>
      </c>
      <c r="J12" s="31"/>
      <c r="K12" s="30"/>
    </row>
    <row r="13" ht="15" customHeight="1" spans="1:10">
      <c r="A13" s="24" t="s">
        <v>21</v>
      </c>
      <c r="B13" s="17">
        <v>1</v>
      </c>
      <c r="C13" s="17">
        <v>1</v>
      </c>
      <c r="D13" s="17"/>
      <c r="E13" s="17"/>
      <c r="F13" s="17"/>
      <c r="G13" s="17"/>
      <c r="H13" s="17">
        <v>1</v>
      </c>
      <c r="I13" s="17">
        <v>1</v>
      </c>
      <c r="J13" s="17">
        <f>SUM(H13:I13)</f>
        <v>2</v>
      </c>
    </row>
    <row r="14" ht="15" customHeight="1" spans="1:10">
      <c r="A14" s="24" t="s">
        <v>22</v>
      </c>
      <c r="B14" s="17">
        <v>1.25</v>
      </c>
      <c r="C14" s="17">
        <v>1.25</v>
      </c>
      <c r="D14" s="17"/>
      <c r="E14" s="17"/>
      <c r="F14" s="17"/>
      <c r="G14" s="17"/>
      <c r="H14" s="17">
        <f>H13-F14-D14+B14</f>
        <v>2.25</v>
      </c>
      <c r="I14" s="17">
        <f>I13-E14+C14</f>
        <v>2.25</v>
      </c>
      <c r="J14" s="17">
        <f t="shared" ref="J14" si="0">SUM(H14:I14)</f>
        <v>4.5</v>
      </c>
    </row>
    <row r="15" ht="15" customHeight="1" spans="1:10">
      <c r="A15" s="24" t="s">
        <v>23</v>
      </c>
      <c r="B15" s="17">
        <v>15</v>
      </c>
      <c r="C15" s="17">
        <v>15</v>
      </c>
      <c r="D15" s="17"/>
      <c r="E15" s="17"/>
      <c r="F15" s="17"/>
      <c r="G15" s="17"/>
      <c r="H15" s="17">
        <f t="shared" ref="H15:H48" si="1">H14-F15-D15+B15</f>
        <v>17.25</v>
      </c>
      <c r="I15" s="17">
        <f t="shared" ref="I15:I48" si="2">I14-E15+C15</f>
        <v>17.25</v>
      </c>
      <c r="J15" s="17">
        <f t="shared" ref="J15:J48" si="3">SUM(H15:I15)</f>
        <v>34.5</v>
      </c>
    </row>
    <row r="16" ht="15" customHeight="1" spans="1:10">
      <c r="A16" s="24" t="s">
        <v>24</v>
      </c>
      <c r="B16" s="17"/>
      <c r="C16" s="17"/>
      <c r="D16" s="17"/>
      <c r="E16" s="17"/>
      <c r="F16" s="17">
        <v>5</v>
      </c>
      <c r="G16" s="17"/>
      <c r="H16" s="17">
        <f t="shared" si="1"/>
        <v>12.25</v>
      </c>
      <c r="I16" s="17">
        <f t="shared" si="2"/>
        <v>17.25</v>
      </c>
      <c r="J16" s="17">
        <f t="shared" si="3"/>
        <v>29.5</v>
      </c>
    </row>
    <row r="17" ht="15" customHeight="1" spans="1:10">
      <c r="A17" s="24" t="s">
        <v>25</v>
      </c>
      <c r="B17" s="17">
        <v>15</v>
      </c>
      <c r="C17" s="17">
        <v>15</v>
      </c>
      <c r="D17" s="17"/>
      <c r="E17" s="17"/>
      <c r="F17" s="17"/>
      <c r="G17" s="17"/>
      <c r="H17" s="17">
        <f t="shared" si="1"/>
        <v>27.25</v>
      </c>
      <c r="I17" s="17">
        <f t="shared" si="2"/>
        <v>32.25</v>
      </c>
      <c r="J17" s="17">
        <f t="shared" si="3"/>
        <v>59.5</v>
      </c>
    </row>
    <row r="18" ht="15" customHeight="1" spans="1:10">
      <c r="A18" s="24" t="s">
        <v>26</v>
      </c>
      <c r="B18" s="17"/>
      <c r="C18" s="17"/>
      <c r="D18" s="17"/>
      <c r="E18" s="17"/>
      <c r="F18" s="17">
        <v>5</v>
      </c>
      <c r="G18" s="17"/>
      <c r="H18" s="17">
        <f t="shared" si="1"/>
        <v>22.25</v>
      </c>
      <c r="I18" s="17">
        <f t="shared" si="2"/>
        <v>32.25</v>
      </c>
      <c r="J18" s="17">
        <f t="shared" si="3"/>
        <v>54.5</v>
      </c>
    </row>
    <row r="19" ht="15" customHeight="1" spans="1:10">
      <c r="A19" s="24" t="s">
        <v>27</v>
      </c>
      <c r="B19" s="17"/>
      <c r="C19" s="17"/>
      <c r="D19" s="17">
        <v>15</v>
      </c>
      <c r="E19" s="17"/>
      <c r="F19" s="17"/>
      <c r="G19" s="17"/>
      <c r="H19" s="17">
        <f t="shared" si="1"/>
        <v>7.25</v>
      </c>
      <c r="I19" s="17">
        <f t="shared" si="2"/>
        <v>32.25</v>
      </c>
      <c r="J19" s="17">
        <f t="shared" si="3"/>
        <v>39.5</v>
      </c>
    </row>
    <row r="20" ht="15" customHeight="1" spans="1:10">
      <c r="A20" s="24" t="s">
        <v>28</v>
      </c>
      <c r="B20" s="17">
        <v>15</v>
      </c>
      <c r="C20" s="17">
        <v>15</v>
      </c>
      <c r="D20" s="17"/>
      <c r="E20" s="17"/>
      <c r="F20" s="17"/>
      <c r="G20" s="17"/>
      <c r="H20" s="17">
        <f t="shared" si="1"/>
        <v>22.25</v>
      </c>
      <c r="I20" s="17">
        <f t="shared" si="2"/>
        <v>47.25</v>
      </c>
      <c r="J20" s="17">
        <f t="shared" si="3"/>
        <v>69.5</v>
      </c>
    </row>
    <row r="21" ht="15" customHeight="1" spans="1:10">
      <c r="A21" s="24" t="s">
        <v>29</v>
      </c>
      <c r="B21" s="17"/>
      <c r="C21" s="17"/>
      <c r="D21" s="17"/>
      <c r="E21" s="17"/>
      <c r="F21" s="17">
        <v>5</v>
      </c>
      <c r="G21" s="17"/>
      <c r="H21" s="17">
        <f t="shared" si="1"/>
        <v>17.25</v>
      </c>
      <c r="I21" s="17">
        <f t="shared" si="2"/>
        <v>47.25</v>
      </c>
      <c r="J21" s="17">
        <f t="shared" si="3"/>
        <v>64.5</v>
      </c>
    </row>
    <row r="22" ht="15" customHeight="1" spans="1:10">
      <c r="A22" s="24" t="s">
        <v>30</v>
      </c>
      <c r="B22" s="17">
        <v>15</v>
      </c>
      <c r="C22" s="17">
        <v>15</v>
      </c>
      <c r="D22" s="17"/>
      <c r="E22" s="17"/>
      <c r="F22" s="17"/>
      <c r="G22" s="17"/>
      <c r="H22" s="17">
        <f t="shared" si="1"/>
        <v>32.25</v>
      </c>
      <c r="I22" s="17">
        <f t="shared" si="2"/>
        <v>62.25</v>
      </c>
      <c r="J22" s="17">
        <f t="shared" si="3"/>
        <v>94.5</v>
      </c>
    </row>
    <row r="23" ht="15" customHeight="1" spans="1:10">
      <c r="A23" s="24" t="s">
        <v>31</v>
      </c>
      <c r="B23" s="17"/>
      <c r="C23" s="17"/>
      <c r="D23" s="17">
        <v>7</v>
      </c>
      <c r="E23" s="17">
        <v>3</v>
      </c>
      <c r="F23" s="17"/>
      <c r="G23" s="17"/>
      <c r="H23" s="17">
        <f t="shared" si="1"/>
        <v>25.25</v>
      </c>
      <c r="I23" s="17">
        <f t="shared" si="2"/>
        <v>59.25</v>
      </c>
      <c r="J23" s="17">
        <f t="shared" si="3"/>
        <v>84.5</v>
      </c>
    </row>
    <row r="24" ht="15" customHeight="1" spans="1:10">
      <c r="A24" s="24" t="s">
        <v>32</v>
      </c>
      <c r="B24" s="17"/>
      <c r="C24" s="17"/>
      <c r="D24" s="17"/>
      <c r="E24" s="17"/>
      <c r="F24" s="17">
        <v>5</v>
      </c>
      <c r="G24" s="17"/>
      <c r="H24" s="17">
        <f t="shared" si="1"/>
        <v>20.25</v>
      </c>
      <c r="I24" s="17">
        <f t="shared" si="2"/>
        <v>59.25</v>
      </c>
      <c r="J24" s="17">
        <f t="shared" si="3"/>
        <v>79.5</v>
      </c>
    </row>
    <row r="25" ht="15" customHeight="1" spans="1:10">
      <c r="A25" s="24" t="s">
        <v>33</v>
      </c>
      <c r="B25" s="17">
        <v>15</v>
      </c>
      <c r="C25" s="17">
        <v>15</v>
      </c>
      <c r="D25" s="17"/>
      <c r="E25" s="17"/>
      <c r="F25" s="17"/>
      <c r="G25" s="17"/>
      <c r="H25" s="17">
        <f t="shared" si="1"/>
        <v>35.25</v>
      </c>
      <c r="I25" s="17">
        <f t="shared" si="2"/>
        <v>74.25</v>
      </c>
      <c r="J25" s="17">
        <f t="shared" si="3"/>
        <v>109.5</v>
      </c>
    </row>
    <row r="26" ht="15" customHeight="1" spans="1:10">
      <c r="A26" s="24" t="s">
        <v>34</v>
      </c>
      <c r="B26" s="17"/>
      <c r="C26" s="17"/>
      <c r="D26" s="17">
        <v>27</v>
      </c>
      <c r="E26" s="17">
        <v>2</v>
      </c>
      <c r="F26" s="17"/>
      <c r="G26" s="17"/>
      <c r="H26" s="17">
        <f t="shared" si="1"/>
        <v>8.25</v>
      </c>
      <c r="I26" s="17">
        <f t="shared" si="2"/>
        <v>72.25</v>
      </c>
      <c r="J26" s="17">
        <f t="shared" si="3"/>
        <v>80.5</v>
      </c>
    </row>
    <row r="27" ht="15" customHeight="1" spans="1:10">
      <c r="A27" s="24" t="s">
        <v>35</v>
      </c>
      <c r="B27" s="17"/>
      <c r="C27" s="17"/>
      <c r="D27" s="17"/>
      <c r="E27" s="17"/>
      <c r="F27" s="17">
        <v>2</v>
      </c>
      <c r="G27" s="17"/>
      <c r="H27" s="17">
        <f t="shared" si="1"/>
        <v>6.25</v>
      </c>
      <c r="I27" s="17">
        <f t="shared" si="2"/>
        <v>72.25</v>
      </c>
      <c r="J27" s="17">
        <f t="shared" si="3"/>
        <v>78.5</v>
      </c>
    </row>
    <row r="28" ht="15" customHeight="1" spans="1:10">
      <c r="A28" s="24" t="s">
        <v>36</v>
      </c>
      <c r="B28" s="17"/>
      <c r="C28" s="17"/>
      <c r="D28" s="17"/>
      <c r="E28" s="17"/>
      <c r="F28" s="17">
        <v>3</v>
      </c>
      <c r="G28" s="17"/>
      <c r="H28" s="17">
        <f t="shared" si="1"/>
        <v>3.25</v>
      </c>
      <c r="I28" s="17">
        <f t="shared" si="2"/>
        <v>72.25</v>
      </c>
      <c r="J28" s="17">
        <f t="shared" si="3"/>
        <v>75.5</v>
      </c>
    </row>
    <row r="29" ht="15" customHeight="1" spans="1:10">
      <c r="A29" s="24" t="s">
        <v>37</v>
      </c>
      <c r="B29" s="17"/>
      <c r="C29" s="17"/>
      <c r="D29" s="17"/>
      <c r="E29" s="17"/>
      <c r="F29" s="17"/>
      <c r="G29" s="17">
        <v>1</v>
      </c>
      <c r="H29" s="17">
        <f t="shared" si="1"/>
        <v>3.25</v>
      </c>
      <c r="I29" s="17">
        <f t="shared" si="2"/>
        <v>72.25</v>
      </c>
      <c r="J29" s="17">
        <f t="shared" si="3"/>
        <v>75.5</v>
      </c>
    </row>
    <row r="30" ht="15" customHeight="1" spans="1:10">
      <c r="A30" s="143" t="s">
        <v>38</v>
      </c>
      <c r="B30" s="17">
        <v>2.5</v>
      </c>
      <c r="C30" s="17">
        <v>2.5</v>
      </c>
      <c r="D30" s="17"/>
      <c r="E30" s="17"/>
      <c r="F30" s="17"/>
      <c r="G30" s="17"/>
      <c r="H30" s="17">
        <f t="shared" si="1"/>
        <v>5.75</v>
      </c>
      <c r="I30" s="17">
        <f t="shared" si="2"/>
        <v>74.75</v>
      </c>
      <c r="J30" s="17">
        <f t="shared" si="3"/>
        <v>80.5</v>
      </c>
    </row>
    <row r="31" ht="15" customHeight="1" spans="1:10">
      <c r="A31" s="24" t="s">
        <v>39</v>
      </c>
      <c r="B31" s="17"/>
      <c r="C31" s="17"/>
      <c r="D31" s="17"/>
      <c r="E31" s="17">
        <v>1</v>
      </c>
      <c r="F31" s="17"/>
      <c r="G31" s="17"/>
      <c r="H31" s="17">
        <f t="shared" si="1"/>
        <v>5.75</v>
      </c>
      <c r="I31" s="17">
        <f t="shared" si="2"/>
        <v>73.75</v>
      </c>
      <c r="J31" s="17">
        <f t="shared" si="3"/>
        <v>79.5</v>
      </c>
    </row>
    <row r="32" ht="15" customHeight="1" spans="1:10">
      <c r="A32" s="143" t="s">
        <v>40</v>
      </c>
      <c r="B32" s="17">
        <v>2.5</v>
      </c>
      <c r="C32" s="17">
        <v>2.5</v>
      </c>
      <c r="D32" s="17"/>
      <c r="E32" s="17"/>
      <c r="F32" s="17"/>
      <c r="G32" s="17"/>
      <c r="H32" s="17">
        <f t="shared" si="1"/>
        <v>8.25</v>
      </c>
      <c r="I32" s="17">
        <f t="shared" si="2"/>
        <v>76.25</v>
      </c>
      <c r="J32" s="17">
        <f t="shared" si="3"/>
        <v>84.5</v>
      </c>
    </row>
    <row r="33" ht="15" customHeight="1" spans="1:10">
      <c r="A33" s="24" t="s">
        <v>41</v>
      </c>
      <c r="B33" s="17"/>
      <c r="C33" s="17"/>
      <c r="D33" s="17"/>
      <c r="E33" s="17"/>
      <c r="F33" s="17"/>
      <c r="G33" s="17">
        <v>1</v>
      </c>
      <c r="H33" s="17">
        <f t="shared" si="1"/>
        <v>8.25</v>
      </c>
      <c r="I33" s="17">
        <f t="shared" si="2"/>
        <v>76.25</v>
      </c>
      <c r="J33" s="17">
        <f t="shared" si="3"/>
        <v>84.5</v>
      </c>
    </row>
    <row r="34" ht="15" customHeight="1" spans="1:10">
      <c r="A34" s="24" t="s">
        <v>42</v>
      </c>
      <c r="B34" s="17"/>
      <c r="C34" s="17"/>
      <c r="D34" s="17"/>
      <c r="E34" s="17"/>
      <c r="F34" s="17">
        <v>1</v>
      </c>
      <c r="G34" s="17"/>
      <c r="H34" s="17">
        <f t="shared" si="1"/>
        <v>7.25</v>
      </c>
      <c r="I34" s="17">
        <f t="shared" si="2"/>
        <v>76.25</v>
      </c>
      <c r="J34" s="17">
        <f t="shared" si="3"/>
        <v>83.5</v>
      </c>
    </row>
    <row r="35" ht="15" customHeight="1" spans="1:10">
      <c r="A35" s="143" t="s">
        <v>43</v>
      </c>
      <c r="B35" s="17">
        <v>2.5</v>
      </c>
      <c r="C35" s="17">
        <v>2.5</v>
      </c>
      <c r="D35" s="17"/>
      <c r="E35" s="17"/>
      <c r="F35" s="17"/>
      <c r="G35" s="17"/>
      <c r="H35" s="17">
        <f t="shared" si="1"/>
        <v>9.75</v>
      </c>
      <c r="I35" s="17">
        <f t="shared" si="2"/>
        <v>78.75</v>
      </c>
      <c r="J35" s="17">
        <f t="shared" si="3"/>
        <v>88.5</v>
      </c>
    </row>
    <row r="36" ht="15" customHeight="1" spans="1:10">
      <c r="A36" s="24" t="s">
        <v>44</v>
      </c>
      <c r="B36" s="17"/>
      <c r="C36" s="17"/>
      <c r="D36" s="17"/>
      <c r="E36" s="17">
        <v>1</v>
      </c>
      <c r="F36" s="17"/>
      <c r="G36" s="17"/>
      <c r="H36" s="17">
        <f t="shared" si="1"/>
        <v>9.75</v>
      </c>
      <c r="I36" s="17">
        <f t="shared" si="2"/>
        <v>77.75</v>
      </c>
      <c r="J36" s="17">
        <f t="shared" si="3"/>
        <v>87.5</v>
      </c>
    </row>
    <row r="37" ht="15" customHeight="1" spans="1:10">
      <c r="A37" s="24" t="s">
        <v>45</v>
      </c>
      <c r="B37" s="17"/>
      <c r="C37" s="17"/>
      <c r="D37" s="17"/>
      <c r="E37" s="17">
        <v>1</v>
      </c>
      <c r="F37" s="17"/>
      <c r="G37" s="17"/>
      <c r="H37" s="17">
        <f t="shared" si="1"/>
        <v>9.75</v>
      </c>
      <c r="I37" s="17">
        <f t="shared" si="2"/>
        <v>76.75</v>
      </c>
      <c r="J37" s="17">
        <f t="shared" si="3"/>
        <v>86.5</v>
      </c>
    </row>
    <row r="38" ht="15" customHeight="1" spans="1:10">
      <c r="A38" s="143" t="s">
        <v>46</v>
      </c>
      <c r="B38" s="17">
        <v>1.25</v>
      </c>
      <c r="C38" s="17">
        <v>1.25</v>
      </c>
      <c r="D38" s="17"/>
      <c r="E38" s="17"/>
      <c r="F38" s="17"/>
      <c r="G38" s="17"/>
      <c r="H38" s="17">
        <f t="shared" si="1"/>
        <v>11</v>
      </c>
      <c r="I38" s="17">
        <f t="shared" si="2"/>
        <v>78</v>
      </c>
      <c r="J38" s="17">
        <f t="shared" si="3"/>
        <v>89</v>
      </c>
    </row>
    <row r="39" ht="15" customHeight="1" spans="1:10">
      <c r="A39" s="24" t="s">
        <v>47</v>
      </c>
      <c r="B39" s="17"/>
      <c r="C39" s="17"/>
      <c r="D39" s="17"/>
      <c r="E39" s="17">
        <v>1</v>
      </c>
      <c r="F39" s="17"/>
      <c r="G39" s="17"/>
      <c r="H39" s="17">
        <f t="shared" si="1"/>
        <v>11</v>
      </c>
      <c r="I39" s="17">
        <f t="shared" si="2"/>
        <v>77</v>
      </c>
      <c r="J39" s="17">
        <f t="shared" si="3"/>
        <v>88</v>
      </c>
    </row>
    <row r="40" ht="15" customHeight="1" spans="1:10">
      <c r="A40" s="143" t="s">
        <v>48</v>
      </c>
      <c r="B40" s="17">
        <v>1.25</v>
      </c>
      <c r="C40" s="17">
        <v>1.25</v>
      </c>
      <c r="D40" s="17"/>
      <c r="E40" s="17"/>
      <c r="F40" s="17"/>
      <c r="G40" s="17"/>
      <c r="H40" s="17">
        <f t="shared" si="1"/>
        <v>12.25</v>
      </c>
      <c r="I40" s="17">
        <f t="shared" si="2"/>
        <v>78.25</v>
      </c>
      <c r="J40" s="17">
        <f t="shared" si="3"/>
        <v>90.5</v>
      </c>
    </row>
    <row r="41" ht="15" customHeight="1" spans="1:10">
      <c r="A41" s="24" t="s">
        <v>49</v>
      </c>
      <c r="B41" s="17"/>
      <c r="C41" s="17"/>
      <c r="D41" s="17"/>
      <c r="E41" s="17"/>
      <c r="F41" s="17">
        <v>2</v>
      </c>
      <c r="G41" s="17"/>
      <c r="H41" s="17">
        <f t="shared" si="1"/>
        <v>10.25</v>
      </c>
      <c r="I41" s="17">
        <f t="shared" si="2"/>
        <v>78.25</v>
      </c>
      <c r="J41" s="17">
        <f t="shared" si="3"/>
        <v>88.5</v>
      </c>
    </row>
    <row r="42" ht="15" customHeight="1" spans="1:10">
      <c r="A42" s="24" t="s">
        <v>50</v>
      </c>
      <c r="B42" s="17"/>
      <c r="C42" s="17"/>
      <c r="D42" s="17"/>
      <c r="E42" s="17"/>
      <c r="F42" s="17">
        <v>1</v>
      </c>
      <c r="G42" s="17"/>
      <c r="H42" s="17">
        <f t="shared" si="1"/>
        <v>9.25</v>
      </c>
      <c r="I42" s="17">
        <f t="shared" si="2"/>
        <v>78.25</v>
      </c>
      <c r="J42" s="17">
        <f t="shared" si="3"/>
        <v>87.5</v>
      </c>
    </row>
    <row r="43" ht="15" customHeight="1" spans="1:10">
      <c r="A43" s="143" t="s">
        <v>51</v>
      </c>
      <c r="B43" s="17">
        <v>1.25</v>
      </c>
      <c r="C43" s="17">
        <v>1.25</v>
      </c>
      <c r="D43" s="17"/>
      <c r="E43" s="17"/>
      <c r="F43" s="17"/>
      <c r="G43" s="17"/>
      <c r="H43" s="17">
        <f t="shared" si="1"/>
        <v>10.5</v>
      </c>
      <c r="I43" s="17">
        <f t="shared" si="2"/>
        <v>79.5</v>
      </c>
      <c r="J43" s="17">
        <f t="shared" si="3"/>
        <v>90</v>
      </c>
    </row>
    <row r="44" ht="15" customHeight="1" spans="1:10">
      <c r="A44" s="24" t="s">
        <v>52</v>
      </c>
      <c r="B44" s="17"/>
      <c r="C44" s="17"/>
      <c r="D44" s="17"/>
      <c r="E44" s="17"/>
      <c r="F44" s="17"/>
      <c r="G44" s="17">
        <v>1</v>
      </c>
      <c r="H44" s="17">
        <f t="shared" si="1"/>
        <v>10.5</v>
      </c>
      <c r="I44" s="17">
        <f t="shared" si="2"/>
        <v>79.5</v>
      </c>
      <c r="J44" s="17">
        <f t="shared" si="3"/>
        <v>90</v>
      </c>
    </row>
    <row r="45" ht="15" customHeight="1" spans="1:10">
      <c r="A45" s="24" t="s">
        <v>53</v>
      </c>
      <c r="B45" s="17"/>
      <c r="C45" s="17"/>
      <c r="D45" s="17">
        <v>6</v>
      </c>
      <c r="E45" s="17">
        <v>23</v>
      </c>
      <c r="F45" s="17"/>
      <c r="G45" s="17"/>
      <c r="H45" s="17">
        <f t="shared" si="1"/>
        <v>4.5</v>
      </c>
      <c r="I45" s="17">
        <f t="shared" si="2"/>
        <v>56.5</v>
      </c>
      <c r="J45" s="17">
        <f t="shared" si="3"/>
        <v>61</v>
      </c>
    </row>
    <row r="46" ht="15" customHeight="1" spans="1:10">
      <c r="A46" s="24" t="s">
        <v>54</v>
      </c>
      <c r="B46" s="17"/>
      <c r="C46" s="17"/>
      <c r="D46" s="17"/>
      <c r="E46" s="17">
        <v>1</v>
      </c>
      <c r="F46" s="17"/>
      <c r="G46" s="17"/>
      <c r="H46" s="17">
        <f t="shared" si="1"/>
        <v>4.5</v>
      </c>
      <c r="I46" s="17">
        <f t="shared" si="2"/>
        <v>55.5</v>
      </c>
      <c r="J46" s="17">
        <f t="shared" si="3"/>
        <v>60</v>
      </c>
    </row>
    <row r="47" ht="15" customHeight="1" spans="1:10">
      <c r="A47" s="143" t="s">
        <v>55</v>
      </c>
      <c r="B47" s="17">
        <v>2.5</v>
      </c>
      <c r="C47" s="17">
        <v>2.5</v>
      </c>
      <c r="D47" s="17"/>
      <c r="E47" s="17"/>
      <c r="F47" s="17"/>
      <c r="G47" s="17"/>
      <c r="H47" s="17">
        <f t="shared" si="1"/>
        <v>7</v>
      </c>
      <c r="I47" s="17">
        <f t="shared" si="2"/>
        <v>58</v>
      </c>
      <c r="J47" s="17">
        <f t="shared" si="3"/>
        <v>65</v>
      </c>
    </row>
    <row r="48" ht="15" customHeight="1" spans="1:10">
      <c r="A48" s="24" t="s">
        <v>56</v>
      </c>
      <c r="B48" s="17"/>
      <c r="C48" s="17"/>
      <c r="D48" s="17"/>
      <c r="E48" s="17"/>
      <c r="F48" s="17">
        <v>1</v>
      </c>
      <c r="G48" s="17"/>
      <c r="H48" s="17">
        <f t="shared" si="1"/>
        <v>6</v>
      </c>
      <c r="I48" s="17">
        <f t="shared" si="2"/>
        <v>58</v>
      </c>
      <c r="J48" s="17">
        <f t="shared" si="3"/>
        <v>64</v>
      </c>
    </row>
    <row r="49" ht="15" customHeight="1" spans="1:10">
      <c r="A49" s="143" t="s">
        <v>57</v>
      </c>
      <c r="B49" s="17">
        <v>1.25</v>
      </c>
      <c r="C49" s="17">
        <v>1.25</v>
      </c>
      <c r="D49" s="17"/>
      <c r="E49" s="17"/>
      <c r="F49" s="17"/>
      <c r="G49" s="17"/>
      <c r="H49" s="17">
        <f t="shared" ref="H49:H90" si="4">H48-F49-D49+B49</f>
        <v>7.25</v>
      </c>
      <c r="I49" s="17">
        <f t="shared" ref="I49:I90" si="5">I48-E49+C49</f>
        <v>59.25</v>
      </c>
      <c r="J49" s="17">
        <f t="shared" ref="J49:J90" si="6">SUM(H49:I49)</f>
        <v>66.5</v>
      </c>
    </row>
    <row r="50" ht="15" customHeight="1" spans="1:10">
      <c r="A50" s="24" t="s">
        <v>58</v>
      </c>
      <c r="B50" s="144"/>
      <c r="C50" s="144"/>
      <c r="D50" s="144"/>
      <c r="E50" s="144">
        <v>0.5</v>
      </c>
      <c r="F50" s="144"/>
      <c r="G50" s="144"/>
      <c r="H50" s="17">
        <f t="shared" si="4"/>
        <v>7.25</v>
      </c>
      <c r="I50" s="17">
        <f t="shared" si="5"/>
        <v>58.75</v>
      </c>
      <c r="J50" s="17">
        <f t="shared" si="6"/>
        <v>66</v>
      </c>
    </row>
    <row r="51" ht="15" customHeight="1" spans="1:10">
      <c r="A51" s="24" t="s">
        <v>59</v>
      </c>
      <c r="B51" s="22"/>
      <c r="C51" s="22"/>
      <c r="D51" s="22"/>
      <c r="E51" s="22">
        <v>1</v>
      </c>
      <c r="F51" s="22"/>
      <c r="G51" s="22"/>
      <c r="H51" s="17">
        <f t="shared" si="4"/>
        <v>7.25</v>
      </c>
      <c r="I51" s="17">
        <f t="shared" si="5"/>
        <v>57.75</v>
      </c>
      <c r="J51" s="17">
        <f t="shared" si="6"/>
        <v>65</v>
      </c>
    </row>
    <row r="52" ht="15" customHeight="1" spans="1:10">
      <c r="A52" s="24" t="s">
        <v>60</v>
      </c>
      <c r="B52" s="22"/>
      <c r="C52" s="22"/>
      <c r="D52" s="22">
        <v>1</v>
      </c>
      <c r="E52" s="22"/>
      <c r="F52" s="22"/>
      <c r="G52" s="22"/>
      <c r="H52" s="17">
        <f t="shared" si="4"/>
        <v>6.25</v>
      </c>
      <c r="I52" s="17">
        <f t="shared" si="5"/>
        <v>57.75</v>
      </c>
      <c r="J52" s="17">
        <f t="shared" si="6"/>
        <v>64</v>
      </c>
    </row>
    <row r="53" ht="15" customHeight="1" spans="1:10">
      <c r="A53" s="143" t="s">
        <v>61</v>
      </c>
      <c r="B53" s="17">
        <v>1.25</v>
      </c>
      <c r="C53" s="17">
        <v>1.25</v>
      </c>
      <c r="D53" s="22"/>
      <c r="E53" s="22"/>
      <c r="F53" s="22"/>
      <c r="G53" s="22"/>
      <c r="H53" s="17">
        <f t="shared" si="4"/>
        <v>7.5</v>
      </c>
      <c r="I53" s="17">
        <f t="shared" si="5"/>
        <v>59</v>
      </c>
      <c r="J53" s="17">
        <f t="shared" si="6"/>
        <v>66.5</v>
      </c>
    </row>
    <row r="54" ht="15" customHeight="1" spans="1:10">
      <c r="A54" s="24" t="s">
        <v>62</v>
      </c>
      <c r="B54" s="22"/>
      <c r="C54" s="22"/>
      <c r="D54" s="22"/>
      <c r="E54" s="22"/>
      <c r="F54" s="22"/>
      <c r="G54" s="22">
        <v>1</v>
      </c>
      <c r="H54" s="17">
        <f t="shared" si="4"/>
        <v>7.5</v>
      </c>
      <c r="I54" s="17">
        <f t="shared" si="5"/>
        <v>59</v>
      </c>
      <c r="J54" s="17">
        <f t="shared" si="6"/>
        <v>66.5</v>
      </c>
    </row>
    <row r="55" ht="15" customHeight="1" spans="1:10">
      <c r="A55" s="143" t="s">
        <v>63</v>
      </c>
      <c r="B55" s="17">
        <v>3.75</v>
      </c>
      <c r="C55" s="17">
        <v>3.75</v>
      </c>
      <c r="D55" s="22"/>
      <c r="E55" s="22"/>
      <c r="F55" s="22"/>
      <c r="G55" s="22"/>
      <c r="H55" s="17">
        <f t="shared" si="4"/>
        <v>11.25</v>
      </c>
      <c r="I55" s="17">
        <f t="shared" si="5"/>
        <v>62.75</v>
      </c>
      <c r="J55" s="17">
        <f t="shared" si="6"/>
        <v>74</v>
      </c>
    </row>
    <row r="56" ht="15" customHeight="1" spans="1:10">
      <c r="A56" s="24" t="s">
        <v>64</v>
      </c>
      <c r="B56" s="24"/>
      <c r="C56" s="24"/>
      <c r="D56" s="24"/>
      <c r="E56" s="24"/>
      <c r="F56" s="22">
        <v>2</v>
      </c>
      <c r="G56" s="24"/>
      <c r="H56" s="17">
        <f t="shared" si="4"/>
        <v>9.25</v>
      </c>
      <c r="I56" s="17">
        <f t="shared" si="5"/>
        <v>62.75</v>
      </c>
      <c r="J56" s="17">
        <f t="shared" si="6"/>
        <v>72</v>
      </c>
    </row>
    <row r="57" ht="15" customHeight="1" spans="1:10">
      <c r="A57" s="24" t="s">
        <v>65</v>
      </c>
      <c r="B57" s="24"/>
      <c r="C57" s="24"/>
      <c r="D57" s="24"/>
      <c r="E57" s="24"/>
      <c r="F57" s="24"/>
      <c r="G57" s="22">
        <v>1</v>
      </c>
      <c r="H57" s="17">
        <f t="shared" si="4"/>
        <v>9.25</v>
      </c>
      <c r="I57" s="17">
        <f t="shared" si="5"/>
        <v>62.75</v>
      </c>
      <c r="J57" s="17">
        <f t="shared" si="6"/>
        <v>72</v>
      </c>
    </row>
    <row r="58" ht="15" customHeight="1" spans="1:10">
      <c r="A58" s="143" t="s">
        <v>66</v>
      </c>
      <c r="B58" s="22">
        <v>2.5</v>
      </c>
      <c r="C58" s="22">
        <v>2.5</v>
      </c>
      <c r="D58" s="24"/>
      <c r="E58" s="24"/>
      <c r="F58" s="24"/>
      <c r="G58" s="24"/>
      <c r="H58" s="17">
        <f t="shared" si="4"/>
        <v>11.75</v>
      </c>
      <c r="I58" s="17">
        <f t="shared" si="5"/>
        <v>65.25</v>
      </c>
      <c r="J58" s="17">
        <f t="shared" si="6"/>
        <v>77</v>
      </c>
    </row>
    <row r="59" ht="15" customHeight="1" spans="1:10">
      <c r="A59" s="24" t="s">
        <v>67</v>
      </c>
      <c r="B59" s="24"/>
      <c r="C59" s="24"/>
      <c r="D59" s="24"/>
      <c r="E59" s="22">
        <v>1</v>
      </c>
      <c r="F59" s="24"/>
      <c r="G59" s="24"/>
      <c r="H59" s="17">
        <f t="shared" si="4"/>
        <v>11.75</v>
      </c>
      <c r="I59" s="17">
        <f t="shared" si="5"/>
        <v>64.25</v>
      </c>
      <c r="J59" s="17">
        <f t="shared" si="6"/>
        <v>76</v>
      </c>
    </row>
    <row r="60" ht="15" customHeight="1" spans="1:10">
      <c r="A60" s="24" t="s">
        <v>68</v>
      </c>
      <c r="B60" s="24"/>
      <c r="C60" s="24"/>
      <c r="D60" s="24"/>
      <c r="E60" s="24"/>
      <c r="F60" s="22">
        <v>1</v>
      </c>
      <c r="G60" s="24"/>
      <c r="H60" s="17">
        <f t="shared" si="4"/>
        <v>10.75</v>
      </c>
      <c r="I60" s="17">
        <f t="shared" si="5"/>
        <v>64.25</v>
      </c>
      <c r="J60" s="17">
        <f t="shared" si="6"/>
        <v>75</v>
      </c>
    </row>
    <row r="61" ht="15" customHeight="1" spans="1:10">
      <c r="A61" s="143" t="s">
        <v>69</v>
      </c>
      <c r="B61" s="22">
        <v>2.5</v>
      </c>
      <c r="C61" s="22">
        <v>2.5</v>
      </c>
      <c r="D61" s="25"/>
      <c r="E61" s="25"/>
      <c r="F61" s="25"/>
      <c r="G61" s="25"/>
      <c r="H61" s="17">
        <f t="shared" si="4"/>
        <v>13.25</v>
      </c>
      <c r="I61" s="17">
        <f t="shared" si="5"/>
        <v>66.75</v>
      </c>
      <c r="J61" s="17">
        <f t="shared" si="6"/>
        <v>80</v>
      </c>
    </row>
    <row r="62" ht="15" customHeight="1" spans="1:10">
      <c r="A62" s="24" t="s">
        <v>70</v>
      </c>
      <c r="B62" s="25"/>
      <c r="C62" s="25"/>
      <c r="D62" s="22">
        <v>11</v>
      </c>
      <c r="E62" s="22">
        <v>18</v>
      </c>
      <c r="F62" s="25"/>
      <c r="G62" s="25"/>
      <c r="H62" s="17">
        <f t="shared" si="4"/>
        <v>2.25</v>
      </c>
      <c r="I62" s="17">
        <f t="shared" si="5"/>
        <v>48.75</v>
      </c>
      <c r="J62" s="17">
        <f t="shared" si="6"/>
        <v>51</v>
      </c>
    </row>
    <row r="63" ht="15" customHeight="1" spans="1:10">
      <c r="A63" s="24" t="s">
        <v>71</v>
      </c>
      <c r="B63" s="26">
        <v>1.25</v>
      </c>
      <c r="C63" s="26">
        <v>1.25</v>
      </c>
      <c r="D63" s="22"/>
      <c r="E63" s="22"/>
      <c r="F63" s="25"/>
      <c r="G63" s="25"/>
      <c r="H63" s="17">
        <f t="shared" si="4"/>
        <v>3.5</v>
      </c>
      <c r="I63" s="17">
        <f t="shared" si="5"/>
        <v>50</v>
      </c>
      <c r="J63" s="17">
        <f t="shared" si="6"/>
        <v>53.5</v>
      </c>
    </row>
    <row r="64" ht="15" customHeight="1" spans="1:10">
      <c r="A64" s="24" t="s">
        <v>72</v>
      </c>
      <c r="B64" s="26"/>
      <c r="C64" s="26"/>
      <c r="D64" s="22"/>
      <c r="E64" s="22"/>
      <c r="F64" s="26"/>
      <c r="G64" s="26">
        <v>1</v>
      </c>
      <c r="H64" s="17">
        <f t="shared" si="4"/>
        <v>3.5</v>
      </c>
      <c r="I64" s="17">
        <f t="shared" si="5"/>
        <v>50</v>
      </c>
      <c r="J64" s="17">
        <f t="shared" si="6"/>
        <v>53.5</v>
      </c>
    </row>
    <row r="65" ht="15" customHeight="1" spans="1:10">
      <c r="A65" s="24" t="s">
        <v>73</v>
      </c>
      <c r="B65" s="26"/>
      <c r="C65" s="26"/>
      <c r="D65" s="22"/>
      <c r="E65" s="22"/>
      <c r="F65" s="26">
        <v>1</v>
      </c>
      <c r="G65" s="26"/>
      <c r="H65" s="17">
        <f t="shared" si="4"/>
        <v>2.5</v>
      </c>
      <c r="I65" s="17">
        <f t="shared" si="5"/>
        <v>50</v>
      </c>
      <c r="J65" s="17">
        <f t="shared" si="6"/>
        <v>52.5</v>
      </c>
    </row>
    <row r="66" ht="15" customHeight="1" spans="1:10">
      <c r="A66" s="24" t="s">
        <v>74</v>
      </c>
      <c r="B66" s="26"/>
      <c r="C66" s="26"/>
      <c r="D66" s="22"/>
      <c r="E66" s="22">
        <v>1</v>
      </c>
      <c r="F66" s="26"/>
      <c r="G66" s="26"/>
      <c r="H66" s="17">
        <f t="shared" si="4"/>
        <v>2.5</v>
      </c>
      <c r="I66" s="17">
        <f t="shared" si="5"/>
        <v>49</v>
      </c>
      <c r="J66" s="17">
        <f t="shared" si="6"/>
        <v>51.5</v>
      </c>
    </row>
    <row r="67" ht="15" customHeight="1" spans="1:10">
      <c r="A67" s="24" t="s">
        <v>75</v>
      </c>
      <c r="B67" s="26">
        <v>1.25</v>
      </c>
      <c r="C67" s="26">
        <v>1.25</v>
      </c>
      <c r="D67" s="22"/>
      <c r="E67" s="22"/>
      <c r="F67" s="26"/>
      <c r="G67" s="26"/>
      <c r="H67" s="17">
        <f t="shared" si="4"/>
        <v>3.75</v>
      </c>
      <c r="I67" s="17">
        <f t="shared" si="5"/>
        <v>50.25</v>
      </c>
      <c r="J67" s="17">
        <f t="shared" si="6"/>
        <v>54</v>
      </c>
    </row>
    <row r="68" ht="15" customHeight="1" spans="1:10">
      <c r="A68" s="24" t="s">
        <v>76</v>
      </c>
      <c r="B68" s="26">
        <v>1.25</v>
      </c>
      <c r="C68" s="26">
        <v>1.25</v>
      </c>
      <c r="D68" s="22"/>
      <c r="E68" s="22"/>
      <c r="F68" s="26"/>
      <c r="G68" s="26"/>
      <c r="H68" s="17">
        <f t="shared" si="4"/>
        <v>5</v>
      </c>
      <c r="I68" s="17">
        <f t="shared" si="5"/>
        <v>51.5</v>
      </c>
      <c r="J68" s="17">
        <f t="shared" si="6"/>
        <v>56.5</v>
      </c>
    </row>
    <row r="69" ht="15" customHeight="1" spans="1:10">
      <c r="A69" s="24" t="s">
        <v>77</v>
      </c>
      <c r="B69" s="26"/>
      <c r="C69" s="26"/>
      <c r="D69" s="22"/>
      <c r="E69" s="22"/>
      <c r="F69" s="26">
        <v>1</v>
      </c>
      <c r="G69" s="26"/>
      <c r="H69" s="17">
        <f t="shared" si="4"/>
        <v>4</v>
      </c>
      <c r="I69" s="17">
        <f t="shared" si="5"/>
        <v>51.5</v>
      </c>
      <c r="J69" s="17">
        <f t="shared" si="6"/>
        <v>55.5</v>
      </c>
    </row>
    <row r="70" ht="15" customHeight="1" spans="1:10">
      <c r="A70" s="24" t="s">
        <v>78</v>
      </c>
      <c r="B70" s="26"/>
      <c r="C70" s="26"/>
      <c r="D70" s="22"/>
      <c r="E70" s="22">
        <v>2</v>
      </c>
      <c r="F70" s="25"/>
      <c r="G70" s="25"/>
      <c r="H70" s="17">
        <f t="shared" si="4"/>
        <v>4</v>
      </c>
      <c r="I70" s="17">
        <f t="shared" si="5"/>
        <v>49.5</v>
      </c>
      <c r="J70" s="17">
        <f t="shared" si="6"/>
        <v>53.5</v>
      </c>
    </row>
    <row r="71" ht="15" customHeight="1" spans="1:10">
      <c r="A71" s="24" t="s">
        <v>79</v>
      </c>
      <c r="B71" s="26">
        <v>1.25</v>
      </c>
      <c r="C71" s="26">
        <v>1.25</v>
      </c>
      <c r="D71" s="22"/>
      <c r="E71" s="22"/>
      <c r="F71" s="25"/>
      <c r="G71" s="25"/>
      <c r="H71" s="17">
        <f t="shared" si="4"/>
        <v>5.25</v>
      </c>
      <c r="I71" s="17">
        <f t="shared" si="5"/>
        <v>50.75</v>
      </c>
      <c r="J71" s="17">
        <f t="shared" si="6"/>
        <v>56</v>
      </c>
    </row>
    <row r="72" ht="15" customHeight="1" spans="1:10">
      <c r="A72" s="24" t="s">
        <v>80</v>
      </c>
      <c r="B72" s="26"/>
      <c r="C72" s="26"/>
      <c r="D72" s="22"/>
      <c r="E72" s="22">
        <v>1</v>
      </c>
      <c r="F72" s="25"/>
      <c r="G72" s="25"/>
      <c r="H72" s="17">
        <f t="shared" si="4"/>
        <v>5.25</v>
      </c>
      <c r="I72" s="17">
        <f t="shared" si="5"/>
        <v>49.75</v>
      </c>
      <c r="J72" s="17">
        <f t="shared" si="6"/>
        <v>55</v>
      </c>
    </row>
    <row r="73" ht="15" customHeight="1" spans="1:10">
      <c r="A73" s="24" t="s">
        <v>81</v>
      </c>
      <c r="B73" s="26">
        <v>1.25</v>
      </c>
      <c r="C73" s="26">
        <v>1.25</v>
      </c>
      <c r="D73" s="22"/>
      <c r="E73" s="22"/>
      <c r="F73" s="25"/>
      <c r="G73" s="25"/>
      <c r="H73" s="17">
        <f t="shared" si="4"/>
        <v>6.5</v>
      </c>
      <c r="I73" s="17">
        <f t="shared" si="5"/>
        <v>51</v>
      </c>
      <c r="J73" s="17">
        <f t="shared" si="6"/>
        <v>57.5</v>
      </c>
    </row>
    <row r="74" ht="15" customHeight="1" spans="1:10">
      <c r="A74" s="24" t="s">
        <v>82</v>
      </c>
      <c r="B74" s="26"/>
      <c r="C74" s="26"/>
      <c r="D74" s="22"/>
      <c r="E74" s="22"/>
      <c r="F74" s="25"/>
      <c r="G74" s="26">
        <v>1</v>
      </c>
      <c r="H74" s="17">
        <f t="shared" si="4"/>
        <v>6.5</v>
      </c>
      <c r="I74" s="17">
        <f t="shared" si="5"/>
        <v>51</v>
      </c>
      <c r="J74" s="17">
        <f t="shared" si="6"/>
        <v>57.5</v>
      </c>
    </row>
    <row r="75" ht="15" customHeight="1" spans="1:10">
      <c r="A75" s="24" t="s">
        <v>83</v>
      </c>
      <c r="B75" s="26"/>
      <c r="C75" s="26"/>
      <c r="D75" s="22"/>
      <c r="E75" s="22">
        <v>1</v>
      </c>
      <c r="F75" s="25"/>
      <c r="G75" s="25"/>
      <c r="H75" s="17">
        <f t="shared" si="4"/>
        <v>6.5</v>
      </c>
      <c r="I75" s="17">
        <f t="shared" si="5"/>
        <v>50</v>
      </c>
      <c r="J75" s="17">
        <f t="shared" si="6"/>
        <v>56.5</v>
      </c>
    </row>
    <row r="76" ht="15" customHeight="1" spans="1:10">
      <c r="A76" s="24" t="s">
        <v>84</v>
      </c>
      <c r="B76" s="26">
        <v>1.25</v>
      </c>
      <c r="C76" s="26">
        <v>1.25</v>
      </c>
      <c r="D76" s="22"/>
      <c r="E76" s="22"/>
      <c r="F76" s="25"/>
      <c r="G76" s="25"/>
      <c r="H76" s="17">
        <f t="shared" si="4"/>
        <v>7.75</v>
      </c>
      <c r="I76" s="17">
        <f t="shared" si="5"/>
        <v>51.25</v>
      </c>
      <c r="J76" s="17">
        <f t="shared" si="6"/>
        <v>59</v>
      </c>
    </row>
    <row r="77" ht="15" customHeight="1" spans="1:10">
      <c r="A77" s="24" t="s">
        <v>85</v>
      </c>
      <c r="B77" s="26"/>
      <c r="C77" s="26"/>
      <c r="D77" s="22"/>
      <c r="E77" s="22">
        <v>1</v>
      </c>
      <c r="F77" s="25"/>
      <c r="G77" s="25"/>
      <c r="H77" s="17">
        <f t="shared" si="4"/>
        <v>7.75</v>
      </c>
      <c r="I77" s="17">
        <f t="shared" si="5"/>
        <v>50.25</v>
      </c>
      <c r="J77" s="17">
        <f t="shared" si="6"/>
        <v>58</v>
      </c>
    </row>
    <row r="78" ht="15" customHeight="1" spans="1:10">
      <c r="A78" s="24" t="s">
        <v>86</v>
      </c>
      <c r="B78" s="26">
        <v>1.25</v>
      </c>
      <c r="C78" s="26">
        <v>1.25</v>
      </c>
      <c r="D78" s="22"/>
      <c r="E78" s="22"/>
      <c r="F78" s="25"/>
      <c r="G78" s="25"/>
      <c r="H78" s="17">
        <f t="shared" si="4"/>
        <v>9</v>
      </c>
      <c r="I78" s="17">
        <f t="shared" si="5"/>
        <v>51.5</v>
      </c>
      <c r="J78" s="17">
        <f t="shared" si="6"/>
        <v>60.5</v>
      </c>
    </row>
    <row r="79" ht="15" customHeight="1" spans="1:10">
      <c r="A79" s="24" t="s">
        <v>87</v>
      </c>
      <c r="B79" s="26"/>
      <c r="C79" s="26"/>
      <c r="D79" s="22"/>
      <c r="E79" s="22">
        <v>3</v>
      </c>
      <c r="F79" s="25"/>
      <c r="G79" s="25"/>
      <c r="H79" s="17">
        <f t="shared" si="4"/>
        <v>9</v>
      </c>
      <c r="I79" s="17">
        <f t="shared" si="5"/>
        <v>48.5</v>
      </c>
      <c r="J79" s="17">
        <f t="shared" si="6"/>
        <v>57.5</v>
      </c>
    </row>
    <row r="80" ht="15" customHeight="1" spans="1:10">
      <c r="A80" s="24" t="s">
        <v>88</v>
      </c>
      <c r="B80" s="26">
        <v>1.25</v>
      </c>
      <c r="C80" s="26">
        <v>1.25</v>
      </c>
      <c r="D80" s="22"/>
      <c r="E80" s="22"/>
      <c r="F80" s="25"/>
      <c r="G80" s="25"/>
      <c r="H80" s="17">
        <f t="shared" si="4"/>
        <v>10.25</v>
      </c>
      <c r="I80" s="17">
        <f t="shared" si="5"/>
        <v>49.75</v>
      </c>
      <c r="J80" s="17">
        <f t="shared" si="6"/>
        <v>60</v>
      </c>
    </row>
    <row r="81" ht="15" customHeight="1" spans="1:10">
      <c r="A81" s="24" t="s">
        <v>89</v>
      </c>
      <c r="B81" s="26"/>
      <c r="C81" s="26"/>
      <c r="D81" s="22"/>
      <c r="E81" s="22"/>
      <c r="F81" s="25"/>
      <c r="G81" s="26">
        <v>1</v>
      </c>
      <c r="H81" s="17">
        <f t="shared" si="4"/>
        <v>10.25</v>
      </c>
      <c r="I81" s="17">
        <f t="shared" si="5"/>
        <v>49.75</v>
      </c>
      <c r="J81" s="17">
        <f t="shared" si="6"/>
        <v>60</v>
      </c>
    </row>
    <row r="82" ht="15" customHeight="1" spans="1:10">
      <c r="A82" s="24" t="s">
        <v>90</v>
      </c>
      <c r="B82" s="26">
        <v>5</v>
      </c>
      <c r="C82" s="26">
        <v>5</v>
      </c>
      <c r="D82" s="22"/>
      <c r="E82" s="22"/>
      <c r="F82" s="25"/>
      <c r="G82" s="26"/>
      <c r="H82" s="17">
        <f t="shared" si="4"/>
        <v>15.25</v>
      </c>
      <c r="I82" s="17">
        <f t="shared" si="5"/>
        <v>54.75</v>
      </c>
      <c r="J82" s="17">
        <f t="shared" si="6"/>
        <v>70</v>
      </c>
    </row>
    <row r="83" ht="15" customHeight="1" spans="1:10">
      <c r="A83" s="24" t="s">
        <v>91</v>
      </c>
      <c r="B83" s="26"/>
      <c r="C83" s="26"/>
      <c r="D83" s="22">
        <v>10</v>
      </c>
      <c r="E83" s="22"/>
      <c r="F83" s="25"/>
      <c r="G83" s="26"/>
      <c r="H83" s="17">
        <f t="shared" si="4"/>
        <v>5.25</v>
      </c>
      <c r="I83" s="17">
        <f t="shared" si="5"/>
        <v>54.75</v>
      </c>
      <c r="J83" s="17">
        <f t="shared" si="6"/>
        <v>60</v>
      </c>
    </row>
    <row r="84" ht="15" customHeight="1" spans="1:10">
      <c r="A84" s="24" t="s">
        <v>92</v>
      </c>
      <c r="B84" s="26">
        <v>1.25</v>
      </c>
      <c r="C84" s="26">
        <v>1.25</v>
      </c>
      <c r="D84" s="22"/>
      <c r="E84" s="22"/>
      <c r="F84" s="25"/>
      <c r="G84" s="26"/>
      <c r="H84" s="17">
        <f t="shared" si="4"/>
        <v>6.5</v>
      </c>
      <c r="I84" s="17">
        <f t="shared" si="5"/>
        <v>56</v>
      </c>
      <c r="J84" s="17">
        <f t="shared" si="6"/>
        <v>62.5</v>
      </c>
    </row>
    <row r="85" ht="15" customHeight="1" spans="1:10">
      <c r="A85" s="24" t="s">
        <v>93</v>
      </c>
      <c r="B85" s="26"/>
      <c r="C85" s="26"/>
      <c r="D85" s="22"/>
      <c r="E85" s="22">
        <v>2</v>
      </c>
      <c r="F85" s="25"/>
      <c r="G85" s="26"/>
      <c r="H85" s="17">
        <f t="shared" si="4"/>
        <v>6.5</v>
      </c>
      <c r="I85" s="17">
        <f t="shared" si="5"/>
        <v>54</v>
      </c>
      <c r="J85" s="17">
        <f t="shared" si="6"/>
        <v>60.5</v>
      </c>
    </row>
    <row r="86" ht="15" customHeight="1" spans="1:10">
      <c r="A86" s="24" t="s">
        <v>94</v>
      </c>
      <c r="B86" s="26"/>
      <c r="C86" s="26"/>
      <c r="D86" s="22"/>
      <c r="E86" s="22"/>
      <c r="F86" s="26">
        <v>1</v>
      </c>
      <c r="G86" s="26"/>
      <c r="H86" s="17">
        <f t="shared" si="4"/>
        <v>5.5</v>
      </c>
      <c r="I86" s="17">
        <f t="shared" si="5"/>
        <v>54</v>
      </c>
      <c r="J86" s="17">
        <f t="shared" si="6"/>
        <v>59.5</v>
      </c>
    </row>
    <row r="87" ht="15" customHeight="1" spans="1:10">
      <c r="A87" s="24" t="s">
        <v>95</v>
      </c>
      <c r="B87" s="26"/>
      <c r="C87" s="26"/>
      <c r="D87" s="22"/>
      <c r="E87" s="22"/>
      <c r="F87" s="25"/>
      <c r="G87" s="26">
        <v>1</v>
      </c>
      <c r="H87" s="17">
        <f t="shared" si="4"/>
        <v>5.5</v>
      </c>
      <c r="I87" s="17">
        <f t="shared" si="5"/>
        <v>54</v>
      </c>
      <c r="J87" s="17">
        <f t="shared" si="6"/>
        <v>59.5</v>
      </c>
    </row>
    <row r="88" ht="15" customHeight="1" spans="1:10">
      <c r="A88" s="24" t="s">
        <v>96</v>
      </c>
      <c r="B88" s="26">
        <v>2.5</v>
      </c>
      <c r="C88" s="26">
        <v>2.5</v>
      </c>
      <c r="D88" s="22"/>
      <c r="E88" s="22"/>
      <c r="F88" s="25"/>
      <c r="G88" s="26"/>
      <c r="H88" s="17">
        <f t="shared" si="4"/>
        <v>8</v>
      </c>
      <c r="I88" s="17">
        <f t="shared" si="5"/>
        <v>56.5</v>
      </c>
      <c r="J88" s="17">
        <f t="shared" si="6"/>
        <v>64.5</v>
      </c>
    </row>
    <row r="89" ht="15" customHeight="1" spans="1:10">
      <c r="A89" s="24" t="s">
        <v>97</v>
      </c>
      <c r="B89" s="26"/>
      <c r="C89" s="26"/>
      <c r="D89" s="22"/>
      <c r="E89" s="22"/>
      <c r="F89" s="26">
        <v>1</v>
      </c>
      <c r="G89" s="26"/>
      <c r="H89" s="17">
        <f t="shared" si="4"/>
        <v>7</v>
      </c>
      <c r="I89" s="17">
        <f t="shared" si="5"/>
        <v>56.5</v>
      </c>
      <c r="J89" s="17">
        <f t="shared" si="6"/>
        <v>63.5</v>
      </c>
    </row>
    <row r="90" ht="15" customHeight="1" spans="1:10">
      <c r="A90" s="24" t="s">
        <v>98</v>
      </c>
      <c r="B90" s="26">
        <v>1.25</v>
      </c>
      <c r="C90" s="26">
        <v>1.25</v>
      </c>
      <c r="D90" s="22"/>
      <c r="E90" s="22"/>
      <c r="F90" s="26"/>
      <c r="G90" s="26"/>
      <c r="H90" s="17">
        <f t="shared" si="4"/>
        <v>8.25</v>
      </c>
      <c r="I90" s="17">
        <f t="shared" si="5"/>
        <v>57.75</v>
      </c>
      <c r="J90" s="17">
        <f t="shared" si="6"/>
        <v>66</v>
      </c>
    </row>
    <row r="91" ht="15" customHeight="1" spans="1:10">
      <c r="A91" s="24" t="s">
        <v>99</v>
      </c>
      <c r="B91" s="26"/>
      <c r="C91" s="26"/>
      <c r="D91" s="22"/>
      <c r="E91" s="22"/>
      <c r="F91" s="26">
        <v>3</v>
      </c>
      <c r="G91" s="26"/>
      <c r="H91" s="17">
        <f t="shared" ref="H91:H92" si="7">H90-F91-D91+B91</f>
        <v>5.25</v>
      </c>
      <c r="I91" s="17">
        <f t="shared" ref="I91:I92" si="8">I90-E91+C91</f>
        <v>57.75</v>
      </c>
      <c r="J91" s="17">
        <f t="shared" ref="J91:J92" si="9">SUM(H91:I91)</f>
        <v>63</v>
      </c>
    </row>
    <row r="92" ht="15" customHeight="1" spans="1:10">
      <c r="A92" s="24" t="s">
        <v>100</v>
      </c>
      <c r="B92" s="26"/>
      <c r="C92" s="26"/>
      <c r="D92" s="22"/>
      <c r="E92" s="22"/>
      <c r="F92" s="34">
        <v>1</v>
      </c>
      <c r="G92" s="26"/>
      <c r="H92" s="17">
        <f t="shared" si="7"/>
        <v>4.25</v>
      </c>
      <c r="I92" s="17">
        <f t="shared" si="8"/>
        <v>57.75</v>
      </c>
      <c r="J92" s="17">
        <f t="shared" si="9"/>
        <v>62</v>
      </c>
    </row>
    <row r="93" ht="15" customHeight="1" spans="1:10">
      <c r="A93" s="24" t="s">
        <v>101</v>
      </c>
      <c r="B93" s="26">
        <v>5</v>
      </c>
      <c r="C93" s="26">
        <v>5</v>
      </c>
      <c r="D93" s="22"/>
      <c r="E93" s="22"/>
      <c r="F93" s="26"/>
      <c r="G93" s="26"/>
      <c r="H93" s="17">
        <f t="shared" ref="H93" si="10">H92-F93-D93+B93</f>
        <v>9.25</v>
      </c>
      <c r="I93" s="17">
        <f t="shared" ref="I93" si="11">I92-E93+C93</f>
        <v>62.75</v>
      </c>
      <c r="J93" s="17">
        <f t="shared" ref="J93" si="12">SUM(H93:I93)</f>
        <v>72</v>
      </c>
    </row>
    <row r="94" ht="15" customHeight="1" spans="1:10">
      <c r="A94" s="24" t="s">
        <v>102</v>
      </c>
      <c r="B94" s="26"/>
      <c r="C94" s="26"/>
      <c r="D94" s="22"/>
      <c r="E94" s="22"/>
      <c r="F94" s="26"/>
      <c r="G94" s="33">
        <v>1</v>
      </c>
      <c r="H94" s="17">
        <f t="shared" ref="H94" si="13">H93-F94-D94+B94</f>
        <v>9.25</v>
      </c>
      <c r="I94" s="17">
        <f t="shared" ref="I94" si="14">I93-E94+C94</f>
        <v>62.75</v>
      </c>
      <c r="J94" s="17">
        <f t="shared" ref="J94" si="15">SUM(H94:I94)</f>
        <v>72</v>
      </c>
    </row>
    <row r="95" ht="15" customHeight="1" spans="1:10">
      <c r="A95" s="24" t="s">
        <v>103</v>
      </c>
      <c r="B95" s="26">
        <v>2.5</v>
      </c>
      <c r="C95" s="26">
        <v>2.5</v>
      </c>
      <c r="D95" s="22"/>
      <c r="E95" s="22"/>
      <c r="F95" s="26"/>
      <c r="G95" s="26"/>
      <c r="H95" s="17">
        <f t="shared" ref="H95" si="16">H94-F95-D95+B95</f>
        <v>11.75</v>
      </c>
      <c r="I95" s="17">
        <f t="shared" ref="I95" si="17">I94-E95+C95</f>
        <v>65.25</v>
      </c>
      <c r="J95" s="17">
        <f t="shared" ref="J95" si="18">SUM(H95:I95)</f>
        <v>77</v>
      </c>
    </row>
    <row r="96" ht="15" customHeight="1" spans="1:10">
      <c r="A96" s="24" t="s">
        <v>104</v>
      </c>
      <c r="B96" s="26"/>
      <c r="C96" s="26"/>
      <c r="D96" s="22">
        <v>6.75</v>
      </c>
      <c r="E96" s="22">
        <v>23.25</v>
      </c>
      <c r="F96" s="26"/>
      <c r="G96" s="26"/>
      <c r="H96" s="17">
        <f t="shared" ref="H96" si="19">H95-F96-D96+B96</f>
        <v>5</v>
      </c>
      <c r="I96" s="17">
        <f t="shared" ref="I96" si="20">I95-E96+C96</f>
        <v>42</v>
      </c>
      <c r="J96" s="17">
        <f t="shared" ref="J96" si="21">SUM(H96:I96)</f>
        <v>47</v>
      </c>
    </row>
    <row r="97" ht="15" customHeight="1" spans="1:10">
      <c r="A97" s="24" t="s">
        <v>105</v>
      </c>
      <c r="B97" s="26">
        <v>3.75</v>
      </c>
      <c r="C97" s="26">
        <v>3.75</v>
      </c>
      <c r="D97" s="22"/>
      <c r="E97" s="22"/>
      <c r="F97" s="26"/>
      <c r="G97" s="26"/>
      <c r="H97" s="17">
        <f t="shared" ref="H97:H98" si="22">H96-F97-D97+B97</f>
        <v>8.75</v>
      </c>
      <c r="I97" s="17">
        <f t="shared" ref="I97:I98" si="23">I96-E97+C97</f>
        <v>45.75</v>
      </c>
      <c r="J97" s="17">
        <f t="shared" ref="J97:J98" si="24">SUM(H97:I97)</f>
        <v>54.5</v>
      </c>
    </row>
    <row r="98" ht="15" customHeight="1" spans="1:10">
      <c r="A98" s="24" t="s">
        <v>106</v>
      </c>
      <c r="B98" s="26"/>
      <c r="C98" s="26"/>
      <c r="D98" s="22"/>
      <c r="E98" s="22"/>
      <c r="F98" s="26"/>
      <c r="G98" s="33">
        <v>1</v>
      </c>
      <c r="H98" s="17">
        <f t="shared" si="22"/>
        <v>8.75</v>
      </c>
      <c r="I98" s="17">
        <f t="shared" si="23"/>
        <v>45.75</v>
      </c>
      <c r="J98" s="17">
        <f t="shared" si="24"/>
        <v>54.5</v>
      </c>
    </row>
    <row r="99" ht="15" customHeight="1" spans="1:10">
      <c r="A99" s="24" t="s">
        <v>107</v>
      </c>
      <c r="B99" s="26">
        <v>2.5</v>
      </c>
      <c r="C99" s="26">
        <v>2.5</v>
      </c>
      <c r="D99" s="22"/>
      <c r="E99" s="22"/>
      <c r="F99" s="26"/>
      <c r="G99" s="26"/>
      <c r="H99" s="17">
        <f>H98-F99-D99+B99</f>
        <v>11.25</v>
      </c>
      <c r="I99" s="17">
        <f>I98-E99+C99</f>
        <v>48.25</v>
      </c>
      <c r="J99" s="17">
        <f>SUM(H99:I99)</f>
        <v>59.5</v>
      </c>
    </row>
    <row r="100" ht="15" customHeight="1" spans="1:11">
      <c r="A100" s="145" t="s">
        <v>108</v>
      </c>
      <c r="B100" s="146"/>
      <c r="C100" s="146"/>
      <c r="D100" s="147"/>
      <c r="E100" s="147"/>
      <c r="F100" s="34">
        <v>2</v>
      </c>
      <c r="G100" s="146"/>
      <c r="H100" s="17">
        <f>H99-F100-D100+B100</f>
        <v>9.25</v>
      </c>
      <c r="I100" s="17">
        <f>I99-E100+C100</f>
        <v>48.25</v>
      </c>
      <c r="J100" s="17">
        <f>SUM(H100:I100)</f>
        <v>57.5</v>
      </c>
      <c r="K100" s="149" t="s">
        <v>109</v>
      </c>
    </row>
    <row r="101" ht="15" customHeight="1" spans="1:10">
      <c r="A101" s="145"/>
      <c r="B101" s="146"/>
      <c r="C101" s="146"/>
      <c r="D101" s="147"/>
      <c r="E101" s="147"/>
      <c r="F101" s="146"/>
      <c r="G101" s="146"/>
      <c r="H101" s="148"/>
      <c r="I101" s="148"/>
      <c r="J101" s="148"/>
    </row>
    <row r="102" ht="15" customHeight="1" spans="1:10">
      <c r="A102" s="145"/>
      <c r="B102" s="146"/>
      <c r="C102" s="146"/>
      <c r="D102" s="147"/>
      <c r="E102" s="147"/>
      <c r="F102" s="146"/>
      <c r="G102" s="146"/>
      <c r="H102" s="148"/>
      <c r="I102" s="148"/>
      <c r="J102" s="148"/>
    </row>
    <row r="103" ht="15" customHeight="1" spans="1:10">
      <c r="A103" s="35"/>
      <c r="B103" s="37"/>
      <c r="C103" s="37"/>
      <c r="D103" s="36"/>
      <c r="E103" s="36"/>
      <c r="F103" s="37"/>
      <c r="G103" s="37"/>
      <c r="H103" s="38"/>
      <c r="I103" s="38"/>
      <c r="J103" s="38"/>
    </row>
    <row r="104" ht="15" customHeight="1" spans="1:10">
      <c r="A104" s="35"/>
      <c r="D104" s="36"/>
      <c r="E104" s="36"/>
      <c r="G104" s="37"/>
      <c r="H104" s="38"/>
      <c r="I104" s="38"/>
      <c r="J104" s="38"/>
    </row>
    <row r="105" s="1" customFormat="1" ht="15" customHeight="1" spans="7:7">
      <c r="G105" s="1" t="s">
        <v>110</v>
      </c>
    </row>
    <row r="106" s="1" customFormat="1" ht="15" customHeight="1"/>
    <row r="107" s="1" customFormat="1" ht="15" customHeight="1" spans="7:7">
      <c r="G107" s="39" t="s">
        <v>111</v>
      </c>
    </row>
    <row r="108" s="1" customFormat="1" ht="15" customHeight="1" spans="7:7">
      <c r="G108" s="1" t="s">
        <v>112</v>
      </c>
    </row>
    <row r="109" s="1" customFormat="1" ht="15" customHeight="1" spans="7:7">
      <c r="G109" s="1" t="s">
        <v>113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196850393700787" right="0.236220472440945" top="0.62992125984252" bottom="0.236220472440945" header="0.31496062992126" footer="0.31496062992126"/>
  <pageSetup paperSize="9" scale="69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"/>
  <sheetViews>
    <sheetView view="pageBreakPreview" zoomScaleNormal="100" topLeftCell="A15" workbookViewId="0">
      <selection activeCell="A20" sqref="$A20:$XFD20"/>
    </sheetView>
  </sheetViews>
  <sheetFormatPr defaultColWidth="9" defaultRowHeight="14.4"/>
  <cols>
    <col min="1" max="1" width="23.712962962963" style="104" customWidth="1"/>
    <col min="2" max="2" width="11.4259259259259" style="104" customWidth="1"/>
    <col min="3" max="4" width="9.13888888888889" style="104"/>
    <col min="5" max="5" width="13" style="104" customWidth="1"/>
    <col min="6" max="12" width="9.13888888888889" style="104"/>
  </cols>
  <sheetData>
    <row r="1" spans="1:12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2">
      <c r="A4" s="106" t="s">
        <v>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</row>
    <row r="5" spans="1:12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</row>
    <row r="6" spans="1:12">
      <c r="A6" s="106" t="s">
        <v>2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2">
      <c r="A7" s="106" t="s">
        <v>3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</row>
    <row r="8" spans="1:12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</row>
    <row r="9" spans="1:12">
      <c r="A9" s="105" t="s">
        <v>4</v>
      </c>
      <c r="B9" s="105"/>
      <c r="C9" s="107" t="s">
        <v>5</v>
      </c>
      <c r="D9" s="107"/>
      <c r="E9" s="105"/>
      <c r="F9" s="105"/>
      <c r="G9" s="107" t="s">
        <v>6</v>
      </c>
      <c r="H9" s="108"/>
      <c r="I9" s="105"/>
      <c r="J9" s="105"/>
      <c r="K9" s="105"/>
      <c r="L9" s="105"/>
    </row>
    <row r="10" spans="1:12">
      <c r="A10" s="105"/>
      <c r="B10" s="105"/>
      <c r="C10" s="109"/>
      <c r="D10" s="105"/>
      <c r="E10" s="105"/>
      <c r="F10" s="105"/>
      <c r="G10" s="109"/>
      <c r="H10" s="109"/>
      <c r="I10" s="105"/>
      <c r="J10" s="105"/>
      <c r="K10" s="105"/>
      <c r="L10" s="105"/>
    </row>
    <row r="11" spans="1:12">
      <c r="A11" s="105" t="s">
        <v>7</v>
      </c>
      <c r="B11" s="105"/>
      <c r="C11" s="107" t="s">
        <v>8</v>
      </c>
      <c r="D11" s="107"/>
      <c r="E11" s="105"/>
      <c r="F11" s="105"/>
      <c r="G11" s="107" t="s">
        <v>9</v>
      </c>
      <c r="H11" s="110"/>
      <c r="I11" s="105"/>
      <c r="J11" s="105"/>
      <c r="K11" s="105"/>
      <c r="L11" s="105"/>
    </row>
    <row r="12" ht="21.75" spans="1:12">
      <c r="A12" s="111" t="s">
        <v>114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</row>
    <row r="13" spans="1:12">
      <c r="A13" s="112" t="s">
        <v>11</v>
      </c>
      <c r="B13" s="113" t="s">
        <v>12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34" t="s">
        <v>15</v>
      </c>
    </row>
    <row r="14" spans="1:12">
      <c r="A14" s="115"/>
      <c r="B14" s="116" t="s">
        <v>115</v>
      </c>
      <c r="C14" s="117"/>
      <c r="D14" s="117"/>
      <c r="E14" s="118"/>
      <c r="F14" s="116" t="s">
        <v>116</v>
      </c>
      <c r="G14" s="118"/>
      <c r="H14" s="116" t="s">
        <v>117</v>
      </c>
      <c r="I14" s="118"/>
      <c r="J14" s="116" t="s">
        <v>118</v>
      </c>
      <c r="K14" s="118"/>
      <c r="L14" s="135"/>
    </row>
    <row r="15" ht="37.5" customHeight="1" spans="1:12">
      <c r="A15" s="119" t="s">
        <v>119</v>
      </c>
      <c r="B15" s="120" t="s">
        <v>120</v>
      </c>
      <c r="C15" s="121"/>
      <c r="D15" s="121"/>
      <c r="E15" s="122"/>
      <c r="F15" s="120">
        <v>3</v>
      </c>
      <c r="G15" s="122"/>
      <c r="H15" s="120">
        <v>0</v>
      </c>
      <c r="I15" s="122"/>
      <c r="J15" s="120">
        <v>3</v>
      </c>
      <c r="K15" s="122"/>
      <c r="L15" s="136">
        <v>3</v>
      </c>
    </row>
    <row r="16" ht="33.75" customHeight="1" spans="1:12">
      <c r="A16" s="123" t="s">
        <v>121</v>
      </c>
      <c r="B16" s="120" t="s">
        <v>120</v>
      </c>
      <c r="C16" s="121"/>
      <c r="D16" s="121"/>
      <c r="E16" s="122"/>
      <c r="F16" s="124"/>
      <c r="G16" s="125"/>
      <c r="H16" s="124">
        <v>1</v>
      </c>
      <c r="I16" s="125"/>
      <c r="J16" s="124">
        <v>2</v>
      </c>
      <c r="K16" s="125"/>
      <c r="L16" s="137">
        <v>2</v>
      </c>
    </row>
    <row r="17" ht="39" customHeight="1" spans="1:12">
      <c r="A17" s="123" t="s">
        <v>122</v>
      </c>
      <c r="B17" s="120" t="s">
        <v>120</v>
      </c>
      <c r="C17" s="121"/>
      <c r="D17" s="121"/>
      <c r="E17" s="122"/>
      <c r="F17" s="124"/>
      <c r="G17" s="125"/>
      <c r="H17" s="124">
        <v>1</v>
      </c>
      <c r="I17" s="125"/>
      <c r="J17" s="124">
        <v>1</v>
      </c>
      <c r="K17" s="125"/>
      <c r="L17" s="137">
        <v>1</v>
      </c>
    </row>
    <row r="18" ht="34.5" customHeight="1" spans="1:12">
      <c r="A18" s="126" t="s">
        <v>123</v>
      </c>
      <c r="B18" s="120" t="s">
        <v>120</v>
      </c>
      <c r="C18" s="121"/>
      <c r="D18" s="121"/>
      <c r="E18" s="122"/>
      <c r="F18" s="124"/>
      <c r="G18" s="125"/>
      <c r="H18" s="124">
        <v>1</v>
      </c>
      <c r="I18" s="125"/>
      <c r="J18" s="124">
        <v>0</v>
      </c>
      <c r="K18" s="125"/>
      <c r="L18" s="138">
        <v>0</v>
      </c>
    </row>
    <row r="19" ht="37.5" customHeight="1" spans="1:12">
      <c r="A19" s="119" t="s">
        <v>124</v>
      </c>
      <c r="B19" s="120" t="s">
        <v>125</v>
      </c>
      <c r="C19" s="121"/>
      <c r="D19" s="121"/>
      <c r="E19" s="122"/>
      <c r="F19" s="120">
        <v>3</v>
      </c>
      <c r="G19" s="122"/>
      <c r="H19" s="120">
        <v>0</v>
      </c>
      <c r="I19" s="122"/>
      <c r="J19" s="120">
        <v>3</v>
      </c>
      <c r="K19" s="122"/>
      <c r="L19" s="136">
        <v>3</v>
      </c>
    </row>
    <row r="20" ht="33.75" customHeight="1" spans="1:12">
      <c r="A20" s="123" t="s">
        <v>126</v>
      </c>
      <c r="B20" s="120" t="s">
        <v>125</v>
      </c>
      <c r="C20" s="121"/>
      <c r="D20" s="121"/>
      <c r="E20" s="122"/>
      <c r="F20" s="124"/>
      <c r="G20" s="125"/>
      <c r="H20" s="124">
        <v>1</v>
      </c>
      <c r="I20" s="125"/>
      <c r="J20" s="124">
        <v>2</v>
      </c>
      <c r="K20" s="125"/>
      <c r="L20" s="137">
        <v>2</v>
      </c>
    </row>
    <row r="21" ht="33.75" customHeight="1" spans="1:12">
      <c r="A21" s="123" t="s">
        <v>127</v>
      </c>
      <c r="B21" s="120" t="s">
        <v>125</v>
      </c>
      <c r="C21" s="121"/>
      <c r="D21" s="121"/>
      <c r="E21" s="122"/>
      <c r="F21" s="124"/>
      <c r="G21" s="125"/>
      <c r="H21" s="124">
        <v>2</v>
      </c>
      <c r="I21" s="125"/>
      <c r="J21" s="124">
        <v>0</v>
      </c>
      <c r="K21" s="125"/>
      <c r="L21" s="139">
        <v>0</v>
      </c>
    </row>
    <row r="22" spans="1:12">
      <c r="A22" s="127" t="s">
        <v>128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40"/>
    </row>
    <row r="23" ht="4.5" customHeight="1" spans="1:12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2">
      <c r="A24" s="105"/>
      <c r="B24" s="105"/>
      <c r="C24" s="130"/>
      <c r="D24" s="105"/>
      <c r="E24" s="105"/>
      <c r="F24" s="105"/>
      <c r="G24" s="105"/>
      <c r="H24" s="105"/>
      <c r="I24" s="105" t="s">
        <v>110</v>
      </c>
      <c r="J24" s="105"/>
      <c r="K24" s="105"/>
      <c r="L24" s="105"/>
    </row>
    <row r="25" ht="12.75" customHeight="1" spans="1:12">
      <c r="A25" s="105"/>
      <c r="B25" s="105"/>
      <c r="C25" s="130"/>
      <c r="D25" s="105"/>
      <c r="E25" s="105"/>
      <c r="F25" s="105"/>
      <c r="G25" s="105"/>
      <c r="H25" s="105"/>
      <c r="I25" s="105"/>
      <c r="J25" s="105"/>
      <c r="K25" s="105"/>
      <c r="L25" s="105"/>
    </row>
    <row r="26" spans="1:10">
      <c r="A26" s="131"/>
      <c r="B26" s="131"/>
      <c r="I26" s="141" t="s">
        <v>111</v>
      </c>
      <c r="J26" s="142"/>
    </row>
    <row r="27" spans="1:9">
      <c r="A27" s="132"/>
      <c r="B27" s="132"/>
      <c r="I27" s="104" t="s">
        <v>112</v>
      </c>
    </row>
    <row r="28" spans="1:10">
      <c r="A28" s="133"/>
      <c r="B28" s="133"/>
      <c r="I28" s="133" t="s">
        <v>129</v>
      </c>
      <c r="J28" s="133"/>
    </row>
  </sheetData>
  <mergeCells count="45">
    <mergeCell ref="A4:L4"/>
    <mergeCell ref="A5:L5"/>
    <mergeCell ref="A6:L6"/>
    <mergeCell ref="A7:L7"/>
    <mergeCell ref="A12:L12"/>
    <mergeCell ref="B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23:L23"/>
    <mergeCell ref="A26:B26"/>
    <mergeCell ref="A27:B27"/>
    <mergeCell ref="A28:B28"/>
    <mergeCell ref="I28:J28"/>
    <mergeCell ref="A13:A14"/>
    <mergeCell ref="L13:L14"/>
  </mergeCells>
  <pageMargins left="0.7" right="0.7" top="0.75" bottom="0.75" header="0.3" footer="0.3"/>
  <pageSetup paperSize="9" scale="67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view="pageBreakPreview" zoomScale="93" zoomScaleNormal="100" workbookViewId="0">
      <selection activeCell="G15" sqref="G15:H15"/>
    </sheetView>
  </sheetViews>
  <sheetFormatPr defaultColWidth="9" defaultRowHeight="14.4"/>
  <cols>
    <col min="1" max="1" width="29.5740740740741" customWidth="1"/>
    <col min="2" max="2" width="19.5740740740741" customWidth="1"/>
    <col min="6" max="6" width="7.71296296296296" customWidth="1"/>
    <col min="8" max="8" width="7.42592592592593" customWidth="1"/>
    <col min="9" max="9" width="7.57407407407407" customWidth="1"/>
    <col min="10" max="10" width="5.13888888888889" customWidth="1"/>
    <col min="11" max="11" width="7.13888888888889" customWidth="1"/>
    <col min="12" max="12" width="3.85185185185185" customWidth="1"/>
    <col min="13" max="13" width="8" customWidth="1"/>
  </cols>
  <sheetData>
    <row r="1" s="1" customFormat="1" ht="52.5" customHeight="1"/>
    <row r="2" s="1" customFormat="1" ht="10.5" customHeight="1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15.95" customHeight="1" spans="1:1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="1" customFormat="1" ht="15.95" customHeight="1" spans="1:1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="1" customFormat="1" ht="15.95" customHeight="1" spans="1:11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="1" customFormat="1" ht="8.25" customHeight="1"/>
    <row r="7" s="1" customFormat="1" ht="12" customHeight="1" spans="1:11">
      <c r="A7" s="1" t="s">
        <v>4</v>
      </c>
      <c r="B7" s="4" t="s">
        <v>5</v>
      </c>
      <c r="C7" s="4"/>
      <c r="D7" s="4"/>
      <c r="H7" s="5" t="s">
        <v>6</v>
      </c>
      <c r="I7" s="27"/>
      <c r="J7" s="27"/>
      <c r="K7" s="5"/>
    </row>
    <row r="8" s="1" customFormat="1" ht="12" customHeight="1" spans="2:11">
      <c r="B8" s="6"/>
      <c r="C8" s="6"/>
      <c r="H8" s="6"/>
      <c r="I8" s="6"/>
      <c r="J8" s="6"/>
      <c r="K8" s="6"/>
    </row>
    <row r="9" s="1" customFormat="1" ht="12" customHeight="1" spans="1:11">
      <c r="A9" s="1" t="s">
        <v>7</v>
      </c>
      <c r="B9" s="4" t="s">
        <v>8</v>
      </c>
      <c r="C9" s="4"/>
      <c r="D9" s="4"/>
      <c r="H9" s="5" t="s">
        <v>9</v>
      </c>
      <c r="I9" s="28"/>
      <c r="J9" s="28"/>
      <c r="K9" s="5"/>
    </row>
    <row r="10" ht="16.5" customHeight="1" spans="1:13">
      <c r="A10" s="7" t="s">
        <v>130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="72" customFormat="1" ht="18.75" customHeight="1" spans="1:13">
      <c r="A11" s="74" t="s">
        <v>131</v>
      </c>
      <c r="B11" s="75" t="s">
        <v>11</v>
      </c>
      <c r="C11" s="76" t="s">
        <v>132</v>
      </c>
      <c r="D11" s="77"/>
      <c r="E11" s="76" t="s">
        <v>133</v>
      </c>
      <c r="F11" s="77"/>
      <c r="G11" s="76" t="s">
        <v>116</v>
      </c>
      <c r="H11" s="77"/>
      <c r="I11" s="76" t="s">
        <v>117</v>
      </c>
      <c r="J11" s="77"/>
      <c r="K11" s="76" t="s">
        <v>118</v>
      </c>
      <c r="L11" s="77"/>
      <c r="M11" s="97" t="s">
        <v>15</v>
      </c>
    </row>
    <row r="12" s="72" customFormat="1" ht="18.75" customHeight="1" spans="1:13">
      <c r="A12" s="78"/>
      <c r="B12" s="79"/>
      <c r="C12" s="80"/>
      <c r="D12" s="81"/>
      <c r="E12" s="80"/>
      <c r="F12" s="81"/>
      <c r="G12" s="80"/>
      <c r="H12" s="81"/>
      <c r="I12" s="80"/>
      <c r="J12" s="81"/>
      <c r="K12" s="80"/>
      <c r="L12" s="81"/>
      <c r="M12" s="98"/>
    </row>
    <row r="13" s="72" customFormat="1" ht="24" customHeight="1" spans="1:13">
      <c r="A13" s="82"/>
      <c r="B13" s="83"/>
      <c r="C13" s="84"/>
      <c r="D13" s="85"/>
      <c r="E13" s="84"/>
      <c r="F13" s="85"/>
      <c r="G13" s="84"/>
      <c r="H13" s="85"/>
      <c r="I13" s="84"/>
      <c r="J13" s="85"/>
      <c r="K13" s="84"/>
      <c r="L13" s="85"/>
      <c r="M13" s="99"/>
    </row>
    <row r="14" s="72" customFormat="1" ht="32.1" customHeight="1" spans="1:13">
      <c r="A14" s="86" t="s">
        <v>134</v>
      </c>
      <c r="B14" s="87" t="s">
        <v>135</v>
      </c>
      <c r="C14" s="88" t="s">
        <v>136</v>
      </c>
      <c r="D14" s="89"/>
      <c r="E14" s="88"/>
      <c r="F14" s="89"/>
      <c r="G14" s="90">
        <v>5</v>
      </c>
      <c r="H14" s="91"/>
      <c r="I14" s="90">
        <v>0</v>
      </c>
      <c r="J14" s="91"/>
      <c r="K14" s="90">
        <f>G14-I14</f>
        <v>5</v>
      </c>
      <c r="L14" s="91"/>
      <c r="M14" s="100">
        <v>5</v>
      </c>
    </row>
    <row r="15" s="73" customFormat="1" ht="39" customHeight="1" spans="1:13">
      <c r="A15" s="86"/>
      <c r="B15" s="92" t="s">
        <v>137</v>
      </c>
      <c r="C15" s="88"/>
      <c r="D15" s="89"/>
      <c r="E15" s="88"/>
      <c r="F15" s="89"/>
      <c r="G15" s="90"/>
      <c r="H15" s="91"/>
      <c r="I15" s="90">
        <v>1</v>
      </c>
      <c r="J15" s="91"/>
      <c r="K15" s="90">
        <v>4</v>
      </c>
      <c r="L15" s="91"/>
      <c r="M15" s="100">
        <v>4</v>
      </c>
    </row>
    <row r="16" s="73" customFormat="1" ht="39" customHeight="1" spans="1:13">
      <c r="A16" s="93"/>
      <c r="B16" s="93" t="s">
        <v>138</v>
      </c>
      <c r="C16" s="88"/>
      <c r="D16" s="89"/>
      <c r="E16" s="88"/>
      <c r="F16" s="89"/>
      <c r="G16" s="90"/>
      <c r="H16" s="91"/>
      <c r="I16" s="90">
        <v>1</v>
      </c>
      <c r="J16" s="91"/>
      <c r="K16" s="90">
        <v>3</v>
      </c>
      <c r="L16" s="91"/>
      <c r="M16" s="101">
        <v>3</v>
      </c>
    </row>
    <row r="17" s="73" customFormat="1" ht="31.5" customHeight="1" spans="1:13">
      <c r="A17" s="93"/>
      <c r="B17" s="93" t="s">
        <v>139</v>
      </c>
      <c r="C17" s="88"/>
      <c r="D17" s="89"/>
      <c r="E17" s="88"/>
      <c r="F17" s="94"/>
      <c r="G17" s="90"/>
      <c r="H17" s="91"/>
      <c r="I17" s="90">
        <v>1</v>
      </c>
      <c r="J17" s="91"/>
      <c r="K17" s="90">
        <v>2</v>
      </c>
      <c r="L17" s="91"/>
      <c r="M17" s="101">
        <v>2</v>
      </c>
    </row>
    <row r="18" s="73" customFormat="1" ht="27" customHeight="1" spans="1:13">
      <c r="A18" s="93"/>
      <c r="B18" s="87" t="s">
        <v>140</v>
      </c>
      <c r="C18" s="88"/>
      <c r="D18" s="89"/>
      <c r="E18" s="88"/>
      <c r="F18" s="94"/>
      <c r="G18" s="88"/>
      <c r="H18" s="94"/>
      <c r="I18" s="88">
        <v>1</v>
      </c>
      <c r="J18" s="94"/>
      <c r="K18" s="88">
        <v>0</v>
      </c>
      <c r="L18" s="94"/>
      <c r="M18" s="102">
        <v>0</v>
      </c>
    </row>
    <row r="19" s="73" customFormat="1" ht="27" customHeight="1" spans="1:13">
      <c r="A19" s="93"/>
      <c r="B19" s="87"/>
      <c r="C19" s="88"/>
      <c r="D19" s="89"/>
      <c r="E19" s="88"/>
      <c r="F19" s="94"/>
      <c r="G19" s="88"/>
      <c r="H19" s="94"/>
      <c r="I19" s="88"/>
      <c r="J19" s="94"/>
      <c r="K19" s="88"/>
      <c r="L19" s="94"/>
      <c r="M19" s="103"/>
    </row>
    <row r="20" s="1" customFormat="1" ht="75.75" customHeight="1" spans="1:13">
      <c r="A20" s="95"/>
      <c r="B20" s="95"/>
      <c r="D20" s="96"/>
      <c r="K20" s="1" t="s">
        <v>141</v>
      </c>
      <c r="M20" s="95"/>
    </row>
    <row r="21" s="1" customFormat="1" spans="4:4">
      <c r="D21" s="96"/>
    </row>
    <row r="22" s="1" customFormat="1" spans="4:4">
      <c r="D22" s="96"/>
    </row>
  </sheetData>
  <mergeCells count="46">
    <mergeCell ref="A2:K2"/>
    <mergeCell ref="A3:K3"/>
    <mergeCell ref="A4:K4"/>
    <mergeCell ref="A5:K5"/>
    <mergeCell ref="B7:D7"/>
    <mergeCell ref="I7:J7"/>
    <mergeCell ref="B9:D9"/>
    <mergeCell ref="A10:M10"/>
    <mergeCell ref="C14:D14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A11:A13"/>
    <mergeCell ref="B11:B13"/>
    <mergeCell ref="M11:M13"/>
    <mergeCell ref="C11:D13"/>
    <mergeCell ref="E11:F13"/>
    <mergeCell ref="G11:H13"/>
    <mergeCell ref="I11:J13"/>
    <mergeCell ref="K11:L13"/>
  </mergeCells>
  <pageMargins left="0.7" right="0.7" top="0.75" bottom="0.75" header="0.3" footer="0.3"/>
  <pageSetup paperSize="9" scale="9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view="pageBreakPreview" zoomScaleNormal="100" workbookViewId="0">
      <selection activeCell="D22" sqref="D22"/>
    </sheetView>
  </sheetViews>
  <sheetFormatPr defaultColWidth="9" defaultRowHeight="14.4" outlineLevelCol="6"/>
  <cols>
    <col min="1" max="1" width="9.85185185185185" customWidth="1"/>
    <col min="2" max="2" width="18.1388888888889" customWidth="1"/>
    <col min="3" max="3" width="19.5740740740741" customWidth="1"/>
    <col min="4" max="4" width="56.4259259259259" customWidth="1"/>
    <col min="5" max="5" width="12.4259259259259" customWidth="1"/>
    <col min="6" max="6" width="13.4259259259259" customWidth="1"/>
    <col min="7" max="7" width="15.1388888888889" customWidth="1"/>
  </cols>
  <sheetData>
    <row r="1" ht="58.5" customHeight="1"/>
    <row r="2" ht="15.95" customHeight="1" spans="1:7">
      <c r="A2" s="42" t="s">
        <v>0</v>
      </c>
      <c r="B2" s="35"/>
      <c r="C2" s="35"/>
      <c r="D2" s="35"/>
      <c r="E2" s="35"/>
      <c r="F2" s="35"/>
      <c r="G2" s="35"/>
    </row>
    <row r="3" ht="15.95" customHeight="1" spans="1:7">
      <c r="A3" s="35" t="s">
        <v>1</v>
      </c>
      <c r="B3" s="35"/>
      <c r="C3" s="35"/>
      <c r="D3" s="35"/>
      <c r="E3" s="35"/>
      <c r="F3" s="35"/>
      <c r="G3" s="35"/>
    </row>
    <row r="4" ht="15.95" customHeight="1" spans="1:7">
      <c r="A4" s="35" t="s">
        <v>2</v>
      </c>
      <c r="B4" s="35"/>
      <c r="C4" s="35"/>
      <c r="D4" s="35"/>
      <c r="E4" s="35"/>
      <c r="F4" s="35"/>
      <c r="G4" s="35"/>
    </row>
    <row r="5" ht="15.95" customHeight="1" spans="1:7">
      <c r="A5" s="35" t="s">
        <v>3</v>
      </c>
      <c r="B5" s="35"/>
      <c r="C5" s="35"/>
      <c r="D5" s="35"/>
      <c r="E5" s="35"/>
      <c r="F5" s="35"/>
      <c r="G5" s="35"/>
    </row>
    <row r="6" ht="19.5" customHeight="1" spans="1:7">
      <c r="A6" s="43"/>
      <c r="B6" s="43"/>
      <c r="C6" s="43"/>
      <c r="D6" s="43"/>
      <c r="E6" s="43"/>
      <c r="F6" s="43"/>
      <c r="G6" s="43"/>
    </row>
    <row r="7" ht="12" customHeight="1" spans="1:7">
      <c r="A7" s="1" t="s">
        <v>142</v>
      </c>
      <c r="B7" s="27" t="s">
        <v>143</v>
      </c>
      <c r="C7" s="5"/>
      <c r="D7" s="5"/>
      <c r="E7" s="44" t="s">
        <v>6</v>
      </c>
      <c r="F7" s="28"/>
      <c r="G7" s="45"/>
    </row>
    <row r="8" ht="12" customHeight="1" spans="1:7">
      <c r="A8" s="1"/>
      <c r="B8" s="46"/>
      <c r="C8" s="6"/>
      <c r="D8" s="6"/>
      <c r="E8" s="47"/>
      <c r="F8" s="1"/>
      <c r="G8" s="1"/>
    </row>
    <row r="9" ht="12" customHeight="1" spans="1:7">
      <c r="A9" s="1" t="s">
        <v>144</v>
      </c>
      <c r="B9" s="27" t="s">
        <v>145</v>
      </c>
      <c r="C9" s="5"/>
      <c r="D9" s="6"/>
      <c r="E9" s="44" t="s">
        <v>9</v>
      </c>
      <c r="F9" s="48"/>
      <c r="G9" s="45"/>
    </row>
    <row r="10" ht="24.75" customHeight="1" spans="1:7">
      <c r="A10" s="7" t="s">
        <v>146</v>
      </c>
      <c r="B10" s="7"/>
      <c r="C10" s="7"/>
      <c r="D10" s="7"/>
      <c r="E10" s="7"/>
      <c r="F10" s="7"/>
      <c r="G10" s="7"/>
    </row>
    <row r="11" s="35" customFormat="1" ht="29.25" customHeight="1" spans="1:7">
      <c r="A11" s="49" t="s">
        <v>147</v>
      </c>
      <c r="B11" s="50"/>
      <c r="C11" s="51" t="s">
        <v>148</v>
      </c>
      <c r="D11" s="52" t="s">
        <v>149</v>
      </c>
      <c r="E11" s="51" t="s">
        <v>150</v>
      </c>
      <c r="F11" s="51" t="s">
        <v>151</v>
      </c>
      <c r="G11" s="53" t="s">
        <v>14</v>
      </c>
    </row>
    <row r="12" ht="29.25" customHeight="1" spans="1:7">
      <c r="A12" s="54" t="s">
        <v>152</v>
      </c>
      <c r="B12" s="55"/>
      <c r="C12" s="56" t="s">
        <v>153</v>
      </c>
      <c r="D12" s="56" t="s">
        <v>154</v>
      </c>
      <c r="E12" s="57">
        <v>1</v>
      </c>
      <c r="F12" s="58">
        <v>1</v>
      </c>
      <c r="G12" s="59">
        <f>E12-F12</f>
        <v>0</v>
      </c>
    </row>
    <row r="13" ht="24" customHeight="1" spans="1:7">
      <c r="A13" s="54" t="s">
        <v>155</v>
      </c>
      <c r="B13" s="55"/>
      <c r="C13" s="56" t="s">
        <v>156</v>
      </c>
      <c r="D13" s="56" t="s">
        <v>157</v>
      </c>
      <c r="E13" s="57">
        <v>1</v>
      </c>
      <c r="F13" s="58">
        <v>0</v>
      </c>
      <c r="G13" s="60">
        <v>1</v>
      </c>
    </row>
    <row r="14" ht="26.25" customHeight="1" spans="1:7">
      <c r="A14" s="54" t="s">
        <v>158</v>
      </c>
      <c r="B14" s="55"/>
      <c r="C14" s="56"/>
      <c r="D14" s="56"/>
      <c r="E14" s="57">
        <v>1</v>
      </c>
      <c r="F14" s="58">
        <v>0</v>
      </c>
      <c r="G14" s="59">
        <v>0</v>
      </c>
    </row>
    <row r="15" spans="1:7">
      <c r="A15" s="61"/>
      <c r="B15" s="62"/>
      <c r="C15" s="62"/>
      <c r="D15" s="62"/>
      <c r="E15" s="62"/>
      <c r="F15" s="62"/>
      <c r="G15" s="63"/>
    </row>
    <row r="16" spans="1:7">
      <c r="A16" s="61" t="s">
        <v>159</v>
      </c>
      <c r="B16" s="62"/>
      <c r="C16" s="62"/>
      <c r="D16" s="62"/>
      <c r="E16" s="62"/>
      <c r="F16" s="62"/>
      <c r="G16" s="63"/>
    </row>
    <row r="17" s="41" customFormat="1" ht="30" customHeight="1" spans="1:7">
      <c r="A17" s="64" t="s">
        <v>160</v>
      </c>
      <c r="B17" s="65"/>
      <c r="C17" s="65"/>
      <c r="D17" s="65"/>
      <c r="E17" s="65"/>
      <c r="F17" s="66"/>
      <c r="G17" s="67">
        <f>G12</f>
        <v>0</v>
      </c>
    </row>
    <row r="18" ht="10.5" customHeight="1" spans="1:7">
      <c r="A18" s="37"/>
      <c r="B18" s="37"/>
      <c r="C18" s="68"/>
      <c r="D18" s="68"/>
      <c r="E18" s="68"/>
      <c r="F18" s="68"/>
      <c r="G18" s="68"/>
    </row>
    <row r="19" ht="18.75" customHeight="1" spans="4:7">
      <c r="D19" s="68"/>
      <c r="E19" s="69" t="s">
        <v>161</v>
      </c>
      <c r="F19" s="69"/>
      <c r="G19" s="68"/>
    </row>
    <row r="20" ht="18.75" customHeight="1" spans="4:7">
      <c r="D20" s="68"/>
      <c r="E20" s="37"/>
      <c r="F20" s="37"/>
      <c r="G20" s="68"/>
    </row>
    <row r="21" ht="18.75" customHeight="1" spans="4:7">
      <c r="D21" s="68"/>
      <c r="E21" s="70" t="s">
        <v>111</v>
      </c>
      <c r="F21" s="70"/>
      <c r="G21" s="70"/>
    </row>
    <row r="22" ht="18.75" customHeight="1" spans="4:7">
      <c r="D22" s="68"/>
      <c r="E22" s="71" t="s">
        <v>112</v>
      </c>
      <c r="F22" s="71"/>
      <c r="G22" s="71"/>
    </row>
    <row r="23" ht="18.75" customHeight="1" spans="4:7">
      <c r="D23" s="68"/>
      <c r="E23" s="71" t="s">
        <v>129</v>
      </c>
      <c r="F23" s="71"/>
      <c r="G23" s="68"/>
    </row>
  </sheetData>
  <mergeCells count="18">
    <mergeCell ref="A2:G2"/>
    <mergeCell ref="A3:G3"/>
    <mergeCell ref="A4:G4"/>
    <mergeCell ref="A5:G5"/>
    <mergeCell ref="A6:G6"/>
    <mergeCell ref="A10:G10"/>
    <mergeCell ref="A11:B11"/>
    <mergeCell ref="A12:B12"/>
    <mergeCell ref="A13:B13"/>
    <mergeCell ref="A14:B14"/>
    <mergeCell ref="A15:G15"/>
    <mergeCell ref="A16:G16"/>
    <mergeCell ref="A17:F17"/>
    <mergeCell ref="E19:F19"/>
    <mergeCell ref="E20:F20"/>
    <mergeCell ref="E21:G21"/>
    <mergeCell ref="E22:G22"/>
    <mergeCell ref="E23:F23"/>
  </mergeCells>
  <printOptions horizontalCentered="1"/>
  <pageMargins left="0.236220472440945" right="0.236220472440945" top="0.236220472440945" bottom="0.236220472440945" header="0.31496062992126" footer="0.31496062992126"/>
  <pageSetup paperSize="9" scale="68" fitToHeight="0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9"/>
  <sheetViews>
    <sheetView view="pageBreakPreview" zoomScaleNormal="100" topLeftCell="A77" workbookViewId="0">
      <selection activeCell="A91" sqref="A91:J93"/>
    </sheetView>
  </sheetViews>
  <sheetFormatPr defaultColWidth="9" defaultRowHeight="14.4"/>
  <cols>
    <col min="1" max="1" width="39.5740740740741" customWidth="1"/>
    <col min="2" max="10" width="11.5740740740741" customWidth="1"/>
    <col min="11" max="11" width="26.4259259259259" style="2" customWidth="1"/>
  </cols>
  <sheetData>
    <row r="1" s="1" customFormat="1" ht="52.5" customHeight="1"/>
    <row r="2" s="1" customFormat="1" ht="10.5" customHeight="1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15.95" customHeight="1" spans="1:10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="1" customFormat="1" ht="15.95" customHeight="1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="1" customFormat="1" ht="15.95" customHeight="1" spans="1:10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s="1" customFormat="1" ht="8.25" customHeight="1"/>
    <row r="7" s="1" customFormat="1" ht="12" customHeight="1" spans="1:10">
      <c r="A7" s="1" t="s">
        <v>4</v>
      </c>
      <c r="B7" s="4" t="s">
        <v>5</v>
      </c>
      <c r="C7" s="4"/>
      <c r="D7" s="4"/>
      <c r="H7" s="5" t="s">
        <v>6</v>
      </c>
      <c r="I7" s="27"/>
      <c r="J7" s="5"/>
    </row>
    <row r="8" s="1" customFormat="1" ht="12" customHeight="1" spans="2:10">
      <c r="B8" s="6"/>
      <c r="C8" s="6"/>
      <c r="H8" s="6"/>
      <c r="I8" s="6"/>
      <c r="J8" s="6"/>
    </row>
    <row r="9" s="1" customFormat="1" ht="12" customHeight="1" spans="1:10">
      <c r="A9" s="1" t="s">
        <v>7</v>
      </c>
      <c r="B9" s="4" t="s">
        <v>8</v>
      </c>
      <c r="C9" s="4"/>
      <c r="D9" s="4"/>
      <c r="H9" s="5" t="s">
        <v>9</v>
      </c>
      <c r="I9" s="28"/>
      <c r="J9" s="5"/>
    </row>
    <row r="10" ht="16.5" customHeight="1" spans="1:11">
      <c r="A10" s="7" t="s">
        <v>10</v>
      </c>
      <c r="B10" s="7"/>
      <c r="C10" s="7"/>
      <c r="D10" s="7"/>
      <c r="E10" s="7"/>
      <c r="F10" s="7"/>
      <c r="G10" s="7"/>
      <c r="H10" s="7"/>
      <c r="I10" s="7"/>
      <c r="J10" s="7"/>
      <c r="K10"/>
    </row>
    <row r="11" ht="15" customHeight="1" spans="1:11">
      <c r="A11" s="8" t="s">
        <v>11</v>
      </c>
      <c r="B11" s="9" t="s">
        <v>12</v>
      </c>
      <c r="C11" s="9"/>
      <c r="D11" s="10" t="s">
        <v>13</v>
      </c>
      <c r="E11" s="11"/>
      <c r="F11" s="11"/>
      <c r="G11" s="12"/>
      <c r="H11" s="13" t="s">
        <v>14</v>
      </c>
      <c r="I11" s="13"/>
      <c r="J11" s="29" t="s">
        <v>15</v>
      </c>
      <c r="K11" s="30" t="s">
        <v>16</v>
      </c>
    </row>
    <row r="12" ht="15" customHeight="1" spans="1:11">
      <c r="A12" s="14"/>
      <c r="B12" s="15" t="s">
        <v>17</v>
      </c>
      <c r="C12" s="15" t="s">
        <v>18</v>
      </c>
      <c r="D12" s="15" t="s">
        <v>17</v>
      </c>
      <c r="E12" s="15" t="s">
        <v>18</v>
      </c>
      <c r="F12" s="15" t="s">
        <v>19</v>
      </c>
      <c r="G12" s="15" t="s">
        <v>20</v>
      </c>
      <c r="H12" s="15" t="s">
        <v>17</v>
      </c>
      <c r="I12" s="15" t="s">
        <v>18</v>
      </c>
      <c r="J12" s="31"/>
      <c r="K12" s="30"/>
    </row>
    <row r="13" ht="15" customHeight="1" spans="1:10">
      <c r="A13" s="16" t="s">
        <v>21</v>
      </c>
      <c r="B13" s="17">
        <v>1</v>
      </c>
      <c r="C13" s="17">
        <v>1</v>
      </c>
      <c r="D13" s="17"/>
      <c r="E13" s="17"/>
      <c r="F13" s="17"/>
      <c r="G13" s="17"/>
      <c r="H13" s="17">
        <v>1</v>
      </c>
      <c r="I13" s="17">
        <v>1</v>
      </c>
      <c r="J13" s="32">
        <f>SUM(H13:I13)</f>
        <v>2</v>
      </c>
    </row>
    <row r="14" ht="15" customHeight="1" spans="1:10">
      <c r="A14" s="16" t="s">
        <v>22</v>
      </c>
      <c r="B14" s="17">
        <v>1.25</v>
      </c>
      <c r="C14" s="17">
        <v>1.25</v>
      </c>
      <c r="D14" s="17"/>
      <c r="E14" s="17"/>
      <c r="F14" s="17"/>
      <c r="G14" s="17"/>
      <c r="H14" s="17">
        <f>H13-F14-D14+B14</f>
        <v>2.25</v>
      </c>
      <c r="I14" s="17">
        <f>I13-E14+C14</f>
        <v>2.25</v>
      </c>
      <c r="J14" s="32">
        <f t="shared" ref="J14" si="0">SUM(H14:I14)</f>
        <v>4.5</v>
      </c>
    </row>
    <row r="15" ht="15" customHeight="1" spans="1:10">
      <c r="A15" s="16" t="s">
        <v>23</v>
      </c>
      <c r="B15" s="17">
        <v>15</v>
      </c>
      <c r="C15" s="17">
        <v>15</v>
      </c>
      <c r="D15" s="17"/>
      <c r="E15" s="17"/>
      <c r="F15" s="17"/>
      <c r="G15" s="17"/>
      <c r="H15" s="17">
        <f t="shared" ref="H15:H78" si="1">H14-F15-D15+B15</f>
        <v>17.25</v>
      </c>
      <c r="I15" s="17">
        <f t="shared" ref="I15:I78" si="2">I14-E15+C15</f>
        <v>17.25</v>
      </c>
      <c r="J15" s="32">
        <f t="shared" ref="J15:J78" si="3">SUM(H15:I15)</f>
        <v>34.5</v>
      </c>
    </row>
    <row r="16" ht="15" customHeight="1" spans="1:10">
      <c r="A16" s="16" t="s">
        <v>24</v>
      </c>
      <c r="B16" s="17"/>
      <c r="C16" s="17"/>
      <c r="D16" s="17"/>
      <c r="E16" s="17"/>
      <c r="F16" s="17">
        <v>5</v>
      </c>
      <c r="G16" s="17"/>
      <c r="H16" s="17">
        <f t="shared" si="1"/>
        <v>12.25</v>
      </c>
      <c r="I16" s="17">
        <f t="shared" si="2"/>
        <v>17.25</v>
      </c>
      <c r="J16" s="32">
        <f t="shared" si="3"/>
        <v>29.5</v>
      </c>
    </row>
    <row r="17" ht="15" customHeight="1" spans="1:10">
      <c r="A17" s="16" t="s">
        <v>25</v>
      </c>
      <c r="B17" s="17">
        <v>15</v>
      </c>
      <c r="C17" s="17">
        <v>15</v>
      </c>
      <c r="D17" s="17"/>
      <c r="E17" s="17"/>
      <c r="F17" s="17"/>
      <c r="G17" s="17"/>
      <c r="H17" s="17">
        <f t="shared" si="1"/>
        <v>27.25</v>
      </c>
      <c r="I17" s="17">
        <f t="shared" si="2"/>
        <v>32.25</v>
      </c>
      <c r="J17" s="32">
        <f t="shared" si="3"/>
        <v>59.5</v>
      </c>
    </row>
    <row r="18" ht="15" customHeight="1" spans="1:10">
      <c r="A18" s="16" t="s">
        <v>26</v>
      </c>
      <c r="B18" s="17"/>
      <c r="C18" s="17"/>
      <c r="D18" s="17"/>
      <c r="E18" s="17"/>
      <c r="F18" s="17">
        <v>5</v>
      </c>
      <c r="G18" s="17"/>
      <c r="H18" s="17">
        <f t="shared" si="1"/>
        <v>22.25</v>
      </c>
      <c r="I18" s="17">
        <f t="shared" si="2"/>
        <v>32.25</v>
      </c>
      <c r="J18" s="32">
        <f t="shared" si="3"/>
        <v>54.5</v>
      </c>
    </row>
    <row r="19" ht="15" customHeight="1" spans="1:10">
      <c r="A19" s="16" t="s">
        <v>27</v>
      </c>
      <c r="B19" s="17"/>
      <c r="C19" s="17"/>
      <c r="D19" s="17">
        <v>15</v>
      </c>
      <c r="E19" s="17"/>
      <c r="F19" s="17"/>
      <c r="G19" s="17"/>
      <c r="H19" s="17">
        <f t="shared" si="1"/>
        <v>7.25</v>
      </c>
      <c r="I19" s="17">
        <f t="shared" si="2"/>
        <v>32.25</v>
      </c>
      <c r="J19" s="32">
        <f t="shared" si="3"/>
        <v>39.5</v>
      </c>
    </row>
    <row r="20" ht="15" customHeight="1" spans="1:10">
      <c r="A20" s="16" t="s">
        <v>28</v>
      </c>
      <c r="B20" s="17">
        <v>15</v>
      </c>
      <c r="C20" s="17">
        <v>15</v>
      </c>
      <c r="D20" s="17"/>
      <c r="E20" s="17"/>
      <c r="F20" s="17"/>
      <c r="G20" s="17"/>
      <c r="H20" s="17">
        <f t="shared" si="1"/>
        <v>22.25</v>
      </c>
      <c r="I20" s="17">
        <f t="shared" si="2"/>
        <v>47.25</v>
      </c>
      <c r="J20" s="32">
        <f t="shared" si="3"/>
        <v>69.5</v>
      </c>
    </row>
    <row r="21" ht="15" customHeight="1" spans="1:10">
      <c r="A21" s="16" t="s">
        <v>29</v>
      </c>
      <c r="B21" s="17"/>
      <c r="C21" s="17"/>
      <c r="D21" s="17"/>
      <c r="E21" s="17"/>
      <c r="F21" s="17">
        <v>5</v>
      </c>
      <c r="G21" s="17"/>
      <c r="H21" s="17">
        <f t="shared" si="1"/>
        <v>17.25</v>
      </c>
      <c r="I21" s="17">
        <f t="shared" si="2"/>
        <v>47.25</v>
      </c>
      <c r="J21" s="32">
        <f t="shared" si="3"/>
        <v>64.5</v>
      </c>
    </row>
    <row r="22" ht="15" customHeight="1" spans="1:10">
      <c r="A22" s="16" t="s">
        <v>30</v>
      </c>
      <c r="B22" s="17">
        <v>15</v>
      </c>
      <c r="C22" s="17">
        <v>15</v>
      </c>
      <c r="D22" s="17"/>
      <c r="E22" s="17"/>
      <c r="F22" s="17"/>
      <c r="G22" s="17"/>
      <c r="H22" s="17">
        <f t="shared" si="1"/>
        <v>32.25</v>
      </c>
      <c r="I22" s="17">
        <f t="shared" si="2"/>
        <v>62.25</v>
      </c>
      <c r="J22" s="32">
        <f t="shared" si="3"/>
        <v>94.5</v>
      </c>
    </row>
    <row r="23" ht="15" customHeight="1" spans="1:10">
      <c r="A23" s="16" t="s">
        <v>31</v>
      </c>
      <c r="B23" s="17"/>
      <c r="C23" s="17"/>
      <c r="D23" s="17">
        <v>7</v>
      </c>
      <c r="E23" s="17">
        <v>3</v>
      </c>
      <c r="F23" s="17"/>
      <c r="G23" s="17"/>
      <c r="H23" s="17">
        <f t="shared" si="1"/>
        <v>25.25</v>
      </c>
      <c r="I23" s="17">
        <f t="shared" si="2"/>
        <v>59.25</v>
      </c>
      <c r="J23" s="32">
        <f t="shared" si="3"/>
        <v>84.5</v>
      </c>
    </row>
    <row r="24" ht="15" customHeight="1" spans="1:10">
      <c r="A24" s="16" t="s">
        <v>32</v>
      </c>
      <c r="B24" s="17"/>
      <c r="C24" s="17"/>
      <c r="D24" s="17"/>
      <c r="E24" s="17"/>
      <c r="F24" s="17">
        <v>5</v>
      </c>
      <c r="G24" s="17"/>
      <c r="H24" s="17">
        <f t="shared" si="1"/>
        <v>20.25</v>
      </c>
      <c r="I24" s="17">
        <f t="shared" si="2"/>
        <v>59.25</v>
      </c>
      <c r="J24" s="32">
        <f t="shared" si="3"/>
        <v>79.5</v>
      </c>
    </row>
    <row r="25" ht="15" customHeight="1" spans="1:10">
      <c r="A25" s="16" t="s">
        <v>33</v>
      </c>
      <c r="B25" s="17">
        <v>15</v>
      </c>
      <c r="C25" s="17">
        <v>15</v>
      </c>
      <c r="D25" s="17"/>
      <c r="E25" s="17"/>
      <c r="F25" s="17"/>
      <c r="G25" s="17"/>
      <c r="H25" s="17">
        <f t="shared" si="1"/>
        <v>35.25</v>
      </c>
      <c r="I25" s="17">
        <f t="shared" si="2"/>
        <v>74.25</v>
      </c>
      <c r="J25" s="32">
        <f t="shared" si="3"/>
        <v>109.5</v>
      </c>
    </row>
    <row r="26" ht="15" customHeight="1" spans="1:10">
      <c r="A26" s="16" t="s">
        <v>34</v>
      </c>
      <c r="B26" s="17"/>
      <c r="C26" s="17"/>
      <c r="D26" s="17">
        <v>27</v>
      </c>
      <c r="E26" s="17">
        <v>2</v>
      </c>
      <c r="F26" s="17"/>
      <c r="G26" s="17"/>
      <c r="H26" s="17">
        <f t="shared" si="1"/>
        <v>8.25</v>
      </c>
      <c r="I26" s="17">
        <f t="shared" si="2"/>
        <v>72.25</v>
      </c>
      <c r="J26" s="32">
        <f t="shared" si="3"/>
        <v>80.5</v>
      </c>
    </row>
    <row r="27" ht="15" customHeight="1" spans="1:10">
      <c r="A27" s="16" t="s">
        <v>35</v>
      </c>
      <c r="B27" s="17"/>
      <c r="C27" s="17"/>
      <c r="D27" s="17"/>
      <c r="E27" s="17"/>
      <c r="F27" s="17">
        <v>2</v>
      </c>
      <c r="G27" s="17"/>
      <c r="H27" s="17">
        <f t="shared" si="1"/>
        <v>6.25</v>
      </c>
      <c r="I27" s="17">
        <f t="shared" si="2"/>
        <v>72.25</v>
      </c>
      <c r="J27" s="32">
        <f t="shared" si="3"/>
        <v>78.5</v>
      </c>
    </row>
    <row r="28" ht="15" customHeight="1" spans="1:10">
      <c r="A28" s="16" t="s">
        <v>36</v>
      </c>
      <c r="B28" s="17"/>
      <c r="C28" s="17"/>
      <c r="D28" s="17"/>
      <c r="E28" s="17"/>
      <c r="F28" s="17">
        <v>3</v>
      </c>
      <c r="G28" s="17"/>
      <c r="H28" s="17">
        <f t="shared" si="1"/>
        <v>3.25</v>
      </c>
      <c r="I28" s="17">
        <f t="shared" si="2"/>
        <v>72.25</v>
      </c>
      <c r="J28" s="32">
        <f t="shared" si="3"/>
        <v>75.5</v>
      </c>
    </row>
    <row r="29" ht="15" customHeight="1" spans="1:10">
      <c r="A29" s="16" t="s">
        <v>37</v>
      </c>
      <c r="B29" s="17"/>
      <c r="C29" s="17"/>
      <c r="D29" s="17"/>
      <c r="E29" s="17"/>
      <c r="F29" s="17"/>
      <c r="G29" s="17">
        <v>1</v>
      </c>
      <c r="H29" s="17">
        <f t="shared" si="1"/>
        <v>3.25</v>
      </c>
      <c r="I29" s="17">
        <f t="shared" si="2"/>
        <v>72.25</v>
      </c>
      <c r="J29" s="32">
        <f t="shared" si="3"/>
        <v>75.5</v>
      </c>
    </row>
    <row r="30" ht="15" customHeight="1" spans="1:10">
      <c r="A30" s="18" t="s">
        <v>38</v>
      </c>
      <c r="B30" s="17">
        <v>2.5</v>
      </c>
      <c r="C30" s="17">
        <v>2.5</v>
      </c>
      <c r="D30" s="17"/>
      <c r="E30" s="17"/>
      <c r="F30" s="17"/>
      <c r="G30" s="17"/>
      <c r="H30" s="17">
        <f t="shared" si="1"/>
        <v>5.75</v>
      </c>
      <c r="I30" s="17">
        <f t="shared" si="2"/>
        <v>74.75</v>
      </c>
      <c r="J30" s="32">
        <f t="shared" si="3"/>
        <v>80.5</v>
      </c>
    </row>
    <row r="31" ht="15" customHeight="1" spans="1:10">
      <c r="A31" s="16" t="s">
        <v>39</v>
      </c>
      <c r="B31" s="17"/>
      <c r="C31" s="17"/>
      <c r="D31" s="17"/>
      <c r="E31" s="17">
        <v>1</v>
      </c>
      <c r="F31" s="17"/>
      <c r="G31" s="17"/>
      <c r="H31" s="17">
        <f t="shared" si="1"/>
        <v>5.75</v>
      </c>
      <c r="I31" s="17">
        <f t="shared" si="2"/>
        <v>73.75</v>
      </c>
      <c r="J31" s="32">
        <f t="shared" si="3"/>
        <v>79.5</v>
      </c>
    </row>
    <row r="32" ht="15" customHeight="1" spans="1:10">
      <c r="A32" s="18" t="s">
        <v>40</v>
      </c>
      <c r="B32" s="17">
        <v>2.5</v>
      </c>
      <c r="C32" s="17">
        <v>2.5</v>
      </c>
      <c r="D32" s="17"/>
      <c r="E32" s="17"/>
      <c r="F32" s="17"/>
      <c r="G32" s="17"/>
      <c r="H32" s="17">
        <f t="shared" si="1"/>
        <v>8.25</v>
      </c>
      <c r="I32" s="17">
        <f t="shared" si="2"/>
        <v>76.25</v>
      </c>
      <c r="J32" s="32">
        <f t="shared" si="3"/>
        <v>84.5</v>
      </c>
    </row>
    <row r="33" ht="15" customHeight="1" spans="1:10">
      <c r="A33" s="16" t="s">
        <v>41</v>
      </c>
      <c r="B33" s="17"/>
      <c r="C33" s="17"/>
      <c r="D33" s="17"/>
      <c r="E33" s="17"/>
      <c r="F33" s="17"/>
      <c r="G33" s="17">
        <v>1</v>
      </c>
      <c r="H33" s="17">
        <f t="shared" si="1"/>
        <v>8.25</v>
      </c>
      <c r="I33" s="17">
        <f t="shared" si="2"/>
        <v>76.25</v>
      </c>
      <c r="J33" s="32">
        <f t="shared" si="3"/>
        <v>84.5</v>
      </c>
    </row>
    <row r="34" ht="15" customHeight="1" spans="1:10">
      <c r="A34" s="16" t="s">
        <v>42</v>
      </c>
      <c r="B34" s="17"/>
      <c r="C34" s="17"/>
      <c r="D34" s="17"/>
      <c r="E34" s="17"/>
      <c r="F34" s="17">
        <v>1</v>
      </c>
      <c r="G34" s="17"/>
      <c r="H34" s="17">
        <f t="shared" si="1"/>
        <v>7.25</v>
      </c>
      <c r="I34" s="17">
        <f t="shared" si="2"/>
        <v>76.25</v>
      </c>
      <c r="J34" s="32">
        <f t="shared" si="3"/>
        <v>83.5</v>
      </c>
    </row>
    <row r="35" ht="15" customHeight="1" spans="1:10">
      <c r="A35" s="18" t="s">
        <v>43</v>
      </c>
      <c r="B35" s="17">
        <v>2.5</v>
      </c>
      <c r="C35" s="17">
        <v>2.5</v>
      </c>
      <c r="D35" s="17"/>
      <c r="E35" s="17"/>
      <c r="F35" s="17"/>
      <c r="G35" s="17"/>
      <c r="H35" s="17">
        <f t="shared" si="1"/>
        <v>9.75</v>
      </c>
      <c r="I35" s="17">
        <f t="shared" si="2"/>
        <v>78.75</v>
      </c>
      <c r="J35" s="32">
        <f t="shared" si="3"/>
        <v>88.5</v>
      </c>
    </row>
    <row r="36" ht="15" customHeight="1" spans="1:10">
      <c r="A36" s="16" t="s">
        <v>44</v>
      </c>
      <c r="B36" s="17"/>
      <c r="C36" s="17"/>
      <c r="D36" s="17"/>
      <c r="E36" s="17">
        <v>1</v>
      </c>
      <c r="F36" s="17"/>
      <c r="G36" s="17"/>
      <c r="H36" s="17">
        <f t="shared" si="1"/>
        <v>9.75</v>
      </c>
      <c r="I36" s="17">
        <f t="shared" si="2"/>
        <v>77.75</v>
      </c>
      <c r="J36" s="32">
        <f t="shared" si="3"/>
        <v>87.5</v>
      </c>
    </row>
    <row r="37" ht="15" customHeight="1" spans="1:10">
      <c r="A37" s="16" t="s">
        <v>45</v>
      </c>
      <c r="B37" s="17"/>
      <c r="C37" s="17"/>
      <c r="D37" s="17"/>
      <c r="E37" s="17">
        <v>1</v>
      </c>
      <c r="F37" s="17"/>
      <c r="G37" s="17"/>
      <c r="H37" s="17">
        <f t="shared" si="1"/>
        <v>9.75</v>
      </c>
      <c r="I37" s="17">
        <f t="shared" si="2"/>
        <v>76.75</v>
      </c>
      <c r="J37" s="32">
        <f t="shared" si="3"/>
        <v>86.5</v>
      </c>
    </row>
    <row r="38" ht="15" customHeight="1" spans="1:10">
      <c r="A38" s="18" t="s">
        <v>46</v>
      </c>
      <c r="B38" s="17">
        <v>1.25</v>
      </c>
      <c r="C38" s="17">
        <v>1.25</v>
      </c>
      <c r="D38" s="17"/>
      <c r="E38" s="17"/>
      <c r="F38" s="17"/>
      <c r="G38" s="17"/>
      <c r="H38" s="17">
        <f t="shared" si="1"/>
        <v>11</v>
      </c>
      <c r="I38" s="17">
        <f t="shared" si="2"/>
        <v>78</v>
      </c>
      <c r="J38" s="32">
        <f t="shared" si="3"/>
        <v>89</v>
      </c>
    </row>
    <row r="39" ht="15" customHeight="1" spans="1:10">
      <c r="A39" s="16" t="s">
        <v>47</v>
      </c>
      <c r="B39" s="17"/>
      <c r="C39" s="17"/>
      <c r="D39" s="17"/>
      <c r="E39" s="17">
        <v>1</v>
      </c>
      <c r="F39" s="17"/>
      <c r="G39" s="17"/>
      <c r="H39" s="17">
        <f t="shared" si="1"/>
        <v>11</v>
      </c>
      <c r="I39" s="17">
        <f t="shared" si="2"/>
        <v>77</v>
      </c>
      <c r="J39" s="32">
        <f t="shared" si="3"/>
        <v>88</v>
      </c>
    </row>
    <row r="40" ht="15" customHeight="1" spans="1:10">
      <c r="A40" s="18" t="s">
        <v>48</v>
      </c>
      <c r="B40" s="17">
        <v>1.25</v>
      </c>
      <c r="C40" s="17">
        <v>1.25</v>
      </c>
      <c r="D40" s="17"/>
      <c r="E40" s="17"/>
      <c r="F40" s="17"/>
      <c r="G40" s="17"/>
      <c r="H40" s="17">
        <f t="shared" si="1"/>
        <v>12.25</v>
      </c>
      <c r="I40" s="17">
        <f t="shared" si="2"/>
        <v>78.25</v>
      </c>
      <c r="J40" s="32">
        <f t="shared" si="3"/>
        <v>90.5</v>
      </c>
    </row>
    <row r="41" ht="15" customHeight="1" spans="1:10">
      <c r="A41" s="16" t="s">
        <v>162</v>
      </c>
      <c r="B41" s="17"/>
      <c r="C41" s="17"/>
      <c r="D41" s="17"/>
      <c r="E41" s="17"/>
      <c r="F41" s="17">
        <v>1.5</v>
      </c>
      <c r="G41" s="17"/>
      <c r="H41" s="17">
        <f t="shared" si="1"/>
        <v>10.75</v>
      </c>
      <c r="I41" s="17">
        <f t="shared" si="2"/>
        <v>78.25</v>
      </c>
      <c r="J41" s="32">
        <f t="shared" si="3"/>
        <v>89</v>
      </c>
    </row>
    <row r="42" ht="15" customHeight="1" spans="1:10">
      <c r="A42" s="16" t="s">
        <v>50</v>
      </c>
      <c r="B42" s="17"/>
      <c r="C42" s="17"/>
      <c r="D42" s="17"/>
      <c r="E42" s="17"/>
      <c r="F42" s="17">
        <v>1</v>
      </c>
      <c r="G42" s="17"/>
      <c r="H42" s="17">
        <f t="shared" si="1"/>
        <v>9.75</v>
      </c>
      <c r="I42" s="17">
        <f t="shared" si="2"/>
        <v>78.25</v>
      </c>
      <c r="J42" s="32">
        <f t="shared" si="3"/>
        <v>88</v>
      </c>
    </row>
    <row r="43" ht="15" customHeight="1" spans="1:10">
      <c r="A43" s="18" t="s">
        <v>51</v>
      </c>
      <c r="B43" s="17">
        <v>1.25</v>
      </c>
      <c r="C43" s="17">
        <v>1.25</v>
      </c>
      <c r="D43" s="17"/>
      <c r="E43" s="17"/>
      <c r="F43" s="17"/>
      <c r="G43" s="17"/>
      <c r="H43" s="17">
        <f t="shared" si="1"/>
        <v>11</v>
      </c>
      <c r="I43" s="17">
        <f t="shared" si="2"/>
        <v>79.5</v>
      </c>
      <c r="J43" s="32">
        <f t="shared" si="3"/>
        <v>90.5</v>
      </c>
    </row>
    <row r="44" ht="15" customHeight="1" spans="1:10">
      <c r="A44" s="16" t="s">
        <v>52</v>
      </c>
      <c r="B44" s="17"/>
      <c r="C44" s="17"/>
      <c r="D44" s="17"/>
      <c r="E44" s="17"/>
      <c r="F44" s="17"/>
      <c r="G44" s="17">
        <v>1</v>
      </c>
      <c r="H44" s="17">
        <f t="shared" si="1"/>
        <v>11</v>
      </c>
      <c r="I44" s="17">
        <f t="shared" si="2"/>
        <v>79.5</v>
      </c>
      <c r="J44" s="32">
        <f t="shared" si="3"/>
        <v>90.5</v>
      </c>
    </row>
    <row r="45" ht="15" customHeight="1" spans="1:10">
      <c r="A45" s="16" t="s">
        <v>53</v>
      </c>
      <c r="B45" s="17"/>
      <c r="C45" s="17"/>
      <c r="D45" s="17">
        <v>6</v>
      </c>
      <c r="E45" s="17">
        <v>23</v>
      </c>
      <c r="F45" s="17"/>
      <c r="G45" s="17"/>
      <c r="H45" s="17">
        <f t="shared" si="1"/>
        <v>5</v>
      </c>
      <c r="I45" s="17">
        <f t="shared" si="2"/>
        <v>56.5</v>
      </c>
      <c r="J45" s="32">
        <f t="shared" si="3"/>
        <v>61.5</v>
      </c>
    </row>
    <row r="46" ht="15" customHeight="1" spans="1:10">
      <c r="A46" s="16" t="s">
        <v>54</v>
      </c>
      <c r="B46" s="17"/>
      <c r="C46" s="17"/>
      <c r="D46" s="17"/>
      <c r="E46" s="17">
        <v>1</v>
      </c>
      <c r="F46" s="17"/>
      <c r="G46" s="17"/>
      <c r="H46" s="17">
        <f t="shared" si="1"/>
        <v>5</v>
      </c>
      <c r="I46" s="17">
        <f t="shared" si="2"/>
        <v>55.5</v>
      </c>
      <c r="J46" s="32">
        <f t="shared" si="3"/>
        <v>60.5</v>
      </c>
    </row>
    <row r="47" ht="15" customHeight="1" spans="1:10">
      <c r="A47" s="18" t="s">
        <v>55</v>
      </c>
      <c r="B47" s="17">
        <v>2.5</v>
      </c>
      <c r="C47" s="17">
        <v>2.5</v>
      </c>
      <c r="D47" s="17"/>
      <c r="E47" s="17"/>
      <c r="F47" s="17"/>
      <c r="G47" s="17"/>
      <c r="H47" s="17">
        <f t="shared" si="1"/>
        <v>7.5</v>
      </c>
      <c r="I47" s="17">
        <f t="shared" si="2"/>
        <v>58</v>
      </c>
      <c r="J47" s="32">
        <f t="shared" si="3"/>
        <v>65.5</v>
      </c>
    </row>
    <row r="48" ht="15" customHeight="1" spans="1:10">
      <c r="A48" s="16" t="s">
        <v>56</v>
      </c>
      <c r="B48" s="17"/>
      <c r="C48" s="17"/>
      <c r="D48" s="17"/>
      <c r="E48" s="17"/>
      <c r="F48" s="17">
        <v>1</v>
      </c>
      <c r="G48" s="17"/>
      <c r="H48" s="17">
        <f t="shared" si="1"/>
        <v>6.5</v>
      </c>
      <c r="I48" s="17">
        <f t="shared" si="2"/>
        <v>58</v>
      </c>
      <c r="J48" s="32">
        <f t="shared" si="3"/>
        <v>64.5</v>
      </c>
    </row>
    <row r="49" ht="15" customHeight="1" spans="1:10">
      <c r="A49" s="16" t="s">
        <v>163</v>
      </c>
      <c r="B49" s="17"/>
      <c r="C49" s="17"/>
      <c r="D49" s="17"/>
      <c r="E49" s="17"/>
      <c r="F49" s="17">
        <v>0.5</v>
      </c>
      <c r="G49" s="17"/>
      <c r="H49" s="17">
        <f t="shared" si="1"/>
        <v>6</v>
      </c>
      <c r="I49" s="17">
        <f t="shared" si="2"/>
        <v>58</v>
      </c>
      <c r="J49" s="32">
        <f t="shared" si="3"/>
        <v>64</v>
      </c>
    </row>
    <row r="50" ht="15" customHeight="1" spans="1:10">
      <c r="A50" s="18" t="s">
        <v>57</v>
      </c>
      <c r="B50" s="19">
        <v>1.25</v>
      </c>
      <c r="C50" s="19">
        <v>1.25</v>
      </c>
      <c r="D50" s="19"/>
      <c r="E50" s="19"/>
      <c r="F50" s="19"/>
      <c r="G50" s="19"/>
      <c r="H50" s="17">
        <f t="shared" si="1"/>
        <v>7.25</v>
      </c>
      <c r="I50" s="17">
        <f t="shared" si="2"/>
        <v>59.25</v>
      </c>
      <c r="J50" s="32">
        <f t="shared" si="3"/>
        <v>66.5</v>
      </c>
    </row>
    <row r="51" ht="15" customHeight="1" spans="1:10">
      <c r="A51" s="20" t="s">
        <v>58</v>
      </c>
      <c r="B51" s="21"/>
      <c r="C51" s="21"/>
      <c r="D51" s="21"/>
      <c r="E51" s="21">
        <v>0.5</v>
      </c>
      <c r="F51" s="21"/>
      <c r="G51" s="21"/>
      <c r="H51" s="17">
        <f t="shared" si="1"/>
        <v>7.25</v>
      </c>
      <c r="I51" s="17">
        <f t="shared" si="2"/>
        <v>58.75</v>
      </c>
      <c r="J51" s="32">
        <f t="shared" si="3"/>
        <v>66</v>
      </c>
    </row>
    <row r="52" ht="15" customHeight="1" spans="1:10">
      <c r="A52" s="20" t="s">
        <v>59</v>
      </c>
      <c r="B52" s="22"/>
      <c r="C52" s="22"/>
      <c r="D52" s="22"/>
      <c r="E52" s="22">
        <v>1</v>
      </c>
      <c r="F52" s="22"/>
      <c r="G52" s="23"/>
      <c r="H52" s="17">
        <f t="shared" si="1"/>
        <v>7.25</v>
      </c>
      <c r="I52" s="17">
        <f t="shared" si="2"/>
        <v>57.75</v>
      </c>
      <c r="J52" s="32">
        <f t="shared" si="3"/>
        <v>65</v>
      </c>
    </row>
    <row r="53" ht="15" customHeight="1" spans="1:10">
      <c r="A53" s="20" t="s">
        <v>60</v>
      </c>
      <c r="B53" s="22"/>
      <c r="C53" s="22"/>
      <c r="D53" s="22">
        <v>1</v>
      </c>
      <c r="E53" s="22"/>
      <c r="F53" s="22"/>
      <c r="G53" s="23"/>
      <c r="H53" s="17">
        <f t="shared" si="1"/>
        <v>6.25</v>
      </c>
      <c r="I53" s="17">
        <f t="shared" si="2"/>
        <v>57.75</v>
      </c>
      <c r="J53" s="32">
        <f t="shared" si="3"/>
        <v>64</v>
      </c>
    </row>
    <row r="54" ht="15" customHeight="1" spans="1:10">
      <c r="A54" s="18" t="s">
        <v>61</v>
      </c>
      <c r="B54" s="19">
        <v>1.25</v>
      </c>
      <c r="C54" s="19">
        <v>1.25</v>
      </c>
      <c r="D54" s="22"/>
      <c r="E54" s="22"/>
      <c r="F54" s="22"/>
      <c r="G54" s="23"/>
      <c r="H54" s="17">
        <f t="shared" si="1"/>
        <v>7.5</v>
      </c>
      <c r="I54" s="17">
        <f t="shared" si="2"/>
        <v>59</v>
      </c>
      <c r="J54" s="32">
        <f t="shared" si="3"/>
        <v>66.5</v>
      </c>
    </row>
    <row r="55" ht="15" customHeight="1" spans="1:10">
      <c r="A55" s="24" t="s">
        <v>62</v>
      </c>
      <c r="B55" s="22"/>
      <c r="C55" s="22"/>
      <c r="D55" s="22"/>
      <c r="E55" s="22"/>
      <c r="F55" s="22"/>
      <c r="G55" s="22">
        <v>1</v>
      </c>
      <c r="H55" s="17">
        <f t="shared" si="1"/>
        <v>7.5</v>
      </c>
      <c r="I55" s="17">
        <f t="shared" si="2"/>
        <v>59</v>
      </c>
      <c r="J55" s="32">
        <f t="shared" si="3"/>
        <v>66.5</v>
      </c>
    </row>
    <row r="56" ht="15" customHeight="1" spans="1:10">
      <c r="A56" s="18" t="s">
        <v>63</v>
      </c>
      <c r="B56" s="19">
        <v>3.75</v>
      </c>
      <c r="C56" s="19">
        <v>3.75</v>
      </c>
      <c r="D56" s="22"/>
      <c r="E56" s="22"/>
      <c r="F56" s="22"/>
      <c r="G56" s="22"/>
      <c r="H56" s="17">
        <f t="shared" si="1"/>
        <v>11.25</v>
      </c>
      <c r="I56" s="17">
        <f t="shared" si="2"/>
        <v>62.75</v>
      </c>
      <c r="J56" s="32">
        <f t="shared" si="3"/>
        <v>74</v>
      </c>
    </row>
    <row r="57" ht="15" customHeight="1" spans="1:10">
      <c r="A57" s="24" t="s">
        <v>64</v>
      </c>
      <c r="B57" s="24"/>
      <c r="C57" s="24"/>
      <c r="D57" s="24"/>
      <c r="E57" s="24"/>
      <c r="F57" s="22">
        <v>2</v>
      </c>
      <c r="G57" s="24"/>
      <c r="H57" s="17">
        <f t="shared" si="1"/>
        <v>9.25</v>
      </c>
      <c r="I57" s="17">
        <f t="shared" si="2"/>
        <v>62.75</v>
      </c>
      <c r="J57" s="32">
        <f t="shared" si="3"/>
        <v>72</v>
      </c>
    </row>
    <row r="58" ht="15" customHeight="1" spans="1:10">
      <c r="A58" s="24" t="s">
        <v>65</v>
      </c>
      <c r="B58" s="24"/>
      <c r="C58" s="24"/>
      <c r="D58" s="24"/>
      <c r="E58" s="24"/>
      <c r="F58" s="24"/>
      <c r="G58" s="22">
        <v>1</v>
      </c>
      <c r="H58" s="17">
        <f t="shared" si="1"/>
        <v>9.25</v>
      </c>
      <c r="I58" s="17">
        <f t="shared" si="2"/>
        <v>62.75</v>
      </c>
      <c r="J58" s="32">
        <f t="shared" si="3"/>
        <v>72</v>
      </c>
    </row>
    <row r="59" ht="15" customHeight="1" spans="1:10">
      <c r="A59" s="18" t="s">
        <v>66</v>
      </c>
      <c r="B59" s="22">
        <v>2.5</v>
      </c>
      <c r="C59" s="22">
        <v>2.5</v>
      </c>
      <c r="D59" s="24"/>
      <c r="E59" s="24"/>
      <c r="F59" s="24"/>
      <c r="G59" s="24"/>
      <c r="H59" s="17">
        <f t="shared" si="1"/>
        <v>11.75</v>
      </c>
      <c r="I59" s="17">
        <f t="shared" si="2"/>
        <v>65.25</v>
      </c>
      <c r="J59" s="32">
        <f t="shared" si="3"/>
        <v>77</v>
      </c>
    </row>
    <row r="60" ht="15" customHeight="1" spans="1:10">
      <c r="A60" s="24" t="s">
        <v>67</v>
      </c>
      <c r="B60" s="24"/>
      <c r="C60" s="24"/>
      <c r="D60" s="24"/>
      <c r="E60" s="22">
        <v>1</v>
      </c>
      <c r="F60" s="24"/>
      <c r="G60" s="24"/>
      <c r="H60" s="17">
        <f t="shared" si="1"/>
        <v>11.75</v>
      </c>
      <c r="I60" s="17">
        <f t="shared" si="2"/>
        <v>64.25</v>
      </c>
      <c r="J60" s="32">
        <f t="shared" si="3"/>
        <v>76</v>
      </c>
    </row>
    <row r="61" ht="15" customHeight="1" spans="1:10">
      <c r="A61" s="24" t="s">
        <v>68</v>
      </c>
      <c r="B61" s="24"/>
      <c r="C61" s="24"/>
      <c r="D61" s="24"/>
      <c r="E61" s="24"/>
      <c r="F61" s="22">
        <v>1</v>
      </c>
      <c r="G61" s="24"/>
      <c r="H61" s="17">
        <f t="shared" si="1"/>
        <v>10.75</v>
      </c>
      <c r="I61" s="17">
        <f t="shared" si="2"/>
        <v>64.25</v>
      </c>
      <c r="J61" s="32">
        <f t="shared" si="3"/>
        <v>75</v>
      </c>
    </row>
    <row r="62" ht="15" customHeight="1" spans="1:10">
      <c r="A62" s="18" t="s">
        <v>69</v>
      </c>
      <c r="B62" s="22">
        <v>2.5</v>
      </c>
      <c r="C62" s="22">
        <v>2.5</v>
      </c>
      <c r="D62" s="25"/>
      <c r="E62" s="25"/>
      <c r="F62" s="25"/>
      <c r="G62" s="25"/>
      <c r="H62" s="17">
        <f t="shared" si="1"/>
        <v>13.25</v>
      </c>
      <c r="I62" s="17">
        <f t="shared" si="2"/>
        <v>66.75</v>
      </c>
      <c r="J62" s="32">
        <f t="shared" si="3"/>
        <v>80</v>
      </c>
    </row>
    <row r="63" ht="15" customHeight="1" spans="1:10">
      <c r="A63" s="24" t="s">
        <v>70</v>
      </c>
      <c r="B63" s="25"/>
      <c r="C63" s="25"/>
      <c r="D63" s="22">
        <v>11</v>
      </c>
      <c r="E63" s="22">
        <v>18</v>
      </c>
      <c r="F63" s="25"/>
      <c r="G63" s="25"/>
      <c r="H63" s="17">
        <f t="shared" si="1"/>
        <v>2.25</v>
      </c>
      <c r="I63" s="17">
        <f t="shared" si="2"/>
        <v>48.75</v>
      </c>
      <c r="J63" s="32">
        <f t="shared" si="3"/>
        <v>51</v>
      </c>
    </row>
    <row r="64" ht="15" customHeight="1" spans="1:10">
      <c r="A64" s="24" t="s">
        <v>71</v>
      </c>
      <c r="B64" s="26">
        <v>1.25</v>
      </c>
      <c r="C64" s="26">
        <v>1.25</v>
      </c>
      <c r="D64" s="22"/>
      <c r="E64" s="22"/>
      <c r="F64" s="25"/>
      <c r="G64" s="25"/>
      <c r="H64" s="17">
        <f t="shared" si="1"/>
        <v>3.5</v>
      </c>
      <c r="I64" s="17">
        <f t="shared" si="2"/>
        <v>50</v>
      </c>
      <c r="J64" s="32">
        <f t="shared" si="3"/>
        <v>53.5</v>
      </c>
    </row>
    <row r="65" ht="15" customHeight="1" spans="1:10">
      <c r="A65" s="24" t="s">
        <v>72</v>
      </c>
      <c r="B65" s="26"/>
      <c r="C65" s="26"/>
      <c r="D65" s="22"/>
      <c r="E65" s="22"/>
      <c r="F65" s="26"/>
      <c r="G65" s="26">
        <v>1</v>
      </c>
      <c r="H65" s="17">
        <f t="shared" si="1"/>
        <v>3.5</v>
      </c>
      <c r="I65" s="17">
        <f t="shared" si="2"/>
        <v>50</v>
      </c>
      <c r="J65" s="32">
        <f t="shared" si="3"/>
        <v>53.5</v>
      </c>
    </row>
    <row r="66" ht="15" customHeight="1" spans="1:10">
      <c r="A66" s="24" t="s">
        <v>73</v>
      </c>
      <c r="B66" s="26"/>
      <c r="C66" s="26"/>
      <c r="D66" s="22"/>
      <c r="E66" s="22"/>
      <c r="F66" s="26">
        <v>1</v>
      </c>
      <c r="G66" s="26"/>
      <c r="H66" s="17">
        <f t="shared" si="1"/>
        <v>2.5</v>
      </c>
      <c r="I66" s="17">
        <f t="shared" si="2"/>
        <v>50</v>
      </c>
      <c r="J66" s="32">
        <f t="shared" si="3"/>
        <v>52.5</v>
      </c>
    </row>
    <row r="67" ht="15" customHeight="1" spans="1:10">
      <c r="A67" s="24" t="s">
        <v>74</v>
      </c>
      <c r="B67" s="26"/>
      <c r="C67" s="26"/>
      <c r="D67" s="22"/>
      <c r="E67" s="22">
        <v>1</v>
      </c>
      <c r="F67" s="26"/>
      <c r="G67" s="26"/>
      <c r="H67" s="17">
        <f t="shared" si="1"/>
        <v>2.5</v>
      </c>
      <c r="I67" s="17">
        <f t="shared" si="2"/>
        <v>49</v>
      </c>
      <c r="J67" s="32">
        <f t="shared" si="3"/>
        <v>51.5</v>
      </c>
    </row>
    <row r="68" ht="15" customHeight="1" spans="1:10">
      <c r="A68" s="24" t="s">
        <v>75</v>
      </c>
      <c r="B68" s="26">
        <v>1.25</v>
      </c>
      <c r="C68" s="26">
        <v>1.25</v>
      </c>
      <c r="D68" s="22"/>
      <c r="E68" s="22"/>
      <c r="F68" s="26"/>
      <c r="G68" s="26"/>
      <c r="H68" s="17">
        <f t="shared" si="1"/>
        <v>3.75</v>
      </c>
      <c r="I68" s="17">
        <f t="shared" si="2"/>
        <v>50.25</v>
      </c>
      <c r="J68" s="32">
        <f t="shared" si="3"/>
        <v>54</v>
      </c>
    </row>
    <row r="69" ht="15" customHeight="1" spans="1:10">
      <c r="A69" s="24" t="s">
        <v>76</v>
      </c>
      <c r="B69" s="26">
        <v>1.25</v>
      </c>
      <c r="C69" s="26">
        <v>1.25</v>
      </c>
      <c r="D69" s="22"/>
      <c r="E69" s="22"/>
      <c r="F69" s="26"/>
      <c r="G69" s="26"/>
      <c r="H69" s="17">
        <f t="shared" si="1"/>
        <v>5</v>
      </c>
      <c r="I69" s="17">
        <f t="shared" si="2"/>
        <v>51.5</v>
      </c>
      <c r="J69" s="32">
        <f t="shared" si="3"/>
        <v>56.5</v>
      </c>
    </row>
    <row r="70" ht="15" customHeight="1" spans="1:10">
      <c r="A70" s="24" t="s">
        <v>77</v>
      </c>
      <c r="B70" s="26"/>
      <c r="C70" s="26"/>
      <c r="D70" s="22"/>
      <c r="E70" s="22"/>
      <c r="F70" s="26">
        <v>1</v>
      </c>
      <c r="G70" s="26"/>
      <c r="H70" s="17">
        <f t="shared" si="1"/>
        <v>4</v>
      </c>
      <c r="I70" s="17">
        <f t="shared" si="2"/>
        <v>51.5</v>
      </c>
      <c r="J70" s="32">
        <f t="shared" si="3"/>
        <v>55.5</v>
      </c>
    </row>
    <row r="71" ht="15" customHeight="1" spans="1:10">
      <c r="A71" s="24" t="s">
        <v>78</v>
      </c>
      <c r="B71" s="26"/>
      <c r="C71" s="26"/>
      <c r="D71" s="22"/>
      <c r="E71" s="22">
        <v>2</v>
      </c>
      <c r="F71" s="25"/>
      <c r="G71" s="25"/>
      <c r="H71" s="17">
        <f t="shared" si="1"/>
        <v>4</v>
      </c>
      <c r="I71" s="17">
        <f t="shared" si="2"/>
        <v>49.5</v>
      </c>
      <c r="J71" s="32">
        <f t="shared" si="3"/>
        <v>53.5</v>
      </c>
    </row>
    <row r="72" ht="15" customHeight="1" spans="1:10">
      <c r="A72" s="24" t="s">
        <v>79</v>
      </c>
      <c r="B72" s="26">
        <v>1.25</v>
      </c>
      <c r="C72" s="26">
        <v>1.25</v>
      </c>
      <c r="D72" s="22"/>
      <c r="E72" s="22"/>
      <c r="F72" s="25"/>
      <c r="G72" s="25"/>
      <c r="H72" s="17">
        <f t="shared" si="1"/>
        <v>5.25</v>
      </c>
      <c r="I72" s="17">
        <f t="shared" si="2"/>
        <v>50.75</v>
      </c>
      <c r="J72" s="32">
        <f t="shared" si="3"/>
        <v>56</v>
      </c>
    </row>
    <row r="73" ht="15" customHeight="1" spans="1:10">
      <c r="A73" s="24" t="s">
        <v>80</v>
      </c>
      <c r="B73" s="26"/>
      <c r="C73" s="26"/>
      <c r="D73" s="22"/>
      <c r="E73" s="22">
        <v>1</v>
      </c>
      <c r="F73" s="25"/>
      <c r="G73" s="25"/>
      <c r="H73" s="17">
        <f t="shared" si="1"/>
        <v>5.25</v>
      </c>
      <c r="I73" s="17">
        <f t="shared" si="2"/>
        <v>49.75</v>
      </c>
      <c r="J73" s="32">
        <f t="shared" si="3"/>
        <v>55</v>
      </c>
    </row>
    <row r="74" ht="15" customHeight="1" spans="1:10">
      <c r="A74" s="24" t="s">
        <v>81</v>
      </c>
      <c r="B74" s="26">
        <v>1.25</v>
      </c>
      <c r="C74" s="26">
        <v>1.25</v>
      </c>
      <c r="D74" s="22"/>
      <c r="E74" s="22"/>
      <c r="F74" s="25"/>
      <c r="G74" s="25"/>
      <c r="H74" s="17">
        <f t="shared" si="1"/>
        <v>6.5</v>
      </c>
      <c r="I74" s="17">
        <f t="shared" si="2"/>
        <v>51</v>
      </c>
      <c r="J74" s="40">
        <f t="shared" si="3"/>
        <v>57.5</v>
      </c>
    </row>
    <row r="75" ht="15" customHeight="1" spans="1:10">
      <c r="A75" s="24" t="s">
        <v>82</v>
      </c>
      <c r="B75" s="26"/>
      <c r="C75" s="26"/>
      <c r="D75" s="22"/>
      <c r="E75" s="22"/>
      <c r="F75" s="25"/>
      <c r="G75" s="33">
        <v>1</v>
      </c>
      <c r="H75" s="17">
        <f t="shared" si="1"/>
        <v>6.5</v>
      </c>
      <c r="I75" s="17">
        <f t="shared" si="2"/>
        <v>51</v>
      </c>
      <c r="J75" s="32">
        <f t="shared" si="3"/>
        <v>57.5</v>
      </c>
    </row>
    <row r="76" ht="15" customHeight="1" spans="1:10">
      <c r="A76" s="24" t="s">
        <v>83</v>
      </c>
      <c r="B76" s="26"/>
      <c r="C76" s="26"/>
      <c r="D76" s="22"/>
      <c r="E76" s="22">
        <v>1</v>
      </c>
      <c r="F76" s="25"/>
      <c r="G76" s="25"/>
      <c r="H76" s="17">
        <f t="shared" si="1"/>
        <v>6.5</v>
      </c>
      <c r="I76" s="17">
        <f t="shared" si="2"/>
        <v>50</v>
      </c>
      <c r="J76" s="32">
        <f t="shared" si="3"/>
        <v>56.5</v>
      </c>
    </row>
    <row r="77" ht="15" customHeight="1" spans="1:10">
      <c r="A77" s="24" t="s">
        <v>84</v>
      </c>
      <c r="B77" s="26">
        <v>1.25</v>
      </c>
      <c r="C77" s="26">
        <v>1.25</v>
      </c>
      <c r="D77" s="22"/>
      <c r="E77" s="22"/>
      <c r="F77" s="25"/>
      <c r="G77" s="25"/>
      <c r="H77" s="17">
        <f t="shared" si="1"/>
        <v>7.75</v>
      </c>
      <c r="I77" s="17">
        <f t="shared" si="2"/>
        <v>51.25</v>
      </c>
      <c r="J77" s="32">
        <f t="shared" si="3"/>
        <v>59</v>
      </c>
    </row>
    <row r="78" ht="15" customHeight="1" spans="1:10">
      <c r="A78" s="24" t="s">
        <v>85</v>
      </c>
      <c r="B78" s="26"/>
      <c r="C78" s="26"/>
      <c r="D78" s="22"/>
      <c r="E78" s="22">
        <v>1</v>
      </c>
      <c r="F78" s="25"/>
      <c r="G78" s="25"/>
      <c r="H78" s="17">
        <f t="shared" si="1"/>
        <v>7.75</v>
      </c>
      <c r="I78" s="17">
        <f t="shared" si="2"/>
        <v>50.25</v>
      </c>
      <c r="J78" s="32">
        <f t="shared" si="3"/>
        <v>58</v>
      </c>
    </row>
    <row r="79" ht="15" customHeight="1" spans="1:10">
      <c r="A79" s="24" t="s">
        <v>86</v>
      </c>
      <c r="B79" s="26">
        <v>1.25</v>
      </c>
      <c r="C79" s="26">
        <v>1.25</v>
      </c>
      <c r="D79" s="22"/>
      <c r="E79" s="22"/>
      <c r="F79" s="25"/>
      <c r="G79" s="25"/>
      <c r="H79" s="17">
        <f t="shared" ref="H79:H82" si="4">H78-F79-D79+B79</f>
        <v>9</v>
      </c>
      <c r="I79" s="17">
        <f t="shared" ref="I79:I82" si="5">I78-E79+C79</f>
        <v>51.5</v>
      </c>
      <c r="J79" s="32">
        <f t="shared" ref="J79:J90" si="6">SUM(H79:I79)</f>
        <v>60.5</v>
      </c>
    </row>
    <row r="80" ht="15" customHeight="1" spans="1:10">
      <c r="A80" s="24" t="s">
        <v>87</v>
      </c>
      <c r="B80" s="26"/>
      <c r="C80" s="26"/>
      <c r="D80" s="22"/>
      <c r="E80" s="22">
        <v>3</v>
      </c>
      <c r="F80" s="25"/>
      <c r="G80" s="25"/>
      <c r="H80" s="17">
        <f t="shared" si="4"/>
        <v>9</v>
      </c>
      <c r="I80" s="17">
        <f t="shared" si="5"/>
        <v>48.5</v>
      </c>
      <c r="J80" s="32">
        <f t="shared" si="6"/>
        <v>57.5</v>
      </c>
    </row>
    <row r="81" ht="15" customHeight="1" spans="1:10">
      <c r="A81" s="24" t="s">
        <v>88</v>
      </c>
      <c r="B81" s="26">
        <v>1.25</v>
      </c>
      <c r="C81" s="26">
        <v>1.25</v>
      </c>
      <c r="D81" s="22"/>
      <c r="E81" s="22"/>
      <c r="F81" s="25"/>
      <c r="G81" s="25"/>
      <c r="H81" s="17">
        <f t="shared" si="4"/>
        <v>10.25</v>
      </c>
      <c r="I81" s="17">
        <f t="shared" si="5"/>
        <v>49.75</v>
      </c>
      <c r="J81" s="32">
        <f t="shared" si="6"/>
        <v>60</v>
      </c>
    </row>
    <row r="82" ht="15" customHeight="1" spans="1:10">
      <c r="A82" s="24" t="s">
        <v>89</v>
      </c>
      <c r="B82" s="26"/>
      <c r="C82" s="26"/>
      <c r="D82" s="22"/>
      <c r="E82" s="22"/>
      <c r="F82" s="25"/>
      <c r="G82" s="33">
        <v>1</v>
      </c>
      <c r="H82" s="17">
        <f t="shared" si="4"/>
        <v>10.25</v>
      </c>
      <c r="I82" s="17">
        <f t="shared" si="5"/>
        <v>49.75</v>
      </c>
      <c r="J82" s="32">
        <f t="shared" si="6"/>
        <v>60</v>
      </c>
    </row>
    <row r="83" ht="15" customHeight="1" spans="1:10">
      <c r="A83" s="24" t="s">
        <v>90</v>
      </c>
      <c r="B83" s="26">
        <v>5</v>
      </c>
      <c r="C83" s="26">
        <v>5</v>
      </c>
      <c r="D83" s="22"/>
      <c r="E83" s="22"/>
      <c r="F83" s="25"/>
      <c r="G83" s="26"/>
      <c r="H83" s="17">
        <f t="shared" ref="H83:H90" si="7">H82-F83-D83+B83</f>
        <v>15.25</v>
      </c>
      <c r="I83" s="17">
        <f t="shared" ref="I83:I90" si="8">I82-E83+C83</f>
        <v>54.75</v>
      </c>
      <c r="J83" s="32">
        <f t="shared" si="6"/>
        <v>70</v>
      </c>
    </row>
    <row r="84" ht="15" customHeight="1" spans="1:10">
      <c r="A84" s="24" t="s">
        <v>91</v>
      </c>
      <c r="B84" s="26"/>
      <c r="C84" s="26"/>
      <c r="D84" s="22">
        <v>10</v>
      </c>
      <c r="E84" s="22"/>
      <c r="F84" s="25"/>
      <c r="G84" s="26"/>
      <c r="H84" s="17">
        <f t="shared" si="7"/>
        <v>5.25</v>
      </c>
      <c r="I84" s="17">
        <f t="shared" si="8"/>
        <v>54.75</v>
      </c>
      <c r="J84" s="32">
        <f t="shared" si="6"/>
        <v>60</v>
      </c>
    </row>
    <row r="85" ht="15" customHeight="1" spans="1:10">
      <c r="A85" s="24" t="s">
        <v>92</v>
      </c>
      <c r="B85" s="26">
        <v>1.25</v>
      </c>
      <c r="C85" s="26">
        <v>1.25</v>
      </c>
      <c r="D85" s="22"/>
      <c r="E85" s="22"/>
      <c r="F85" s="25"/>
      <c r="G85" s="26"/>
      <c r="H85" s="17">
        <f t="shared" si="7"/>
        <v>6.5</v>
      </c>
      <c r="I85" s="17">
        <f t="shared" si="8"/>
        <v>56</v>
      </c>
      <c r="J85" s="32">
        <f t="shared" si="6"/>
        <v>62.5</v>
      </c>
    </row>
    <row r="86" ht="15" customHeight="1" spans="1:10">
      <c r="A86" s="24" t="s">
        <v>93</v>
      </c>
      <c r="B86" s="26"/>
      <c r="C86" s="26"/>
      <c r="D86" s="22"/>
      <c r="E86" s="22">
        <v>2</v>
      </c>
      <c r="F86" s="25"/>
      <c r="G86" s="26"/>
      <c r="H86" s="17">
        <f t="shared" si="7"/>
        <v>6.5</v>
      </c>
      <c r="I86" s="17">
        <f t="shared" si="8"/>
        <v>54</v>
      </c>
      <c r="J86" s="32">
        <f t="shared" si="6"/>
        <v>60.5</v>
      </c>
    </row>
    <row r="87" ht="15" customHeight="1" spans="1:10">
      <c r="A87" s="24" t="s">
        <v>94</v>
      </c>
      <c r="B87" s="26"/>
      <c r="C87" s="26"/>
      <c r="D87" s="22"/>
      <c r="E87" s="22"/>
      <c r="F87" s="34">
        <v>1</v>
      </c>
      <c r="G87" s="26"/>
      <c r="H87" s="17">
        <f t="shared" si="7"/>
        <v>5.5</v>
      </c>
      <c r="I87" s="17">
        <f t="shared" si="8"/>
        <v>54</v>
      </c>
      <c r="J87" s="32">
        <f t="shared" si="6"/>
        <v>59.5</v>
      </c>
    </row>
    <row r="88" ht="15" customHeight="1" spans="1:10">
      <c r="A88" s="24" t="s">
        <v>95</v>
      </c>
      <c r="B88" s="26"/>
      <c r="C88" s="26"/>
      <c r="D88" s="22"/>
      <c r="E88" s="22"/>
      <c r="F88" s="25"/>
      <c r="G88" s="33">
        <v>1</v>
      </c>
      <c r="H88" s="17">
        <f t="shared" si="7"/>
        <v>5.5</v>
      </c>
      <c r="I88" s="17">
        <f t="shared" si="8"/>
        <v>54</v>
      </c>
      <c r="J88" s="32">
        <f t="shared" si="6"/>
        <v>59.5</v>
      </c>
    </row>
    <row r="89" ht="15" customHeight="1" spans="1:10">
      <c r="A89" s="24" t="s">
        <v>96</v>
      </c>
      <c r="B89" s="26">
        <v>2.5</v>
      </c>
      <c r="C89" s="26">
        <v>2.5</v>
      </c>
      <c r="D89" s="22"/>
      <c r="E89" s="22"/>
      <c r="F89" s="25"/>
      <c r="G89" s="26"/>
      <c r="H89" s="17">
        <f t="shared" si="7"/>
        <v>8</v>
      </c>
      <c r="I89" s="17">
        <f t="shared" si="8"/>
        <v>56.5</v>
      </c>
      <c r="J89" s="32">
        <f t="shared" si="6"/>
        <v>64.5</v>
      </c>
    </row>
    <row r="90" ht="15" customHeight="1" spans="1:10">
      <c r="A90" s="24" t="s">
        <v>97</v>
      </c>
      <c r="B90" s="26"/>
      <c r="C90" s="26"/>
      <c r="D90" s="22"/>
      <c r="E90" s="22"/>
      <c r="F90" s="34">
        <v>1</v>
      </c>
      <c r="G90" s="26"/>
      <c r="H90" s="17">
        <f t="shared" si="7"/>
        <v>7</v>
      </c>
      <c r="I90" s="17">
        <f t="shared" si="8"/>
        <v>56.5</v>
      </c>
      <c r="J90" s="32">
        <f t="shared" si="6"/>
        <v>63.5</v>
      </c>
    </row>
    <row r="91" ht="15" customHeight="1" spans="1:10">
      <c r="A91" s="24"/>
      <c r="B91" s="26"/>
      <c r="C91" s="26"/>
      <c r="D91" s="22"/>
      <c r="E91" s="22"/>
      <c r="F91" s="26"/>
      <c r="G91" s="26"/>
      <c r="H91" s="22"/>
      <c r="I91" s="22"/>
      <c r="J91" s="22"/>
    </row>
    <row r="92" ht="15" customHeight="1" spans="1:10">
      <c r="A92" s="24"/>
      <c r="B92" s="26"/>
      <c r="C92" s="26"/>
      <c r="D92" s="22"/>
      <c r="E92" s="22"/>
      <c r="F92" s="26"/>
      <c r="G92" s="26"/>
      <c r="H92" s="22"/>
      <c r="I92" s="22"/>
      <c r="J92" s="22"/>
    </row>
    <row r="93" ht="15" customHeight="1" spans="1:10">
      <c r="A93" s="24"/>
      <c r="B93" s="26"/>
      <c r="C93" s="26"/>
      <c r="D93" s="22"/>
      <c r="E93" s="22"/>
      <c r="F93" s="26"/>
      <c r="G93" s="26"/>
      <c r="H93" s="22"/>
      <c r="I93" s="22"/>
      <c r="J93" s="22"/>
    </row>
    <row r="94" ht="15" customHeight="1" spans="1:10">
      <c r="A94" s="35"/>
      <c r="D94" s="36"/>
      <c r="E94" s="36"/>
      <c r="G94" s="37"/>
      <c r="H94" s="38"/>
      <c r="I94" s="38"/>
      <c r="J94" s="38"/>
    </row>
    <row r="95" s="1" customFormat="1" ht="15" customHeight="1" spans="7:7">
      <c r="G95" s="1" t="s">
        <v>110</v>
      </c>
    </row>
    <row r="96" s="1" customFormat="1" ht="15" customHeight="1"/>
    <row r="97" s="1" customFormat="1" ht="15" customHeight="1" spans="7:7">
      <c r="G97" s="39" t="s">
        <v>111</v>
      </c>
    </row>
    <row r="98" s="1" customFormat="1" ht="15" customHeight="1" spans="7:7">
      <c r="G98" s="1" t="s">
        <v>112</v>
      </c>
    </row>
    <row r="99" s="1" customFormat="1" ht="15" customHeight="1" spans="7:7">
      <c r="G99" s="1" t="s">
        <v>113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236220472440945" bottom="0.236220472440945" header="0.31496062992126" footer="0.31496062992126"/>
  <pageSetup paperSize="9" scale="69" fitToHeight="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CORRECTED</vt:lpstr>
      <vt:lpstr>CTO</vt:lpstr>
      <vt:lpstr>ELECTION</vt:lpstr>
      <vt:lpstr>Leave Card (NE) (2)</vt:lpstr>
      <vt:lpstr>Leave Card (NE)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2025-10-29T06:38:00Z</cp:lastPrinted>
  <dcterms:modified xsi:type="dcterms:W3CDTF">2026-01-01T02:08:01Z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9B749C4B5F554F52B59B3932E1E38AF3_12</vt:lpwstr>
  </property>
  <property fmtid="{D5CDD505-2E9C-101B-9397-08002B2CF9AE}" pid="3" name="KSOProductBuildVer">
    <vt:lpwstr>1033-12.2.0.23196</vt:lpwstr>
  </property>
</Properties>
</file>