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4BD29EF-2A55-4C82-8DEB-FE69DFFD968F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 (NE)" sheetId="6" r:id="rId1"/>
    <sheet name="CTO" sheetId="10" r:id="rId2"/>
    <sheet name="Other types of leave" sheetId="9" r:id="rId3"/>
  </sheets>
  <definedNames>
    <definedName name="_xlnm.Print_Area" localSheetId="0">'Leave Card (NE)'!$A$1:$J$57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6" l="1"/>
  <c r="H50" i="6" s="1"/>
  <c r="I49" i="6"/>
  <c r="I50" i="6" s="1"/>
  <c r="J49" i="6"/>
  <c r="B28" i="6"/>
  <c r="J50" i="6" l="1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H14" i="6"/>
  <c r="H15" i="6" s="1"/>
  <c r="H16" i="6" s="1"/>
  <c r="J16" i="6" l="1"/>
  <c r="H17" i="6"/>
  <c r="J15" i="6"/>
  <c r="J14" i="6"/>
  <c r="J17" i="6" l="1"/>
  <c r="H18" i="6"/>
  <c r="J18" i="6" l="1"/>
  <c r="H19" i="6"/>
  <c r="J19" i="6" l="1"/>
  <c r="H20" i="6"/>
  <c r="J20" i="6" l="1"/>
  <c r="H21" i="6"/>
  <c r="J21" i="6" l="1"/>
  <c r="H22" i="6"/>
  <c r="H23" i="6" l="1"/>
  <c r="J22" i="6"/>
  <c r="H24" i="6" l="1"/>
  <c r="J23" i="6"/>
  <c r="J24" i="6" l="1"/>
  <c r="H25" i="6"/>
  <c r="J25" i="6" l="1"/>
  <c r="H26" i="6"/>
  <c r="J26" i="6" l="1"/>
  <c r="H27" i="6"/>
  <c r="H28" i="6" l="1"/>
  <c r="J27" i="6"/>
  <c r="H29" i="6" l="1"/>
  <c r="J28" i="6"/>
  <c r="H30" i="6" l="1"/>
  <c r="J29" i="6"/>
  <c r="J30" i="6" l="1"/>
  <c r="H31" i="6"/>
  <c r="J31" i="6" l="1"/>
  <c r="H32" i="6"/>
  <c r="J32" i="6" l="1"/>
  <c r="H33" i="6"/>
  <c r="J33" i="6" l="1"/>
  <c r="H34" i="6"/>
  <c r="H35" i="6" l="1"/>
  <c r="J34" i="6"/>
  <c r="J35" i="6" l="1"/>
  <c r="H36" i="6"/>
  <c r="J36" i="6" l="1"/>
  <c r="H37" i="6"/>
  <c r="J37" i="6" l="1"/>
  <c r="H38" i="6"/>
  <c r="H39" i="6" s="1"/>
  <c r="H40" i="6" l="1"/>
  <c r="J39" i="6"/>
  <c r="J38" i="6"/>
  <c r="J40" i="6" l="1"/>
  <c r="H41" i="6"/>
  <c r="H42" i="6" l="1"/>
  <c r="J41" i="6"/>
  <c r="J42" i="6" l="1"/>
  <c r="H43" i="6"/>
  <c r="J43" i="6" l="1"/>
  <c r="H44" i="6"/>
  <c r="J44" i="6" l="1"/>
  <c r="H45" i="6"/>
  <c r="J45" i="6" l="1"/>
  <c r="H46" i="6"/>
  <c r="J46" i="6" l="1"/>
  <c r="H47" i="6"/>
  <c r="J47" i="6" l="1"/>
  <c r="H48" i="6"/>
  <c r="J48" i="6" s="1"/>
</calcChain>
</file>

<file path=xl/sharedStrings.xml><?xml version="1.0" encoding="utf-8"?>
<sst xmlns="http://schemas.openxmlformats.org/spreadsheetml/2006/main" count="119" uniqueCount="94">
  <si>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</si>
  <si>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</si>
  <si>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</si>
  <si>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</si>
  <si>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</si>
  <si>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</si>
  <si>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</si>
  <si>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</si>
  <si>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</si>
  <si>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</si>
  <si>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</si>
  <si>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</si>
  <si>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</si>
  <si>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</si>
  <si>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</si>
  <si>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</si>
  <si>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</si>
  <si>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</si>
  <si>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</si>
  <si>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</si>
  <si>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DATE OF ORIGINAL APPOINTMENT: OCT. 3, 2022</t>
  </si>
  <si>
    <t>ADD: 10/03/2022 - 10/31/2022</t>
  </si>
  <si>
    <t>ADD: 11/01/2022 - 12/31/2022</t>
  </si>
  <si>
    <t>LESS: 01/06/2023</t>
  </si>
  <si>
    <t>ADD: 01/01/2023 - 04/30/2023</t>
  </si>
  <si>
    <t>LESS: 05/19/2023</t>
  </si>
  <si>
    <t>ADD: 05/01/2023 - 05/31/2023</t>
  </si>
  <si>
    <t>LESS: 06/23/2023</t>
  </si>
  <si>
    <t>ADD: 06/01/2023 - 06/30/2023</t>
  </si>
  <si>
    <t>LESS: 07/06 &amp; 07/2023</t>
  </si>
  <si>
    <t>ADD: 7/01/2023 - 08/31/2023</t>
  </si>
  <si>
    <t>LESS: 08/18/2023</t>
  </si>
  <si>
    <t>LESS: 09/18&amp;25/2023</t>
  </si>
  <si>
    <t>ADD: 09/01/2023-09/30/2023</t>
  </si>
  <si>
    <t>LESS: MONETIZATION 2023</t>
  </si>
  <si>
    <t>ADD: 10/01/2023-12/31/2023</t>
  </si>
  <si>
    <t>LESS: 01/17/2024</t>
  </si>
  <si>
    <t>ADD: 01/1-31/2024</t>
  </si>
  <si>
    <t>LESS: 02/19-20/2024</t>
  </si>
  <si>
    <t>ADD: 02/1/2024-06/30/2024</t>
  </si>
  <si>
    <t>LESS: 07/05/2024</t>
  </si>
  <si>
    <t>ADD: 07/1/2024-08/31/2024</t>
  </si>
  <si>
    <t>LESS: MONETIZATION 2024</t>
  </si>
  <si>
    <t>LESS: 08/14/2024</t>
  </si>
  <si>
    <t>LESS: 08/16/2024</t>
  </si>
  <si>
    <t>ADD: 09/1/2024-12/31/2024</t>
  </si>
  <si>
    <t>LESS:  FL 2024</t>
  </si>
  <si>
    <t>LESS: 01/03/2025</t>
  </si>
  <si>
    <t>ADD: 01/1/2025-03/31/2025</t>
  </si>
  <si>
    <t>LESS: 07/16-17/2025</t>
  </si>
  <si>
    <t>LESS: 08/26/2025</t>
  </si>
  <si>
    <t>07/18/2025 - DATE FILED</t>
  </si>
  <si>
    <t>LESS: 04/24-25/2025</t>
  </si>
  <si>
    <t>ADD: 04/1/2025-07/31/2025</t>
  </si>
  <si>
    <t>LESS: 08/28/2025</t>
  </si>
  <si>
    <t>08/26-28/2025- DATE FILED/ CLASS SUSPENSION O8/26-27/2025</t>
  </si>
  <si>
    <t>ADD: 08/1/2025-09/30/2025</t>
  </si>
  <si>
    <t>LESS: 10/13/2025</t>
  </si>
  <si>
    <t>ADD: 10/1-31/2025</t>
  </si>
  <si>
    <t>ADD: 11/1-9/2025</t>
  </si>
  <si>
    <t>NOVEMBER 10, 2025 - PROMOTED TO TEACHER I</t>
  </si>
  <si>
    <t>Certified Correct:</t>
  </si>
  <si>
    <t>MA. LUISA B. CATIGAN</t>
  </si>
  <si>
    <t>Administrative Officer IV</t>
  </si>
  <si>
    <t xml:space="preserve">                    HRMO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</si>
  <si>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</si>
  <si>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</si>
  <si>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</si>
  <si>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</si>
  <si>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</si>
  <si>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</si>
  <si>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10/17/2023</t>
  </si>
  <si>
    <t>SO # 159, S. 2023  125TH PHIL. IJND. DAY</t>
  </si>
  <si>
    <t>LESS: 08/15/2024</t>
  </si>
  <si>
    <t>NOTE:  Valid for one (1) year only</t>
  </si>
  <si>
    <t>HRMO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</si>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</sst>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0" fontId="8" fillId="10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vertical="center" wrapText="1"/>
    </xf>
    <xf numFmtId="0" fontId="8" fillId="2" borderId="1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1" fillId="2" borderId="0" xfId="0" applyFont="1" applyFill="1"/>
    <xf numFmtId="0" fontId="6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14" borderId="1" xfId="0" applyNumberForma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3" fillId="11" borderId="14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518991</xdr:colOff>
      <xdr:row>0</xdr:row>
      <xdr:rowOff>37366</xdr:rowOff>
    </xdr:from>
    <xdr:to>
      <xdr:col>4</xdr:col>
      <xdr:colOff>439615</xdr:colOff>
      <xdr:row>1</xdr:row>
      <xdr:rowOff>9157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611" y="37366"/>
          <a:ext cx="689951" cy="64037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D164D0-8D7D-4CCD-AD41-8A4D617563EE}"/>
            </a:ext>
          </a:extLst>
        </xdr:cNvPr>
        <xdr:cNvSpPr txBox="1"/>
      </xdr:nvSpPr>
      <xdr:spPr>
        <a:xfrm>
          <a:off x="573942" y="1373798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ARCEO, ANGELINE M.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1795DB-4861-48A2-B4B7-D3A3C38DC620}"/>
            </a:ext>
          </a:extLst>
        </xdr:cNvPr>
        <xdr:cNvSpPr txBox="1"/>
      </xdr:nvSpPr>
      <xdr:spPr>
        <a:xfrm>
          <a:off x="616683" y="1721826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901F2D-D8D6-4A1B-AEB7-8CA9472FA25B}"/>
            </a:ext>
          </a:extLst>
        </xdr:cNvPr>
        <xdr:cNvSpPr txBox="1"/>
      </xdr:nvSpPr>
      <xdr:spPr>
        <a:xfrm>
          <a:off x="3693991" y="1703510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MARICALUM FS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5</xdr:col>
      <xdr:colOff>222250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B6D44-7A2C-46B6-A959-6A3F4F840D9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209" y="46039"/>
          <a:ext cx="757691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122A1C-B82B-49E0-B01D-FA89FC87FEC8}"/>
            </a:ext>
          </a:extLst>
        </xdr:cNvPr>
        <xdr:cNvSpPr txBox="1"/>
      </xdr:nvSpPr>
      <xdr:spPr>
        <a:xfrm>
          <a:off x="573942" y="1377461"/>
          <a:ext cx="187715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ARCEO, ANGELINE M.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362FEBA-0B05-46E3-8AC1-612C0DC4D245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74E457-228D-4AC5-905C-1428DC2A77C3}"/>
            </a:ext>
          </a:extLst>
        </xdr:cNvPr>
        <xdr:cNvSpPr txBox="1"/>
      </xdr:nvSpPr>
      <xdr:spPr>
        <a:xfrm>
          <a:off x="3517673" y="1706110"/>
          <a:ext cx="17208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18324-BFF7-40F7-A2A6-A3C57F9EBA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815" y="28769"/>
          <a:ext cx="701287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0ACA0-01C7-4F83-8414-400905B9AA46}"/>
            </a:ext>
          </a:extLst>
        </xdr:cNvPr>
        <xdr:cNvSpPr txBox="1"/>
      </xdr:nvSpPr>
      <xdr:spPr>
        <a:xfrm>
          <a:off x="76200" y="45720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590F94-5A67-4EF1-9799-27AD06F93477}"/>
            </a:ext>
          </a:extLst>
        </xdr:cNvPr>
        <xdr:cNvSpPr txBox="1"/>
      </xdr:nvSpPr>
      <xdr:spPr>
        <a:xfrm>
          <a:off x="777551" y="1483826"/>
          <a:ext cx="1535663" cy="24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E1833C-B7ED-4F2A-89E4-F9B86B46FCDC}"/>
            </a:ext>
          </a:extLst>
        </xdr:cNvPr>
        <xdr:cNvSpPr txBox="1"/>
      </xdr:nvSpPr>
      <xdr:spPr>
        <a:xfrm>
          <a:off x="751632" y="1807806"/>
          <a:ext cx="1360715" cy="233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8F4098-C390-4FBD-9886-1524C985E894}"/>
            </a:ext>
          </a:extLst>
        </xdr:cNvPr>
        <xdr:cNvSpPr txBox="1"/>
      </xdr:nvSpPr>
      <xdr:spPr>
        <a:xfrm>
          <a:off x="3745204" y="1710612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K57"/>
  <sheetViews>
    <sheetView tabSelected="1" view="pageBreakPreview" topLeftCell="A23" zoomScale="104" zoomScaleNormal="100" zoomScaleSheetLayoutView="104" workbookViewId="0">
      <selection activeCell="A39" sqref="A39"/>
    </sheetView>
  </sheetViews>
  <sheetFormatPr defaultRowHeight="15"/>
  <cols>
    <col min="1" max="1" width="32" customWidth="1"/>
    <col min="2" max="2" width="11.5703125" style="15" customWidth="1"/>
    <col min="3" max="3" width="11.5703125" style="16" customWidth="1"/>
    <col min="4" max="4" width="11.5703125" style="15" customWidth="1"/>
    <col min="5" max="5" width="11.5703125" style="16" customWidth="1"/>
    <col min="6" max="7" width="11.5703125" style="19" customWidth="1"/>
    <col min="8" max="8" width="11.5703125" style="15" customWidth="1"/>
    <col min="9" max="9" width="11.5703125" style="16" customWidth="1"/>
    <col min="10" max="10" width="11.5703125" customWidth="1"/>
  </cols>
  <sheetData>
    <row r="1" spans="1:10" s="1" customFormat="1" ht="52.5" customHeight="1"/>
    <row r="2" spans="1:10" s="1" customFormat="1" ht="10.5" customHeight="1">
      <c r="A2" s="67" t="s">
        <v>0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s="1" customFormat="1" ht="15.95" customHeight="1">
      <c r="A3" s="67" t="s">
        <v>1</v>
      </c>
      <c r="B3" s="67"/>
      <c r="C3" s="67"/>
      <c r="D3" s="67"/>
      <c r="E3" s="67"/>
      <c r="F3" s="67"/>
      <c r="G3" s="67"/>
      <c r="H3" s="67"/>
      <c r="I3" s="67"/>
      <c r="J3" s="67"/>
    </row>
    <row r="4" spans="1:10" s="1" customFormat="1" ht="15.95" customHeight="1">
      <c r="A4" s="67" t="s">
        <v>2</v>
      </c>
      <c r="B4" s="67"/>
      <c r="C4" s="67"/>
      <c r="D4" s="67"/>
      <c r="E4" s="67"/>
      <c r="F4" s="67"/>
      <c r="G4" s="67"/>
      <c r="H4" s="67"/>
      <c r="I4" s="67"/>
      <c r="J4" s="67"/>
    </row>
    <row r="5" spans="1:10" s="1" customFormat="1" ht="15.95" customHeight="1">
      <c r="A5" s="67" t="s">
        <v>3</v>
      </c>
      <c r="B5" s="67"/>
      <c r="C5" s="67"/>
      <c r="D5" s="67"/>
      <c r="E5" s="67"/>
      <c r="F5" s="67"/>
      <c r="G5" s="67"/>
      <c r="H5" s="67"/>
      <c r="I5" s="67"/>
      <c r="J5" s="67"/>
    </row>
    <row r="6" spans="1:10" s="1" customFormat="1" ht="8.25" customHeight="1"/>
    <row r="7" spans="1:10" s="1" customFormat="1" ht="12" customHeight="1">
      <c r="A7" s="1" t="s">
        <v>4</v>
      </c>
      <c r="B7" s="66" t="s">
        <v>5</v>
      </c>
      <c r="C7" s="66"/>
      <c r="D7" s="66"/>
      <c r="H7" s="3" t="s">
        <v>6</v>
      </c>
      <c r="I7" s="30"/>
      <c r="J7" s="3"/>
    </row>
    <row r="8" spans="1:10" s="1" customFormat="1" ht="12" customHeight="1">
      <c r="B8" s="2"/>
      <c r="C8" s="2"/>
      <c r="H8" s="2"/>
      <c r="I8" s="2"/>
      <c r="J8" s="2"/>
    </row>
    <row r="9" spans="1:10" s="1" customFormat="1" ht="12" customHeight="1">
      <c r="A9" s="1" t="s">
        <v>7</v>
      </c>
      <c r="B9" s="66" t="s">
        <v>8</v>
      </c>
      <c r="C9" s="66"/>
      <c r="D9" s="66"/>
      <c r="H9" s="3" t="s">
        <v>9</v>
      </c>
      <c r="I9" s="4"/>
      <c r="J9" s="3"/>
    </row>
    <row r="10" spans="1:10" ht="16.5" customHeight="1" thickBot="1">
      <c r="A10" s="52" t="s">
        <v>10</v>
      </c>
      <c r="B10" s="52"/>
      <c r="C10" s="52"/>
      <c r="D10" s="52"/>
      <c r="E10" s="52"/>
      <c r="F10" s="52"/>
      <c r="G10" s="52"/>
      <c r="H10" s="52"/>
      <c r="I10" s="52"/>
      <c r="J10" s="52"/>
    </row>
    <row r="11" spans="1:10" s="6" customFormat="1" ht="18.75" customHeight="1">
      <c r="A11" s="56" t="s">
        <v>11</v>
      </c>
      <c r="B11" s="60" t="s">
        <v>12</v>
      </c>
      <c r="C11" s="61"/>
      <c r="D11" s="62" t="s">
        <v>13</v>
      </c>
      <c r="E11" s="63"/>
      <c r="F11" s="63"/>
      <c r="G11" s="28"/>
      <c r="H11" s="64" t="s">
        <v>14</v>
      </c>
      <c r="I11" s="65"/>
      <c r="J11" s="58" t="s">
        <v>15</v>
      </c>
    </row>
    <row r="12" spans="1:10" s="6" customFormat="1" ht="51" customHeight="1">
      <c r="A12" s="57"/>
      <c r="B12" s="14" t="s">
        <v>16</v>
      </c>
      <c r="C12" s="17" t="s">
        <v>17</v>
      </c>
      <c r="D12" s="14" t="s">
        <v>16</v>
      </c>
      <c r="E12" s="17" t="s">
        <v>17</v>
      </c>
      <c r="F12" s="18" t="s">
        <v>18</v>
      </c>
      <c r="G12" s="29" t="s">
        <v>19</v>
      </c>
      <c r="H12" s="14" t="s">
        <v>16</v>
      </c>
      <c r="I12" s="17" t="s">
        <v>17</v>
      </c>
      <c r="J12" s="59"/>
    </row>
    <row r="13" spans="1:10" s="6" customFormat="1" ht="18.75" customHeight="1">
      <c r="A13" s="53" t="s">
        <v>20</v>
      </c>
      <c r="B13" s="54"/>
      <c r="C13" s="54"/>
      <c r="D13" s="54"/>
      <c r="E13" s="54"/>
      <c r="F13" s="54"/>
      <c r="G13" s="54"/>
      <c r="H13" s="54"/>
      <c r="I13" s="54"/>
      <c r="J13" s="55"/>
    </row>
    <row r="14" spans="1:10" s="6" customFormat="1" ht="15.95" customHeight="1">
      <c r="A14" s="8" t="s">
        <v>21</v>
      </c>
      <c r="B14" s="13">
        <v>1.208</v>
      </c>
      <c r="C14" s="13">
        <v>1.208</v>
      </c>
      <c r="D14" s="13"/>
      <c r="E14" s="13"/>
      <c r="F14" s="13"/>
      <c r="G14" s="13"/>
      <c r="H14" s="13">
        <f>B14</f>
        <v>1.208</v>
      </c>
      <c r="I14" s="13">
        <f>C14</f>
        <v>1.208</v>
      </c>
      <c r="J14" s="36">
        <f t="shared" ref="J14:J15" si="0">H14+I14</f>
        <v>2.4159999999999999</v>
      </c>
    </row>
    <row r="15" spans="1:10" s="5" customFormat="1" ht="15.95" customHeight="1">
      <c r="A15" s="10" t="s">
        <v>22</v>
      </c>
      <c r="B15" s="13">
        <v>2.5</v>
      </c>
      <c r="C15" s="13">
        <v>2.5</v>
      </c>
      <c r="D15" s="13"/>
      <c r="E15" s="13"/>
      <c r="F15" s="13"/>
      <c r="G15" s="13"/>
      <c r="H15" s="13">
        <f>H14-F15-D15+B15</f>
        <v>3.7080000000000002</v>
      </c>
      <c r="I15" s="13">
        <f>I14-E15+C15</f>
        <v>3.7080000000000002</v>
      </c>
      <c r="J15" s="36">
        <f t="shared" si="0"/>
        <v>7.4160000000000004</v>
      </c>
    </row>
    <row r="16" spans="1:10" s="5" customFormat="1" ht="15.95" customHeight="1">
      <c r="A16" s="10" t="s">
        <v>23</v>
      </c>
      <c r="B16" s="13"/>
      <c r="C16" s="13"/>
      <c r="D16" s="13"/>
      <c r="E16" s="13"/>
      <c r="F16" s="13">
        <v>1</v>
      </c>
      <c r="G16" s="13"/>
      <c r="H16" s="13">
        <f t="shared" ref="H16:H26" si="1">H15-F16-D16+B16</f>
        <v>2.7080000000000002</v>
      </c>
      <c r="I16" s="13">
        <f t="shared" ref="I16:I26" si="2">I15-E16+C16</f>
        <v>3.7080000000000002</v>
      </c>
      <c r="J16" s="36">
        <f t="shared" ref="J16:J26" si="3">H16+I16</f>
        <v>6.4160000000000004</v>
      </c>
    </row>
    <row r="17" spans="1:10" s="5" customFormat="1" ht="15.95" customHeight="1">
      <c r="A17" s="10" t="s">
        <v>24</v>
      </c>
      <c r="B17" s="13">
        <v>5</v>
      </c>
      <c r="C17" s="13">
        <v>5</v>
      </c>
      <c r="D17" s="13"/>
      <c r="E17" s="13"/>
      <c r="F17" s="13"/>
      <c r="G17" s="13"/>
      <c r="H17" s="13">
        <f t="shared" si="1"/>
        <v>7.7080000000000002</v>
      </c>
      <c r="I17" s="13">
        <f t="shared" si="2"/>
        <v>8.7080000000000002</v>
      </c>
      <c r="J17" s="36">
        <f t="shared" si="3"/>
        <v>16.416</v>
      </c>
    </row>
    <row r="18" spans="1:10" s="5" customFormat="1" ht="15.95" customHeight="1">
      <c r="A18" s="10" t="s">
        <v>25</v>
      </c>
      <c r="B18" s="13"/>
      <c r="C18" s="13"/>
      <c r="D18" s="13"/>
      <c r="E18" s="13"/>
      <c r="F18" s="13">
        <v>1</v>
      </c>
      <c r="G18" s="13"/>
      <c r="H18" s="13">
        <f t="shared" si="1"/>
        <v>6.7080000000000002</v>
      </c>
      <c r="I18" s="13">
        <f t="shared" si="2"/>
        <v>8.7080000000000002</v>
      </c>
      <c r="J18" s="36">
        <f t="shared" si="3"/>
        <v>15.416</v>
      </c>
    </row>
    <row r="19" spans="1:10" s="5" customFormat="1" ht="15.95" customHeight="1">
      <c r="A19" s="10" t="s">
        <v>26</v>
      </c>
      <c r="B19" s="13">
        <v>1.25</v>
      </c>
      <c r="C19" s="13">
        <v>1.25</v>
      </c>
      <c r="D19" s="13"/>
      <c r="E19" s="13"/>
      <c r="F19" s="13"/>
      <c r="G19" s="13"/>
      <c r="H19" s="13">
        <f t="shared" si="1"/>
        <v>7.9580000000000002</v>
      </c>
      <c r="I19" s="13">
        <f t="shared" si="2"/>
        <v>9.9580000000000002</v>
      </c>
      <c r="J19" s="36">
        <f t="shared" si="3"/>
        <v>17.916</v>
      </c>
    </row>
    <row r="20" spans="1:10" s="5" customFormat="1" ht="15.95" customHeight="1">
      <c r="A20" s="10" t="s">
        <v>27</v>
      </c>
      <c r="B20" s="13"/>
      <c r="C20" s="13"/>
      <c r="D20" s="13"/>
      <c r="E20" s="13"/>
      <c r="F20" s="13">
        <v>1</v>
      </c>
      <c r="G20" s="13"/>
      <c r="H20" s="13">
        <f t="shared" si="1"/>
        <v>6.9580000000000002</v>
      </c>
      <c r="I20" s="13">
        <f t="shared" si="2"/>
        <v>9.9580000000000002</v>
      </c>
      <c r="J20" s="36">
        <f t="shared" si="3"/>
        <v>16.916</v>
      </c>
    </row>
    <row r="21" spans="1:10" s="5" customFormat="1" ht="15.95" customHeight="1">
      <c r="A21" s="10" t="s">
        <v>28</v>
      </c>
      <c r="B21" s="13">
        <v>1.25</v>
      </c>
      <c r="C21" s="13">
        <v>1.25</v>
      </c>
      <c r="D21" s="13"/>
      <c r="E21" s="13"/>
      <c r="F21" s="13"/>
      <c r="G21" s="13"/>
      <c r="H21" s="13">
        <f t="shared" si="1"/>
        <v>8.2080000000000002</v>
      </c>
      <c r="I21" s="13">
        <f t="shared" si="2"/>
        <v>11.208</v>
      </c>
      <c r="J21" s="36">
        <f t="shared" si="3"/>
        <v>19.416</v>
      </c>
    </row>
    <row r="22" spans="1:10" s="5" customFormat="1" ht="15.95" customHeight="1">
      <c r="A22" s="10" t="s">
        <v>29</v>
      </c>
      <c r="B22" s="26"/>
      <c r="C22" s="13"/>
      <c r="D22" s="13"/>
      <c r="E22" s="13"/>
      <c r="F22" s="13">
        <v>2</v>
      </c>
      <c r="G22" s="13"/>
      <c r="H22" s="13">
        <f t="shared" si="1"/>
        <v>6.2080000000000002</v>
      </c>
      <c r="I22" s="13">
        <f>I21-E22+C22</f>
        <v>11.208</v>
      </c>
      <c r="J22" s="36">
        <f t="shared" si="3"/>
        <v>17.416</v>
      </c>
    </row>
    <row r="23" spans="1:10" s="5" customFormat="1" ht="15.95" customHeight="1">
      <c r="A23" s="10" t="s">
        <v>30</v>
      </c>
      <c r="B23" s="13">
        <v>2.5</v>
      </c>
      <c r="C23" s="13">
        <v>2.5</v>
      </c>
      <c r="D23" s="13"/>
      <c r="E23" s="13"/>
      <c r="F23" s="13"/>
      <c r="G23" s="13"/>
      <c r="H23" s="13">
        <f>H22-F23-D23+B23</f>
        <v>8.7080000000000002</v>
      </c>
      <c r="I23" s="13">
        <f t="shared" si="2"/>
        <v>13.708</v>
      </c>
      <c r="J23" s="36">
        <f t="shared" si="3"/>
        <v>22.416</v>
      </c>
    </row>
    <row r="24" spans="1:10" s="5" customFormat="1" ht="15.95" customHeight="1">
      <c r="A24" s="8" t="s">
        <v>31</v>
      </c>
      <c r="B24" s="13"/>
      <c r="C24" s="13"/>
      <c r="D24" s="13"/>
      <c r="E24" s="13"/>
      <c r="F24" s="13"/>
      <c r="G24" s="13">
        <v>1</v>
      </c>
      <c r="H24" s="13">
        <f t="shared" si="1"/>
        <v>8.7080000000000002</v>
      </c>
      <c r="I24" s="13">
        <f t="shared" si="2"/>
        <v>13.708</v>
      </c>
      <c r="J24" s="36">
        <f t="shared" si="3"/>
        <v>22.416</v>
      </c>
    </row>
    <row r="25" spans="1:10" s="5" customFormat="1" ht="15.95" customHeight="1">
      <c r="A25" s="8" t="s">
        <v>32</v>
      </c>
      <c r="B25" s="13"/>
      <c r="C25" s="13"/>
      <c r="D25" s="13"/>
      <c r="E25" s="13"/>
      <c r="F25" s="13"/>
      <c r="G25" s="13">
        <v>2</v>
      </c>
      <c r="H25" s="13">
        <f t="shared" si="1"/>
        <v>8.7080000000000002</v>
      </c>
      <c r="I25" s="13">
        <f t="shared" si="2"/>
        <v>13.708</v>
      </c>
      <c r="J25" s="36">
        <f t="shared" si="3"/>
        <v>22.416</v>
      </c>
    </row>
    <row r="26" spans="1:10" ht="15.95" customHeight="1">
      <c r="A26" s="8" t="s">
        <v>33</v>
      </c>
      <c r="B26" s="8">
        <v>1.25</v>
      </c>
      <c r="C26" s="8">
        <v>1.25</v>
      </c>
      <c r="D26" s="26"/>
      <c r="E26" s="26"/>
      <c r="F26" s="26"/>
      <c r="G26" s="26"/>
      <c r="H26" s="13">
        <f t="shared" si="1"/>
        <v>9.9580000000000002</v>
      </c>
      <c r="I26" s="13">
        <f t="shared" si="2"/>
        <v>14.958</v>
      </c>
      <c r="J26" s="36">
        <f t="shared" si="3"/>
        <v>24.916</v>
      </c>
    </row>
    <row r="27" spans="1:10" ht="15.95" customHeight="1">
      <c r="A27" s="8" t="s">
        <v>34</v>
      </c>
      <c r="B27" s="8"/>
      <c r="C27" s="8"/>
      <c r="D27" s="8">
        <v>4</v>
      </c>
      <c r="E27" s="8">
        <v>8</v>
      </c>
      <c r="F27" s="8"/>
      <c r="G27" s="8"/>
      <c r="H27" s="13">
        <f t="shared" ref="H27" si="4">H26-F27-D27+B27</f>
        <v>5.9580000000000002</v>
      </c>
      <c r="I27" s="13">
        <f t="shared" ref="I27" si="5">I26-E27+C27</f>
        <v>6.9580000000000002</v>
      </c>
      <c r="J27" s="36">
        <f t="shared" ref="J27" si="6">H27+I27</f>
        <v>12.916</v>
      </c>
    </row>
    <row r="28" spans="1:10" ht="15.95" customHeight="1">
      <c r="A28" s="8" t="s">
        <v>35</v>
      </c>
      <c r="B28" s="8">
        <f>3*1.25</f>
        <v>3.75</v>
      </c>
      <c r="C28" s="8">
        <v>3.75</v>
      </c>
      <c r="D28" s="25"/>
      <c r="E28" s="8"/>
      <c r="F28" s="8"/>
      <c r="G28" s="8"/>
      <c r="H28" s="13">
        <f t="shared" ref="H28:H31" si="7">H27-F28-D28+B28</f>
        <v>9.7080000000000002</v>
      </c>
      <c r="I28" s="13">
        <f t="shared" ref="I28:I31" si="8">I27-E28+C28</f>
        <v>10.708</v>
      </c>
      <c r="J28" s="36">
        <f t="shared" ref="J28" si="9">H28+I28</f>
        <v>20.416</v>
      </c>
    </row>
    <row r="29" spans="1:10" ht="15.95" customHeight="1">
      <c r="A29" s="8" t="s">
        <v>36</v>
      </c>
      <c r="B29" s="8"/>
      <c r="C29" s="8"/>
      <c r="D29" s="8"/>
      <c r="E29" s="8"/>
      <c r="F29" s="24">
        <v>1</v>
      </c>
      <c r="G29" s="8"/>
      <c r="H29" s="13">
        <f t="shared" si="7"/>
        <v>8.7080000000000002</v>
      </c>
      <c r="I29" s="13">
        <f t="shared" si="8"/>
        <v>10.708</v>
      </c>
      <c r="J29" s="37">
        <f>H29+I29</f>
        <v>19.416</v>
      </c>
    </row>
    <row r="30" spans="1:10" ht="15.95" customHeight="1">
      <c r="A30" s="8" t="s">
        <v>37</v>
      </c>
      <c r="B30" s="8">
        <v>1.25</v>
      </c>
      <c r="C30" s="8">
        <v>1.25</v>
      </c>
      <c r="D30" s="8"/>
      <c r="E30" s="8"/>
      <c r="F30" s="24"/>
      <c r="G30" s="8"/>
      <c r="H30" s="13">
        <f t="shared" si="7"/>
        <v>9.9580000000000002</v>
      </c>
      <c r="I30" s="13">
        <f t="shared" si="8"/>
        <v>11.958</v>
      </c>
      <c r="J30" s="37">
        <f>H30+I30</f>
        <v>21.916</v>
      </c>
    </row>
    <row r="31" spans="1:10" ht="15.95" customHeight="1">
      <c r="A31" s="8" t="s">
        <v>38</v>
      </c>
      <c r="B31" s="8"/>
      <c r="C31" s="8"/>
      <c r="D31" s="8"/>
      <c r="E31" s="8"/>
      <c r="F31" s="24">
        <v>2</v>
      </c>
      <c r="G31" s="8"/>
      <c r="H31" s="13">
        <f t="shared" si="7"/>
        <v>7.9580000000000002</v>
      </c>
      <c r="I31" s="13">
        <f t="shared" si="8"/>
        <v>11.958</v>
      </c>
      <c r="J31" s="37">
        <f>H31+I31</f>
        <v>19.916</v>
      </c>
    </row>
    <row r="32" spans="1:10" ht="15.95" customHeight="1">
      <c r="A32" s="8" t="s">
        <v>39</v>
      </c>
      <c r="B32" s="8">
        <v>6.25</v>
      </c>
      <c r="C32" s="8">
        <v>6.25</v>
      </c>
      <c r="D32" s="27"/>
      <c r="E32" s="27"/>
      <c r="F32" s="39"/>
      <c r="G32" s="27"/>
      <c r="H32" s="13">
        <f t="shared" ref="H32:H33" si="10">H31-F32-D32+B32</f>
        <v>14.208</v>
      </c>
      <c r="I32" s="13">
        <f t="shared" ref="I32:I33" si="11">I31-E32+C32</f>
        <v>18.207999999999998</v>
      </c>
      <c r="J32" s="37">
        <f t="shared" ref="J32:J33" si="12">H32+I32</f>
        <v>32.415999999999997</v>
      </c>
    </row>
    <row r="33" spans="1:11" ht="15.95" customHeight="1">
      <c r="A33" s="8" t="s">
        <v>40</v>
      </c>
      <c r="B33" s="8"/>
      <c r="C33" s="8"/>
      <c r="D33" s="27"/>
      <c r="E33" s="27"/>
      <c r="F33" s="24">
        <v>1</v>
      </c>
      <c r="G33" s="27"/>
      <c r="H33" s="13">
        <f t="shared" si="10"/>
        <v>13.208</v>
      </c>
      <c r="I33" s="13">
        <f t="shared" si="11"/>
        <v>18.207999999999998</v>
      </c>
      <c r="J33" s="37">
        <f t="shared" si="12"/>
        <v>31.415999999999997</v>
      </c>
    </row>
    <row r="34" spans="1:11" ht="15.95" customHeight="1">
      <c r="A34" s="8" t="s">
        <v>41</v>
      </c>
      <c r="B34" s="8">
        <v>2.5</v>
      </c>
      <c r="C34" s="8">
        <v>2.5</v>
      </c>
      <c r="D34" s="27"/>
      <c r="E34" s="27"/>
      <c r="F34" s="27"/>
      <c r="G34" s="27"/>
      <c r="H34" s="13">
        <f t="shared" ref="H34" si="13">H33-F34-D34+B34</f>
        <v>15.708</v>
      </c>
      <c r="I34" s="13">
        <f t="shared" ref="I34" si="14">I33-E34+C34</f>
        <v>20.707999999999998</v>
      </c>
      <c r="J34" s="37">
        <f t="shared" ref="J34" si="15">H34+I34</f>
        <v>36.415999999999997</v>
      </c>
    </row>
    <row r="35" spans="1:11" ht="15.95" customHeight="1">
      <c r="A35" s="24" t="s">
        <v>42</v>
      </c>
      <c r="B35" s="24"/>
      <c r="C35" s="24"/>
      <c r="D35" s="39">
        <v>10</v>
      </c>
      <c r="E35" s="39"/>
      <c r="F35" s="39"/>
      <c r="G35" s="39"/>
      <c r="H35" s="40">
        <f t="shared" ref="H35" si="16">H34-F35-D35+B35</f>
        <v>5.7080000000000002</v>
      </c>
      <c r="I35" s="40">
        <f t="shared" ref="I35" si="17">I34-E35+C35</f>
        <v>20.707999999999998</v>
      </c>
      <c r="J35" s="37">
        <f t="shared" ref="J35" si="18">H35+I35</f>
        <v>26.415999999999997</v>
      </c>
    </row>
    <row r="36" spans="1:11" ht="15.95" customHeight="1">
      <c r="A36" s="24" t="s">
        <v>43</v>
      </c>
      <c r="B36" s="24"/>
      <c r="C36" s="24"/>
      <c r="D36" s="39"/>
      <c r="E36" s="39"/>
      <c r="F36" s="39"/>
      <c r="G36" s="39">
        <v>1</v>
      </c>
      <c r="H36" s="40">
        <f t="shared" ref="H36" si="19">H35-F36-D36+B36</f>
        <v>5.7080000000000002</v>
      </c>
      <c r="I36" s="40">
        <f t="shared" ref="I36" si="20">I35-E36+C36</f>
        <v>20.707999999999998</v>
      </c>
      <c r="J36" s="37">
        <f t="shared" ref="J36" si="21">H36+I36</f>
        <v>26.415999999999997</v>
      </c>
    </row>
    <row r="37" spans="1:11" ht="15.95" customHeight="1">
      <c r="A37" s="24" t="s">
        <v>44</v>
      </c>
      <c r="B37" s="24"/>
      <c r="C37" s="24"/>
      <c r="D37" s="39"/>
      <c r="E37" s="39">
        <v>1</v>
      </c>
      <c r="F37" s="39"/>
      <c r="G37" s="39"/>
      <c r="H37" s="40">
        <f t="shared" ref="H37" si="22">H36-F37-D37+B37</f>
        <v>5.7080000000000002</v>
      </c>
      <c r="I37" s="40">
        <f t="shared" ref="I37" si="23">I36-E37+C37</f>
        <v>19.707999999999998</v>
      </c>
      <c r="J37" s="37">
        <f t="shared" ref="J37" si="24">H37+I37</f>
        <v>25.415999999999997</v>
      </c>
    </row>
    <row r="38" spans="1:11" ht="15.95" customHeight="1">
      <c r="A38" s="24" t="s">
        <v>45</v>
      </c>
      <c r="B38" s="24">
        <v>5</v>
      </c>
      <c r="C38" s="24">
        <v>5</v>
      </c>
      <c r="D38" s="39"/>
      <c r="E38" s="39"/>
      <c r="F38" s="39"/>
      <c r="G38" s="39"/>
      <c r="H38" s="40">
        <f t="shared" ref="H38" si="25">H37-F38-D38+B38</f>
        <v>10.708</v>
      </c>
      <c r="I38" s="40">
        <f t="shared" ref="I38" si="26">I37-E38+C38</f>
        <v>24.707999999999998</v>
      </c>
      <c r="J38" s="37">
        <f t="shared" ref="J38" si="27">H38+I38</f>
        <v>35.415999999999997</v>
      </c>
    </row>
    <row r="39" spans="1:11" ht="15.95" customHeight="1">
      <c r="A39" s="24" t="s">
        <v>46</v>
      </c>
      <c r="B39" s="24"/>
      <c r="C39" s="24"/>
      <c r="D39" s="39"/>
      <c r="E39" s="39"/>
      <c r="F39" s="39">
        <v>1</v>
      </c>
      <c r="G39" s="39"/>
      <c r="H39" s="40">
        <f t="shared" ref="H39:H40" si="28">H38-F39-D39+B39</f>
        <v>9.7080000000000002</v>
      </c>
      <c r="I39" s="40">
        <f t="shared" ref="I39:I40" si="29">I38-E39+C39</f>
        <v>24.707999999999998</v>
      </c>
      <c r="J39" s="37">
        <f t="shared" ref="J39:J40" si="30">H39+I39</f>
        <v>34.415999999999997</v>
      </c>
    </row>
    <row r="40" spans="1:11" ht="15.95" customHeight="1">
      <c r="A40" s="24" t="s">
        <v>47</v>
      </c>
      <c r="B40" s="24"/>
      <c r="C40" s="24"/>
      <c r="D40" s="39"/>
      <c r="E40" s="39">
        <v>1</v>
      </c>
      <c r="F40" s="39"/>
      <c r="G40" s="39"/>
      <c r="H40" s="40">
        <f t="shared" si="28"/>
        <v>9.7080000000000002</v>
      </c>
      <c r="I40" s="40">
        <f t="shared" si="29"/>
        <v>23.707999999999998</v>
      </c>
      <c r="J40" s="37">
        <f t="shared" si="30"/>
        <v>33.415999999999997</v>
      </c>
    </row>
    <row r="41" spans="1:11" ht="15.95" customHeight="1">
      <c r="A41" s="24" t="s">
        <v>48</v>
      </c>
      <c r="B41" s="24">
        <v>3.75</v>
      </c>
      <c r="C41" s="24">
        <v>3.75</v>
      </c>
      <c r="D41" s="39"/>
      <c r="E41" s="39"/>
      <c r="F41" s="39"/>
      <c r="G41" s="39"/>
      <c r="H41" s="40">
        <f t="shared" ref="H41:H43" si="31">H40-F41-D41+B41</f>
        <v>13.458</v>
      </c>
      <c r="I41" s="40">
        <f t="shared" ref="I41:I43" si="32">I40-E41+C41</f>
        <v>27.457999999999998</v>
      </c>
      <c r="J41" s="37">
        <f t="shared" ref="J41:J43" si="33">H41+I41</f>
        <v>40.915999999999997</v>
      </c>
    </row>
    <row r="42" spans="1:11" ht="15.95" customHeight="1">
      <c r="A42" s="24" t="s">
        <v>49</v>
      </c>
      <c r="B42" s="24"/>
      <c r="C42" s="24"/>
      <c r="D42" s="39"/>
      <c r="E42" s="39"/>
      <c r="F42" s="39">
        <v>2</v>
      </c>
      <c r="G42" s="39"/>
      <c r="H42" s="40">
        <f t="shared" si="31"/>
        <v>11.458</v>
      </c>
      <c r="I42" s="40">
        <f t="shared" si="32"/>
        <v>27.457999999999998</v>
      </c>
      <c r="J42" s="37">
        <f t="shared" si="33"/>
        <v>38.915999999999997</v>
      </c>
    </row>
    <row r="43" spans="1:11" ht="15.95" customHeight="1">
      <c r="A43" s="24" t="s">
        <v>50</v>
      </c>
      <c r="B43" s="24"/>
      <c r="C43" s="24"/>
      <c r="D43" s="39"/>
      <c r="E43" s="39"/>
      <c r="F43" s="39"/>
      <c r="G43" s="39">
        <v>1</v>
      </c>
      <c r="H43" s="40">
        <f t="shared" si="31"/>
        <v>11.458</v>
      </c>
      <c r="I43" s="40">
        <f t="shared" si="32"/>
        <v>27.457999999999998</v>
      </c>
      <c r="J43" s="37">
        <f t="shared" si="33"/>
        <v>38.915999999999997</v>
      </c>
      <c r="K43" t="s">
        <v>51</v>
      </c>
    </row>
    <row r="44" spans="1:11" ht="15.95" customHeight="1">
      <c r="A44" s="24" t="s">
        <v>52</v>
      </c>
      <c r="B44" s="24"/>
      <c r="C44" s="24"/>
      <c r="D44" s="39"/>
      <c r="E44" s="39">
        <v>2</v>
      </c>
      <c r="F44" s="39"/>
      <c r="G44" s="39"/>
      <c r="H44" s="40">
        <f t="shared" ref="H44" si="34">H43-F44-D44+B44</f>
        <v>11.458</v>
      </c>
      <c r="I44" s="40">
        <f t="shared" ref="I44" si="35">I43-E44+C44</f>
        <v>25.457999999999998</v>
      </c>
      <c r="J44" s="37">
        <f t="shared" ref="J44" si="36">H44+I44</f>
        <v>36.915999999999997</v>
      </c>
    </row>
    <row r="45" spans="1:11" ht="18.95" customHeight="1">
      <c r="A45" s="8" t="s">
        <v>53</v>
      </c>
      <c r="B45" s="27">
        <v>5</v>
      </c>
      <c r="C45" s="27">
        <v>5</v>
      </c>
      <c r="D45" s="42"/>
      <c r="E45" s="27"/>
      <c r="F45" s="27"/>
      <c r="G45" s="27"/>
      <c r="H45" s="40">
        <f t="shared" ref="H45" si="37">H44-F45-D45+B45</f>
        <v>16.457999999999998</v>
      </c>
      <c r="I45" s="40">
        <f t="shared" ref="I45" si="38">I44-E45+C45</f>
        <v>30.457999999999998</v>
      </c>
      <c r="J45" s="37">
        <f t="shared" ref="J45" si="39">H45+I45</f>
        <v>46.915999999999997</v>
      </c>
    </row>
    <row r="46" spans="1:11" ht="18.95" customHeight="1">
      <c r="A46" s="8" t="s">
        <v>54</v>
      </c>
      <c r="B46" s="27"/>
      <c r="C46" s="27"/>
      <c r="D46" s="42"/>
      <c r="E46" s="27">
        <v>1</v>
      </c>
      <c r="F46" s="27"/>
      <c r="G46" s="27"/>
      <c r="H46" s="40">
        <f t="shared" ref="H46" si="40">H45-F46-D46+B46</f>
        <v>16.457999999999998</v>
      </c>
      <c r="I46" s="40">
        <f t="shared" ref="I46" si="41">I45-E46+C46</f>
        <v>29.457999999999998</v>
      </c>
      <c r="J46" s="37">
        <f t="shared" ref="J46" si="42">H46+I46</f>
        <v>45.915999999999997</v>
      </c>
      <c r="K46" t="s">
        <v>55</v>
      </c>
    </row>
    <row r="47" spans="1:11" ht="18.95" customHeight="1">
      <c r="A47" s="8" t="s">
        <v>56</v>
      </c>
      <c r="B47" s="27">
        <v>2.5</v>
      </c>
      <c r="C47" s="27">
        <v>2.5</v>
      </c>
      <c r="D47" s="42"/>
      <c r="E47" s="27"/>
      <c r="F47" s="27"/>
      <c r="G47" s="27"/>
      <c r="H47" s="40">
        <f t="shared" ref="H47:H48" si="43">H46-F47-D47+B47</f>
        <v>18.957999999999998</v>
      </c>
      <c r="I47" s="40">
        <f t="shared" ref="I47:I48" si="44">I46-E47+C47</f>
        <v>31.957999999999998</v>
      </c>
      <c r="J47" s="37">
        <f t="shared" ref="J47:J48" si="45">H47+I47</f>
        <v>50.915999999999997</v>
      </c>
    </row>
    <row r="48" spans="1:11" ht="18.95" customHeight="1">
      <c r="A48" s="8" t="s">
        <v>57</v>
      </c>
      <c r="B48" s="27"/>
      <c r="C48" s="27"/>
      <c r="D48" s="42"/>
      <c r="E48" s="27">
        <v>1</v>
      </c>
      <c r="F48" s="27"/>
      <c r="G48" s="27"/>
      <c r="H48" s="40">
        <f t="shared" si="43"/>
        <v>18.957999999999998</v>
      </c>
      <c r="I48" s="40">
        <f t="shared" si="44"/>
        <v>30.957999999999998</v>
      </c>
      <c r="J48" s="37">
        <f t="shared" si="45"/>
        <v>49.915999999999997</v>
      </c>
    </row>
    <row r="49" spans="1:10" ht="18.95" customHeight="1">
      <c r="A49" s="8" t="s">
        <v>58</v>
      </c>
      <c r="B49" s="27">
        <v>1.25</v>
      </c>
      <c r="C49" s="27">
        <v>1.25</v>
      </c>
      <c r="D49" s="42"/>
      <c r="E49" s="27"/>
      <c r="F49" s="27"/>
      <c r="G49" s="27"/>
      <c r="H49" s="40">
        <f t="shared" ref="H49:H50" si="46">H48-F49-D49+B49</f>
        <v>20.207999999999998</v>
      </c>
      <c r="I49" s="40">
        <f t="shared" ref="I49:I50" si="47">I48-E49+C49</f>
        <v>32.207999999999998</v>
      </c>
      <c r="J49" s="37">
        <f t="shared" ref="J49:J50" si="48">H49+I49</f>
        <v>52.415999999999997</v>
      </c>
    </row>
    <row r="50" spans="1:10" ht="18.95" customHeight="1">
      <c r="A50" s="8" t="s">
        <v>59</v>
      </c>
      <c r="B50" s="27">
        <v>0.375</v>
      </c>
      <c r="C50" s="27">
        <v>0.375</v>
      </c>
      <c r="D50" s="42"/>
      <c r="E50" s="27"/>
      <c r="F50" s="27"/>
      <c r="G50" s="27"/>
      <c r="H50" s="40">
        <f t="shared" si="46"/>
        <v>20.582999999999998</v>
      </c>
      <c r="I50" s="40">
        <f t="shared" si="47"/>
        <v>32.582999999999998</v>
      </c>
      <c r="J50" s="48">
        <f t="shared" si="48"/>
        <v>53.165999999999997</v>
      </c>
    </row>
    <row r="51" spans="1:10" ht="18.95" customHeight="1">
      <c r="A51" s="49" t="s">
        <v>60</v>
      </c>
      <c r="B51" s="50"/>
      <c r="C51" s="50"/>
      <c r="D51" s="50"/>
      <c r="E51" s="50"/>
      <c r="F51" s="50"/>
      <c r="G51" s="50"/>
      <c r="H51" s="50"/>
      <c r="I51" s="50"/>
      <c r="J51" s="51"/>
    </row>
    <row r="52" spans="1:10" ht="18.95" customHeight="1">
      <c r="A52" s="43"/>
      <c r="B52" s="44"/>
      <c r="C52" s="44"/>
      <c r="D52" s="45"/>
      <c r="E52" s="45"/>
      <c r="F52" s="45"/>
      <c r="G52" s="45"/>
      <c r="H52" s="46"/>
      <c r="I52" s="46"/>
      <c r="J52" s="47"/>
    </row>
    <row r="53" spans="1:10" s="1" customFormat="1">
      <c r="G53" s="1" t="s">
        <v>61</v>
      </c>
    </row>
    <row r="54" spans="1:10" s="1" customFormat="1"/>
    <row r="55" spans="1:10" s="1" customFormat="1">
      <c r="H55" s="38" t="s">
        <v>62</v>
      </c>
    </row>
    <row r="56" spans="1:10" s="1" customFormat="1">
      <c r="H56" s="1" t="s">
        <v>63</v>
      </c>
    </row>
    <row r="57" spans="1:10" s="1" customFormat="1">
      <c r="H57" s="1" t="s">
        <v>64</v>
      </c>
    </row>
  </sheetData>
  <mergeCells count="14">
    <mergeCell ref="B7:D7"/>
    <mergeCell ref="B9:D9"/>
    <mergeCell ref="A2:J2"/>
    <mergeCell ref="A3:J3"/>
    <mergeCell ref="A4:J4"/>
    <mergeCell ref="A5:J5"/>
    <mergeCell ref="A51:J51"/>
    <mergeCell ref="A10:J10"/>
    <mergeCell ref="A13:J13"/>
    <mergeCell ref="A11:A12"/>
    <mergeCell ref="J11:J12"/>
    <mergeCell ref="B11:C11"/>
    <mergeCell ref="D11:F11"/>
    <mergeCell ref="H11:I11"/>
  </mergeCells>
  <phoneticPr fontId="5" type="noConversion"/>
  <printOptions horizontalCentered="1"/>
  <pageMargins left="0.43307086614173229" right="0.51181102362204722" top="0.51181102362204722" bottom="0.51181102362204722" header="0.31496062992125984" footer="0.31496062992125984"/>
  <pageSetup paperSize="9" scale="68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5B4A-1038-4625-8D76-55CCCA40507D}">
  <sheetPr>
    <pageSetUpPr fitToPage="1"/>
  </sheetPr>
  <dimension ref="A1:L21"/>
  <sheetViews>
    <sheetView workbookViewId="0">
      <selection activeCell="E20" sqref="E20"/>
    </sheetView>
  </sheetViews>
  <sheetFormatPr defaultRowHeight="15"/>
  <cols>
    <col min="1" max="1" width="21.5703125" customWidth="1"/>
    <col min="2" max="2" width="17.5703125" customWidth="1"/>
  </cols>
  <sheetData>
    <row r="1" spans="1:12" s="1" customFormat="1" ht="52.5" customHeight="1"/>
    <row r="2" spans="1:12" s="1" customFormat="1" ht="10.5" customHeight="1">
      <c r="A2" s="67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s="1" customFormat="1" ht="15.95" customHeight="1">
      <c r="A3" s="67" t="s">
        <v>1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2" s="1" customFormat="1" ht="15.95" customHeight="1">
      <c r="A4" s="67" t="s">
        <v>65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s="1" customFormat="1" ht="15.95" customHeight="1">
      <c r="A5" s="67" t="s">
        <v>3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</row>
    <row r="6" spans="1:12" s="1" customFormat="1" ht="8.25" customHeight="1"/>
    <row r="7" spans="1:12" s="1" customFormat="1" ht="12" customHeight="1">
      <c r="A7" s="1" t="s">
        <v>4</v>
      </c>
      <c r="C7" s="3" t="s">
        <v>5</v>
      </c>
      <c r="D7" s="3"/>
      <c r="G7" s="3" t="s">
        <v>6</v>
      </c>
      <c r="H7" s="30"/>
    </row>
    <row r="8" spans="1:12" s="1" customFormat="1" ht="12" customHeight="1">
      <c r="C8" s="2"/>
      <c r="G8" s="2"/>
      <c r="H8" s="2"/>
    </row>
    <row r="9" spans="1:12" s="1" customFormat="1" ht="12" customHeight="1">
      <c r="A9" s="1" t="s">
        <v>7</v>
      </c>
      <c r="C9" s="3" t="s">
        <v>8</v>
      </c>
      <c r="D9" s="3"/>
      <c r="G9" s="3" t="s">
        <v>9</v>
      </c>
      <c r="H9" s="4"/>
    </row>
    <row r="10" spans="1:12" ht="16.5" customHeight="1" thickBot="1">
      <c r="A10" s="52" t="s">
        <v>66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</row>
    <row r="11" spans="1:12" s="21" customFormat="1" ht="18.75" customHeight="1">
      <c r="A11" s="77" t="s">
        <v>11</v>
      </c>
      <c r="B11" s="78" t="s">
        <v>12</v>
      </c>
      <c r="C11" s="79"/>
      <c r="D11" s="79"/>
      <c r="E11" s="79"/>
      <c r="F11" s="79"/>
      <c r="G11" s="79"/>
      <c r="H11" s="79"/>
      <c r="I11" s="79"/>
      <c r="J11" s="79"/>
      <c r="K11" s="79"/>
      <c r="L11" s="80" t="s">
        <v>15</v>
      </c>
    </row>
    <row r="12" spans="1:12" s="21" customFormat="1" ht="24" customHeight="1">
      <c r="A12" s="81"/>
      <c r="B12" s="71" t="s">
        <v>67</v>
      </c>
      <c r="C12" s="76"/>
      <c r="D12" s="76"/>
      <c r="E12" s="72"/>
      <c r="F12" s="71" t="s">
        <v>68</v>
      </c>
      <c r="G12" s="72"/>
      <c r="H12" s="71" t="s">
        <v>69</v>
      </c>
      <c r="I12" s="72"/>
      <c r="J12" s="71" t="s">
        <v>70</v>
      </c>
      <c r="K12" s="72"/>
      <c r="L12" s="82"/>
    </row>
    <row r="13" spans="1:12" s="21" customFormat="1" ht="24.95" customHeight="1">
      <c r="A13" s="12" t="s">
        <v>71</v>
      </c>
      <c r="B13" s="73" t="s">
        <v>72</v>
      </c>
      <c r="C13" s="74"/>
      <c r="D13" s="74"/>
      <c r="E13" s="75"/>
      <c r="F13" s="31">
        <v>1</v>
      </c>
      <c r="G13" s="32"/>
      <c r="H13" s="73">
        <v>0</v>
      </c>
      <c r="I13" s="75"/>
      <c r="J13" s="73">
        <v>1</v>
      </c>
      <c r="K13" s="75"/>
      <c r="L13" s="11">
        <v>1</v>
      </c>
    </row>
    <row r="14" spans="1:12" s="22" customFormat="1" ht="25.5" customHeight="1">
      <c r="A14" s="12" t="s">
        <v>73</v>
      </c>
      <c r="B14" s="73"/>
      <c r="C14" s="74"/>
      <c r="D14" s="74"/>
      <c r="E14" s="75"/>
      <c r="F14" s="31"/>
      <c r="G14" s="32"/>
      <c r="H14" s="73">
        <v>1</v>
      </c>
      <c r="I14" s="75"/>
      <c r="J14" s="73">
        <v>0</v>
      </c>
      <c r="K14" s="75"/>
      <c r="L14" s="41">
        <v>0</v>
      </c>
    </row>
    <row r="15" spans="1:12" s="22" customFormat="1">
      <c r="A15" s="33" t="s">
        <v>74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ht="18.95" customHeight="1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</row>
    <row r="17" spans="1:3" s="1" customFormat="1">
      <c r="A17" s="1" t="s">
        <v>61</v>
      </c>
      <c r="C17" s="7"/>
    </row>
    <row r="18" spans="1:3" s="1" customFormat="1">
      <c r="C18" s="7"/>
    </row>
    <row r="19" spans="1:3">
      <c r="A19" s="70" t="s">
        <v>62</v>
      </c>
      <c r="B19" s="70"/>
    </row>
    <row r="20" spans="1:3">
      <c r="A20" s="68" t="s">
        <v>63</v>
      </c>
      <c r="B20" s="68"/>
    </row>
    <row r="21" spans="1:3">
      <c r="A21" s="69" t="s">
        <v>75</v>
      </c>
      <c r="B21" s="69"/>
    </row>
  </sheetData>
  <mergeCells count="22">
    <mergeCell ref="F12:G12"/>
    <mergeCell ref="A2:L2"/>
    <mergeCell ref="A3:L3"/>
    <mergeCell ref="A4:L4"/>
    <mergeCell ref="A5:L5"/>
    <mergeCell ref="A10:L10"/>
    <mergeCell ref="A20:B20"/>
    <mergeCell ref="A21:B21"/>
    <mergeCell ref="A16:L16"/>
    <mergeCell ref="A19:B19"/>
    <mergeCell ref="H12:I12"/>
    <mergeCell ref="J12:K12"/>
    <mergeCell ref="B13:E13"/>
    <mergeCell ref="H13:I13"/>
    <mergeCell ref="J13:K13"/>
    <mergeCell ref="B14:E14"/>
    <mergeCell ref="H14:I14"/>
    <mergeCell ref="J14:K14"/>
    <mergeCell ref="A11:A12"/>
    <mergeCell ref="B11:K11"/>
    <mergeCell ref="L11:L12"/>
    <mergeCell ref="B12:E12"/>
  </mergeCells>
  <pageMargins left="0.7" right="0.7" top="0.75" bottom="0.75" header="0.3" footer="0.3"/>
  <pageSetup paperSize="9" scale="67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C9D5-FE19-4F9F-8A7D-51AFBA751079}">
  <dimension ref="A1:M24"/>
  <sheetViews>
    <sheetView view="pageBreakPreview" zoomScale="98" zoomScaleNormal="100" zoomScaleSheetLayoutView="98" workbookViewId="0">
      <selection activeCell="A13" sqref="A13:L18"/>
    </sheetView>
  </sheetViews>
  <sheetFormatPr defaultRowHeight="1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>
      <c r="C1" s="84"/>
      <c r="D1" s="85"/>
      <c r="H1" s="7"/>
    </row>
    <row r="2" spans="1:12" s="1" customFormat="1" ht="10.5" customHeight="1">
      <c r="A2" s="67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s="1" customFormat="1" ht="15.95" customHeight="1">
      <c r="A3" s="67" t="s">
        <v>1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2" s="1" customFormat="1" ht="15.95" customHeight="1">
      <c r="A4" s="67" t="s">
        <v>65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s="1" customFormat="1" ht="15.95" customHeight="1">
      <c r="A5" s="67" t="s">
        <v>3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</row>
    <row r="6" spans="1:12" s="1" customFormat="1" ht="8.25" customHeight="1">
      <c r="C6" s="7"/>
      <c r="H6" s="7"/>
    </row>
    <row r="7" spans="1:12" s="1" customFormat="1" ht="8.25" customHeight="1">
      <c r="C7" s="7"/>
      <c r="H7" s="7"/>
    </row>
    <row r="8" spans="1:12" s="1" customFormat="1" ht="12" customHeight="1">
      <c r="A8" s="3" t="s">
        <v>76</v>
      </c>
      <c r="B8" s="3"/>
      <c r="C8" s="66" t="s">
        <v>77</v>
      </c>
      <c r="D8" s="66"/>
      <c r="E8" s="66"/>
      <c r="F8" s="66"/>
      <c r="G8" s="66"/>
      <c r="I8" s="66" t="s">
        <v>78</v>
      </c>
      <c r="J8" s="66"/>
      <c r="K8" s="66"/>
      <c r="L8" s="3"/>
    </row>
    <row r="9" spans="1:12" s="1" customFormat="1" ht="12" customHeight="1">
      <c r="B9" s="2"/>
      <c r="C9" s="66" t="s">
        <v>79</v>
      </c>
      <c r="D9" s="66"/>
      <c r="E9" s="66"/>
      <c r="F9" s="66"/>
      <c r="G9" s="66"/>
      <c r="I9" s="86" t="s">
        <v>80</v>
      </c>
      <c r="J9" s="86"/>
      <c r="K9" s="86"/>
      <c r="L9" s="2"/>
    </row>
    <row r="10" spans="1:12" s="1" customFormat="1" ht="12" customHeight="1">
      <c r="A10" s="3" t="s">
        <v>81</v>
      </c>
      <c r="B10" s="3"/>
      <c r="C10" s="87"/>
      <c r="D10" s="2"/>
      <c r="E10" s="2"/>
      <c r="I10" s="66" t="s">
        <v>82</v>
      </c>
      <c r="J10" s="66"/>
      <c r="K10" s="66"/>
      <c r="L10" s="3"/>
    </row>
    <row r="11" spans="1:12" ht="16.5" customHeight="1" thickBot="1">
      <c r="A11" s="52" t="s">
        <v>83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 spans="1:12" s="21" customFormat="1" ht="48">
      <c r="A12" s="88" t="s">
        <v>11</v>
      </c>
      <c r="B12" s="20" t="s">
        <v>84</v>
      </c>
      <c r="C12" s="20" t="s">
        <v>85</v>
      </c>
      <c r="D12" s="20" t="s">
        <v>86</v>
      </c>
      <c r="E12" s="20" t="s">
        <v>87</v>
      </c>
      <c r="F12" s="20" t="s">
        <v>88</v>
      </c>
      <c r="G12" s="20" t="s">
        <v>89</v>
      </c>
      <c r="H12" s="20" t="s">
        <v>90</v>
      </c>
      <c r="I12" s="20" t="s">
        <v>91</v>
      </c>
      <c r="J12" s="20" t="s">
        <v>92</v>
      </c>
      <c r="K12" s="20" t="s">
        <v>93</v>
      </c>
      <c r="L12" s="89" t="s">
        <v>15</v>
      </c>
    </row>
    <row r="13" spans="1:12" s="21" customFormat="1">
      <c r="A13" s="12"/>
      <c r="B13" s="8"/>
      <c r="C13" s="10"/>
      <c r="D13" s="10"/>
      <c r="E13" s="8"/>
      <c r="F13" s="8"/>
      <c r="G13" s="8"/>
      <c r="H13" s="10"/>
      <c r="I13" s="8"/>
      <c r="J13" s="8"/>
      <c r="K13" s="8"/>
      <c r="L13" s="11"/>
    </row>
    <row r="14" spans="1:12" s="21" customFormat="1">
      <c r="A14" s="12"/>
      <c r="B14" s="8"/>
      <c r="C14" s="10"/>
      <c r="D14" s="10"/>
      <c r="E14" s="8"/>
      <c r="F14" s="8"/>
      <c r="G14" s="8"/>
      <c r="H14" s="10"/>
      <c r="I14" s="8"/>
      <c r="J14" s="8"/>
      <c r="K14" s="8"/>
      <c r="L14" s="11"/>
    </row>
    <row r="15" spans="1:12" s="22" customFormat="1">
      <c r="A15" s="23"/>
      <c r="B15" s="8"/>
      <c r="C15" s="10"/>
      <c r="D15" s="10"/>
      <c r="E15" s="8"/>
      <c r="F15" s="8"/>
      <c r="G15" s="8"/>
      <c r="H15" s="10"/>
      <c r="I15" s="8"/>
      <c r="J15" s="8"/>
      <c r="K15" s="8"/>
      <c r="L15" s="11"/>
    </row>
    <row r="16" spans="1:12" s="22" customFormat="1">
      <c r="A16" s="24"/>
      <c r="B16" s="8"/>
      <c r="C16" s="10"/>
      <c r="D16" s="10"/>
      <c r="E16" s="8"/>
      <c r="F16" s="8"/>
      <c r="G16" s="8"/>
      <c r="H16" s="10"/>
      <c r="I16" s="8"/>
      <c r="J16" s="8"/>
      <c r="K16" s="8"/>
      <c r="L16" s="11"/>
    </row>
    <row r="17" spans="1:12" s="22" customFormat="1">
      <c r="A17" s="10"/>
      <c r="B17" s="8"/>
      <c r="C17" s="10"/>
      <c r="D17" s="10"/>
      <c r="E17" s="8"/>
      <c r="F17" s="8"/>
      <c r="G17" s="8"/>
      <c r="H17" s="10"/>
      <c r="I17" s="8"/>
      <c r="J17" s="8"/>
      <c r="K17" s="8"/>
      <c r="L17" s="11"/>
    </row>
    <row r="18" spans="1:12" s="22" customFormat="1">
      <c r="A18" s="12"/>
      <c r="B18" s="8"/>
      <c r="C18" s="10"/>
      <c r="D18" s="10"/>
      <c r="E18" s="8"/>
      <c r="F18" s="8"/>
      <c r="G18" s="8"/>
      <c r="H18" s="10"/>
      <c r="I18" s="8"/>
      <c r="J18" s="8"/>
      <c r="K18" s="8"/>
      <c r="L18" s="11"/>
    </row>
    <row r="19" spans="1:12" s="22" customFormat="1">
      <c r="A19" s="12"/>
      <c r="B19" s="8"/>
      <c r="C19" s="10"/>
      <c r="D19" s="10"/>
      <c r="E19" s="8"/>
      <c r="F19" s="8"/>
      <c r="G19" s="8"/>
      <c r="H19" s="10"/>
      <c r="I19" s="8"/>
      <c r="J19" s="8"/>
      <c r="K19" s="8"/>
      <c r="L19" s="11"/>
    </row>
    <row r="20" spans="1:12" s="22" customFormat="1">
      <c r="A20" s="12"/>
      <c r="B20" s="8"/>
      <c r="C20" s="10"/>
      <c r="D20" s="10"/>
      <c r="E20" s="8"/>
      <c r="F20" s="8"/>
      <c r="G20" s="8"/>
      <c r="H20" s="10"/>
      <c r="I20" s="8"/>
      <c r="J20" s="8"/>
      <c r="K20" s="8"/>
      <c r="L20" s="11"/>
    </row>
    <row r="21" spans="1:12" s="22" customFormat="1">
      <c r="A21" s="9"/>
      <c r="B21" s="8"/>
      <c r="C21" s="10"/>
      <c r="D21" s="10"/>
      <c r="E21" s="8"/>
      <c r="F21" s="8"/>
      <c r="G21" s="8"/>
      <c r="H21" s="10"/>
      <c r="I21" s="8"/>
      <c r="J21" s="8"/>
      <c r="K21" s="13"/>
      <c r="L21" s="11"/>
    </row>
    <row r="22" spans="1:12" ht="75.75" customHeight="1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</row>
    <row r="23" spans="1:12" s="1" customFormat="1">
      <c r="C23" s="7"/>
    </row>
    <row r="24" spans="1:12" s="1" customFormat="1">
      <c r="C24" s="7"/>
    </row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2021-10-07T06:10:16Z</dcterms:created>
  <dcterms:modified xsi:type="dcterms:W3CDTF">2026-01-23T01:51:33Z</dcterms:modified>
  <cp:category/>
  <cp:contentStatus/>
</cp:coreProperties>
</file>