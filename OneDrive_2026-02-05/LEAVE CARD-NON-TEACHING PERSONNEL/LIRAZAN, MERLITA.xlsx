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86AD03F-B9C8-4307-9469-4B5A62B45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  <sheet name="NLE" sheetId="7" r:id="rId3"/>
  </sheets>
  <definedNames>
    <definedName name="_xlnm.Print_Area" localSheetId="0">'Leave Card (NE)'!$A$1:$J$73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6" l="1"/>
  <c r="J64" i="6" s="1"/>
  <c r="I64" i="6"/>
  <c r="I65" i="6" s="1"/>
  <c r="I66" i="6" s="1"/>
  <c r="C42" i="6"/>
  <c r="H65" i="6" l="1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H13" i="6"/>
  <c r="H66" i="6" l="1"/>
  <c r="J66" i="6" s="1"/>
  <c r="J65" i="6"/>
  <c r="H14" i="6"/>
  <c r="H15" i="6" s="1"/>
  <c r="H16" i="6" l="1"/>
  <c r="J15" i="6"/>
  <c r="J14" i="6"/>
  <c r="J13" i="6"/>
  <c r="J16" i="6" l="1"/>
  <c r="H17" i="6"/>
  <c r="J17" i="6" l="1"/>
  <c r="H18" i="6"/>
  <c r="J18" i="6" l="1"/>
  <c r="H19" i="6"/>
  <c r="J19" i="6" l="1"/>
  <c r="H20" i="6"/>
  <c r="J20" i="6" l="1"/>
  <c r="H21" i="6"/>
  <c r="H22" i="6" l="1"/>
  <c r="J21" i="6"/>
  <c r="J22" i="6" l="1"/>
  <c r="H23" i="6"/>
  <c r="H24" i="6" l="1"/>
  <c r="J23" i="6"/>
  <c r="H25" i="6" l="1"/>
  <c r="J24" i="6"/>
  <c r="H26" i="6" l="1"/>
  <c r="J25" i="6"/>
  <c r="H27" i="6" l="1"/>
  <c r="J26" i="6"/>
  <c r="H28" i="6" l="1"/>
  <c r="J27" i="6"/>
  <c r="J28" i="6" l="1"/>
  <c r="H29" i="6"/>
  <c r="H30" i="6" l="1"/>
  <c r="J29" i="6"/>
  <c r="H31" i="6" l="1"/>
  <c r="J30" i="6"/>
  <c r="H32" i="6" l="1"/>
  <c r="J31" i="6"/>
  <c r="H33" i="6" l="1"/>
  <c r="J32" i="6"/>
  <c r="H34" i="6" l="1"/>
  <c r="J33" i="6"/>
  <c r="J34" i="6" l="1"/>
  <c r="H35" i="6"/>
  <c r="H36" i="6" l="1"/>
  <c r="J35" i="6"/>
  <c r="H37" i="6" l="1"/>
  <c r="J36" i="6"/>
  <c r="J37" i="6" l="1"/>
  <c r="H38" i="6"/>
  <c r="H39" i="6" l="1"/>
  <c r="J38" i="6"/>
  <c r="H40" i="6" l="1"/>
  <c r="J39" i="6"/>
  <c r="J40" i="6" l="1"/>
  <c r="H41" i="6"/>
  <c r="H42" i="6" l="1"/>
  <c r="J41" i="6"/>
  <c r="H43" i="6" l="1"/>
  <c r="J42" i="6"/>
  <c r="H44" i="6" l="1"/>
  <c r="J43" i="6"/>
  <c r="H45" i="6" l="1"/>
  <c r="J44" i="6"/>
  <c r="J45" i="6" l="1"/>
  <c r="H46" i="6"/>
  <c r="J46" i="6" l="1"/>
  <c r="H47" i="6"/>
  <c r="J47" i="6" l="1"/>
  <c r="H48" i="6"/>
  <c r="H49" i="6" l="1"/>
  <c r="J48" i="6"/>
  <c r="J49" i="6" l="1"/>
  <c r="H50" i="6"/>
  <c r="J50" i="6" l="1"/>
  <c r="H51" i="6"/>
  <c r="H52" i="6" l="1"/>
  <c r="J51" i="6"/>
  <c r="J52" i="6" l="1"/>
  <c r="H53" i="6"/>
  <c r="J53" i="6" l="1"/>
  <c r="H54" i="6"/>
  <c r="J54" i="6" l="1"/>
  <c r="H55" i="6"/>
  <c r="H56" i="6" l="1"/>
  <c r="J55" i="6"/>
  <c r="H57" i="6" l="1"/>
  <c r="J56" i="6"/>
  <c r="J57" i="6" l="1"/>
  <c r="H58" i="6"/>
  <c r="J58" i="6" l="1"/>
  <c r="H59" i="6"/>
  <c r="J59" i="6" l="1"/>
  <c r="H60" i="6"/>
  <c r="J60" i="6" l="1"/>
  <c r="H61" i="6"/>
  <c r="J61" i="6" l="1"/>
  <c r="H62" i="6"/>
  <c r="J62" i="6" l="1"/>
  <c r="H63" i="6"/>
  <c r="J63" i="6" s="1"/>
</calcChain>
</file>

<file path=xl/sharedStrings.xml><?xml version="1.0" encoding="utf-8"?>
<sst xmlns="http://schemas.openxmlformats.org/spreadsheetml/2006/main" count="141" uniqueCount="110">
  <si>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</si>
  <si>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</si>
  <si>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</si>
  <si>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</si>
  <si>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</si>
  <si>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</si>
  <si>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</si>
  <si>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</si>
  <si>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</si>
  <si>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</si>
  <si>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</si>
  <si>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</si>
  <si>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01/01/22 - 03/31/22</t>
  </si>
  <si>
    <t>LESS: 04/04&amp;05/22</t>
  </si>
  <si>
    <t>ADD: 04/01/22 - 07/31/22</t>
  </si>
  <si>
    <t>LESS: 08/30/22</t>
  </si>
  <si>
    <t>LESS: 05/06/22</t>
  </si>
  <si>
    <t>ADD: 08/01/22 - 08/31/22</t>
  </si>
  <si>
    <t>LESS: MONETIZATION 2022</t>
  </si>
  <si>
    <t>ADD: 09/01/22 - 11/30/22</t>
  </si>
  <si>
    <t>LESS: 12/23/2022</t>
  </si>
  <si>
    <t>LESS: 12/28 &amp; 29/2022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</si>
  <si>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</si>
  <si>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</si>
  <si>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</si>
  <si>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</si>
  <si>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</si>
  <si>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</si>
  <si>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</si>
  <si>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</si>
  <si>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</si>
  <si>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7/15/2019 - 7/31/2019</t>
  </si>
  <si>
    <t>ADD: 08/01/2029 - 12/31/2019</t>
  </si>
  <si>
    <t>LESS: 01/02 &amp; 03/2020</t>
  </si>
  <si>
    <t>LESS: MONETIZATION 2020</t>
  </si>
  <si>
    <t>LESS: FL 2020</t>
  </si>
  <si>
    <t>ADD: 01/01/2021 - 12/31/2021</t>
  </si>
  <si>
    <t>LESS: MONETIZATION 2021</t>
  </si>
  <si>
    <t>LESS: FL 2021</t>
  </si>
  <si>
    <t>LESS: 1/31/2022</t>
  </si>
  <si>
    <t>ADD: 12/01/22 - 12/31/22</t>
  </si>
  <si>
    <t>ADD: 01/01/2023 - 04/30/2023</t>
  </si>
  <si>
    <t>ADD: 05/01/2023 - 08/31/2023</t>
  </si>
  <si>
    <t>LESS: MONETIZATION 2023</t>
  </si>
  <si>
    <t>LESS: 08/29 &amp; 30/2023</t>
  </si>
  <si>
    <t>Certified Correct:</t>
  </si>
  <si>
    <t>MA. LUISA B. CATIGAN</t>
  </si>
  <si>
    <t>Administrative Officer IV</t>
  </si>
  <si>
    <t>HRMO</t>
  </si>
  <si>
    <t>ADD: 09/01/2023-09/30/2023</t>
  </si>
  <si>
    <t>LESS: 12/15/2023</t>
  </si>
  <si>
    <t>LESS: 12/21-22/2023</t>
  </si>
  <si>
    <t>LESS: 12/28-29/2023</t>
  </si>
  <si>
    <t>ADD: 10/01/2023-12/31/2023</t>
  </si>
  <si>
    <t>LESS: 01/02/2024</t>
  </si>
  <si>
    <t>ADD:  DISAPPROVED FL (12/15,21,22,28,29/2023</t>
  </si>
  <si>
    <t>ADD: 02/01/2024-02/29/2024</t>
  </si>
  <si>
    <t xml:space="preserve">NAME          : </t>
  </si>
  <si>
    <t>DISTRICT                : _______________________</t>
  </si>
  <si>
    <t>EMPLOYEE NO    : __________</t>
  </si>
  <si>
    <t xml:space="preserve">SCHOOL/OFFICE : </t>
  </si>
  <si>
    <t>STATION CODE    : __________</t>
  </si>
  <si>
    <t xml:space="preserve">POSITION   : 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</si>
  <si>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</si>
  <si>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</si>
  <si>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</si>
  <si>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</si>
  <si>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</si>
  <si>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</si>
  <si>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</si>
  <si>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</si>
  <si>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-</t>
  </si>
  <si>
    <t>S.O # 1211, S. 2002</t>
  </si>
  <si>
    <t>NATIONAL AND LOCAL ELECTION</t>
  </si>
  <si>
    <t>LESS:02/19,20,22,23/2024</t>
  </si>
  <si>
    <t>ADD: 01/01-31/2024</t>
  </si>
  <si>
    <t>LESS:03/08/2024</t>
  </si>
  <si>
    <t>ADD: MAY 14, 2001</t>
  </si>
  <si>
    <t>ADD: 03/1-31/2024</t>
  </si>
  <si>
    <t>LESS: 04/26/2024</t>
  </si>
  <si>
    <t>LESS: 05/10/2024</t>
  </si>
  <si>
    <t>LESS: 05/27/2024</t>
  </si>
  <si>
    <t>COMPENSATORY TIME OFF (CTO)</t>
  </si>
  <si>
    <t>Special Order No. and Date Issued</t>
  </si>
  <si>
    <t>S.O. # 024, S. 2024. 126TH PHILIPPINE INDEPENDENCE DAY CELEBRATION</t>
  </si>
  <si>
    <t>NOTE:  Valid for one (1) year only</t>
  </si>
  <si>
    <t xml:space="preserve"> </t>
  </si>
  <si>
    <t>ADD: 06/26/2024</t>
  </si>
  <si>
    <t>LESS: 07/12/2024</t>
  </si>
  <si>
    <t>ADD: 04/1/2024-07/312024</t>
  </si>
  <si>
    <t xml:space="preserve">              HRMO</t>
  </si>
  <si>
    <t>LESS: MONETIZATION 2024</t>
  </si>
  <si>
    <t>ADD: 01/1/2020-12/31/2020</t>
  </si>
  <si>
    <t>LESS: 08/29/2024</t>
  </si>
  <si>
    <t>LESS: 08/30/2024</t>
  </si>
  <si>
    <t>ADD: 08/1/2024-11/30/2024</t>
  </si>
  <si>
    <t>LESS: 11/29/2024, 12/23,26-27/2024</t>
  </si>
  <si>
    <t>ADD: 12/1-31/2024</t>
  </si>
  <si>
    <t>ADD: 01/1/2025-02/28/2025</t>
  </si>
  <si>
    <t>LESS: 04/4/2025</t>
  </si>
  <si>
    <t>ADD: 03/1-31/2025</t>
  </si>
  <si>
    <t>LESS: 05/9/2025</t>
  </si>
  <si>
    <t>ADD: 04/1/2024-06/30/2025</t>
  </si>
  <si>
    <t>LESS: MONETIZATION 2025 (20 DAYS)</t>
  </si>
  <si>
    <t>ADD: 07/1/2025-08/31/2025</t>
  </si>
  <si>
    <t>DATE FILED-09/26/2025 work suspension</t>
  </si>
  <si>
    <t>LESS: 11/07/2025</t>
  </si>
  <si>
    <t>ADD: 09/1/2025-10/31/2025</t>
  </si>
  <si>
    <t>LESS: 11/28/2025</t>
  </si>
  <si>
    <t>LESS: 12/12, 23 &amp;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</si>
</sst>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0" fillId="0" borderId="0" xfId="0" applyFont="1"/>
    <xf numFmtId="0" fontId="0" fillId="2" borderId="2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0" borderId="0" xfId="0" applyFont="1"/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1" fillId="2" borderId="0" xfId="0" applyFont="1" applyFill="1"/>
    <xf numFmtId="164" fontId="3" fillId="0" borderId="1" xfId="0" applyNumberFormat="1" applyFont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7" fillId="7" borderId="6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180974</xdr:colOff>
      <xdr:row>0</xdr:row>
      <xdr:rowOff>123825</xdr:rowOff>
    </xdr:from>
    <xdr:to>
      <xdr:col>4</xdr:col>
      <xdr:colOff>98554</xdr:colOff>
      <xdr:row>0</xdr:row>
      <xdr:rowOff>654050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4" y="123825"/>
          <a:ext cx="68910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A2F327-1D65-4967-A2CE-3689D6CF2BB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LIRAZAN, MERLITA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CBAA84-1527-40AB-9EFA-174764346ED6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IV-SUPPLY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1177EA-E542-4BA3-AA0D-16AA24CD60D9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5669</xdr:colOff>
      <xdr:row>0</xdr:row>
      <xdr:rowOff>40370</xdr:rowOff>
    </xdr:from>
    <xdr:to>
      <xdr:col>4</xdr:col>
      <xdr:colOff>709840</xdr:colOff>
      <xdr:row>1</xdr:row>
      <xdr:rowOff>11340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72B0E-3B3A-4EAC-BA33-A35FF55720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269" y="40370"/>
          <a:ext cx="704171" cy="6377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D96DB9-647E-46C1-A7D3-5FCA5405C633}"/>
            </a:ext>
          </a:extLst>
        </xdr:cNvPr>
        <xdr:cNvSpPr txBox="1"/>
      </xdr:nvSpPr>
      <xdr:spPr>
        <a:xfrm>
          <a:off x="573942" y="1371111"/>
          <a:ext cx="222958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LIRAZAN, MERLITA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FCAC9D-0828-4FE0-A6B4-126BC39A6AE1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IV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A77E23-4BC4-4CDD-A9B4-F8E894636B73}"/>
            </a:ext>
          </a:extLst>
        </xdr:cNvPr>
        <xdr:cNvSpPr txBox="1"/>
      </xdr:nvSpPr>
      <xdr:spPr>
        <a:xfrm>
          <a:off x="4346348" y="1699760"/>
          <a:ext cx="18986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0</xdr:row>
      <xdr:rowOff>165425</xdr:rowOff>
    </xdr:from>
    <xdr:to>
      <xdr:col>5</xdr:col>
      <xdr:colOff>42053</xdr:colOff>
      <xdr:row>4</xdr:row>
      <xdr:rowOff>16264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F6AD3-C542-47ED-A1FD-7C2BAE84F1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52950" y="165425"/>
          <a:ext cx="604028" cy="612839"/>
        </a:xfrm>
        <a:prstGeom prst="rect">
          <a:avLst/>
        </a:prstGeom>
        <a:noFill/>
      </xdr:spPr>
    </xdr:pic>
    <xdr:clientData/>
  </xdr:twoCellAnchor>
  <xdr:twoCellAnchor>
    <xdr:from>
      <xdr:col>2</xdr:col>
      <xdr:colOff>962025</xdr:colOff>
      <xdr:row>23</xdr:row>
      <xdr:rowOff>114300</xdr:rowOff>
    </xdr:from>
    <xdr:to>
      <xdr:col>11</xdr:col>
      <xdr:colOff>228600</xdr:colOff>
      <xdr:row>32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072ACC-A496-4385-880D-B2503E2669EC}"/>
            </a:ext>
          </a:extLst>
        </xdr:cNvPr>
        <xdr:cNvSpPr txBox="1"/>
      </xdr:nvSpPr>
      <xdr:spPr>
        <a:xfrm>
          <a:off x="3686175" y="5200650"/>
          <a:ext cx="4048125" cy="170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9C356F-5337-4209-8087-980171DE836C}"/>
            </a:ext>
          </a:extLst>
        </xdr:cNvPr>
        <xdr:cNvCxnSpPr/>
      </xdr:nvCxnSpPr>
      <xdr:spPr>
        <a:xfrm>
          <a:off x="742950" y="1771650"/>
          <a:ext cx="1866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12</xdr:row>
      <xdr:rowOff>142875</xdr:rowOff>
    </xdr:from>
    <xdr:to>
      <xdr:col>2</xdr:col>
      <xdr:colOff>28575</xdr:colOff>
      <xdr:row>12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D330771-87FD-46BD-B267-4CFA9BF84EC2}"/>
            </a:ext>
          </a:extLst>
        </xdr:cNvPr>
        <xdr:cNvCxnSpPr/>
      </xdr:nvCxnSpPr>
      <xdr:spPr>
        <a:xfrm>
          <a:off x="752475" y="2124075"/>
          <a:ext cx="1866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876300</xdr:colOff>
      <xdr:row>9</xdr:row>
      <xdr:rowOff>142874</xdr:rowOff>
    </xdr:from>
    <xdr:to>
      <xdr:col>1</xdr:col>
      <xdr:colOff>1315273</xdr:colOff>
      <xdr:row>11</xdr:row>
      <xdr:rowOff>119003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1CFF82-EA83-4A59-9038-FBD8B9D399F2}"/>
            </a:ext>
          </a:extLst>
        </xdr:cNvPr>
        <xdr:cNvSpPr txBox="1"/>
      </xdr:nvSpPr>
      <xdr:spPr>
        <a:xfrm>
          <a:off x="876300" y="1857374"/>
          <a:ext cx="1753423" cy="357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LIRAZAN,</a:t>
          </a:r>
          <a:r>
            <a:rPr lang="en-US" sz="1100" baseline="0"/>
            <a:t> MERLITA</a:t>
          </a:r>
          <a:endParaRPr lang="en-US" sz="1100"/>
        </a:p>
      </xdr:txBody>
    </xdr:sp>
    <xdr:clientData/>
  </xdr:twoCellAnchor>
  <xdr:twoCellAnchor>
    <xdr:from>
      <xdr:col>0</xdr:col>
      <xdr:colOff>829027</xdr:colOff>
      <xdr:row>11</xdr:row>
      <xdr:rowOff>110066</xdr:rowOff>
    </xdr:from>
    <xdr:to>
      <xdr:col>1</xdr:col>
      <xdr:colOff>1360075</xdr:colOff>
      <xdr:row>12</xdr:row>
      <xdr:rowOff>168863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FFB5CBE-94CC-47B5-9407-DECBB29A8EA8}"/>
            </a:ext>
          </a:extLst>
        </xdr:cNvPr>
        <xdr:cNvSpPr txBox="1"/>
      </xdr:nvSpPr>
      <xdr:spPr>
        <a:xfrm>
          <a:off x="829027" y="2205566"/>
          <a:ext cx="1845498" cy="249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IV-SUPPPLY OFFICER</a:t>
          </a:r>
        </a:p>
      </xdr:txBody>
    </xdr:sp>
    <xdr:clientData/>
  </xdr:twoCellAnchor>
  <xdr:twoCellAnchor>
    <xdr:from>
      <xdr:col>3</xdr:col>
      <xdr:colOff>1049985</xdr:colOff>
      <xdr:row>10</xdr:row>
      <xdr:rowOff>164981</xdr:rowOff>
    </xdr:from>
    <xdr:to>
      <xdr:col>7</xdr:col>
      <xdr:colOff>307387</xdr:colOff>
      <xdr:row>11</xdr:row>
      <xdr:rowOff>170862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1603F6-B1F1-4413-9B2A-81CCBEF7F61A}"/>
            </a:ext>
          </a:extLst>
        </xdr:cNvPr>
        <xdr:cNvSpPr txBox="1"/>
      </xdr:nvSpPr>
      <xdr:spPr>
        <a:xfrm>
          <a:off x="4955235" y="2069981"/>
          <a:ext cx="2029177" cy="196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tabSelected="1" view="pageBreakPreview" topLeftCell="A48" zoomScaleNormal="100" zoomScaleSheetLayoutView="100" workbookViewId="0">
      <selection activeCell="A64" sqref="A64:XFD64"/>
    </sheetView>
  </sheetViews>
  <sheetFormatPr defaultRowHeight="15" x14ac:dyDescent="0.25"/>
  <cols>
    <col min="1" max="1" width="41.42578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49" t="s">
        <v>23</v>
      </c>
      <c r="B2" s="49"/>
      <c r="C2" s="49"/>
      <c r="D2" s="49"/>
      <c r="E2" s="49"/>
      <c r="F2" s="49"/>
      <c r="G2" s="49"/>
      <c r="H2" s="49"/>
      <c r="I2" s="49"/>
      <c r="J2" s="49"/>
    </row>
    <row r="3" spans="1:11" s="1" customFormat="1" ht="15.95" customHeight="1" x14ac:dyDescent="0.25">
      <c r="A3" s="49" t="s">
        <v>24</v>
      </c>
      <c r="B3" s="49"/>
      <c r="C3" s="49"/>
      <c r="D3" s="49"/>
      <c r="E3" s="49"/>
      <c r="F3" s="49"/>
      <c r="G3" s="49"/>
      <c r="H3" s="49"/>
      <c r="I3" s="49"/>
      <c r="J3" s="49"/>
    </row>
    <row r="4" spans="1:11" s="1" customFormat="1" ht="15.95" customHeight="1" x14ac:dyDescent="0.25">
      <c r="A4" s="49" t="s">
        <v>25</v>
      </c>
      <c r="B4" s="49"/>
      <c r="C4" s="49"/>
      <c r="D4" s="49"/>
      <c r="E4" s="49"/>
      <c r="F4" s="49"/>
      <c r="G4" s="49"/>
      <c r="H4" s="49"/>
      <c r="I4" s="49"/>
      <c r="J4" s="49"/>
    </row>
    <row r="5" spans="1:11" s="1" customFormat="1" ht="15.95" customHeight="1" x14ac:dyDescent="0.25">
      <c r="A5" s="49" t="s">
        <v>26</v>
      </c>
      <c r="B5" s="49"/>
      <c r="C5" s="49"/>
      <c r="D5" s="49"/>
      <c r="E5" s="49"/>
      <c r="F5" s="49"/>
      <c r="G5" s="49"/>
      <c r="H5" s="49"/>
      <c r="I5" s="49"/>
      <c r="J5" s="49"/>
    </row>
    <row r="6" spans="1:11" s="1" customFormat="1" ht="8.25" customHeight="1" x14ac:dyDescent="0.25"/>
    <row r="7" spans="1:11" s="1" customFormat="1" ht="12" customHeight="1" x14ac:dyDescent="0.25">
      <c r="A7" s="1" t="s">
        <v>27</v>
      </c>
      <c r="B7" s="47" t="s">
        <v>28</v>
      </c>
      <c r="C7" s="47"/>
      <c r="D7" s="47"/>
      <c r="H7" s="4" t="s">
        <v>9</v>
      </c>
      <c r="I7" s="7"/>
      <c r="J7" s="4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29</v>
      </c>
      <c r="B9" s="47" t="s">
        <v>30</v>
      </c>
      <c r="C9" s="47"/>
      <c r="D9" s="47"/>
      <c r="H9" s="4" t="s">
        <v>10</v>
      </c>
      <c r="I9" s="5"/>
      <c r="J9" s="4"/>
    </row>
    <row r="10" spans="1:11" ht="16.5" customHeight="1" thickBot="1" x14ac:dyDescent="0.3">
      <c r="A10" s="48" t="s">
        <v>0</v>
      </c>
      <c r="B10" s="48"/>
      <c r="C10" s="48"/>
      <c r="D10" s="48"/>
      <c r="E10" s="48"/>
      <c r="F10" s="48"/>
      <c r="G10" s="48"/>
      <c r="H10" s="48"/>
      <c r="I10" s="48"/>
      <c r="J10" s="48"/>
      <c r="K10"/>
    </row>
    <row r="11" spans="1:11" ht="18.75" customHeight="1" x14ac:dyDescent="0.25">
      <c r="A11" s="56" t="s">
        <v>4</v>
      </c>
      <c r="B11" s="51" t="s">
        <v>5</v>
      </c>
      <c r="C11" s="51"/>
      <c r="D11" s="52" t="s">
        <v>6</v>
      </c>
      <c r="E11" s="53"/>
      <c r="F11" s="53"/>
      <c r="G11" s="54"/>
      <c r="H11" s="55" t="s">
        <v>7</v>
      </c>
      <c r="I11" s="55"/>
      <c r="J11" s="58" t="s">
        <v>8</v>
      </c>
      <c r="K11" s="50" t="s">
        <v>11</v>
      </c>
    </row>
    <row r="12" spans="1:11" ht="18.75" customHeight="1" thickBot="1" x14ac:dyDescent="0.3">
      <c r="A12" s="57"/>
      <c r="B12" s="34" t="s">
        <v>1</v>
      </c>
      <c r="C12" s="34" t="s">
        <v>2</v>
      </c>
      <c r="D12" s="34" t="s">
        <v>1</v>
      </c>
      <c r="E12" s="34" t="s">
        <v>2</v>
      </c>
      <c r="F12" s="34" t="s">
        <v>3</v>
      </c>
      <c r="G12" s="34" t="s">
        <v>22</v>
      </c>
      <c r="H12" s="34" t="s">
        <v>1</v>
      </c>
      <c r="I12" s="34" t="s">
        <v>2</v>
      </c>
      <c r="J12" s="59"/>
      <c r="K12" s="50"/>
    </row>
    <row r="13" spans="1:11" ht="18.75" customHeight="1" x14ac:dyDescent="0.25">
      <c r="A13" s="35" t="s">
        <v>31</v>
      </c>
      <c r="B13" s="33">
        <v>0.70799999999999996</v>
      </c>
      <c r="C13" s="33">
        <v>0.70799999999999996</v>
      </c>
      <c r="D13" s="33"/>
      <c r="E13" s="33"/>
      <c r="F13" s="33"/>
      <c r="G13" s="33"/>
      <c r="H13" s="33">
        <f>B13</f>
        <v>0.70799999999999996</v>
      </c>
      <c r="I13" s="33">
        <f>C13</f>
        <v>0.70799999999999996</v>
      </c>
      <c r="J13" s="33">
        <f>SUM(H13:I13)</f>
        <v>1.4159999999999999</v>
      </c>
    </row>
    <row r="14" spans="1:11" ht="18.75" customHeight="1" x14ac:dyDescent="0.25">
      <c r="A14" s="36" t="s">
        <v>32</v>
      </c>
      <c r="B14" s="2">
        <f>5*1.25</f>
        <v>6.25</v>
      </c>
      <c r="C14" s="2">
        <v>6.25</v>
      </c>
      <c r="D14" s="2"/>
      <c r="E14" s="2"/>
      <c r="F14" s="2"/>
      <c r="G14" s="2"/>
      <c r="H14" s="2">
        <f>H13-F14-D14+B14</f>
        <v>6.9580000000000002</v>
      </c>
      <c r="I14" s="2">
        <f>I13-E14+C14</f>
        <v>6.9580000000000002</v>
      </c>
      <c r="J14" s="2">
        <f t="shared" ref="J14" si="0">SUM(H14:I14)</f>
        <v>13.916</v>
      </c>
    </row>
    <row r="15" spans="1:11" ht="18.75" customHeight="1" x14ac:dyDescent="0.25">
      <c r="A15" s="36" t="s">
        <v>92</v>
      </c>
      <c r="B15" s="2">
        <v>15</v>
      </c>
      <c r="C15" s="2">
        <v>15</v>
      </c>
      <c r="D15" s="2"/>
      <c r="E15" s="2"/>
      <c r="F15" s="2"/>
      <c r="G15" s="2"/>
      <c r="H15" s="2">
        <f t="shared" ref="H15:H33" si="1">H14-F15-D15+B15</f>
        <v>21.957999999999998</v>
      </c>
      <c r="I15" s="2">
        <f t="shared" ref="I15:I33" si="2">I14-E15+C15</f>
        <v>21.957999999999998</v>
      </c>
      <c r="J15" s="2">
        <f t="shared" ref="J15:J34" si="3">SUM(H15:I15)</f>
        <v>43.915999999999997</v>
      </c>
    </row>
    <row r="16" spans="1:11" ht="18.75" customHeight="1" x14ac:dyDescent="0.25">
      <c r="A16" s="36" t="s">
        <v>33</v>
      </c>
      <c r="B16" s="2"/>
      <c r="C16" s="2"/>
      <c r="D16" s="2"/>
      <c r="E16" s="2"/>
      <c r="F16" s="2">
        <v>2</v>
      </c>
      <c r="G16" s="2"/>
      <c r="H16" s="2">
        <f t="shared" si="1"/>
        <v>19.957999999999998</v>
      </c>
      <c r="I16" s="2">
        <f t="shared" si="2"/>
        <v>21.957999999999998</v>
      </c>
      <c r="J16" s="2">
        <f t="shared" si="3"/>
        <v>41.915999999999997</v>
      </c>
    </row>
    <row r="17" spans="1:10" ht="18.75" customHeight="1" x14ac:dyDescent="0.25">
      <c r="A17" s="36" t="s">
        <v>34</v>
      </c>
      <c r="B17" s="2"/>
      <c r="C17" s="2"/>
      <c r="D17" s="2">
        <v>9</v>
      </c>
      <c r="E17" s="2">
        <v>1</v>
      </c>
      <c r="F17" s="2"/>
      <c r="G17" s="2"/>
      <c r="H17" s="2">
        <f t="shared" si="1"/>
        <v>10.957999999999998</v>
      </c>
      <c r="I17" s="2">
        <f t="shared" si="2"/>
        <v>20.957999999999998</v>
      </c>
      <c r="J17" s="2">
        <f t="shared" si="3"/>
        <v>31.915999999999997</v>
      </c>
    </row>
    <row r="18" spans="1:10" ht="18.75" customHeight="1" x14ac:dyDescent="0.25">
      <c r="A18" s="36" t="s">
        <v>35</v>
      </c>
      <c r="B18" s="2"/>
      <c r="C18" s="2"/>
      <c r="D18" s="2"/>
      <c r="E18" s="2"/>
      <c r="F18" s="2">
        <v>3</v>
      </c>
      <c r="G18" s="2"/>
      <c r="H18" s="2">
        <f t="shared" si="1"/>
        <v>7.9579999999999984</v>
      </c>
      <c r="I18" s="2">
        <f t="shared" si="2"/>
        <v>20.957999999999998</v>
      </c>
      <c r="J18" s="2">
        <f t="shared" si="3"/>
        <v>28.915999999999997</v>
      </c>
    </row>
    <row r="19" spans="1:10" ht="18.75" customHeight="1" x14ac:dyDescent="0.25">
      <c r="A19" s="36" t="s">
        <v>36</v>
      </c>
      <c r="B19" s="2">
        <v>15</v>
      </c>
      <c r="C19" s="2">
        <v>15</v>
      </c>
      <c r="D19" s="2"/>
      <c r="E19" s="2"/>
      <c r="F19" s="2"/>
      <c r="G19" s="2"/>
      <c r="H19" s="2">
        <f t="shared" si="1"/>
        <v>22.957999999999998</v>
      </c>
      <c r="I19" s="2">
        <f t="shared" si="2"/>
        <v>35.957999999999998</v>
      </c>
      <c r="J19" s="2">
        <f t="shared" si="3"/>
        <v>58.915999999999997</v>
      </c>
    </row>
    <row r="20" spans="1:10" ht="18.75" customHeight="1" x14ac:dyDescent="0.25">
      <c r="A20" s="36" t="s">
        <v>37</v>
      </c>
      <c r="B20" s="2"/>
      <c r="C20" s="2"/>
      <c r="D20" s="2">
        <v>10</v>
      </c>
      <c r="E20" s="2">
        <v>19</v>
      </c>
      <c r="F20" s="2"/>
      <c r="G20" s="2"/>
      <c r="H20" s="2">
        <f t="shared" si="1"/>
        <v>12.957999999999998</v>
      </c>
      <c r="I20" s="2">
        <f t="shared" si="2"/>
        <v>16.957999999999998</v>
      </c>
      <c r="J20" s="2">
        <f t="shared" si="3"/>
        <v>29.915999999999997</v>
      </c>
    </row>
    <row r="21" spans="1:10" ht="18.75" customHeight="1" x14ac:dyDescent="0.25">
      <c r="A21" s="36" t="s">
        <v>38</v>
      </c>
      <c r="B21" s="2"/>
      <c r="C21" s="2"/>
      <c r="D21" s="2"/>
      <c r="E21" s="2"/>
      <c r="F21" s="2">
        <v>5</v>
      </c>
      <c r="G21" s="2"/>
      <c r="H21" s="2">
        <f t="shared" si="1"/>
        <v>7.9579999999999984</v>
      </c>
      <c r="I21" s="2">
        <f t="shared" si="2"/>
        <v>16.957999999999998</v>
      </c>
      <c r="J21" s="2">
        <f t="shared" si="3"/>
        <v>24.915999999999997</v>
      </c>
    </row>
    <row r="22" spans="1:10" ht="18.75" customHeight="1" x14ac:dyDescent="0.25">
      <c r="A22" s="37" t="s">
        <v>39</v>
      </c>
      <c r="B22" s="2"/>
      <c r="C22" s="2"/>
      <c r="D22" s="2"/>
      <c r="E22" s="2"/>
      <c r="F22" s="2"/>
      <c r="G22" s="2">
        <v>1</v>
      </c>
      <c r="H22" s="2">
        <f t="shared" si="1"/>
        <v>7.9579999999999984</v>
      </c>
      <c r="I22" s="2">
        <f t="shared" si="2"/>
        <v>16.957999999999998</v>
      </c>
      <c r="J22" s="2">
        <f t="shared" si="3"/>
        <v>24.915999999999997</v>
      </c>
    </row>
    <row r="23" spans="1:10" ht="18.75" customHeight="1" x14ac:dyDescent="0.25">
      <c r="A23" s="37" t="s">
        <v>12</v>
      </c>
      <c r="B23" s="2">
        <v>3.75</v>
      </c>
      <c r="C23" s="2">
        <v>3.75</v>
      </c>
      <c r="D23" s="2"/>
      <c r="E23" s="2"/>
      <c r="F23" s="2"/>
      <c r="G23" s="2"/>
      <c r="H23" s="2">
        <f t="shared" si="1"/>
        <v>11.707999999999998</v>
      </c>
      <c r="I23" s="2">
        <f t="shared" si="2"/>
        <v>20.707999999999998</v>
      </c>
      <c r="J23" s="2">
        <f t="shared" si="3"/>
        <v>32.415999999999997</v>
      </c>
    </row>
    <row r="24" spans="1:10" ht="18.75" customHeight="1" x14ac:dyDescent="0.25">
      <c r="A24" s="37" t="s">
        <v>13</v>
      </c>
      <c r="B24" s="2"/>
      <c r="C24" s="2"/>
      <c r="D24" s="2"/>
      <c r="E24" s="2"/>
      <c r="F24" s="2"/>
      <c r="G24" s="2">
        <v>2</v>
      </c>
      <c r="H24" s="2">
        <f t="shared" si="1"/>
        <v>11.707999999999998</v>
      </c>
      <c r="I24" s="2">
        <f t="shared" si="2"/>
        <v>20.707999999999998</v>
      </c>
      <c r="J24" s="2">
        <f t="shared" si="3"/>
        <v>32.415999999999997</v>
      </c>
    </row>
    <row r="25" spans="1:10" ht="18.75" customHeight="1" x14ac:dyDescent="0.25">
      <c r="A25" s="36" t="s">
        <v>16</v>
      </c>
      <c r="B25" s="2"/>
      <c r="C25" s="2"/>
      <c r="D25" s="2"/>
      <c r="E25" s="2"/>
      <c r="F25" s="2">
        <v>1</v>
      </c>
      <c r="G25" s="2"/>
      <c r="H25" s="2">
        <f t="shared" si="1"/>
        <v>10.707999999999998</v>
      </c>
      <c r="I25" s="2">
        <f t="shared" si="2"/>
        <v>20.707999999999998</v>
      </c>
      <c r="J25" s="2">
        <f t="shared" si="3"/>
        <v>31.415999999999997</v>
      </c>
    </row>
    <row r="26" spans="1:10" ht="18.75" customHeight="1" x14ac:dyDescent="0.25">
      <c r="A26" s="37" t="s">
        <v>14</v>
      </c>
      <c r="B26" s="2">
        <v>5</v>
      </c>
      <c r="C26" s="2">
        <v>5</v>
      </c>
      <c r="D26" s="2"/>
      <c r="E26" s="2"/>
      <c r="F26" s="2"/>
      <c r="G26" s="2"/>
      <c r="H26" s="2">
        <f t="shared" si="1"/>
        <v>15.707999999999998</v>
      </c>
      <c r="I26" s="2">
        <f t="shared" si="2"/>
        <v>25.707999999999998</v>
      </c>
      <c r="J26" s="2">
        <f t="shared" si="3"/>
        <v>41.415999999999997</v>
      </c>
    </row>
    <row r="27" spans="1:10" ht="18.75" customHeight="1" x14ac:dyDescent="0.25">
      <c r="A27" s="36" t="s">
        <v>15</v>
      </c>
      <c r="B27" s="2"/>
      <c r="C27" s="2"/>
      <c r="D27" s="2"/>
      <c r="E27" s="2"/>
      <c r="F27" s="2">
        <v>1</v>
      </c>
      <c r="G27" s="2"/>
      <c r="H27" s="2">
        <f t="shared" si="1"/>
        <v>14.707999999999998</v>
      </c>
      <c r="I27" s="2">
        <f t="shared" si="2"/>
        <v>25.707999999999998</v>
      </c>
      <c r="J27" s="2">
        <f t="shared" si="3"/>
        <v>40.415999999999997</v>
      </c>
    </row>
    <row r="28" spans="1:10" ht="18.75" customHeight="1" x14ac:dyDescent="0.25">
      <c r="A28" s="37" t="s">
        <v>17</v>
      </c>
      <c r="B28" s="2">
        <v>1.25</v>
      </c>
      <c r="C28" s="2">
        <v>1.25</v>
      </c>
      <c r="D28" s="2"/>
      <c r="E28" s="2"/>
      <c r="F28" s="2"/>
      <c r="G28" s="2"/>
      <c r="H28" s="2">
        <f t="shared" si="1"/>
        <v>15.957999999999998</v>
      </c>
      <c r="I28" s="2">
        <f t="shared" si="2"/>
        <v>26.957999999999998</v>
      </c>
      <c r="J28" s="2">
        <f t="shared" si="3"/>
        <v>42.915999999999997</v>
      </c>
    </row>
    <row r="29" spans="1:10" ht="18.75" customHeight="1" x14ac:dyDescent="0.25">
      <c r="A29" s="36" t="s">
        <v>18</v>
      </c>
      <c r="B29" s="2"/>
      <c r="C29" s="2"/>
      <c r="D29" s="2">
        <v>8</v>
      </c>
      <c r="E29" s="2">
        <v>21</v>
      </c>
      <c r="F29" s="2"/>
      <c r="G29" s="2"/>
      <c r="H29" s="2">
        <f t="shared" si="1"/>
        <v>7.9579999999999984</v>
      </c>
      <c r="I29" s="2">
        <f t="shared" si="2"/>
        <v>5.9579999999999984</v>
      </c>
      <c r="J29" s="2">
        <f t="shared" si="3"/>
        <v>13.915999999999997</v>
      </c>
    </row>
    <row r="30" spans="1:10" ht="18.75" customHeight="1" x14ac:dyDescent="0.25">
      <c r="A30" s="37" t="s">
        <v>19</v>
      </c>
      <c r="B30" s="2">
        <v>3.75</v>
      </c>
      <c r="C30" s="2">
        <v>3.75</v>
      </c>
      <c r="D30" s="2"/>
      <c r="E30" s="2"/>
      <c r="F30" s="2"/>
      <c r="G30" s="2"/>
      <c r="H30" s="2">
        <f t="shared" si="1"/>
        <v>11.707999999999998</v>
      </c>
      <c r="I30" s="2">
        <f t="shared" si="2"/>
        <v>9.7079999999999984</v>
      </c>
      <c r="J30" s="2">
        <f t="shared" si="3"/>
        <v>21.415999999999997</v>
      </c>
    </row>
    <row r="31" spans="1:10" ht="18.75" customHeight="1" x14ac:dyDescent="0.25">
      <c r="A31" s="36" t="s">
        <v>20</v>
      </c>
      <c r="B31" s="2"/>
      <c r="C31" s="2"/>
      <c r="D31" s="2"/>
      <c r="E31" s="2"/>
      <c r="F31" s="2">
        <v>1</v>
      </c>
      <c r="G31" s="2"/>
      <c r="H31" s="2">
        <f t="shared" si="1"/>
        <v>10.707999999999998</v>
      </c>
      <c r="I31" s="2">
        <f t="shared" si="2"/>
        <v>9.7079999999999984</v>
      </c>
      <c r="J31" s="2">
        <f t="shared" si="3"/>
        <v>20.415999999999997</v>
      </c>
    </row>
    <row r="32" spans="1:10" ht="18.75" customHeight="1" x14ac:dyDescent="0.25">
      <c r="A32" s="36" t="s">
        <v>21</v>
      </c>
      <c r="B32" s="2"/>
      <c r="C32" s="2"/>
      <c r="D32" s="2"/>
      <c r="E32" s="2"/>
      <c r="F32" s="2">
        <v>2</v>
      </c>
      <c r="G32" s="2"/>
      <c r="H32" s="2">
        <f t="shared" si="1"/>
        <v>8.7079999999999984</v>
      </c>
      <c r="I32" s="2">
        <f t="shared" si="2"/>
        <v>9.7079999999999984</v>
      </c>
      <c r="J32" s="2">
        <f t="shared" si="3"/>
        <v>18.415999999999997</v>
      </c>
    </row>
    <row r="33" spans="1:10" ht="18.75" customHeight="1" x14ac:dyDescent="0.25">
      <c r="A33" s="36" t="s">
        <v>40</v>
      </c>
      <c r="B33" s="2">
        <v>1.25</v>
      </c>
      <c r="C33" s="2">
        <v>1.25</v>
      </c>
      <c r="D33" s="2"/>
      <c r="E33" s="2"/>
      <c r="F33" s="2"/>
      <c r="G33" s="2"/>
      <c r="H33" s="2">
        <f t="shared" si="1"/>
        <v>9.9579999999999984</v>
      </c>
      <c r="I33" s="2">
        <f t="shared" si="2"/>
        <v>10.957999999999998</v>
      </c>
      <c r="J33" s="2">
        <f t="shared" si="3"/>
        <v>20.915999999999997</v>
      </c>
    </row>
    <row r="34" spans="1:10" ht="18.75" customHeight="1" x14ac:dyDescent="0.25">
      <c r="A34" s="36" t="s">
        <v>41</v>
      </c>
      <c r="B34" s="2">
        <v>5</v>
      </c>
      <c r="C34" s="2">
        <v>5</v>
      </c>
      <c r="D34" s="2"/>
      <c r="E34" s="2"/>
      <c r="F34" s="2"/>
      <c r="G34" s="2"/>
      <c r="H34" s="2">
        <f>H33-F34-D34+B34</f>
        <v>14.957999999999998</v>
      </c>
      <c r="I34" s="2">
        <f>I33-E34+C34</f>
        <v>15.957999999999998</v>
      </c>
      <c r="J34" s="2">
        <f t="shared" si="3"/>
        <v>30.915999999999997</v>
      </c>
    </row>
    <row r="35" spans="1:10" ht="18.75" customHeight="1" x14ac:dyDescent="0.25">
      <c r="A35" s="36" t="s">
        <v>42</v>
      </c>
      <c r="B35" s="2">
        <v>5</v>
      </c>
      <c r="C35" s="2">
        <v>5</v>
      </c>
      <c r="D35" s="2"/>
      <c r="E35" s="2"/>
      <c r="F35" s="2"/>
      <c r="G35" s="2"/>
      <c r="H35" s="2">
        <f t="shared" ref="H35:H49" si="4">H34-F35-D35+B35</f>
        <v>19.957999999999998</v>
      </c>
      <c r="I35" s="2">
        <f t="shared" ref="I35:I49" si="5">I34-E35+C35</f>
        <v>20.957999999999998</v>
      </c>
      <c r="J35" s="2">
        <f t="shared" ref="J35:J50" si="6">SUM(H35:I35)</f>
        <v>40.915999999999997</v>
      </c>
    </row>
    <row r="36" spans="1:10" ht="18.75" customHeight="1" x14ac:dyDescent="0.25">
      <c r="A36" s="36" t="s">
        <v>43</v>
      </c>
      <c r="B36" s="2"/>
      <c r="C36" s="2"/>
      <c r="D36" s="2">
        <v>7</v>
      </c>
      <c r="E36" s="2">
        <v>18</v>
      </c>
      <c r="F36" s="2"/>
      <c r="G36" s="2"/>
      <c r="H36" s="2">
        <f t="shared" si="4"/>
        <v>12.957999999999998</v>
      </c>
      <c r="I36" s="2">
        <f t="shared" si="5"/>
        <v>2.9579999999999984</v>
      </c>
      <c r="J36" s="2">
        <f t="shared" si="6"/>
        <v>15.915999999999997</v>
      </c>
    </row>
    <row r="37" spans="1:10" ht="18.75" customHeight="1" x14ac:dyDescent="0.25">
      <c r="A37" s="36" t="s">
        <v>44</v>
      </c>
      <c r="B37" s="2"/>
      <c r="C37" s="2"/>
      <c r="D37" s="2"/>
      <c r="E37" s="2"/>
      <c r="F37" s="2"/>
      <c r="G37" s="2">
        <v>2</v>
      </c>
      <c r="H37" s="2">
        <f t="shared" si="4"/>
        <v>12.957999999999998</v>
      </c>
      <c r="I37" s="2">
        <f t="shared" si="5"/>
        <v>2.9579999999999984</v>
      </c>
      <c r="J37" s="2">
        <f t="shared" si="6"/>
        <v>15.915999999999997</v>
      </c>
    </row>
    <row r="38" spans="1:10" ht="18.75" customHeight="1" x14ac:dyDescent="0.25">
      <c r="A38" s="36" t="s">
        <v>49</v>
      </c>
      <c r="B38" s="2">
        <v>1.25</v>
      </c>
      <c r="C38" s="2">
        <v>1.25</v>
      </c>
      <c r="D38" s="2"/>
      <c r="E38" s="2"/>
      <c r="F38" s="2"/>
      <c r="G38" s="2"/>
      <c r="H38" s="2">
        <f t="shared" si="4"/>
        <v>14.207999999999998</v>
      </c>
      <c r="I38" s="2">
        <f t="shared" si="5"/>
        <v>4.2079999999999984</v>
      </c>
      <c r="J38" s="2">
        <f t="shared" si="6"/>
        <v>18.415999999999997</v>
      </c>
    </row>
    <row r="39" spans="1:10" ht="18.75" customHeight="1" x14ac:dyDescent="0.25">
      <c r="A39" s="36" t="s">
        <v>50</v>
      </c>
      <c r="B39" s="2"/>
      <c r="C39" s="2"/>
      <c r="D39" s="2"/>
      <c r="E39" s="2"/>
      <c r="F39" s="2">
        <v>1</v>
      </c>
      <c r="G39" s="2"/>
      <c r="H39" s="2">
        <f t="shared" si="4"/>
        <v>13.207999999999998</v>
      </c>
      <c r="I39" s="2">
        <f t="shared" si="5"/>
        <v>4.2079999999999984</v>
      </c>
      <c r="J39" s="2">
        <f t="shared" si="6"/>
        <v>17.415999999999997</v>
      </c>
    </row>
    <row r="40" spans="1:10" ht="18.75" customHeight="1" x14ac:dyDescent="0.25">
      <c r="A40" s="36" t="s">
        <v>51</v>
      </c>
      <c r="B40" s="38"/>
      <c r="C40" s="38"/>
      <c r="D40" s="38"/>
      <c r="E40" s="38"/>
      <c r="F40" s="38">
        <v>2</v>
      </c>
      <c r="G40" s="38"/>
      <c r="H40" s="2">
        <f t="shared" si="4"/>
        <v>11.207999999999998</v>
      </c>
      <c r="I40" s="2">
        <f t="shared" si="5"/>
        <v>4.2079999999999984</v>
      </c>
      <c r="J40" s="2">
        <f t="shared" si="6"/>
        <v>15.415999999999997</v>
      </c>
    </row>
    <row r="41" spans="1:10" ht="18.75" customHeight="1" x14ac:dyDescent="0.25">
      <c r="A41" s="36" t="s">
        <v>52</v>
      </c>
      <c r="B41" s="38"/>
      <c r="C41" s="38"/>
      <c r="D41" s="38"/>
      <c r="E41" s="38"/>
      <c r="F41" s="38">
        <v>2</v>
      </c>
      <c r="G41" s="38"/>
      <c r="H41" s="2">
        <f t="shared" si="4"/>
        <v>9.2079999999999984</v>
      </c>
      <c r="I41" s="2">
        <f t="shared" si="5"/>
        <v>4.2079999999999984</v>
      </c>
      <c r="J41" s="2">
        <f t="shared" si="6"/>
        <v>13.415999999999997</v>
      </c>
    </row>
    <row r="42" spans="1:10" ht="18.75" customHeight="1" x14ac:dyDescent="0.25">
      <c r="A42" s="36" t="s">
        <v>53</v>
      </c>
      <c r="B42" s="38">
        <v>3.75</v>
      </c>
      <c r="C42" s="38">
        <f>3*1.25</f>
        <v>3.75</v>
      </c>
      <c r="D42" s="38"/>
      <c r="E42" s="38"/>
      <c r="F42" s="38"/>
      <c r="G42" s="38"/>
      <c r="H42" s="2">
        <f t="shared" si="4"/>
        <v>12.957999999999998</v>
      </c>
      <c r="I42" s="2">
        <f t="shared" si="5"/>
        <v>7.9579999999999984</v>
      </c>
      <c r="J42" s="2">
        <f t="shared" si="6"/>
        <v>20.915999999999997</v>
      </c>
    </row>
    <row r="43" spans="1:10" ht="18.75" customHeight="1" x14ac:dyDescent="0.25">
      <c r="A43" s="36" t="s">
        <v>54</v>
      </c>
      <c r="B43" s="38"/>
      <c r="C43" s="38"/>
      <c r="D43" s="38"/>
      <c r="E43" s="38"/>
      <c r="F43" s="39"/>
      <c r="G43" s="39">
        <v>1</v>
      </c>
      <c r="H43" s="2">
        <f t="shared" si="4"/>
        <v>12.957999999999998</v>
      </c>
      <c r="I43" s="2">
        <f t="shared" si="5"/>
        <v>7.9579999999999984</v>
      </c>
      <c r="J43" s="2">
        <f t="shared" si="6"/>
        <v>20.915999999999997</v>
      </c>
    </row>
    <row r="44" spans="1:10" ht="34.5" customHeight="1" x14ac:dyDescent="0.25">
      <c r="A44" s="42" t="s">
        <v>55</v>
      </c>
      <c r="B44" s="38">
        <v>5</v>
      </c>
      <c r="C44" s="38"/>
      <c r="D44" s="38"/>
      <c r="E44" s="38"/>
      <c r="F44" s="39"/>
      <c r="G44" s="39"/>
      <c r="H44" s="2">
        <f t="shared" si="4"/>
        <v>17.957999999999998</v>
      </c>
      <c r="I44" s="2">
        <f t="shared" si="5"/>
        <v>7.9579999999999984</v>
      </c>
      <c r="J44" s="2">
        <f t="shared" si="6"/>
        <v>25.915999999999997</v>
      </c>
    </row>
    <row r="45" spans="1:10" ht="18.75" customHeight="1" x14ac:dyDescent="0.25">
      <c r="A45" s="36" t="s">
        <v>75</v>
      </c>
      <c r="B45" s="38">
        <v>1.25</v>
      </c>
      <c r="C45" s="38">
        <v>1.25</v>
      </c>
      <c r="D45" s="38"/>
      <c r="E45" s="38"/>
      <c r="F45" s="39"/>
      <c r="G45" s="39"/>
      <c r="H45" s="2">
        <f t="shared" si="4"/>
        <v>19.207999999999998</v>
      </c>
      <c r="I45" s="2">
        <f t="shared" si="5"/>
        <v>9.2079999999999984</v>
      </c>
      <c r="J45" s="2">
        <f t="shared" si="6"/>
        <v>28.415999999999997</v>
      </c>
    </row>
    <row r="46" spans="1:10" ht="18.75" customHeight="1" x14ac:dyDescent="0.25">
      <c r="A46" s="36" t="s">
        <v>56</v>
      </c>
      <c r="B46" s="38">
        <v>1.25</v>
      </c>
      <c r="C46" s="38">
        <v>1.25</v>
      </c>
      <c r="D46" s="38"/>
      <c r="E46" s="38"/>
      <c r="F46" s="39"/>
      <c r="G46" s="39"/>
      <c r="H46" s="2">
        <f t="shared" si="4"/>
        <v>20.457999999999998</v>
      </c>
      <c r="I46" s="2">
        <f t="shared" si="5"/>
        <v>10.457999999999998</v>
      </c>
      <c r="J46" s="2">
        <f t="shared" si="6"/>
        <v>30.915999999999997</v>
      </c>
    </row>
    <row r="47" spans="1:10" ht="18.75" customHeight="1" x14ac:dyDescent="0.25">
      <c r="A47" s="36" t="s">
        <v>78</v>
      </c>
      <c r="B47" s="38">
        <v>1.25</v>
      </c>
      <c r="C47" s="38">
        <v>1.25</v>
      </c>
      <c r="D47" s="38"/>
      <c r="E47" s="38"/>
      <c r="F47" s="39"/>
      <c r="G47" s="39"/>
      <c r="H47" s="2">
        <f t="shared" si="4"/>
        <v>21.707999999999998</v>
      </c>
      <c r="I47" s="2">
        <f t="shared" si="5"/>
        <v>11.707999999999998</v>
      </c>
      <c r="J47" s="2">
        <f t="shared" si="6"/>
        <v>33.415999999999997</v>
      </c>
    </row>
    <row r="48" spans="1:10" ht="18.75" customHeight="1" x14ac:dyDescent="0.25">
      <c r="A48" s="36" t="s">
        <v>79</v>
      </c>
      <c r="B48" s="38"/>
      <c r="C48" s="38"/>
      <c r="D48" s="38"/>
      <c r="E48" s="38"/>
      <c r="F48" s="39"/>
      <c r="G48" s="39">
        <v>1</v>
      </c>
      <c r="H48" s="2">
        <f t="shared" si="4"/>
        <v>21.707999999999998</v>
      </c>
      <c r="I48" s="2">
        <f t="shared" si="5"/>
        <v>11.707999999999998</v>
      </c>
      <c r="J48" s="2">
        <f t="shared" si="6"/>
        <v>33.415999999999997</v>
      </c>
    </row>
    <row r="49" spans="1:11" ht="18.75" customHeight="1" x14ac:dyDescent="0.25">
      <c r="A49" s="36" t="s">
        <v>89</v>
      </c>
      <c r="B49" s="38">
        <v>5</v>
      </c>
      <c r="C49" s="38">
        <v>5</v>
      </c>
      <c r="D49" s="38"/>
      <c r="E49" s="38"/>
      <c r="F49" s="39"/>
      <c r="G49" s="39"/>
      <c r="H49" s="2">
        <f t="shared" si="4"/>
        <v>26.707999999999998</v>
      </c>
      <c r="I49" s="2">
        <f t="shared" si="5"/>
        <v>16.707999999999998</v>
      </c>
      <c r="J49" s="2">
        <f t="shared" si="6"/>
        <v>43.415999999999997</v>
      </c>
    </row>
    <row r="50" spans="1:11" ht="18.75" customHeight="1" x14ac:dyDescent="0.25">
      <c r="A50" s="36" t="s">
        <v>91</v>
      </c>
      <c r="B50" s="39"/>
      <c r="C50" s="39"/>
      <c r="D50" s="39">
        <v>19.707999999999998</v>
      </c>
      <c r="E50" s="39">
        <v>0.29199999999999998</v>
      </c>
      <c r="F50" s="39"/>
      <c r="G50" s="39"/>
      <c r="H50" s="32">
        <f>H49-F50-D50+B50</f>
        <v>7</v>
      </c>
      <c r="I50" s="32">
        <f>I49-E50+C50</f>
        <v>16.415999999999997</v>
      </c>
      <c r="J50" s="32">
        <f t="shared" si="6"/>
        <v>23.415999999999997</v>
      </c>
    </row>
    <row r="51" spans="1:11" ht="18.75" customHeight="1" x14ac:dyDescent="0.25">
      <c r="A51" s="36" t="s">
        <v>93</v>
      </c>
      <c r="B51" s="39"/>
      <c r="C51" s="39"/>
      <c r="D51" s="39"/>
      <c r="E51" s="39"/>
      <c r="F51" s="39">
        <v>1</v>
      </c>
      <c r="G51" s="39"/>
      <c r="H51" s="32">
        <f t="shared" ref="H51:H52" si="7">H50-F51-D51+B51</f>
        <v>6</v>
      </c>
      <c r="I51" s="32">
        <f t="shared" ref="I51:I52" si="8">I50-E51+C51</f>
        <v>16.415999999999997</v>
      </c>
      <c r="J51" s="32">
        <f t="shared" ref="J51:J52" si="9">SUM(H51:I51)</f>
        <v>22.415999999999997</v>
      </c>
    </row>
    <row r="52" spans="1:11" ht="18.75" customHeight="1" x14ac:dyDescent="0.25">
      <c r="A52" s="36" t="s">
        <v>94</v>
      </c>
      <c r="B52" s="39"/>
      <c r="C52" s="39"/>
      <c r="D52" s="39"/>
      <c r="E52" s="39"/>
      <c r="F52" s="39"/>
      <c r="G52" s="39">
        <v>1</v>
      </c>
      <c r="H52" s="32">
        <f t="shared" si="7"/>
        <v>6</v>
      </c>
      <c r="I52" s="32">
        <f t="shared" si="8"/>
        <v>16.415999999999997</v>
      </c>
      <c r="J52" s="32">
        <f t="shared" si="9"/>
        <v>22.415999999999997</v>
      </c>
    </row>
    <row r="53" spans="1:11" ht="18.75" customHeight="1" x14ac:dyDescent="0.25">
      <c r="A53" s="36" t="s">
        <v>95</v>
      </c>
      <c r="B53" s="39">
        <v>5</v>
      </c>
      <c r="C53" s="39">
        <v>5</v>
      </c>
      <c r="D53" s="39"/>
      <c r="E53" s="39"/>
      <c r="F53" s="39"/>
      <c r="G53" s="39"/>
      <c r="H53" s="32">
        <f t="shared" ref="H53" si="10">H52-F53-D53+B53</f>
        <v>11</v>
      </c>
      <c r="I53" s="32">
        <f t="shared" ref="I53" si="11">I52-E53+C53</f>
        <v>21.415999999999997</v>
      </c>
      <c r="J53" s="32">
        <f t="shared" ref="J53" si="12">SUM(H53:I53)</f>
        <v>32.415999999999997</v>
      </c>
    </row>
    <row r="54" spans="1:11" ht="18.75" customHeight="1" x14ac:dyDescent="0.25">
      <c r="A54" s="36" t="s">
        <v>96</v>
      </c>
      <c r="B54" s="39"/>
      <c r="C54" s="39"/>
      <c r="D54" s="39"/>
      <c r="E54" s="39"/>
      <c r="F54" s="39">
        <v>4</v>
      </c>
      <c r="G54" s="39"/>
      <c r="H54" s="32">
        <f t="shared" ref="H54" si="13">H53-F54-D54+B54</f>
        <v>7</v>
      </c>
      <c r="I54" s="32">
        <f t="shared" ref="I54" si="14">I53-E54+C54</f>
        <v>21.415999999999997</v>
      </c>
      <c r="J54" s="32">
        <f t="shared" ref="J54" si="15">SUM(H54:I54)</f>
        <v>28.415999999999997</v>
      </c>
    </row>
    <row r="55" spans="1:11" ht="18.75" customHeight="1" x14ac:dyDescent="0.25">
      <c r="A55" s="40" t="s">
        <v>97</v>
      </c>
      <c r="B55" s="39">
        <v>1.25</v>
      </c>
      <c r="C55" s="39">
        <v>1.25</v>
      </c>
      <c r="D55" s="39"/>
      <c r="E55" s="39"/>
      <c r="F55" s="39"/>
      <c r="G55" s="39"/>
      <c r="H55" s="32">
        <f t="shared" ref="H55:H56" si="16">H54-F55-D55+B55</f>
        <v>8.25</v>
      </c>
      <c r="I55" s="32">
        <f t="shared" ref="I55:I56" si="17">I54-E55+C55</f>
        <v>22.665999999999997</v>
      </c>
      <c r="J55" s="32">
        <f t="shared" ref="J55:J56" si="18">SUM(H55:I55)</f>
        <v>30.915999999999997</v>
      </c>
    </row>
    <row r="56" spans="1:11" ht="18.75" customHeight="1" x14ac:dyDescent="0.25">
      <c r="A56" s="36" t="s">
        <v>98</v>
      </c>
      <c r="B56" s="39">
        <v>2.5</v>
      </c>
      <c r="C56" s="39">
        <v>2.5</v>
      </c>
      <c r="D56" s="39"/>
      <c r="E56" s="39"/>
      <c r="F56" s="39"/>
      <c r="G56" s="39"/>
      <c r="H56" s="32">
        <f t="shared" si="16"/>
        <v>10.75</v>
      </c>
      <c r="I56" s="32">
        <f t="shared" si="17"/>
        <v>25.165999999999997</v>
      </c>
      <c r="J56" s="32">
        <f t="shared" si="18"/>
        <v>35.915999999999997</v>
      </c>
    </row>
    <row r="57" spans="1:11" ht="18.75" customHeight="1" x14ac:dyDescent="0.25">
      <c r="A57" s="36" t="s">
        <v>99</v>
      </c>
      <c r="B57" s="39"/>
      <c r="C57" s="39"/>
      <c r="D57" s="39"/>
      <c r="E57" s="39"/>
      <c r="F57" s="41">
        <v>1</v>
      </c>
      <c r="G57" s="39"/>
      <c r="H57" s="32">
        <f t="shared" ref="H57" si="19">H56-F57-D57+B57</f>
        <v>9.75</v>
      </c>
      <c r="I57" s="32">
        <f t="shared" ref="I57" si="20">I56-E57+C57</f>
        <v>25.165999999999997</v>
      </c>
      <c r="J57" s="32">
        <f t="shared" ref="J57" si="21">SUM(H57:I57)</f>
        <v>34.915999999999997</v>
      </c>
    </row>
    <row r="58" spans="1:11" ht="18.75" customHeight="1" x14ac:dyDescent="0.25">
      <c r="A58" s="36" t="s">
        <v>100</v>
      </c>
      <c r="B58" s="39">
        <v>1.25</v>
      </c>
      <c r="C58" s="39">
        <v>1.25</v>
      </c>
      <c r="D58" s="39"/>
      <c r="E58" s="39"/>
      <c r="F58" s="39"/>
      <c r="G58" s="39"/>
      <c r="H58" s="32">
        <f t="shared" ref="H58:H59" si="22">H57-F58-D58+B58</f>
        <v>11</v>
      </c>
      <c r="I58" s="32">
        <f t="shared" ref="I58:I59" si="23">I57-E58+C58</f>
        <v>26.415999999999997</v>
      </c>
      <c r="J58" s="32">
        <f t="shared" ref="J58:J59" si="24">SUM(H58:I58)</f>
        <v>37.415999999999997</v>
      </c>
    </row>
    <row r="59" spans="1:11" ht="18.75" customHeight="1" x14ac:dyDescent="0.25">
      <c r="A59" s="36" t="s">
        <v>101</v>
      </c>
      <c r="B59" s="39"/>
      <c r="C59" s="39"/>
      <c r="D59" s="39"/>
      <c r="E59" s="39"/>
      <c r="F59" s="41">
        <v>1</v>
      </c>
      <c r="G59" s="39"/>
      <c r="H59" s="32">
        <f t="shared" si="22"/>
        <v>10</v>
      </c>
      <c r="I59" s="32">
        <f t="shared" si="23"/>
        <v>26.415999999999997</v>
      </c>
      <c r="J59" s="32">
        <f t="shared" si="24"/>
        <v>36.415999999999997</v>
      </c>
    </row>
    <row r="60" spans="1:11" ht="18.75" customHeight="1" x14ac:dyDescent="0.25">
      <c r="A60" s="36" t="s">
        <v>102</v>
      </c>
      <c r="B60" s="39">
        <v>3.75</v>
      </c>
      <c r="C60" s="39">
        <v>3.75</v>
      </c>
      <c r="D60" s="39"/>
      <c r="E60" s="39"/>
      <c r="F60" s="39"/>
      <c r="G60" s="39"/>
      <c r="H60" s="32">
        <f t="shared" ref="H60" si="25">H59-F60-D60+B60</f>
        <v>13.75</v>
      </c>
      <c r="I60" s="32">
        <f t="shared" ref="I60" si="26">I59-E60+C60</f>
        <v>30.165999999999997</v>
      </c>
      <c r="J60" s="32">
        <f t="shared" ref="J60" si="27">SUM(H60:I60)</f>
        <v>43.915999999999997</v>
      </c>
    </row>
    <row r="61" spans="1:11" ht="18.75" customHeight="1" x14ac:dyDescent="0.25">
      <c r="A61" s="36" t="s">
        <v>103</v>
      </c>
      <c r="B61" s="39"/>
      <c r="C61" s="39"/>
      <c r="D61" s="39">
        <v>8.75</v>
      </c>
      <c r="E61" s="39">
        <v>11.25</v>
      </c>
      <c r="F61" s="39"/>
      <c r="G61" s="39"/>
      <c r="H61" s="32">
        <f>H60-F61-D61+B61</f>
        <v>5</v>
      </c>
      <c r="I61" s="32">
        <f>I60-E61+C61</f>
        <v>18.915999999999997</v>
      </c>
      <c r="J61" s="32">
        <f t="shared" ref="J61" si="28">SUM(H61:I61)</f>
        <v>23.915999999999997</v>
      </c>
    </row>
    <row r="62" spans="1:11" ht="18.75" customHeight="1" x14ac:dyDescent="0.25">
      <c r="A62" s="36" t="s">
        <v>104</v>
      </c>
      <c r="B62" s="39">
        <v>2.5</v>
      </c>
      <c r="C62" s="39">
        <v>2.5</v>
      </c>
      <c r="D62" s="39"/>
      <c r="E62" s="39"/>
      <c r="F62" s="39"/>
      <c r="G62" s="39"/>
      <c r="H62" s="32">
        <f t="shared" ref="H62:H63" si="29">H61-F62-D62+B62</f>
        <v>7.5</v>
      </c>
      <c r="I62" s="32">
        <f t="shared" ref="I62:I63" si="30">I61-E62+C62</f>
        <v>21.415999999999997</v>
      </c>
      <c r="J62" s="32">
        <f t="shared" ref="J62:J63" si="31">SUM(H62:I62)</f>
        <v>28.915999999999997</v>
      </c>
    </row>
    <row r="63" spans="1:11" ht="18.75" customHeight="1" x14ac:dyDescent="0.25">
      <c r="A63" s="36" t="s">
        <v>106</v>
      </c>
      <c r="B63" s="39"/>
      <c r="C63" s="39"/>
      <c r="D63" s="39"/>
      <c r="E63" s="39"/>
      <c r="F63" s="39"/>
      <c r="H63" s="32">
        <f t="shared" si="29"/>
        <v>7.5</v>
      </c>
      <c r="I63" s="32">
        <f t="shared" si="30"/>
        <v>21.415999999999997</v>
      </c>
      <c r="J63" s="32">
        <f t="shared" si="31"/>
        <v>28.915999999999997</v>
      </c>
      <c r="K63" s="46" t="s">
        <v>105</v>
      </c>
    </row>
    <row r="64" spans="1:11" ht="18.75" customHeight="1" x14ac:dyDescent="0.25">
      <c r="A64" s="95" t="s">
        <v>107</v>
      </c>
      <c r="B64" s="96">
        <v>2.5</v>
      </c>
      <c r="C64" s="96">
        <v>2.5</v>
      </c>
      <c r="D64" s="96"/>
      <c r="E64" s="96"/>
      <c r="F64" s="96"/>
      <c r="G64" s="96"/>
      <c r="H64" s="32">
        <f t="shared" ref="H64:H66" si="32">H63-F64-D64+B64</f>
        <v>10</v>
      </c>
      <c r="I64" s="32">
        <f t="shared" ref="I64:I66" si="33">I63-E64+C64</f>
        <v>23.915999999999997</v>
      </c>
      <c r="J64" s="32">
        <f t="shared" ref="J64:J66" si="34">SUM(H64:I64)</f>
        <v>33.915999999999997</v>
      </c>
      <c r="K64" s="46"/>
    </row>
    <row r="65" spans="1:11" ht="18.75" customHeight="1" x14ac:dyDescent="0.25">
      <c r="A65" s="95" t="s">
        <v>108</v>
      </c>
      <c r="B65" s="96"/>
      <c r="C65" s="96"/>
      <c r="D65" s="96"/>
      <c r="E65" s="96"/>
      <c r="F65" s="96"/>
      <c r="G65" s="45">
        <v>1</v>
      </c>
      <c r="H65" s="32">
        <f t="shared" si="32"/>
        <v>10</v>
      </c>
      <c r="I65" s="32">
        <f t="shared" si="33"/>
        <v>23.915999999999997</v>
      </c>
      <c r="J65" s="32">
        <f t="shared" si="34"/>
        <v>33.915999999999997</v>
      </c>
      <c r="K65" s="46"/>
    </row>
    <row r="66" spans="1:11" ht="18.75" customHeight="1" x14ac:dyDescent="0.25">
      <c r="A66" s="95" t="s">
        <v>109</v>
      </c>
      <c r="B66" s="96"/>
      <c r="C66" s="96"/>
      <c r="D66" s="96"/>
      <c r="E66" s="96"/>
      <c r="F66" s="41">
        <v>3</v>
      </c>
      <c r="G66" s="96"/>
      <c r="H66" s="32">
        <f t="shared" si="32"/>
        <v>7</v>
      </c>
      <c r="I66" s="32">
        <f t="shared" si="33"/>
        <v>23.915999999999997</v>
      </c>
      <c r="J66" s="32">
        <f t="shared" si="34"/>
        <v>30.915999999999997</v>
      </c>
      <c r="K66" s="46"/>
    </row>
    <row r="67" spans="1:11" ht="18.75" customHeight="1" x14ac:dyDescent="0.25">
      <c r="A67" s="43"/>
      <c r="B67" s="44"/>
      <c r="C67" s="44"/>
      <c r="D67" s="44"/>
      <c r="E67" s="44"/>
      <c r="F67" s="44"/>
      <c r="G67" s="44"/>
      <c r="H67" s="30"/>
      <c r="I67" s="30"/>
      <c r="J67" s="30"/>
    </row>
    <row r="68" spans="1:11" ht="18.75" customHeight="1" x14ac:dyDescent="0.25">
      <c r="A68" s="27"/>
      <c r="B68" s="28"/>
      <c r="C68" s="28"/>
      <c r="D68" s="28"/>
      <c r="E68" s="28"/>
      <c r="F68" s="28"/>
      <c r="G68" s="28"/>
      <c r="H68" s="29"/>
      <c r="I68" s="29"/>
      <c r="J68" s="30"/>
    </row>
    <row r="69" spans="1:11" s="1" customFormat="1" ht="15" customHeight="1" x14ac:dyDescent="0.25">
      <c r="G69" s="1" t="s">
        <v>45</v>
      </c>
    </row>
    <row r="70" spans="1:11" s="1" customFormat="1" ht="15" customHeight="1" x14ac:dyDescent="0.25"/>
    <row r="71" spans="1:11" s="1" customFormat="1" ht="15" customHeight="1" x14ac:dyDescent="0.25">
      <c r="G71" s="31" t="s">
        <v>46</v>
      </c>
    </row>
    <row r="72" spans="1:11" s="1" customFormat="1" ht="15" customHeight="1" x14ac:dyDescent="0.25">
      <c r="D72" s="1" t="s">
        <v>86</v>
      </c>
      <c r="G72" s="1" t="s">
        <v>47</v>
      </c>
    </row>
    <row r="73" spans="1:11" s="1" customFormat="1" ht="15" customHeight="1" x14ac:dyDescent="0.25">
      <c r="G73" s="1" t="s">
        <v>90</v>
      </c>
    </row>
  </sheetData>
  <mergeCells count="13">
    <mergeCell ref="K11:K12"/>
    <mergeCell ref="B11:C11"/>
    <mergeCell ref="D11:G11"/>
    <mergeCell ref="H11:I11"/>
    <mergeCell ref="A11:A12"/>
    <mergeCell ref="J11:J12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61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47D5-9B59-41E0-ABDC-195589A2E5F1}">
  <sheetPr>
    <pageSetUpPr fitToPage="1"/>
  </sheetPr>
  <dimension ref="A1:L25"/>
  <sheetViews>
    <sheetView view="pageBreakPreview" zoomScale="112" zoomScaleNormal="100" zoomScaleSheetLayoutView="112" workbookViewId="0">
      <selection activeCell="B13" sqref="B13:E14"/>
    </sheetView>
  </sheetViews>
  <sheetFormatPr defaultRowHeight="15" x14ac:dyDescent="0.25"/>
  <cols>
    <col min="1" max="1" width="27.85546875" customWidth="1"/>
    <col min="2" max="5" width="14.7109375" customWidth="1"/>
    <col min="6" max="11" width="7.85546875" customWidth="1"/>
  </cols>
  <sheetData>
    <row r="1" spans="1:12" s="1" customFormat="1" ht="52.5" customHeight="1" x14ac:dyDescent="0.25"/>
    <row r="2" spans="1:12" s="1" customFormat="1" ht="10.5" customHeight="1" x14ac:dyDescent="0.25">
      <c r="A2" s="49" t="s">
        <v>23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 x14ac:dyDescent="0.25">
      <c r="A3" s="49" t="s">
        <v>24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 x14ac:dyDescent="0.25">
      <c r="A4" s="49" t="s">
        <v>25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 x14ac:dyDescent="0.25">
      <c r="A5" s="49" t="s">
        <v>26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 x14ac:dyDescent="0.25"/>
    <row r="7" spans="1:12" s="1" customFormat="1" ht="12" customHeight="1" x14ac:dyDescent="0.25">
      <c r="A7" s="1" t="s">
        <v>27</v>
      </c>
      <c r="C7" s="4" t="s">
        <v>28</v>
      </c>
      <c r="D7" s="4"/>
      <c r="G7" s="4" t="s">
        <v>9</v>
      </c>
      <c r="H7" s="7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29</v>
      </c>
      <c r="C9" s="4" t="s">
        <v>30</v>
      </c>
      <c r="D9" s="4"/>
      <c r="G9" s="4" t="s">
        <v>10</v>
      </c>
      <c r="H9" s="5"/>
    </row>
    <row r="10" spans="1:12" ht="16.5" customHeight="1" x14ac:dyDescent="0.25">
      <c r="A10" s="69" t="s">
        <v>82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</row>
    <row r="11" spans="1:12" s="18" customFormat="1" ht="18.75" customHeight="1" x14ac:dyDescent="0.2">
      <c r="A11" s="70" t="s">
        <v>4</v>
      </c>
      <c r="B11" s="72" t="s">
        <v>5</v>
      </c>
      <c r="C11" s="73"/>
      <c r="D11" s="73"/>
      <c r="E11" s="73"/>
      <c r="F11" s="73"/>
      <c r="G11" s="73"/>
      <c r="H11" s="73"/>
      <c r="I11" s="73"/>
      <c r="J11" s="73"/>
      <c r="K11" s="73"/>
      <c r="L11" s="74" t="s">
        <v>8</v>
      </c>
    </row>
    <row r="12" spans="1:12" s="18" customFormat="1" ht="24" customHeight="1" x14ac:dyDescent="0.2">
      <c r="A12" s="71"/>
      <c r="B12" s="76" t="s">
        <v>83</v>
      </c>
      <c r="C12" s="77"/>
      <c r="D12" s="77"/>
      <c r="E12" s="78"/>
      <c r="F12" s="76" t="s">
        <v>68</v>
      </c>
      <c r="G12" s="78"/>
      <c r="H12" s="76" t="s">
        <v>69</v>
      </c>
      <c r="I12" s="78"/>
      <c r="J12" s="76" t="s">
        <v>70</v>
      </c>
      <c r="K12" s="78"/>
      <c r="L12" s="75"/>
    </row>
    <row r="13" spans="1:12" s="18" customFormat="1" ht="18.75" customHeight="1" x14ac:dyDescent="0.2">
      <c r="A13" s="19" t="s">
        <v>87</v>
      </c>
      <c r="B13" s="66" t="s">
        <v>84</v>
      </c>
      <c r="C13" s="67"/>
      <c r="D13" s="67"/>
      <c r="E13" s="68"/>
      <c r="F13" s="66">
        <v>1</v>
      </c>
      <c r="G13" s="68"/>
      <c r="H13" s="66">
        <v>0</v>
      </c>
      <c r="I13" s="68"/>
      <c r="J13" s="66">
        <v>1</v>
      </c>
      <c r="K13" s="68"/>
      <c r="L13" s="20">
        <v>1</v>
      </c>
    </row>
    <row r="14" spans="1:12" s="21" customFormat="1" ht="18.75" customHeight="1" x14ac:dyDescent="0.2">
      <c r="A14" s="19" t="s">
        <v>88</v>
      </c>
      <c r="B14" s="66" t="s">
        <v>84</v>
      </c>
      <c r="C14" s="67"/>
      <c r="D14" s="67"/>
      <c r="E14" s="68"/>
      <c r="F14" s="66"/>
      <c r="G14" s="68"/>
      <c r="H14" s="66">
        <v>1</v>
      </c>
      <c r="I14" s="68"/>
      <c r="J14" s="66">
        <v>0</v>
      </c>
      <c r="K14" s="68"/>
      <c r="L14" s="22">
        <v>0</v>
      </c>
    </row>
    <row r="15" spans="1:12" s="21" customFormat="1" ht="18.75" customHeight="1" x14ac:dyDescent="0.2">
      <c r="A15" s="26"/>
      <c r="B15" s="60"/>
      <c r="C15" s="61"/>
      <c r="D15" s="61"/>
      <c r="E15" s="62"/>
      <c r="F15" s="60"/>
      <c r="G15" s="62"/>
      <c r="H15" s="60"/>
      <c r="I15" s="62"/>
      <c r="J15" s="60"/>
      <c r="K15" s="62"/>
      <c r="L15" s="16"/>
    </row>
    <row r="16" spans="1:12" s="21" customFormat="1" ht="29.25" customHeight="1" x14ac:dyDescent="0.2">
      <c r="A16" s="16"/>
      <c r="B16" s="60"/>
      <c r="C16" s="61"/>
      <c r="D16" s="61"/>
      <c r="E16" s="62"/>
      <c r="F16" s="60"/>
      <c r="G16" s="62"/>
      <c r="H16" s="60"/>
      <c r="I16" s="62"/>
      <c r="J16" s="60"/>
      <c r="K16" s="62"/>
      <c r="L16" s="16"/>
    </row>
    <row r="17" spans="1:12" s="21" customFormat="1" ht="29.25" customHeight="1" x14ac:dyDescent="0.2">
      <c r="A17" s="16"/>
      <c r="B17" s="60"/>
      <c r="C17" s="61"/>
      <c r="D17" s="61"/>
      <c r="E17" s="62"/>
      <c r="F17" s="60"/>
      <c r="G17" s="62"/>
      <c r="H17" s="60"/>
      <c r="I17" s="62"/>
      <c r="J17" s="60"/>
      <c r="K17" s="62"/>
      <c r="L17" s="16"/>
    </row>
    <row r="18" spans="1:12" s="21" customFormat="1" ht="29.25" customHeight="1" x14ac:dyDescent="0.2">
      <c r="A18" s="16"/>
      <c r="B18" s="60"/>
      <c r="C18" s="61"/>
      <c r="D18" s="61"/>
      <c r="E18" s="62"/>
      <c r="F18" s="60"/>
      <c r="G18" s="62"/>
      <c r="H18" s="60"/>
      <c r="I18" s="62"/>
      <c r="J18" s="60"/>
      <c r="K18" s="62"/>
      <c r="L18" s="16"/>
    </row>
    <row r="19" spans="1:12" s="21" customFormat="1" x14ac:dyDescent="0.2">
      <c r="A19" s="23" t="s">
        <v>85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6" customHeight="1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1:12" s="1" customFormat="1" x14ac:dyDescent="0.25">
      <c r="C21" s="10"/>
      <c r="F21" s="1" t="s">
        <v>45</v>
      </c>
    </row>
    <row r="22" spans="1:12" s="1" customFormat="1" x14ac:dyDescent="0.25">
      <c r="C22" s="10"/>
      <c r="J22" s="1" t="s">
        <v>86</v>
      </c>
    </row>
    <row r="23" spans="1:12" x14ac:dyDescent="0.25">
      <c r="F23" s="65" t="s">
        <v>46</v>
      </c>
      <c r="G23" s="65"/>
      <c r="H23" s="65"/>
    </row>
    <row r="24" spans="1:12" x14ac:dyDescent="0.25">
      <c r="F24" t="s">
        <v>47</v>
      </c>
    </row>
    <row r="25" spans="1:12" x14ac:dyDescent="0.25">
      <c r="F25" s="63" t="s">
        <v>48</v>
      </c>
      <c r="G25" s="63"/>
    </row>
  </sheetData>
  <mergeCells count="39"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F25:G25"/>
    <mergeCell ref="B18:E18"/>
    <mergeCell ref="F18:G18"/>
    <mergeCell ref="H18:I18"/>
    <mergeCell ref="J18:K18"/>
    <mergeCell ref="A20:L20"/>
    <mergeCell ref="F23:H23"/>
  </mergeCells>
  <pageMargins left="0.7" right="0.7" top="0.75" bottom="0.75" header="0.3" footer="0.3"/>
  <pageSetup paperSize="9" scale="61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opLeftCell="A4" zoomScaleNormal="100" workbookViewId="0">
      <selection activeCell="B22" sqref="B22"/>
    </sheetView>
  </sheetViews>
  <sheetFormatPr defaultRowHeight="15" x14ac:dyDescent="0.25"/>
  <cols>
    <col min="1" max="1" width="19.7109375" customWidth="1"/>
    <col min="2" max="2" width="21.140625" customWidth="1"/>
    <col min="3" max="3" width="18.42578125" customWidth="1"/>
    <col min="4" max="4" width="6.7109375" customWidth="1"/>
    <col min="5" max="5" width="8.42578125" customWidth="1"/>
    <col min="6" max="6" width="2.42578125" customWidth="1"/>
    <col min="7" max="7" width="8.140625" customWidth="1"/>
    <col min="8" max="8" width="5.85546875" customWidth="1"/>
    <col min="9" max="10" width="7.28515625" customWidth="1"/>
    <col min="11" max="11" width="7.140625" customWidth="1"/>
    <col min="12" max="12" width="4.140625" customWidth="1"/>
    <col min="13" max="13" width="7.85546875" customWidth="1"/>
  </cols>
  <sheetData>
    <row r="1" spans="1:13" x14ac:dyDescent="0.25">
      <c r="A1" s="1"/>
      <c r="B1" s="1"/>
      <c r="C1" s="1"/>
      <c r="D1" s="8"/>
      <c r="E1" s="9"/>
      <c r="F1" s="1"/>
      <c r="G1" s="1"/>
      <c r="H1" s="1"/>
      <c r="I1" s="10"/>
      <c r="J1" s="1"/>
      <c r="K1" s="1"/>
      <c r="L1" s="1"/>
      <c r="M1" s="1"/>
    </row>
    <row r="2" spans="1:13" x14ac:dyDescent="0.25">
      <c r="A2" s="1"/>
      <c r="B2" s="1"/>
      <c r="C2" s="1"/>
      <c r="D2" s="8"/>
      <c r="E2" s="9"/>
      <c r="F2" s="1"/>
      <c r="G2" s="1"/>
      <c r="H2" s="1"/>
      <c r="I2" s="10"/>
      <c r="J2" s="1"/>
      <c r="K2" s="1"/>
      <c r="L2" s="1"/>
      <c r="M2" s="1"/>
    </row>
    <row r="3" spans="1:13" x14ac:dyDescent="0.25">
      <c r="A3" s="1"/>
      <c r="B3" s="1"/>
      <c r="C3" s="1"/>
      <c r="D3" s="8"/>
      <c r="E3" s="9"/>
      <c r="F3" s="1"/>
      <c r="G3" s="1"/>
      <c r="H3" s="1"/>
      <c r="I3" s="10"/>
      <c r="J3" s="1"/>
      <c r="K3" s="1"/>
      <c r="L3" s="1"/>
      <c r="M3" s="1"/>
    </row>
    <row r="4" spans="1:13" x14ac:dyDescent="0.25">
      <c r="A4" s="1"/>
      <c r="B4" s="1"/>
      <c r="C4" s="1"/>
      <c r="D4" s="8"/>
      <c r="E4" s="9"/>
      <c r="F4" s="1"/>
      <c r="G4" s="1"/>
      <c r="H4" s="1"/>
      <c r="I4" s="10"/>
      <c r="J4" s="1"/>
      <c r="K4" s="1"/>
      <c r="L4" s="1"/>
      <c r="M4" s="1"/>
    </row>
    <row r="5" spans="1:13" x14ac:dyDescent="0.25">
      <c r="A5" s="49" t="s">
        <v>23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x14ac:dyDescent="0.25">
      <c r="A6" s="49" t="s">
        <v>24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x14ac:dyDescent="0.25">
      <c r="A7" s="49" t="s">
        <v>25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x14ac:dyDescent="0.25">
      <c r="A8" s="49" t="s">
        <v>26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x14ac:dyDescent="0.25">
      <c r="A9" s="1"/>
      <c r="B9" s="1"/>
      <c r="C9" s="1"/>
      <c r="D9" s="10"/>
      <c r="E9" s="1"/>
      <c r="F9" s="1"/>
      <c r="G9" s="1"/>
      <c r="H9" s="1"/>
      <c r="I9" s="10"/>
      <c r="J9" s="1"/>
      <c r="K9" s="1"/>
      <c r="L9" s="1"/>
      <c r="M9" s="1"/>
    </row>
    <row r="10" spans="1:13" x14ac:dyDescent="0.25">
      <c r="A10" s="1"/>
      <c r="B10" s="1"/>
      <c r="C10" s="1"/>
      <c r="D10" s="10"/>
      <c r="E10" s="1"/>
      <c r="F10" s="1"/>
      <c r="G10" s="1"/>
      <c r="H10" s="1"/>
      <c r="I10" s="10"/>
      <c r="J10" s="1"/>
      <c r="K10" s="1"/>
      <c r="L10" s="1"/>
      <c r="M10" s="1"/>
    </row>
    <row r="11" spans="1:13" x14ac:dyDescent="0.25">
      <c r="A11" s="4" t="s">
        <v>57</v>
      </c>
      <c r="B11" s="4"/>
      <c r="C11" s="4"/>
      <c r="D11" s="47" t="s">
        <v>58</v>
      </c>
      <c r="E11" s="47"/>
      <c r="F11" s="47"/>
      <c r="G11" s="47"/>
      <c r="H11" s="47"/>
      <c r="I11" s="1"/>
      <c r="J11" s="47" t="s">
        <v>59</v>
      </c>
      <c r="K11" s="47"/>
      <c r="L11" s="47"/>
      <c r="M11" s="4"/>
    </row>
    <row r="12" spans="1:13" x14ac:dyDescent="0.25">
      <c r="A12" s="1"/>
      <c r="B12" s="1"/>
      <c r="C12" s="3"/>
      <c r="D12" s="47" t="s">
        <v>60</v>
      </c>
      <c r="E12" s="47"/>
      <c r="F12" s="47"/>
      <c r="G12" s="47"/>
      <c r="H12" s="47"/>
      <c r="I12" s="1"/>
      <c r="J12" s="79" t="s">
        <v>61</v>
      </c>
      <c r="K12" s="79"/>
      <c r="L12" s="79"/>
      <c r="M12" s="3"/>
    </row>
    <row r="13" spans="1:13" x14ac:dyDescent="0.25">
      <c r="A13" s="4" t="s">
        <v>62</v>
      </c>
      <c r="B13" s="4"/>
      <c r="C13" s="4"/>
      <c r="D13" s="11"/>
      <c r="E13" s="3"/>
      <c r="F13" s="3"/>
      <c r="G13" s="1"/>
      <c r="H13" s="1"/>
      <c r="I13" s="1"/>
      <c r="J13" s="47" t="s">
        <v>63</v>
      </c>
      <c r="K13" s="47"/>
      <c r="L13" s="47"/>
      <c r="M13" s="4"/>
    </row>
    <row r="14" spans="1:13" ht="21.75" thickBot="1" x14ac:dyDescent="0.3">
      <c r="A14" s="48" t="s">
        <v>64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x14ac:dyDescent="0.25">
      <c r="A15" s="80" t="s">
        <v>65</v>
      </c>
      <c r="B15" s="83" t="s">
        <v>4</v>
      </c>
      <c r="C15" s="86" t="s">
        <v>66</v>
      </c>
      <c r="D15" s="87"/>
      <c r="E15" s="86" t="s">
        <v>67</v>
      </c>
      <c r="F15" s="87"/>
      <c r="G15" s="86" t="s">
        <v>68</v>
      </c>
      <c r="H15" s="87"/>
      <c r="I15" s="86" t="s">
        <v>69</v>
      </c>
      <c r="J15" s="87"/>
      <c r="K15" s="86" t="s">
        <v>70</v>
      </c>
      <c r="L15" s="87"/>
      <c r="M15" s="92" t="s">
        <v>8</v>
      </c>
    </row>
    <row r="16" spans="1:13" x14ac:dyDescent="0.25">
      <c r="A16" s="81"/>
      <c r="B16" s="84"/>
      <c r="C16" s="88"/>
      <c r="D16" s="89"/>
      <c r="E16" s="88"/>
      <c r="F16" s="89"/>
      <c r="G16" s="88"/>
      <c r="H16" s="89"/>
      <c r="I16" s="88"/>
      <c r="J16" s="89"/>
      <c r="K16" s="88"/>
      <c r="L16" s="89"/>
      <c r="M16" s="93"/>
    </row>
    <row r="17" spans="1:13" x14ac:dyDescent="0.25">
      <c r="A17" s="82"/>
      <c r="B17" s="85"/>
      <c r="C17" s="90"/>
      <c r="D17" s="91"/>
      <c r="E17" s="90"/>
      <c r="F17" s="91"/>
      <c r="G17" s="90"/>
      <c r="H17" s="91"/>
      <c r="I17" s="90"/>
      <c r="J17" s="91"/>
      <c r="K17" s="90"/>
      <c r="L17" s="91"/>
      <c r="M17" s="94"/>
    </row>
    <row r="18" spans="1:13" ht="24.75" customHeight="1" x14ac:dyDescent="0.25">
      <c r="A18" s="13" t="s">
        <v>72</v>
      </c>
      <c r="B18" s="14" t="s">
        <v>77</v>
      </c>
      <c r="C18" s="60" t="s">
        <v>73</v>
      </c>
      <c r="D18" s="61"/>
      <c r="E18" s="60"/>
      <c r="F18" s="61"/>
      <c r="G18" s="60">
        <v>10</v>
      </c>
      <c r="H18" s="62"/>
      <c r="I18" s="60">
        <v>0</v>
      </c>
      <c r="J18" s="62"/>
      <c r="K18" s="60">
        <v>10</v>
      </c>
      <c r="L18" s="62"/>
      <c r="M18" s="15">
        <v>10</v>
      </c>
    </row>
    <row r="19" spans="1:13" ht="24.75" customHeight="1" x14ac:dyDescent="0.25">
      <c r="A19" s="13"/>
      <c r="B19" s="17" t="s">
        <v>74</v>
      </c>
      <c r="C19" s="60"/>
      <c r="D19" s="61"/>
      <c r="E19" s="60"/>
      <c r="F19" s="61"/>
      <c r="G19" s="60"/>
      <c r="H19" s="62"/>
      <c r="I19" s="60">
        <v>4</v>
      </c>
      <c r="J19" s="62"/>
      <c r="K19" s="60">
        <v>6</v>
      </c>
      <c r="L19" s="62"/>
      <c r="M19" s="15">
        <v>6</v>
      </c>
    </row>
    <row r="20" spans="1:13" ht="24.75" customHeight="1" x14ac:dyDescent="0.25">
      <c r="A20" s="13"/>
      <c r="B20" s="16" t="s">
        <v>76</v>
      </c>
      <c r="C20" s="60"/>
      <c r="D20" s="61"/>
      <c r="E20" s="60"/>
      <c r="F20" s="62"/>
      <c r="G20" s="60"/>
      <c r="H20" s="62"/>
      <c r="I20" s="60">
        <v>1</v>
      </c>
      <c r="J20" s="62"/>
      <c r="K20" s="60">
        <v>5</v>
      </c>
      <c r="L20" s="62"/>
      <c r="M20" s="16">
        <v>5</v>
      </c>
    </row>
    <row r="21" spans="1:13" ht="24.75" customHeight="1" x14ac:dyDescent="0.25">
      <c r="A21" s="16"/>
      <c r="B21" s="16" t="s">
        <v>80</v>
      </c>
      <c r="C21" s="60"/>
      <c r="D21" s="61"/>
      <c r="E21" s="60"/>
      <c r="F21" s="62"/>
      <c r="G21" s="60"/>
      <c r="H21" s="62"/>
      <c r="I21" s="60">
        <v>1</v>
      </c>
      <c r="J21" s="62"/>
      <c r="K21" s="60">
        <v>4</v>
      </c>
      <c r="L21" s="62"/>
      <c r="M21" s="16">
        <v>4</v>
      </c>
    </row>
    <row r="22" spans="1:13" ht="24.75" customHeight="1" x14ac:dyDescent="0.25">
      <c r="A22" s="16"/>
      <c r="B22" s="16" t="s">
        <v>81</v>
      </c>
      <c r="C22" s="60"/>
      <c r="D22" s="62"/>
      <c r="E22" s="60"/>
      <c r="F22" s="62"/>
      <c r="G22" s="60"/>
      <c r="H22" s="62"/>
      <c r="I22" s="60">
        <v>1</v>
      </c>
      <c r="J22" s="62"/>
      <c r="K22" s="60">
        <v>3</v>
      </c>
      <c r="L22" s="62"/>
      <c r="M22" s="16">
        <v>3</v>
      </c>
    </row>
    <row r="23" spans="1:13" x14ac:dyDescent="0.25">
      <c r="A23" s="12"/>
      <c r="B23" s="12"/>
      <c r="C23" s="1"/>
      <c r="D23" s="10"/>
      <c r="E23" s="1"/>
      <c r="F23" s="1"/>
      <c r="G23" s="1"/>
      <c r="H23" s="1" t="s">
        <v>71</v>
      </c>
      <c r="I23" s="1"/>
      <c r="J23" s="1"/>
      <c r="K23" s="1"/>
      <c r="L23" s="1"/>
      <c r="M23" s="12"/>
    </row>
    <row r="24" spans="1:13" x14ac:dyDescent="0.25">
      <c r="A24" s="1"/>
      <c r="B24" s="1"/>
      <c r="C24" s="1"/>
      <c r="D24" s="10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0"/>
      <c r="E25" s="1"/>
      <c r="F25" s="1"/>
      <c r="G25" s="1"/>
      <c r="H25" s="1"/>
      <c r="I25" s="1"/>
      <c r="J25" s="1"/>
      <c r="K25" s="1"/>
      <c r="L25" s="1"/>
      <c r="M25" s="1"/>
    </row>
  </sheetData>
  <mergeCells count="43">
    <mergeCell ref="C21:D21"/>
    <mergeCell ref="C22:D22"/>
    <mergeCell ref="E21:F21"/>
    <mergeCell ref="G21:H21"/>
    <mergeCell ref="I21:J21"/>
    <mergeCell ref="K21:L21"/>
    <mergeCell ref="G22:H22"/>
    <mergeCell ref="E22:F22"/>
    <mergeCell ref="I22:J22"/>
    <mergeCell ref="K22:L22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18:D18"/>
    <mergeCell ref="E18:F18"/>
    <mergeCell ref="G18:H18"/>
    <mergeCell ref="I18:J18"/>
    <mergeCell ref="K18:L18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A5:M5"/>
    <mergeCell ref="A6:M6"/>
    <mergeCell ref="A7:M7"/>
    <mergeCell ref="A8:M8"/>
    <mergeCell ref="D11:H11"/>
    <mergeCell ref="J11:L11"/>
  </mergeCells>
  <pageMargins left="0.25" right="0.25" top="0.75" bottom="0.75" header="0.3" footer="0.3"/>
  <pageSetup paperSize="9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NLE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2025-12-22T06:36:00Z</cp:lastPrinted>
  <dcterms:created xsi:type="dcterms:W3CDTF">2021-10-07T06:10:16Z</dcterms:created>
  <dcterms:modified xsi:type="dcterms:W3CDTF">2025-12-22T06:37:46Z</dcterms:modified>
</cp:coreProperties>
</file>