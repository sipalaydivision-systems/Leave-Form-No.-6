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6" documentId="13_ncr:1_{712AE99C-9D49-4E50-A00E-94E71902D190}" xr6:coauthVersionLast="47" xr6:coauthVersionMax="47" xr10:uidLastSave="{75A0C56A-327E-43FC-9188-6D3F9A446DD6}"/>
  <bookViews>
    <workbookView xWindow="-120" yWindow="-120" windowWidth="29040" windowHeight="15720" xr2:uid="{00000000-000D-0000-FFFF-FFFF00000000}"/>
  </bookViews>
  <sheets>
    <sheet name="LEAVE CARD" sheetId="7" r:id="rId1"/>
    <sheet name="CTO " sheetId="11" r:id="rId2"/>
    <sheet name="CTO" sheetId="6" r:id="rId3"/>
    <sheet name="ELECTION" sheetId="10" r:id="rId4"/>
    <sheet name="OTHER TYPES OF LEAVE CORRECTED" sheetId="9" r:id="rId5"/>
  </sheets>
  <definedNames>
    <definedName name="_xlnm.Print_Area" localSheetId="2">CTO!$A$1:$G$21</definedName>
    <definedName name="_xlnm.Print_Area" localSheetId="1">'CTO '!$A$1:$F$27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7" l="1"/>
  <c r="I73" i="7"/>
  <c r="J73" i="7"/>
  <c r="G15" i="6"/>
  <c r="G12" i="6"/>
  <c r="B32" i="7"/>
  <c r="B27" i="7"/>
  <c r="B20" i="7"/>
  <c r="B18" i="7"/>
  <c r="I17" i="7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H17" i="7"/>
  <c r="H18" i="7" l="1"/>
  <c r="J17" i="7"/>
  <c r="H19" i="7" l="1"/>
  <c r="J18" i="7"/>
  <c r="H20" i="7" l="1"/>
  <c r="J19" i="7"/>
  <c r="H21" i="7" l="1"/>
  <c r="J20" i="7"/>
  <c r="H22" i="7" l="1"/>
  <c r="J21" i="7"/>
  <c r="H23" i="7" l="1"/>
  <c r="J22" i="7"/>
  <c r="H24" i="7" l="1"/>
  <c r="J23" i="7"/>
  <c r="H25" i="7" l="1"/>
  <c r="J24" i="7"/>
  <c r="H26" i="7" l="1"/>
  <c r="J25" i="7"/>
  <c r="H27" i="7" l="1"/>
  <c r="J26" i="7"/>
  <c r="H28" i="7" l="1"/>
  <c r="J27" i="7"/>
  <c r="H29" i="7" l="1"/>
  <c r="J28" i="7"/>
  <c r="H30" i="7" l="1"/>
  <c r="J29" i="7"/>
  <c r="H31" i="7" l="1"/>
  <c r="J30" i="7"/>
  <c r="H32" i="7" l="1"/>
  <c r="J31" i="7"/>
  <c r="H33" i="7" l="1"/>
  <c r="J32" i="7"/>
  <c r="H34" i="7" l="1"/>
  <c r="J33" i="7"/>
  <c r="H35" i="7" l="1"/>
  <c r="J34" i="7"/>
  <c r="H36" i="7" l="1"/>
  <c r="J35" i="7"/>
  <c r="H37" i="7" l="1"/>
  <c r="J36" i="7"/>
  <c r="H38" i="7" l="1"/>
  <c r="J37" i="7"/>
  <c r="H39" i="7" l="1"/>
  <c r="J38" i="7"/>
  <c r="H40" i="7" l="1"/>
  <c r="J39" i="7"/>
  <c r="H41" i="7" l="1"/>
  <c r="J40" i="7"/>
  <c r="H42" i="7" l="1"/>
  <c r="J41" i="7"/>
  <c r="H43" i="7" l="1"/>
  <c r="J42" i="7"/>
  <c r="H44" i="7" l="1"/>
  <c r="J43" i="7"/>
  <c r="H45" i="7" l="1"/>
  <c r="J44" i="7"/>
  <c r="H46" i="7" l="1"/>
  <c r="J45" i="7"/>
  <c r="H47" i="7" l="1"/>
  <c r="J46" i="7"/>
  <c r="H48" i="7" l="1"/>
  <c r="J47" i="7"/>
  <c r="H49" i="7" l="1"/>
  <c r="J48" i="7"/>
  <c r="H50" i="7" l="1"/>
  <c r="J49" i="7"/>
  <c r="H51" i="7" l="1"/>
  <c r="J50" i="7"/>
  <c r="H52" i="7" l="1"/>
  <c r="J51" i="7"/>
  <c r="H53" i="7" l="1"/>
  <c r="J52" i="7"/>
  <c r="H54" i="7" l="1"/>
  <c r="J53" i="7"/>
  <c r="H55" i="7" l="1"/>
  <c r="J54" i="7"/>
  <c r="H56" i="7" l="1"/>
  <c r="J55" i="7"/>
  <c r="H57" i="7" l="1"/>
  <c r="J56" i="7"/>
  <c r="H58" i="7" l="1"/>
  <c r="J57" i="7"/>
  <c r="H59" i="7" l="1"/>
  <c r="J58" i="7"/>
  <c r="H60" i="7" l="1"/>
  <c r="J59" i="7"/>
  <c r="H61" i="7" l="1"/>
  <c r="J60" i="7"/>
  <c r="H62" i="7" l="1"/>
  <c r="J61" i="7"/>
  <c r="H63" i="7" l="1"/>
  <c r="J62" i="7"/>
  <c r="H64" i="7" l="1"/>
  <c r="J63" i="7"/>
  <c r="H65" i="7" l="1"/>
  <c r="J64" i="7"/>
  <c r="H66" i="7" l="1"/>
  <c r="J65" i="7"/>
  <c r="H67" i="7" l="1"/>
  <c r="J66" i="7"/>
  <c r="H68" i="7" l="1"/>
  <c r="J67" i="7"/>
  <c r="H69" i="7" l="1"/>
  <c r="J68" i="7"/>
  <c r="H70" i="7" l="1"/>
  <c r="J69" i="7"/>
  <c r="H71" i="7" l="1"/>
  <c r="J70" i="7"/>
  <c r="H72" i="7" l="1"/>
  <c r="J72" i="7" s="1"/>
  <c r="J71" i="7"/>
</calcChain>
</file>

<file path=xl/sharedStrings.xml><?xml version="1.0" encoding="utf-8"?>
<sst xmlns="http://schemas.openxmlformats.org/spreadsheetml/2006/main" count="218" uniqueCount="175">
  <si>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</si>
  <si>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</si>
  <si>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</si>
  <si>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</si>
  <si>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</si>
  <si>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</si>
  <si>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</si>
  <si>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</si>
  <si>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</si>
  <si>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</si>
  <si>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</si>
  <si>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</si>
  <si>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</si>
  <si>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</si>
  <si>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</si>
  <si>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</si>
  <si>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</si>
  <si>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</si>
  <si>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</si>
  <si>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</si>
  <si>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APPOINTMENT: APRIL 19, 2021</t>
  </si>
  <si>
    <t>ADD: 04/19/2021-4/30/2021</t>
  </si>
  <si>
    <t>ADD:05/01/2021-12/31/2021</t>
  </si>
  <si>
    <t>LESS: 12/23,24,27,28,29/2021</t>
  </si>
  <si>
    <t>ADD:01/01/2022-06/30/2022</t>
  </si>
  <si>
    <t>LESS: 07/29/2022</t>
  </si>
  <si>
    <t>ADD:07/01/2022-07/31/2022</t>
  </si>
  <si>
    <t>LESS: 08/12/2022</t>
  </si>
  <si>
    <t>LESS: 08/19/2022</t>
  </si>
  <si>
    <t>ADD:08/01/2022-08/31/2022</t>
  </si>
  <si>
    <t>LESS: MONETIZATION 2022</t>
  </si>
  <si>
    <t>ADD:09/01/2022-11/30/2022</t>
  </si>
  <si>
    <t>LESS:12/09/2022</t>
  </si>
  <si>
    <t>LESS:12/26,28,29/2022</t>
  </si>
  <si>
    <t>ADD:12/01/2022-12/31/2022</t>
  </si>
  <si>
    <t>LESS: FL 2022</t>
  </si>
  <si>
    <t>ADD:01/01/2023-05/31/2023</t>
  </si>
  <si>
    <t>LESS:06/09/2023</t>
  </si>
  <si>
    <t>LESS:06/21/2023</t>
  </si>
  <si>
    <t>ADD:06/01/2023-06/30/2023</t>
  </si>
  <si>
    <t>ADD:07/01/2023-08/31/2023</t>
  </si>
  <si>
    <t>ADD: 09/01/2023-09/30/2023</t>
  </si>
  <si>
    <t>LESS: MONETTIZATION 2023</t>
  </si>
  <si>
    <t>LESS:09/20/2023</t>
  </si>
  <si>
    <t>ADD: 10/01/2023-10/31/2023</t>
  </si>
  <si>
    <t>ADD: 11/01/2023-11/30/2023</t>
  </si>
  <si>
    <t>LESS: 12/22 &amp; 27/2023</t>
  </si>
  <si>
    <t>LESS: 12/28-29/2023</t>
  </si>
  <si>
    <t>LESS: MANDATORY FL-2023</t>
  </si>
  <si>
    <t>ADD: 12/01/2023-12/31/2023</t>
  </si>
  <si>
    <t>ADD: 01/01/2024-02/29/2024</t>
  </si>
  <si>
    <t>ADD: 03/1-31/2024</t>
  </si>
  <si>
    <t>LESS: 04/26/2024</t>
  </si>
  <si>
    <t>ADD: 04/1-30/2024</t>
  </si>
  <si>
    <t>LESS: 05/28/2024</t>
  </si>
  <si>
    <t>ADD: MAY-JULY 31, 2024</t>
  </si>
  <si>
    <t>ADD: CONVERTED UNUSED LEAVE CREDITS EARNED FROM ELECTION                                 (23 DAYS) FORMULA: 30Y/69/2</t>
  </si>
  <si>
    <t>LESS: MONETIZATION 2024</t>
  </si>
  <si>
    <t>ADD: 08/1/2024-10/31/2024</t>
  </si>
  <si>
    <t>LESS: 12/11-13/2024</t>
  </si>
  <si>
    <t>ADD: 11/1-30/2024</t>
  </si>
  <si>
    <t>LESS: 12/26-27/2024</t>
  </si>
  <si>
    <t>ADD: 12/1-31/2024</t>
  </si>
  <si>
    <t>ADD: 12/11-13/2024 (DISAPPROVED FL)</t>
  </si>
  <si>
    <t>ADD: 01/1/2025-06/30/2025</t>
  </si>
  <si>
    <t>LESS: MONETIZATION 2025</t>
  </si>
  <si>
    <t>LESS: 07/16/2025</t>
  </si>
  <si>
    <t>ADD: 07/1-31/2025</t>
  </si>
  <si>
    <t>LESS: 08/28-29/2025</t>
  </si>
  <si>
    <t>ADD: 08/1-31/2025</t>
  </si>
  <si>
    <t>LESS: 09/8/2025</t>
  </si>
  <si>
    <t>ADD: 07/16/2025 Exigency of Service</t>
  </si>
  <si>
    <t>ADD: 08/28-29/2025 Exigency of Service</t>
  </si>
  <si>
    <t>ADD: 09/1/2025-10/31/2025</t>
  </si>
  <si>
    <t>LESS: 12/1-2/2025</t>
  </si>
  <si>
    <t>ADD: 11/1-30/2025</t>
  </si>
  <si>
    <t>LESS: 12/22-23/2025</t>
  </si>
  <si>
    <t>ADD: 12/1-2/2025 EXIGENCY OF SERVICE</t>
  </si>
  <si>
    <t>REGION VI-WESTERN VISAYAS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</si>
  <si>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BERMOSA, ELIREZA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</si>
  <si>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</si>
  <si>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</si>
  <si>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</si>
  <si>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PSDS</t>
    </r>
  </si>
  <si>
    <t xml:space="preserve">SCHOOL/OFFICE : </t>
  </si>
  <si>
    <t xml:space="preserve">DIVISION CODE: </t>
  </si>
  <si>
    <t>COMPENSATORY TIME-OFF (CTO)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</si>
  <si>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</si>
  <si>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</si>
  <si>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</si>
  <si>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</si>
  <si>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</si>
  <si>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</si>
  <si>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ADD: SO # 015, 2024</t>
  </si>
  <si>
    <t>05/20/2024</t>
  </si>
  <si>
    <t>PALARONG PANLALAWIGAN 2024</t>
  </si>
  <si>
    <t>LESS: 05/5/2025</t>
  </si>
  <si>
    <t>LESS: 05/13 &amp; 06/19/2025</t>
  </si>
  <si>
    <t xml:space="preserve">ADD: S.O. # 024, S. 2024. </t>
  </si>
  <si>
    <t xml:space="preserve"> 06/26/2024</t>
  </si>
  <si>
    <t>126TH PHILIPPINE INDEPENDENCE DAY CELEBRATION</t>
  </si>
  <si>
    <t>LESS: 06/20/2025</t>
  </si>
  <si>
    <t xml:space="preserve">ADD:  S.O. # 002, S. 2025. </t>
  </si>
  <si>
    <t xml:space="preserve"> RIZAL DAY 2025</t>
  </si>
  <si>
    <t>LESS: 06/23/2025</t>
  </si>
  <si>
    <t>ADD: 05/13/2025</t>
  </si>
  <si>
    <t>05/13/2025</t>
  </si>
  <si>
    <t>S.O. # 019, S. 2025 PROVINCIAL MEET 2026</t>
  </si>
  <si>
    <t>LESS: 12/26/2025</t>
  </si>
  <si>
    <t>NOTE:  Valid for one (1) year only</t>
  </si>
  <si>
    <t>Name       :</t>
  </si>
  <si>
    <t>BERMOSA, ELIREZA</t>
  </si>
  <si>
    <t>POSITION:</t>
  </si>
  <si>
    <t>PRINCIPAL 1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</si>
  <si>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</si>
  <si>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</si>
  <si>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</si>
  <si>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</si>
  <si>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</si>
  <si>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</si>
  <si>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JULY 27, 2022</t>
  </si>
  <si>
    <t>S.O. #052, s. 2022, dated JULY 13, 2022</t>
  </si>
  <si>
    <t>124TH PHILIPPINE INDEPENDENCE DAY CELEBRATION</t>
  </si>
  <si>
    <t>Date Granted: July 13, 2022</t>
  </si>
  <si>
    <t>Note: Validity of S.O. is One (1) from the date it was granted</t>
  </si>
  <si>
    <t>Total Remaining Balance</t>
  </si>
  <si>
    <t>CERTIFIED CORRECT:</t>
  </si>
  <si>
    <t>MA. LUISA B. CATIGAN</t>
  </si>
  <si>
    <t>Administrative Officer IV</t>
  </si>
  <si>
    <t>HRMO</t>
  </si>
  <si>
    <t xml:space="preserve">            DISTRICT: ___________________________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</si>
  <si>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</si>
  <si>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</si>
  <si>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</si>
  <si>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</si>
  <si>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___, S. 1994</t>
  </si>
  <si>
    <t>MAY 9, 1994</t>
  </si>
  <si>
    <t>BRGY. &amp; SK ELECTION</t>
  </si>
  <si>
    <t>NO. 321, S. 1995</t>
  </si>
  <si>
    <t>MAY 9, 1995</t>
  </si>
  <si>
    <t>NATIONAL &amp; LOCAL ELECTION</t>
  </si>
  <si>
    <t>NO. ___, S. 1998</t>
  </si>
  <si>
    <t>MAY 11, 1998</t>
  </si>
  <si>
    <t>NO. 1163, S. 2001</t>
  </si>
  <si>
    <t>MAY 14, 2001</t>
  </si>
  <si>
    <t>NO. 2135, S. 2004</t>
  </si>
  <si>
    <t>MAY 10, 2004</t>
  </si>
  <si>
    <r>
      <rPr>
        <b/>
        <sz val="12"/>
        <color rgb="FFFF0000"/>
        <rFont val="Calibri"/>
        <charset val="134"/>
        <scheme val="minor"/>
      </rPr>
      <t>(CONVERTED FOR MONETIZATION 2024/CANNOT BE USED ANYMORE)</t>
    </r>
    <r>
      <rPr>
        <b/>
        <sz val="12"/>
        <color theme="1"/>
        <rFont val="Calibri"/>
        <charset val="134"/>
        <scheme val="minor"/>
      </rPr>
      <t xml:space="preserve"> TOTAL UNUSED  SERVICE LEAVE CREDITS</t>
    </r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</si>
  <si>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</si>
  <si>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</si>
  <si>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</si>
  <si>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</si>
  <si>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</si>
  <si>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</si>
  <si>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</si>
  <si>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</si>
  <si>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</si>
  <si>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</si>
  <si>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</si>
  <si>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</si>
  <si>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</si>
  <si>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</si>
  <si>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</si>
  <si>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</si>
  <si>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</si>
  <si>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</si>
  <si>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07/31&amp;08/1-2/2023</t>
  </si>
  <si>
    <t>LESS: 10/03/2023</t>
  </si>
  <si>
    <t>LESS: 10/27/2023</t>
  </si>
  <si>
    <t>LESS: 11/08-10/2023</t>
  </si>
  <si>
    <t>LESS: 11/13/2023</t>
  </si>
  <si>
    <t>ADD: 03/08/2024</t>
  </si>
  <si>
    <t>LESS: 02/23/2024</t>
  </si>
  <si>
    <t>ADD: YEAR 2024</t>
  </si>
  <si>
    <t>LESS: 06/21/2024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</si>
</sst>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6" fillId="0" borderId="0"/>
    <xf numFmtId="0" fontId="16" fillId="0" borderId="0"/>
  </cellStyleXfs>
  <cellXfs count="196">
    <xf numFmtId="0" fontId="0" fillId="0" borderId="0" xfId="0"/>
    <xf numFmtId="0" fontId="16" fillId="0" borderId="0" xfId="1"/>
    <xf numFmtId="0" fontId="16" fillId="2" borderId="0" xfId="1" applyFill="1"/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wrapText="1"/>
    </xf>
    <xf numFmtId="0" fontId="16" fillId="2" borderId="0" xfId="1" applyFill="1" applyAlignment="1">
      <alignment horizont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16" fillId="2" borderId="4" xfId="1" applyFill="1" applyBorder="1" applyAlignment="1">
      <alignment horizontal="center" vertical="center"/>
    </xf>
    <xf numFmtId="0" fontId="16" fillId="2" borderId="4" xfId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6" fillId="0" borderId="3" xfId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16" fillId="5" borderId="4" xfId="1" applyFill="1" applyBorder="1" applyAlignment="1">
      <alignment horizontal="center" vertical="center"/>
    </xf>
    <xf numFmtId="0" fontId="16" fillId="5" borderId="4" xfId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6" borderId="6" xfId="0" applyFill="1" applyBorder="1" applyAlignment="1">
      <alignment horizontal="left"/>
    </xf>
    <xf numFmtId="0" fontId="16" fillId="0" borderId="7" xfId="1" applyBorder="1" applyAlignment="1">
      <alignment horizontal="center" vertical="center"/>
    </xf>
    <xf numFmtId="0" fontId="16" fillId="0" borderId="7" xfId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/>
    </xf>
    <xf numFmtId="0" fontId="5" fillId="4" borderId="8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7" fillId="0" borderId="0" xfId="1" applyFont="1"/>
    <xf numFmtId="0" fontId="16" fillId="2" borderId="10" xfId="1" applyFill="1" applyBorder="1" applyAlignment="1">
      <alignment horizontal="center" vertical="center" wrapText="1"/>
    </xf>
    <xf numFmtId="0" fontId="16" fillId="0" borderId="10" xfId="1" applyBorder="1" applyAlignment="1">
      <alignment horizontal="center" vertical="center" wrapText="1"/>
    </xf>
    <xf numFmtId="0" fontId="6" fillId="0" borderId="0" xfId="1" applyFont="1"/>
    <xf numFmtId="0" fontId="16" fillId="5" borderId="10" xfId="1" applyFill="1" applyBorder="1" applyAlignment="1">
      <alignment horizontal="center" vertical="center" wrapText="1"/>
    </xf>
    <xf numFmtId="165" fontId="16" fillId="2" borderId="4" xfId="1" applyNumberFormat="1" applyFill="1" applyBorder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6" fillId="0" borderId="0" xfId="0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0" fillId="2" borderId="7" xfId="0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30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2" fillId="2" borderId="30" xfId="0" applyFont="1" applyFill="1" applyBorder="1"/>
    <xf numFmtId="0" fontId="2" fillId="2" borderId="34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65" fontId="12" fillId="2" borderId="4" xfId="0" applyNumberFormat="1" applyFont="1" applyFill="1" applyBorder="1" applyAlignment="1">
      <alignment horizontal="center" vertical="center" wrapText="1"/>
    </xf>
    <xf numFmtId="1" fontId="12" fillId="2" borderId="36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12" fillId="2" borderId="10" xfId="0" applyNumberFormat="1" applyFont="1" applyFill="1" applyBorder="1" applyAlignment="1">
      <alignment horizontal="center" vertical="center"/>
    </xf>
    <xf numFmtId="1" fontId="11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6" fillId="0" borderId="0" xfId="2" applyFont="1"/>
    <xf numFmtId="0" fontId="16" fillId="8" borderId="0" xfId="1" applyFill="1"/>
    <xf numFmtId="0" fontId="16" fillId="9" borderId="0" xfId="1" applyFill="1"/>
    <xf numFmtId="0" fontId="10" fillId="2" borderId="0" xfId="1" applyFont="1" applyFill="1" applyAlignment="1">
      <alignment vertical="center"/>
    </xf>
    <xf numFmtId="0" fontId="12" fillId="2" borderId="0" xfId="1" applyFont="1" applyFill="1"/>
    <xf numFmtId="0" fontId="4" fillId="3" borderId="42" xfId="1" applyFont="1" applyFill="1" applyBorder="1" applyAlignment="1">
      <alignment horizontal="center" vertical="center" wrapText="1"/>
    </xf>
    <xf numFmtId="0" fontId="4" fillId="3" borderId="42" xfId="1" applyFont="1" applyFill="1" applyBorder="1" applyAlignment="1">
      <alignment horizontal="center" vertical="center"/>
    </xf>
    <xf numFmtId="0" fontId="12" fillId="2" borderId="44" xfId="1" applyFont="1" applyFill="1" applyBorder="1" applyAlignment="1">
      <alignment horizontal="center" vertical="center" wrapText="1"/>
    </xf>
    <xf numFmtId="14" fontId="12" fillId="2" borderId="7" xfId="1" applyNumberFormat="1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6" fillId="2" borderId="4" xfId="2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 wrapText="1"/>
    </xf>
    <xf numFmtId="14" fontId="14" fillId="2" borderId="5" xfId="2" applyNumberFormat="1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vertical="center" wrapText="1"/>
    </xf>
    <xf numFmtId="0" fontId="12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6" fillId="0" borderId="0" xfId="2" applyAlignment="1">
      <alignment vertical="center"/>
    </xf>
    <xf numFmtId="0" fontId="12" fillId="2" borderId="0" xfId="1" applyFont="1" applyFill="1" applyAlignment="1">
      <alignment horizontal="center" vertical="center"/>
    </xf>
    <xf numFmtId="0" fontId="0" fillId="11" borderId="0" xfId="0" applyFill="1"/>
    <xf numFmtId="0" fontId="0" fillId="9" borderId="0" xfId="0" applyFill="1"/>
    <xf numFmtId="0" fontId="4" fillId="11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 wrapText="1"/>
    </xf>
    <xf numFmtId="165" fontId="12" fillId="0" borderId="4" xfId="0" applyNumberFormat="1" applyFont="1" applyBorder="1" applyAlignment="1">
      <alignment horizontal="center"/>
    </xf>
    <xf numFmtId="165" fontId="0" fillId="2" borderId="4" xfId="0" applyNumberFormat="1" applyFill="1" applyBorder="1" applyAlignment="1">
      <alignment horizontal="center" wrapText="1"/>
    </xf>
    <xf numFmtId="165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0" fillId="16" borderId="4" xfId="0" applyNumberFormat="1" applyFill="1" applyBorder="1" applyAlignment="1">
      <alignment horizontal="center" vertical="center"/>
    </xf>
    <xf numFmtId="0" fontId="20" fillId="0" borderId="0" xfId="2" applyFont="1"/>
    <xf numFmtId="0" fontId="1" fillId="2" borderId="4" xfId="2" applyFont="1" applyFill="1" applyBorder="1" applyAlignment="1">
      <alignment horizontal="center" vertical="center" wrapText="1"/>
    </xf>
    <xf numFmtId="0" fontId="19" fillId="2" borderId="5" xfId="2" applyFont="1" applyFill="1" applyBorder="1" applyAlignment="1">
      <alignment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13" fillId="10" borderId="5" xfId="1" applyFont="1" applyFill="1" applyBorder="1" applyAlignment="1">
      <alignment horizontal="center" vertical="center" wrapText="1"/>
    </xf>
    <xf numFmtId="0" fontId="23" fillId="2" borderId="44" xfId="1" applyFont="1" applyFill="1" applyBorder="1" applyAlignment="1">
      <alignment horizontal="center" vertical="center" wrapText="1"/>
    </xf>
    <xf numFmtId="0" fontId="24" fillId="2" borderId="4" xfId="2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/>
    </xf>
    <xf numFmtId="0" fontId="4" fillId="13" borderId="45" xfId="0" applyFont="1" applyFill="1" applyBorder="1" applyAlignment="1">
      <alignment horizontal="center" vertical="center"/>
    </xf>
    <xf numFmtId="0" fontId="4" fillId="14" borderId="25" xfId="0" applyFont="1" applyFill="1" applyBorder="1" applyAlignment="1">
      <alignment horizontal="center" vertical="center"/>
    </xf>
    <xf numFmtId="0" fontId="4" fillId="14" borderId="45" xfId="0" applyFont="1" applyFill="1" applyBorder="1" applyAlignment="1">
      <alignment horizontal="center" vertical="center"/>
    </xf>
    <xf numFmtId="0" fontId="4" fillId="15" borderId="25" xfId="0" applyFont="1" applyFill="1" applyBorder="1" applyAlignment="1">
      <alignment horizontal="center" vertical="center"/>
    </xf>
    <xf numFmtId="0" fontId="4" fillId="15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29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12" borderId="4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0" fontId="3" fillId="2" borderId="43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38" xfId="0" applyFont="1" applyBorder="1" applyAlignment="1">
      <alignment horizontal="right" vertical="center"/>
    </xf>
    <xf numFmtId="0" fontId="11" fillId="0" borderId="39" xfId="0" applyFont="1" applyBorder="1" applyAlignment="1">
      <alignment horizontal="right" vertical="center"/>
    </xf>
    <xf numFmtId="0" fontId="11" fillId="0" borderId="40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29" xfId="0" applyFont="1" applyFill="1" applyBorder="1" applyAlignment="1">
      <alignment horizontal="right" vertical="center" wrapText="1"/>
    </xf>
    <xf numFmtId="0" fontId="10" fillId="2" borderId="28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6" fillId="2" borderId="0" xfId="1" applyFill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5" fontId="0" fillId="17" borderId="36" xfId="0" applyNumberFormat="1" applyFill="1" applyBorder="1" applyAlignment="1">
      <alignment horizontal="center" vertical="center" wrapText="1"/>
    </xf>
    <xf numFmtId="165" fontId="0" fillId="0" borderId="36" xfId="0" applyNumberFormat="1" applyBorder="1" applyAlignment="1">
      <alignment horizontal="center"/>
    </xf>
    <xf numFmtId="165" fontId="0" fillId="0" borderId="36" xfId="0" applyNumberFormat="1" applyBorder="1" applyAlignment="1">
      <alignment horizontal="center" wrapText="1"/>
    </xf>
    <xf numFmtId="165" fontId="0" fillId="0" borderId="47" xfId="0" applyNumberFormat="1" applyFill="1" applyBorder="1" applyAlignment="1">
      <alignment horizontal="center" vertical="center"/>
    </xf>
    <xf numFmtId="165" fontId="0" fillId="0" borderId="47" xfId="0" applyNumberFormat="1" applyFill="1" applyBorder="1" applyAlignment="1">
      <alignment horizontal="center" vertical="center" wrapText="1"/>
    </xf>
    <xf numFmtId="165" fontId="0" fillId="0" borderId="47" xfId="0" applyNumberFormat="1" applyFill="1" applyBorder="1" applyAlignment="1">
      <alignment horizontal="center"/>
    </xf>
    <xf numFmtId="165" fontId="0" fillId="0" borderId="47" xfId="0" applyNumberForma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31000000}"/>
    <cellStyle name="Normal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75</xdr:row>
      <xdr:rowOff>133350</xdr:rowOff>
    </xdr:from>
    <xdr:to>
      <xdr:col>9</xdr:col>
      <xdr:colOff>561975</xdr:colOff>
      <xdr:row>81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91910" y="13912215"/>
          <a:ext cx="2693670" cy="11068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523875</xdr:colOff>
      <xdr:row>0</xdr:row>
      <xdr:rowOff>123825</xdr:rowOff>
    </xdr:from>
    <xdr:to>
      <xdr:col>3</xdr:col>
      <xdr:colOff>438150</xdr:colOff>
      <xdr:row>4</xdr:row>
      <xdr:rowOff>12701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84295" y="123825"/>
          <a:ext cx="708025" cy="6203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8</xdr:row>
      <xdr:rowOff>47136</xdr:rowOff>
    </xdr:from>
    <xdr:to>
      <xdr:col>1</xdr:col>
      <xdr:colOff>1466</xdr:colOff>
      <xdr:row>9</xdr:row>
      <xdr:rowOff>182685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510030"/>
          <a:ext cx="1994535" cy="318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BERMOSA, ELIREZA G.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889760"/>
          <a:ext cx="195008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415192</xdr:colOff>
      <xdr:row>10</xdr:row>
      <xdr:rowOff>50800</xdr:rowOff>
    </xdr:from>
    <xdr:to>
      <xdr:col>4</xdr:col>
      <xdr:colOff>438149</xdr:colOff>
      <xdr:row>11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75075" y="1879600"/>
          <a:ext cx="1492250" cy="272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497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24</xdr:row>
      <xdr:rowOff>236220</xdr:rowOff>
    </xdr:from>
    <xdr:to>
      <xdr:col>6</xdr:col>
      <xdr:colOff>0</xdr:colOff>
      <xdr:row>26</xdr:row>
      <xdr:rowOff>150495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454650" y="5814060"/>
          <a:ext cx="277050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4325" y="66040"/>
          <a:ext cx="955675" cy="70548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21</xdr:row>
      <xdr:rowOff>285750</xdr:rowOff>
    </xdr:from>
    <xdr:to>
      <xdr:col>12</xdr:col>
      <xdr:colOff>381000</xdr:colOff>
      <xdr:row>24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913245" y="6551295"/>
          <a:ext cx="315531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8325" y="38100"/>
          <a:ext cx="699770" cy="6210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54355" y="1426210"/>
          <a:ext cx="16148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BERMOSA, ELIREZA G.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54685" y="1754505"/>
          <a:ext cx="1358265" cy="577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037205" y="1757680"/>
          <a:ext cx="1987550" cy="56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  <xdr:twoCellAnchor>
    <xdr:from>
      <xdr:col>0</xdr:col>
      <xdr:colOff>171450</xdr:colOff>
      <xdr:row>21</xdr:row>
      <xdr:rowOff>276225</xdr:rowOff>
    </xdr:from>
    <xdr:to>
      <xdr:col>2</xdr:col>
      <xdr:colOff>28575</xdr:colOff>
      <xdr:row>24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71450" y="6541770"/>
          <a:ext cx="3178175" cy="1165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 </a:t>
          </a:r>
          <a:r>
            <a:rPr lang="en-US" sz="1200" b="1" u="sng" baseline="0">
              <a:latin typeface="+mn-lt"/>
            </a:rPr>
            <a:t>JOCELYN M. PLOTEÑA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                                           HRMO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218037</xdr:colOff>
      <xdr:row>1</xdr:row>
      <xdr:rowOff>181169</xdr:rowOff>
    </xdr:from>
    <xdr:to>
      <xdr:col>5</xdr:col>
      <xdr:colOff>274021</xdr:colOff>
      <xdr:row>5</xdr:row>
      <xdr:rowOff>44839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05225" y="363855"/>
          <a:ext cx="712470" cy="594995"/>
        </a:xfrm>
        <a:prstGeom prst="rect">
          <a:avLst/>
        </a:prstGeom>
        <a:noFill/>
      </xdr:spPr>
    </xdr:pic>
    <xdr:clientData/>
  </xdr:twoCellAnchor>
  <xdr:twoCellAnchor>
    <xdr:from>
      <xdr:col>7</xdr:col>
      <xdr:colOff>409575</xdr:colOff>
      <xdr:row>27</xdr:row>
      <xdr:rowOff>19050</xdr:rowOff>
    </xdr:from>
    <xdr:to>
      <xdr:col>13</xdr:col>
      <xdr:colOff>152400</xdr:colOff>
      <xdr:row>32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699760" y="5486400"/>
          <a:ext cx="2907665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806126</xdr:colOff>
      <xdr:row>10</xdr:row>
      <xdr:rowOff>58705</xdr:rowOff>
    </xdr:from>
    <xdr:to>
      <xdr:col>1</xdr:col>
      <xdr:colOff>443269</xdr:colOff>
      <xdr:row>12</xdr:row>
      <xdr:rowOff>97583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805815" y="1887220"/>
          <a:ext cx="1498600" cy="404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BERMOSA, ELIREZA</a:t>
          </a:r>
        </a:p>
      </xdr:txBody>
    </xdr:sp>
    <xdr:clientData/>
  </xdr:twoCellAnchor>
  <xdr:twoCellAnchor>
    <xdr:from>
      <xdr:col>0</xdr:col>
      <xdr:colOff>894507</xdr:colOff>
      <xdr:row>12</xdr:row>
      <xdr:rowOff>57927</xdr:rowOff>
    </xdr:from>
    <xdr:to>
      <xdr:col>1</xdr:col>
      <xdr:colOff>356702</xdr:colOff>
      <xdr:row>13</xdr:row>
      <xdr:rowOff>135682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894080" y="2252345"/>
          <a:ext cx="132334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4</xdr:col>
      <xdr:colOff>165553</xdr:colOff>
      <xdr:row>11</xdr:row>
      <xdr:rowOff>135294</xdr:rowOff>
    </xdr:from>
    <xdr:to>
      <xdr:col>6</xdr:col>
      <xdr:colOff>171768</xdr:colOff>
      <xdr:row>13</xdr:row>
      <xdr:rowOff>74610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3652520" y="2146935"/>
          <a:ext cx="124079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tabSelected="1" topLeftCell="A57" workbookViewId="0">
      <selection activeCell="H72" sqref="H72:J73"/>
    </sheetView>
  </sheetViews>
  <sheetFormatPr defaultColWidth="9" defaultRowHeight="15"/>
  <cols>
    <col min="1" max="1" width="37.375" customWidth="1"/>
    <col min="2" max="2" width="11.625" style="91" customWidth="1"/>
    <col min="3" max="3" width="11.625" style="92" customWidth="1"/>
    <col min="4" max="4" width="9.875" style="91" customWidth="1"/>
    <col min="5" max="5" width="10.25" style="92" customWidth="1"/>
    <col min="6" max="6" width="9.875" customWidth="1"/>
    <col min="7" max="7" width="10.625" customWidth="1"/>
    <col min="8" max="8" width="11.625" style="91" customWidth="1"/>
    <col min="9" max="9" width="11.625" style="92" customWidth="1"/>
    <col min="10" max="10" width="11.125" customWidth="1"/>
  </cols>
  <sheetData>
    <row r="1" spans="1:10">
      <c r="A1" s="34"/>
      <c r="B1" s="34"/>
      <c r="C1" s="34"/>
      <c r="D1" s="34"/>
      <c r="E1" s="34"/>
      <c r="G1" s="34"/>
      <c r="H1" s="34"/>
      <c r="I1" s="34"/>
      <c r="J1" s="34"/>
    </row>
    <row r="2" spans="1:10">
      <c r="A2" s="34"/>
      <c r="B2" s="34"/>
      <c r="C2" s="34"/>
      <c r="D2" s="34"/>
      <c r="E2" s="34"/>
      <c r="G2" s="34"/>
      <c r="H2" s="34"/>
      <c r="I2" s="34"/>
      <c r="J2" s="34"/>
    </row>
    <row r="3" spans="1:10">
      <c r="A3" s="34"/>
      <c r="B3" s="34"/>
      <c r="C3" s="34"/>
      <c r="D3" s="34"/>
      <c r="E3" s="34"/>
      <c r="G3" s="34"/>
      <c r="H3" s="34"/>
      <c r="I3" s="34"/>
      <c r="J3" s="34"/>
    </row>
    <row r="4" spans="1:10">
      <c r="A4" s="34"/>
      <c r="B4" s="34"/>
      <c r="C4" s="34"/>
      <c r="D4" s="34"/>
      <c r="E4" s="34"/>
      <c r="G4" s="34"/>
      <c r="H4" s="34"/>
      <c r="I4" s="34"/>
      <c r="J4" s="34"/>
    </row>
    <row r="5" spans="1:10">
      <c r="A5" s="126" t="s">
        <v>0</v>
      </c>
      <c r="B5" s="126"/>
      <c r="C5" s="126"/>
      <c r="D5" s="126"/>
      <c r="E5" s="126"/>
      <c r="F5" s="126"/>
      <c r="G5" s="126"/>
      <c r="H5" s="126"/>
      <c r="I5" s="126"/>
      <c r="J5" s="34"/>
    </row>
    <row r="6" spans="1:10">
      <c r="A6" s="126" t="s">
        <v>1</v>
      </c>
      <c r="B6" s="126"/>
      <c r="C6" s="126"/>
      <c r="D6" s="126"/>
      <c r="E6" s="126"/>
      <c r="F6" s="126"/>
      <c r="G6" s="126"/>
      <c r="H6" s="126"/>
      <c r="I6" s="126"/>
      <c r="J6" s="34"/>
    </row>
    <row r="7" spans="1:10">
      <c r="A7" s="126" t="s">
        <v>2</v>
      </c>
      <c r="B7" s="126"/>
      <c r="C7" s="126"/>
      <c r="D7" s="126"/>
      <c r="E7" s="126"/>
      <c r="F7" s="126"/>
      <c r="G7" s="126"/>
      <c r="H7" s="126"/>
      <c r="I7" s="126"/>
      <c r="J7" s="34"/>
    </row>
    <row r="8" spans="1:10">
      <c r="A8" s="126" t="s">
        <v>3</v>
      </c>
      <c r="B8" s="126"/>
      <c r="C8" s="126"/>
      <c r="D8" s="126"/>
      <c r="E8" s="126"/>
      <c r="F8" s="126"/>
      <c r="G8" s="126"/>
      <c r="H8" s="126"/>
      <c r="I8" s="126"/>
      <c r="J8" s="34"/>
    </row>
    <row r="9" spans="1:10">
      <c r="A9" s="34"/>
      <c r="B9" s="34"/>
      <c r="C9" s="34"/>
      <c r="D9" s="34"/>
      <c r="E9" s="34"/>
      <c r="G9" s="34"/>
      <c r="H9" s="34"/>
      <c r="I9" s="34"/>
      <c r="J9" s="34"/>
    </row>
    <row r="10" spans="1:10">
      <c r="A10" s="34" t="s">
        <v>4</v>
      </c>
      <c r="B10" s="38" t="s">
        <v>5</v>
      </c>
      <c r="C10" s="38"/>
      <c r="D10" s="34"/>
      <c r="E10" s="34"/>
      <c r="G10" s="38" t="s">
        <v>6</v>
      </c>
      <c r="H10" s="49"/>
      <c r="I10" s="38"/>
      <c r="J10" s="34"/>
    </row>
    <row r="11" spans="1:10">
      <c r="A11" s="34"/>
      <c r="B11" s="39"/>
      <c r="C11" s="39"/>
      <c r="D11" s="34"/>
      <c r="E11" s="34"/>
      <c r="G11" s="39"/>
      <c r="H11" s="39"/>
      <c r="I11" s="39"/>
      <c r="J11" s="34"/>
    </row>
    <row r="12" spans="1:10">
      <c r="A12" s="34" t="s">
        <v>7</v>
      </c>
      <c r="B12" s="38" t="s">
        <v>8</v>
      </c>
      <c r="C12" s="38"/>
      <c r="D12" s="34"/>
      <c r="E12" s="34"/>
      <c r="G12" s="38" t="s">
        <v>9</v>
      </c>
      <c r="H12" s="50"/>
      <c r="I12" s="38"/>
      <c r="J12" s="34"/>
    </row>
    <row r="13" spans="1:10" ht="21">
      <c r="A13" s="127" t="s">
        <v>10</v>
      </c>
      <c r="B13" s="127"/>
      <c r="C13" s="127"/>
      <c r="D13" s="127"/>
      <c r="E13" s="127"/>
      <c r="F13" s="127"/>
      <c r="G13" s="127"/>
      <c r="H13" s="127"/>
      <c r="I13" s="127"/>
      <c r="J13" s="127"/>
    </row>
    <row r="14" spans="1:10">
      <c r="A14" s="122" t="s">
        <v>11</v>
      </c>
      <c r="B14" s="112" t="s">
        <v>12</v>
      </c>
      <c r="C14" s="113"/>
      <c r="D14" s="114" t="s">
        <v>13</v>
      </c>
      <c r="E14" s="115"/>
      <c r="F14" s="115"/>
      <c r="G14" s="115"/>
      <c r="H14" s="116" t="s">
        <v>14</v>
      </c>
      <c r="I14" s="117"/>
      <c r="J14" s="124" t="s">
        <v>15</v>
      </c>
    </row>
    <row r="15" spans="1:10" ht="24">
      <c r="A15" s="123"/>
      <c r="B15" s="93" t="s">
        <v>16</v>
      </c>
      <c r="C15" s="94" t="s">
        <v>17</v>
      </c>
      <c r="D15" s="93" t="s">
        <v>16</v>
      </c>
      <c r="E15" s="94" t="s">
        <v>17</v>
      </c>
      <c r="F15" s="95" t="s">
        <v>18</v>
      </c>
      <c r="G15" s="96" t="s">
        <v>19</v>
      </c>
      <c r="H15" s="93" t="s">
        <v>16</v>
      </c>
      <c r="I15" s="94" t="s">
        <v>17</v>
      </c>
      <c r="J15" s="125"/>
    </row>
    <row r="16" spans="1:10" ht="15.75">
      <c r="A16" s="118" t="s">
        <v>20</v>
      </c>
      <c r="B16" s="119"/>
      <c r="C16" s="119"/>
      <c r="D16" s="119"/>
      <c r="E16" s="119"/>
      <c r="F16" s="119"/>
      <c r="G16" s="119"/>
      <c r="H16" s="119"/>
      <c r="I16" s="119"/>
      <c r="J16" s="120"/>
    </row>
    <row r="17" spans="1:10">
      <c r="A17" s="97" t="s">
        <v>21</v>
      </c>
      <c r="B17" s="97">
        <v>0.5</v>
      </c>
      <c r="C17" s="97">
        <v>0.5</v>
      </c>
      <c r="D17" s="97"/>
      <c r="E17" s="97"/>
      <c r="F17" s="97"/>
      <c r="G17" s="98"/>
      <c r="H17" s="97">
        <f>B17</f>
        <v>0.5</v>
      </c>
      <c r="I17" s="97">
        <f>C17</f>
        <v>0.5</v>
      </c>
      <c r="J17" s="100">
        <f>SUM(H17:I17)</f>
        <v>1</v>
      </c>
    </row>
    <row r="18" spans="1:10">
      <c r="A18" s="97" t="s">
        <v>22</v>
      </c>
      <c r="B18" s="97">
        <f>1.25*8</f>
        <v>10</v>
      </c>
      <c r="C18" s="97">
        <v>10</v>
      </c>
      <c r="D18" s="97"/>
      <c r="E18" s="97"/>
      <c r="F18" s="97"/>
      <c r="G18" s="98"/>
      <c r="H18" s="97">
        <f>H17-F18-D18+B18</f>
        <v>10.5</v>
      </c>
      <c r="I18" s="97">
        <f>I17-E18+C18</f>
        <v>10.5</v>
      </c>
      <c r="J18" s="100">
        <f t="shared" ref="J18" si="0">SUM(H18:I18)</f>
        <v>21</v>
      </c>
    </row>
    <row r="19" spans="1:10">
      <c r="A19" s="97" t="s">
        <v>23</v>
      </c>
      <c r="B19" s="97"/>
      <c r="C19" s="97"/>
      <c r="D19" s="97"/>
      <c r="E19" s="97"/>
      <c r="F19" s="97">
        <v>5</v>
      </c>
      <c r="G19" s="98"/>
      <c r="H19" s="97">
        <f t="shared" ref="H19:H40" si="1">H18-F19-D19+B19</f>
        <v>5.5</v>
      </c>
      <c r="I19" s="97">
        <f t="shared" ref="I19:I40" si="2">I18-E19+C19</f>
        <v>10.5</v>
      </c>
      <c r="J19" s="100">
        <f t="shared" ref="J19:J40" si="3">SUM(H19:I19)</f>
        <v>16</v>
      </c>
    </row>
    <row r="20" spans="1:10">
      <c r="A20" s="97" t="s">
        <v>24</v>
      </c>
      <c r="B20" s="97">
        <f>1.25*6</f>
        <v>7.5</v>
      </c>
      <c r="C20" s="97">
        <v>7.5</v>
      </c>
      <c r="D20" s="97"/>
      <c r="E20" s="97"/>
      <c r="F20" s="97"/>
      <c r="G20" s="98"/>
      <c r="H20" s="97">
        <f t="shared" si="1"/>
        <v>13</v>
      </c>
      <c r="I20" s="97">
        <f t="shared" si="2"/>
        <v>18</v>
      </c>
      <c r="J20" s="100">
        <f t="shared" si="3"/>
        <v>31</v>
      </c>
    </row>
    <row r="21" spans="1:10">
      <c r="A21" s="97" t="s">
        <v>25</v>
      </c>
      <c r="B21" s="97"/>
      <c r="C21" s="97"/>
      <c r="D21" s="97"/>
      <c r="E21" s="97"/>
      <c r="F21" s="97"/>
      <c r="G21" s="98">
        <v>1</v>
      </c>
      <c r="H21" s="97">
        <f t="shared" si="1"/>
        <v>13</v>
      </c>
      <c r="I21" s="97">
        <f t="shared" si="2"/>
        <v>18</v>
      </c>
      <c r="J21" s="100">
        <f t="shared" si="3"/>
        <v>31</v>
      </c>
    </row>
    <row r="22" spans="1:10" ht="15.75">
      <c r="A22" s="97" t="s">
        <v>26</v>
      </c>
      <c r="B22" s="99">
        <v>1.25</v>
      </c>
      <c r="C22" s="97">
        <v>1.25</v>
      </c>
      <c r="D22" s="97"/>
      <c r="E22" s="97"/>
      <c r="F22" s="97"/>
      <c r="G22" s="98"/>
      <c r="H22" s="97">
        <f t="shared" si="1"/>
        <v>14.25</v>
      </c>
      <c r="I22" s="97">
        <f t="shared" si="2"/>
        <v>19.25</v>
      </c>
      <c r="J22" s="100">
        <f t="shared" si="3"/>
        <v>33.5</v>
      </c>
    </row>
    <row r="23" spans="1:10">
      <c r="A23" s="100" t="s">
        <v>27</v>
      </c>
      <c r="B23" s="97"/>
      <c r="C23" s="97"/>
      <c r="D23" s="97"/>
      <c r="E23" s="97"/>
      <c r="F23" s="97"/>
      <c r="G23" s="98">
        <v>1</v>
      </c>
      <c r="H23" s="97">
        <f t="shared" si="1"/>
        <v>14.25</v>
      </c>
      <c r="I23" s="97">
        <f t="shared" si="2"/>
        <v>19.25</v>
      </c>
      <c r="J23" s="100">
        <f t="shared" si="3"/>
        <v>33.5</v>
      </c>
    </row>
    <row r="24" spans="1:10">
      <c r="A24" s="97" t="s">
        <v>28</v>
      </c>
      <c r="B24" s="97"/>
      <c r="C24" s="97"/>
      <c r="D24" s="97"/>
      <c r="E24" s="97"/>
      <c r="F24" s="97"/>
      <c r="G24" s="98">
        <v>1</v>
      </c>
      <c r="H24" s="97">
        <f t="shared" si="1"/>
        <v>14.25</v>
      </c>
      <c r="I24" s="97">
        <f t="shared" si="2"/>
        <v>19.25</v>
      </c>
      <c r="J24" s="100">
        <f t="shared" si="3"/>
        <v>33.5</v>
      </c>
    </row>
    <row r="25" spans="1:10">
      <c r="A25" s="100" t="s">
        <v>29</v>
      </c>
      <c r="B25" s="97">
        <v>1.25</v>
      </c>
      <c r="C25" s="97">
        <v>1.25</v>
      </c>
      <c r="D25" s="97"/>
      <c r="E25" s="97"/>
      <c r="F25" s="97"/>
      <c r="G25" s="98"/>
      <c r="H25" s="97">
        <f t="shared" si="1"/>
        <v>15.5</v>
      </c>
      <c r="I25" s="97">
        <f t="shared" si="2"/>
        <v>20.5</v>
      </c>
      <c r="J25" s="100">
        <f t="shared" si="3"/>
        <v>36</v>
      </c>
    </row>
    <row r="26" spans="1:10">
      <c r="A26" s="97" t="s">
        <v>30</v>
      </c>
      <c r="B26" s="97"/>
      <c r="C26" s="97"/>
      <c r="D26" s="97">
        <v>10</v>
      </c>
      <c r="E26" s="97">
        <v>15</v>
      </c>
      <c r="F26" s="97"/>
      <c r="G26" s="98"/>
      <c r="H26" s="97">
        <f t="shared" si="1"/>
        <v>5.5</v>
      </c>
      <c r="I26" s="97">
        <f t="shared" si="2"/>
        <v>5.5</v>
      </c>
      <c r="J26" s="100">
        <f t="shared" si="3"/>
        <v>11</v>
      </c>
    </row>
    <row r="27" spans="1:10">
      <c r="A27" s="97" t="s">
        <v>31</v>
      </c>
      <c r="B27" s="97">
        <f>1.25*3</f>
        <v>3.75</v>
      </c>
      <c r="C27" s="97">
        <v>3.75</v>
      </c>
      <c r="D27" s="97"/>
      <c r="E27" s="97"/>
      <c r="F27" s="97"/>
      <c r="G27" s="98"/>
      <c r="H27" s="97">
        <f t="shared" si="1"/>
        <v>9.25</v>
      </c>
      <c r="I27" s="97">
        <f t="shared" si="2"/>
        <v>9.25</v>
      </c>
      <c r="J27" s="100">
        <f t="shared" si="3"/>
        <v>18.5</v>
      </c>
    </row>
    <row r="28" spans="1:10">
      <c r="A28" s="100" t="s">
        <v>32</v>
      </c>
      <c r="B28" s="97"/>
      <c r="C28" s="97"/>
      <c r="D28" s="97"/>
      <c r="E28" s="97"/>
      <c r="F28" s="97">
        <v>1</v>
      </c>
      <c r="G28" s="98"/>
      <c r="H28" s="97">
        <f t="shared" si="1"/>
        <v>8.25</v>
      </c>
      <c r="I28" s="97">
        <f t="shared" si="2"/>
        <v>9.25</v>
      </c>
      <c r="J28" s="100">
        <f t="shared" si="3"/>
        <v>17.5</v>
      </c>
    </row>
    <row r="29" spans="1:10">
      <c r="A29" s="97" t="s">
        <v>33</v>
      </c>
      <c r="B29" s="97"/>
      <c r="C29" s="97"/>
      <c r="D29" s="97"/>
      <c r="E29" s="97"/>
      <c r="F29" s="97">
        <v>3</v>
      </c>
      <c r="G29" s="98"/>
      <c r="H29" s="97">
        <f t="shared" si="1"/>
        <v>5.25</v>
      </c>
      <c r="I29" s="97">
        <f t="shared" si="2"/>
        <v>9.25</v>
      </c>
      <c r="J29" s="100">
        <f t="shared" si="3"/>
        <v>14.5</v>
      </c>
    </row>
    <row r="30" spans="1:10">
      <c r="A30" s="100" t="s">
        <v>34</v>
      </c>
      <c r="B30" s="97">
        <v>1.25</v>
      </c>
      <c r="C30" s="97">
        <v>1.25</v>
      </c>
      <c r="D30" s="97"/>
      <c r="E30" s="97"/>
      <c r="F30" s="97"/>
      <c r="G30" s="98"/>
      <c r="H30" s="97">
        <f t="shared" si="1"/>
        <v>6.5</v>
      </c>
      <c r="I30" s="97">
        <f t="shared" si="2"/>
        <v>10.5</v>
      </c>
      <c r="J30" s="100">
        <f t="shared" si="3"/>
        <v>17</v>
      </c>
    </row>
    <row r="31" spans="1:10">
      <c r="A31" s="97" t="s">
        <v>35</v>
      </c>
      <c r="B31" s="97"/>
      <c r="C31" s="97"/>
      <c r="D31" s="97"/>
      <c r="E31" s="97"/>
      <c r="F31" s="97">
        <v>1</v>
      </c>
      <c r="G31" s="98"/>
      <c r="H31" s="97">
        <f t="shared" si="1"/>
        <v>5.5</v>
      </c>
      <c r="I31" s="97">
        <f t="shared" si="2"/>
        <v>10.5</v>
      </c>
      <c r="J31" s="100">
        <f t="shared" si="3"/>
        <v>16</v>
      </c>
    </row>
    <row r="32" spans="1:10">
      <c r="A32" s="100" t="s">
        <v>36</v>
      </c>
      <c r="B32" s="97">
        <f>1.25*5</f>
        <v>6.25</v>
      </c>
      <c r="C32" s="97">
        <v>6.25</v>
      </c>
      <c r="D32" s="97"/>
      <c r="E32" s="97"/>
      <c r="F32" s="97"/>
      <c r="G32" s="98"/>
      <c r="H32" s="97">
        <f t="shared" si="1"/>
        <v>11.75</v>
      </c>
      <c r="I32" s="97">
        <f t="shared" si="2"/>
        <v>16.75</v>
      </c>
      <c r="J32" s="100">
        <f t="shared" si="3"/>
        <v>28.5</v>
      </c>
    </row>
    <row r="33" spans="1:10">
      <c r="A33" s="100" t="s">
        <v>37</v>
      </c>
      <c r="B33" s="97"/>
      <c r="C33" s="97"/>
      <c r="D33" s="97"/>
      <c r="E33" s="97"/>
      <c r="F33" s="97">
        <v>1</v>
      </c>
      <c r="G33" s="98"/>
      <c r="H33" s="97">
        <f t="shared" si="1"/>
        <v>10.75</v>
      </c>
      <c r="I33" s="97">
        <f t="shared" si="2"/>
        <v>16.75</v>
      </c>
      <c r="J33" s="100">
        <f t="shared" si="3"/>
        <v>27.5</v>
      </c>
    </row>
    <row r="34" spans="1:10">
      <c r="A34" s="100" t="s">
        <v>38</v>
      </c>
      <c r="B34" s="97"/>
      <c r="C34" s="97"/>
      <c r="D34" s="97"/>
      <c r="E34" s="97"/>
      <c r="F34" s="97"/>
      <c r="G34" s="98">
        <v>1</v>
      </c>
      <c r="H34" s="97">
        <f t="shared" si="1"/>
        <v>10.75</v>
      </c>
      <c r="I34" s="97">
        <f t="shared" si="2"/>
        <v>16.75</v>
      </c>
      <c r="J34" s="100">
        <f t="shared" si="3"/>
        <v>27.5</v>
      </c>
    </row>
    <row r="35" spans="1:10">
      <c r="A35" s="100" t="s">
        <v>39</v>
      </c>
      <c r="B35" s="97">
        <v>1.25</v>
      </c>
      <c r="C35" s="97">
        <v>1.25</v>
      </c>
      <c r="D35" s="97"/>
      <c r="E35" s="97"/>
      <c r="F35" s="97"/>
      <c r="G35" s="98"/>
      <c r="H35" s="97">
        <f t="shared" si="1"/>
        <v>12</v>
      </c>
      <c r="I35" s="97">
        <f t="shared" si="2"/>
        <v>18</v>
      </c>
      <c r="J35" s="100">
        <f t="shared" si="3"/>
        <v>30</v>
      </c>
    </row>
    <row r="36" spans="1:10">
      <c r="A36" s="100" t="s">
        <v>40</v>
      </c>
      <c r="B36" s="97">
        <v>2.5</v>
      </c>
      <c r="C36" s="97">
        <v>2.5</v>
      </c>
      <c r="D36" s="97"/>
      <c r="E36" s="97"/>
      <c r="F36" s="97"/>
      <c r="G36" s="98"/>
      <c r="H36" s="97">
        <f t="shared" si="1"/>
        <v>14.5</v>
      </c>
      <c r="I36" s="97">
        <f t="shared" si="2"/>
        <v>20.5</v>
      </c>
      <c r="J36" s="100">
        <f t="shared" si="3"/>
        <v>35</v>
      </c>
    </row>
    <row r="37" spans="1:10">
      <c r="A37" s="100" t="s">
        <v>41</v>
      </c>
      <c r="B37" s="97">
        <v>1.25</v>
      </c>
      <c r="C37" s="97">
        <v>1.25</v>
      </c>
      <c r="D37" s="97"/>
      <c r="E37" s="97"/>
      <c r="F37" s="97"/>
      <c r="G37" s="98"/>
      <c r="H37" s="97">
        <f t="shared" si="1"/>
        <v>15.75</v>
      </c>
      <c r="I37" s="97">
        <f t="shared" si="2"/>
        <v>21.75</v>
      </c>
      <c r="J37" s="100">
        <f t="shared" si="3"/>
        <v>37.5</v>
      </c>
    </row>
    <row r="38" spans="1:10">
      <c r="A38" s="100" t="s">
        <v>42</v>
      </c>
      <c r="B38" s="97"/>
      <c r="C38" s="97"/>
      <c r="D38" s="97">
        <v>6</v>
      </c>
      <c r="E38" s="97">
        <v>16</v>
      </c>
      <c r="F38" s="97"/>
      <c r="G38" s="98"/>
      <c r="H38" s="97">
        <f t="shared" si="1"/>
        <v>9.75</v>
      </c>
      <c r="I38" s="97">
        <f t="shared" si="2"/>
        <v>5.75</v>
      </c>
      <c r="J38" s="100">
        <f t="shared" si="3"/>
        <v>15.5</v>
      </c>
    </row>
    <row r="39" spans="1:10">
      <c r="A39" s="100" t="s">
        <v>43</v>
      </c>
      <c r="B39" s="97"/>
      <c r="C39" s="97"/>
      <c r="D39" s="97"/>
      <c r="E39" s="97"/>
      <c r="F39" s="97">
        <v>1</v>
      </c>
      <c r="G39" s="98"/>
      <c r="H39" s="97">
        <f t="shared" si="1"/>
        <v>8.75</v>
      </c>
      <c r="I39" s="97">
        <f t="shared" si="2"/>
        <v>5.75</v>
      </c>
      <c r="J39" s="100">
        <f t="shared" si="3"/>
        <v>14.5</v>
      </c>
    </row>
    <row r="40" spans="1:10">
      <c r="A40" s="100" t="s">
        <v>44</v>
      </c>
      <c r="B40" s="97">
        <v>1.25</v>
      </c>
      <c r="C40" s="97">
        <v>1.25</v>
      </c>
      <c r="D40" s="97"/>
      <c r="E40" s="97"/>
      <c r="F40" s="97"/>
      <c r="G40" s="98"/>
      <c r="H40" s="97">
        <f t="shared" si="1"/>
        <v>10</v>
      </c>
      <c r="I40" s="97">
        <f t="shared" si="2"/>
        <v>7</v>
      </c>
      <c r="J40" s="100">
        <f t="shared" si="3"/>
        <v>17</v>
      </c>
    </row>
    <row r="41" spans="1:10">
      <c r="A41" s="97" t="s">
        <v>45</v>
      </c>
      <c r="B41" s="97">
        <v>1.25</v>
      </c>
      <c r="C41" s="97">
        <v>1.25</v>
      </c>
      <c r="D41" s="97"/>
      <c r="E41" s="97"/>
      <c r="F41" s="97"/>
      <c r="G41" s="98"/>
      <c r="H41" s="97">
        <f t="shared" ref="H41:H42" si="4">H40-F41-D41+B41</f>
        <v>11.25</v>
      </c>
      <c r="I41" s="97">
        <f t="shared" ref="I41:I42" si="5">I40-E41+C41</f>
        <v>8.25</v>
      </c>
      <c r="J41" s="100">
        <f t="shared" ref="J41:J42" si="6">SUM(H41:I41)</f>
        <v>19.5</v>
      </c>
    </row>
    <row r="42" spans="1:10">
      <c r="A42" s="100" t="s">
        <v>46</v>
      </c>
      <c r="B42" s="97"/>
      <c r="C42" s="97"/>
      <c r="D42" s="97"/>
      <c r="E42" s="97"/>
      <c r="F42" s="97"/>
      <c r="G42" s="98">
        <v>2</v>
      </c>
      <c r="H42" s="97">
        <f t="shared" si="4"/>
        <v>11.25</v>
      </c>
      <c r="I42" s="97">
        <f t="shared" si="5"/>
        <v>8.25</v>
      </c>
      <c r="J42" s="100">
        <f t="shared" si="6"/>
        <v>19.5</v>
      </c>
    </row>
    <row r="43" spans="1:10">
      <c r="A43" s="100" t="s">
        <v>47</v>
      </c>
      <c r="B43" s="97"/>
      <c r="C43" s="97"/>
      <c r="D43" s="97"/>
      <c r="E43" s="97"/>
      <c r="F43" s="97">
        <v>2</v>
      </c>
      <c r="G43" s="98"/>
      <c r="H43" s="97">
        <f t="shared" ref="H43:H46" si="7">H42-F43-D43+B43</f>
        <v>9.25</v>
      </c>
      <c r="I43" s="97">
        <f t="shared" ref="I43:I46" si="8">I42-E43+C43</f>
        <v>8.25</v>
      </c>
      <c r="J43" s="100">
        <f t="shared" ref="J43:J46" si="9">SUM(H43:I43)</f>
        <v>17.5</v>
      </c>
    </row>
    <row r="44" spans="1:10">
      <c r="A44" s="98" t="s">
        <v>48</v>
      </c>
      <c r="B44" s="97"/>
      <c r="C44" s="97"/>
      <c r="D44" s="97"/>
      <c r="E44" s="97"/>
      <c r="F44" s="97">
        <v>1</v>
      </c>
      <c r="G44" s="98"/>
      <c r="H44" s="97">
        <f t="shared" si="7"/>
        <v>8.25</v>
      </c>
      <c r="I44" s="97">
        <f t="shared" si="8"/>
        <v>8.25</v>
      </c>
      <c r="J44" s="98">
        <f t="shared" si="9"/>
        <v>16.5</v>
      </c>
    </row>
    <row r="45" spans="1:10">
      <c r="A45" s="98" t="s">
        <v>49</v>
      </c>
      <c r="B45" s="97">
        <v>1.25</v>
      </c>
      <c r="C45" s="97">
        <v>1.25</v>
      </c>
      <c r="D45" s="97"/>
      <c r="E45" s="97"/>
      <c r="F45" s="97"/>
      <c r="G45" s="98"/>
      <c r="H45" s="97">
        <f t="shared" si="7"/>
        <v>9.5</v>
      </c>
      <c r="I45" s="97">
        <f t="shared" si="8"/>
        <v>9.5</v>
      </c>
      <c r="J45" s="100">
        <f t="shared" si="9"/>
        <v>19</v>
      </c>
    </row>
    <row r="46" spans="1:10">
      <c r="A46" s="98" t="s">
        <v>50</v>
      </c>
      <c r="B46" s="97">
        <v>2.5</v>
      </c>
      <c r="C46" s="97">
        <v>2.5</v>
      </c>
      <c r="D46" s="97"/>
      <c r="E46" s="97"/>
      <c r="F46" s="97"/>
      <c r="G46" s="98"/>
      <c r="H46" s="97">
        <f t="shared" si="7"/>
        <v>12</v>
      </c>
      <c r="I46" s="97">
        <f t="shared" si="8"/>
        <v>12</v>
      </c>
      <c r="J46" s="100">
        <f t="shared" si="9"/>
        <v>24</v>
      </c>
    </row>
    <row r="47" spans="1:10">
      <c r="A47" s="97" t="s">
        <v>51</v>
      </c>
      <c r="B47" s="97">
        <v>1.25</v>
      </c>
      <c r="C47" s="97">
        <v>1.25</v>
      </c>
      <c r="D47" s="97"/>
      <c r="E47" s="97"/>
      <c r="F47" s="97"/>
      <c r="G47" s="98"/>
      <c r="H47" s="97">
        <f t="shared" ref="H47:H48" si="10">H46-F47-D47+B47</f>
        <v>13.25</v>
      </c>
      <c r="I47" s="97">
        <f t="shared" ref="I47:I48" si="11">I46-E47+C47</f>
        <v>13.25</v>
      </c>
      <c r="J47" s="100">
        <f t="shared" ref="J47:J48" si="12">SUM(H47:I47)</f>
        <v>26.5</v>
      </c>
    </row>
    <row r="48" spans="1:10">
      <c r="A48" s="97" t="s">
        <v>52</v>
      </c>
      <c r="B48" s="97"/>
      <c r="C48" s="97"/>
      <c r="D48" s="97"/>
      <c r="E48" s="97">
        <v>1</v>
      </c>
      <c r="F48" s="97"/>
      <c r="G48" s="98"/>
      <c r="H48" s="97">
        <f t="shared" si="10"/>
        <v>13.25</v>
      </c>
      <c r="I48" s="97">
        <f t="shared" si="11"/>
        <v>12.25</v>
      </c>
      <c r="J48" s="100">
        <f t="shared" si="12"/>
        <v>25.5</v>
      </c>
    </row>
    <row r="49" spans="1:10">
      <c r="A49" s="101" t="s">
        <v>53</v>
      </c>
      <c r="B49" s="101">
        <v>1.25</v>
      </c>
      <c r="C49" s="101">
        <v>1.25</v>
      </c>
      <c r="D49" s="101"/>
      <c r="E49" s="101"/>
      <c r="F49" s="101"/>
      <c r="G49" s="102"/>
      <c r="H49" s="97">
        <f t="shared" ref="H49:H50" si="13">H48-F49-D49+B49</f>
        <v>14.5</v>
      </c>
      <c r="I49" s="97">
        <f t="shared" ref="I49:I50" si="14">I48-E49+C49</f>
        <v>13.5</v>
      </c>
      <c r="J49" s="100">
        <f t="shared" ref="J49:J50" si="15">SUM(H49:I49)</f>
        <v>28</v>
      </c>
    </row>
    <row r="50" spans="1:10">
      <c r="A50" s="101" t="s">
        <v>54</v>
      </c>
      <c r="B50" s="101"/>
      <c r="C50" s="101"/>
      <c r="D50" s="101"/>
      <c r="E50" s="101"/>
      <c r="F50" s="101"/>
      <c r="G50" s="102">
        <v>1</v>
      </c>
      <c r="H50" s="97">
        <f t="shared" si="13"/>
        <v>14.5</v>
      </c>
      <c r="I50" s="97">
        <f t="shared" si="14"/>
        <v>13.5</v>
      </c>
      <c r="J50" s="100">
        <f t="shared" si="15"/>
        <v>28</v>
      </c>
    </row>
    <row r="51" spans="1:10">
      <c r="A51" s="101" t="s">
        <v>55</v>
      </c>
      <c r="B51" s="101">
        <v>3.75</v>
      </c>
      <c r="C51" s="101">
        <v>3.75</v>
      </c>
      <c r="D51" s="101"/>
      <c r="E51" s="101"/>
      <c r="F51" s="101"/>
      <c r="G51" s="102"/>
      <c r="H51" s="97">
        <f t="shared" ref="H51" si="16">H50-F51-D51+B51</f>
        <v>18.25</v>
      </c>
      <c r="I51" s="97">
        <f t="shared" ref="I51" si="17">I50-E51+C51</f>
        <v>17.25</v>
      </c>
      <c r="J51" s="100">
        <f t="shared" ref="J51" si="18">SUM(H51:I51)</f>
        <v>35.5</v>
      </c>
    </row>
    <row r="52" spans="1:10" ht="45">
      <c r="A52" s="103" t="s">
        <v>56</v>
      </c>
      <c r="B52" s="101">
        <v>5</v>
      </c>
      <c r="C52" s="101">
        <v>5</v>
      </c>
      <c r="D52" s="101"/>
      <c r="E52" s="101"/>
      <c r="F52" s="101"/>
      <c r="G52" s="102"/>
      <c r="H52" s="101">
        <f t="shared" ref="H52:H53" si="19">H51-F52-D52+B52</f>
        <v>23.25</v>
      </c>
      <c r="I52" s="101">
        <f t="shared" ref="I52:I53" si="20">I51-E52+C52</f>
        <v>22.25</v>
      </c>
      <c r="J52" s="102">
        <f t="shared" ref="J52:J53" si="21">SUM(H52:I52)</f>
        <v>45.5</v>
      </c>
    </row>
    <row r="53" spans="1:10">
      <c r="A53" s="101" t="s">
        <v>57</v>
      </c>
      <c r="B53" s="101"/>
      <c r="C53" s="101"/>
      <c r="D53" s="101">
        <v>18</v>
      </c>
      <c r="E53" s="101"/>
      <c r="F53" s="101"/>
      <c r="G53" s="102"/>
      <c r="H53" s="97">
        <f t="shared" si="19"/>
        <v>5.25</v>
      </c>
      <c r="I53" s="97">
        <f t="shared" si="20"/>
        <v>22.25</v>
      </c>
      <c r="J53" s="98">
        <f t="shared" si="21"/>
        <v>27.5</v>
      </c>
    </row>
    <row r="54" spans="1:10">
      <c r="A54" s="101" t="s">
        <v>58</v>
      </c>
      <c r="B54" s="101">
        <v>3.75</v>
      </c>
      <c r="C54" s="101">
        <v>3.75</v>
      </c>
      <c r="D54" s="101"/>
      <c r="E54" s="101"/>
      <c r="F54" s="101"/>
      <c r="G54" s="102"/>
      <c r="H54" s="97">
        <f t="shared" ref="H54:H55" si="22">H53-F54-D54+B54</f>
        <v>9</v>
      </c>
      <c r="I54" s="97">
        <f t="shared" ref="I54:I55" si="23">I53-E54+C54</f>
        <v>26</v>
      </c>
      <c r="J54" s="98">
        <f t="shared" ref="J54:J55" si="24">SUM(H54:I54)</f>
        <v>35</v>
      </c>
    </row>
    <row r="55" spans="1:10">
      <c r="A55" s="101" t="s">
        <v>59</v>
      </c>
      <c r="B55" s="101"/>
      <c r="C55" s="101"/>
      <c r="D55" s="101"/>
      <c r="E55" s="101"/>
      <c r="F55" s="101">
        <v>3</v>
      </c>
      <c r="G55" s="102"/>
      <c r="H55" s="97">
        <f t="shared" si="22"/>
        <v>6</v>
      </c>
      <c r="I55" s="97">
        <f t="shared" si="23"/>
        <v>26</v>
      </c>
      <c r="J55" s="98">
        <f t="shared" si="24"/>
        <v>32</v>
      </c>
    </row>
    <row r="56" spans="1:10">
      <c r="A56" s="101" t="s">
        <v>60</v>
      </c>
      <c r="B56" s="101">
        <v>1.25</v>
      </c>
      <c r="C56" s="101">
        <v>1.25</v>
      </c>
      <c r="D56" s="101"/>
      <c r="E56" s="101"/>
      <c r="F56" s="101"/>
      <c r="G56" s="102"/>
      <c r="H56" s="97">
        <f t="shared" ref="H56:H57" si="25">H55-F56-D56+B56</f>
        <v>7.25</v>
      </c>
      <c r="I56" s="97">
        <f t="shared" ref="I56:I57" si="26">I55-E56+C56</f>
        <v>27.25</v>
      </c>
      <c r="J56" s="98">
        <f t="shared" ref="J56:J57" si="27">SUM(H56:I56)</f>
        <v>34.5</v>
      </c>
    </row>
    <row r="57" spans="1:10">
      <c r="A57" s="101" t="s">
        <v>61</v>
      </c>
      <c r="B57" s="101"/>
      <c r="C57" s="101"/>
      <c r="D57" s="101"/>
      <c r="E57" s="101"/>
      <c r="F57" s="101">
        <v>2</v>
      </c>
      <c r="G57" s="102"/>
      <c r="H57" s="97">
        <f t="shared" si="25"/>
        <v>5.25</v>
      </c>
      <c r="I57" s="97">
        <f t="shared" si="26"/>
        <v>27.25</v>
      </c>
      <c r="J57" s="98">
        <f t="shared" si="27"/>
        <v>32.5</v>
      </c>
    </row>
    <row r="58" spans="1:10">
      <c r="A58" s="101" t="s">
        <v>62</v>
      </c>
      <c r="B58" s="101">
        <v>1.25</v>
      </c>
      <c r="C58" s="101">
        <v>1.25</v>
      </c>
      <c r="D58" s="101"/>
      <c r="E58" s="101"/>
      <c r="F58" s="101"/>
      <c r="G58" s="102"/>
      <c r="H58" s="97">
        <f t="shared" ref="H58:H59" si="28">H57-F58-D58+B58</f>
        <v>6.5</v>
      </c>
      <c r="I58" s="97">
        <f t="shared" ref="I58:I59" si="29">I57-E58+C58</f>
        <v>28.5</v>
      </c>
      <c r="J58" s="98">
        <f t="shared" ref="J58:J59" si="30">SUM(H58:I58)</f>
        <v>35</v>
      </c>
    </row>
    <row r="59" spans="1:10">
      <c r="A59" s="101" t="s">
        <v>63</v>
      </c>
      <c r="B59" s="101">
        <v>3</v>
      </c>
      <c r="C59" s="101"/>
      <c r="D59" s="101"/>
      <c r="E59" s="101"/>
      <c r="F59" s="101"/>
      <c r="G59" s="102"/>
      <c r="H59" s="97">
        <f t="shared" si="28"/>
        <v>9.5</v>
      </c>
      <c r="I59" s="97">
        <f t="shared" si="29"/>
        <v>28.5</v>
      </c>
      <c r="J59" s="98">
        <f t="shared" si="30"/>
        <v>38</v>
      </c>
    </row>
    <row r="60" spans="1:10">
      <c r="A60" s="101" t="s">
        <v>64</v>
      </c>
      <c r="B60" s="101">
        <v>7.5</v>
      </c>
      <c r="C60" s="101">
        <v>7.5</v>
      </c>
      <c r="D60" s="101"/>
      <c r="E60" s="101"/>
      <c r="F60" s="101"/>
      <c r="G60" s="102"/>
      <c r="H60" s="97">
        <f t="shared" ref="H60" si="31">H59-F60-D60+B60</f>
        <v>17</v>
      </c>
      <c r="I60" s="97">
        <f t="shared" ref="I60" si="32">I59-E60+C60</f>
        <v>36</v>
      </c>
      <c r="J60" s="98">
        <f t="shared" ref="J60" si="33">SUM(H60:I60)</f>
        <v>53</v>
      </c>
    </row>
    <row r="61" spans="1:10">
      <c r="A61" s="101" t="s">
        <v>65</v>
      </c>
      <c r="B61" s="101"/>
      <c r="C61" s="101"/>
      <c r="D61" s="101">
        <v>12</v>
      </c>
      <c r="E61" s="101"/>
      <c r="F61" s="101"/>
      <c r="G61" s="102"/>
      <c r="H61" s="97">
        <f t="shared" ref="H61" si="34">H60-F61-D61+B61</f>
        <v>5</v>
      </c>
      <c r="I61" s="97">
        <f t="shared" ref="I61" si="35">I60-E61+C61</f>
        <v>36</v>
      </c>
      <c r="J61" s="98">
        <f t="shared" ref="J61" si="36">SUM(H61:I61)</f>
        <v>41</v>
      </c>
    </row>
    <row r="62" spans="1:10">
      <c r="A62" s="101" t="s">
        <v>66</v>
      </c>
      <c r="B62" s="101"/>
      <c r="C62" s="101"/>
      <c r="D62" s="101"/>
      <c r="E62" s="101"/>
      <c r="F62" s="104">
        <v>1</v>
      </c>
      <c r="G62" s="102"/>
      <c r="H62" s="97">
        <f t="shared" ref="H62" si="37">H61-F62-D62+B62</f>
        <v>4</v>
      </c>
      <c r="I62" s="97">
        <f t="shared" ref="I62" si="38">I61-E62+C62</f>
        <v>36</v>
      </c>
      <c r="J62" s="98">
        <f t="shared" ref="J62" si="39">SUM(H62:I62)</f>
        <v>40</v>
      </c>
    </row>
    <row r="63" spans="1:10">
      <c r="A63" s="101" t="s">
        <v>67</v>
      </c>
      <c r="B63" s="101">
        <v>1.25</v>
      </c>
      <c r="C63" s="101">
        <v>1.25</v>
      </c>
      <c r="D63" s="101"/>
      <c r="E63" s="101"/>
      <c r="F63" s="101"/>
      <c r="G63" s="102"/>
      <c r="H63" s="97">
        <f t="shared" ref="H63:H64" si="40">H62-F63-D63+B63</f>
        <v>5.25</v>
      </c>
      <c r="I63" s="97">
        <f t="shared" ref="I63:I64" si="41">I62-E63+C63</f>
        <v>37.25</v>
      </c>
      <c r="J63" s="98">
        <f t="shared" ref="J63:J64" si="42">SUM(H63:I63)</f>
        <v>42.5</v>
      </c>
    </row>
    <row r="64" spans="1:10">
      <c r="A64" s="101" t="s">
        <v>68</v>
      </c>
      <c r="B64" s="101"/>
      <c r="C64" s="101"/>
      <c r="D64" s="101"/>
      <c r="E64" s="101"/>
      <c r="F64" s="104">
        <v>2</v>
      </c>
      <c r="G64" s="102"/>
      <c r="H64" s="97">
        <f t="shared" si="40"/>
        <v>3.25</v>
      </c>
      <c r="I64" s="97">
        <f t="shared" si="41"/>
        <v>37.25</v>
      </c>
      <c r="J64" s="98">
        <f t="shared" si="42"/>
        <v>40.5</v>
      </c>
    </row>
    <row r="65" spans="1:12">
      <c r="A65" s="101" t="s">
        <v>69</v>
      </c>
      <c r="B65" s="101">
        <v>1.25</v>
      </c>
      <c r="C65" s="101">
        <v>1.25</v>
      </c>
      <c r="D65" s="101"/>
      <c r="E65" s="101"/>
      <c r="F65" s="101"/>
      <c r="G65" s="102"/>
      <c r="H65" s="97">
        <f t="shared" ref="H65" si="43">H64-F65-D65+B65</f>
        <v>4.5</v>
      </c>
      <c r="I65" s="97">
        <f t="shared" ref="I65" si="44">I64-E65+C65</f>
        <v>38.5</v>
      </c>
      <c r="J65" s="98">
        <f t="shared" ref="J65" si="45">SUM(H65:I65)</f>
        <v>43</v>
      </c>
    </row>
    <row r="66" spans="1:12">
      <c r="A66" s="101" t="s">
        <v>70</v>
      </c>
      <c r="B66" s="101"/>
      <c r="C66" s="101"/>
      <c r="D66" s="101"/>
      <c r="E66" s="101">
        <v>1</v>
      </c>
      <c r="F66" s="101"/>
      <c r="G66" s="102"/>
      <c r="H66" s="97">
        <f t="shared" ref="H66" si="46">H65-F66-D66+B66</f>
        <v>4.5</v>
      </c>
      <c r="I66" s="97">
        <f t="shared" ref="I66" si="47">I65-E66+C66</f>
        <v>37.5</v>
      </c>
      <c r="J66" s="98">
        <f t="shared" ref="J66" si="48">SUM(H66:I66)</f>
        <v>42</v>
      </c>
    </row>
    <row r="67" spans="1:12">
      <c r="A67" s="101" t="s">
        <v>71</v>
      </c>
      <c r="B67" s="101">
        <v>1</v>
      </c>
      <c r="C67" s="101"/>
      <c r="D67" s="101"/>
      <c r="E67" s="101"/>
      <c r="F67" s="101"/>
      <c r="G67" s="102"/>
      <c r="H67" s="97">
        <f t="shared" ref="H67:H68" si="49">H66-F67-D67+B67</f>
        <v>5.5</v>
      </c>
      <c r="I67" s="97">
        <f t="shared" ref="I67:I68" si="50">I66-E67+C67</f>
        <v>37.5</v>
      </c>
      <c r="J67" s="98">
        <f t="shared" ref="J67:J68" si="51">SUM(H67:I67)</f>
        <v>43</v>
      </c>
    </row>
    <row r="68" spans="1:12">
      <c r="A68" s="101" t="s">
        <v>72</v>
      </c>
      <c r="B68" s="101">
        <v>2</v>
      </c>
      <c r="C68" s="101"/>
      <c r="D68" s="101"/>
      <c r="E68" s="101"/>
      <c r="F68" s="101"/>
      <c r="G68" s="102"/>
      <c r="H68" s="97">
        <f t="shared" si="49"/>
        <v>7.5</v>
      </c>
      <c r="I68" s="97">
        <f t="shared" si="50"/>
        <v>37.5</v>
      </c>
      <c r="J68" s="98">
        <f t="shared" si="51"/>
        <v>45</v>
      </c>
    </row>
    <row r="69" spans="1:12">
      <c r="A69" s="101" t="s">
        <v>73</v>
      </c>
      <c r="B69" s="101">
        <v>2.5</v>
      </c>
      <c r="C69" s="101">
        <v>2.5</v>
      </c>
      <c r="D69" s="101"/>
      <c r="E69" s="101"/>
      <c r="F69" s="101"/>
      <c r="G69" s="102"/>
      <c r="H69" s="97">
        <f t="shared" ref="H69:H70" si="52">H68-F69-D69+B69</f>
        <v>10</v>
      </c>
      <c r="I69" s="97">
        <f t="shared" ref="I69:I70" si="53">I68-E69+C69</f>
        <v>40</v>
      </c>
      <c r="J69" s="98">
        <f t="shared" ref="J69:J70" si="54">SUM(H69:I69)</f>
        <v>50</v>
      </c>
    </row>
    <row r="70" spans="1:12">
      <c r="A70" s="101" t="s">
        <v>74</v>
      </c>
      <c r="B70" s="101"/>
      <c r="C70" s="101"/>
      <c r="D70" s="101"/>
      <c r="E70" s="101"/>
      <c r="F70" s="104">
        <v>2</v>
      </c>
      <c r="G70" s="102"/>
      <c r="H70" s="97">
        <f t="shared" si="52"/>
        <v>8</v>
      </c>
      <c r="I70" s="97">
        <f t="shared" si="53"/>
        <v>40</v>
      </c>
      <c r="J70" s="98">
        <f t="shared" si="54"/>
        <v>48</v>
      </c>
    </row>
    <row r="71" spans="1:12">
      <c r="A71" s="101" t="s">
        <v>75</v>
      </c>
      <c r="B71" s="101">
        <v>1.25</v>
      </c>
      <c r="C71" s="101">
        <v>1.25</v>
      </c>
      <c r="D71" s="101"/>
      <c r="E71" s="101"/>
      <c r="F71" s="101"/>
      <c r="G71" s="102"/>
      <c r="H71" s="97">
        <f>H70-F71-D71+B71</f>
        <v>9.25</v>
      </c>
      <c r="I71" s="97">
        <f>I70-E71+C71</f>
        <v>41.25</v>
      </c>
      <c r="J71" s="98">
        <f>SUM(H71:I71)</f>
        <v>50.5</v>
      </c>
    </row>
    <row r="72" spans="1:12">
      <c r="A72" s="188" t="s">
        <v>76</v>
      </c>
      <c r="B72" s="188"/>
      <c r="C72" s="188"/>
      <c r="D72" s="188"/>
      <c r="E72" s="188"/>
      <c r="F72" s="188"/>
      <c r="G72" s="189">
        <v>2</v>
      </c>
      <c r="H72" s="190">
        <f>H71-F72-D72+B72</f>
        <v>9.25</v>
      </c>
      <c r="I72" s="190">
        <f>I71-E72+C72</f>
        <v>41.25</v>
      </c>
      <c r="J72" s="191">
        <f>SUM(H72:I72)</f>
        <v>50.5</v>
      </c>
    </row>
    <row r="73" spans="1:12" ht="13.5">
      <c r="A73" s="192" t="s">
        <v>77</v>
      </c>
      <c r="B73" s="192">
        <v>2</v>
      </c>
      <c r="C73" s="192"/>
      <c r="D73" s="192"/>
      <c r="E73" s="192"/>
      <c r="F73" s="192"/>
      <c r="G73" s="193"/>
      <c r="H73" s="190">
        <f>H72-F73-D73+B73</f>
        <v>11.25</v>
      </c>
      <c r="I73" s="190">
        <f>I72-E73+C73</f>
        <v>41.25</v>
      </c>
      <c r="J73" s="191">
        <f>SUM(H73:I73)</f>
        <v>52.5</v>
      </c>
    </row>
    <row r="74" spans="1:12" ht="13.5">
      <c r="A74" s="192"/>
      <c r="B74" s="192"/>
      <c r="C74" s="192"/>
      <c r="D74" s="192"/>
      <c r="E74" s="192"/>
      <c r="F74" s="192"/>
      <c r="G74" s="193"/>
      <c r="H74" s="194"/>
      <c r="I74" s="194"/>
      <c r="J74" s="195"/>
    </row>
    <row r="75" spans="1:12" ht="13.5">
      <c r="A75" s="192"/>
      <c r="B75" s="192"/>
      <c r="C75" s="192"/>
      <c r="D75" s="192"/>
      <c r="E75" s="192"/>
      <c r="F75" s="192"/>
      <c r="G75" s="193"/>
      <c r="H75" s="194"/>
      <c r="I75" s="194"/>
      <c r="J75" s="195"/>
    </row>
    <row r="76" spans="1:12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34"/>
      <c r="L76" s="34"/>
    </row>
    <row r="77" spans="1:12">
      <c r="A77" s="34"/>
      <c r="B77" s="34"/>
      <c r="C77" s="34"/>
      <c r="D77" s="34"/>
      <c r="E77" s="34"/>
      <c r="G77" s="34"/>
      <c r="H77" s="34"/>
      <c r="I77" s="34"/>
      <c r="J77" s="34"/>
      <c r="K77" s="34"/>
      <c r="L77" s="34"/>
    </row>
    <row r="78" spans="1:12">
      <c r="A78" s="34"/>
      <c r="B78" s="34"/>
      <c r="C78" s="34"/>
      <c r="D78" s="34"/>
      <c r="E78" s="34"/>
      <c r="G78" s="34"/>
      <c r="H78" s="34"/>
      <c r="I78" s="34"/>
      <c r="J78" s="34"/>
      <c r="K78" s="34"/>
      <c r="L78" s="34"/>
    </row>
    <row r="79" spans="1:12">
      <c r="A79" s="34"/>
      <c r="B79" s="34"/>
      <c r="C79" s="34"/>
      <c r="D79" s="34"/>
      <c r="E79" s="34"/>
      <c r="G79" s="34"/>
      <c r="H79" s="34"/>
      <c r="I79" s="34"/>
      <c r="J79" s="34"/>
      <c r="K79" s="34"/>
      <c r="L79" s="34"/>
    </row>
    <row r="80" spans="1:12">
      <c r="A80" s="34"/>
      <c r="B80" s="34"/>
      <c r="C80" s="34"/>
      <c r="D80" s="34"/>
      <c r="E80" s="34"/>
      <c r="G80" s="34"/>
      <c r="H80" s="34"/>
      <c r="I80" s="34"/>
      <c r="J80" s="34"/>
      <c r="K80" s="34"/>
      <c r="L80" s="34"/>
    </row>
    <row r="81" spans="1:12">
      <c r="A81" s="34"/>
      <c r="B81" s="34"/>
      <c r="C81" s="34"/>
      <c r="D81" s="34"/>
      <c r="E81" s="34"/>
      <c r="G81" s="34"/>
      <c r="H81" s="34"/>
      <c r="I81" s="34"/>
      <c r="J81" s="34"/>
      <c r="K81" s="34"/>
      <c r="L81" s="34"/>
    </row>
    <row r="82" spans="1:12">
      <c r="A82" s="34"/>
      <c r="B82" s="34"/>
      <c r="C82" s="34"/>
      <c r="D82" s="34"/>
      <c r="E82" s="34"/>
      <c r="G82" s="34"/>
      <c r="H82" s="34"/>
      <c r="I82" s="34"/>
      <c r="J82" s="34"/>
      <c r="K82" s="34"/>
      <c r="L82" s="34"/>
    </row>
    <row r="83" spans="1:12">
      <c r="A83" s="34"/>
      <c r="B83" s="34"/>
      <c r="C83" s="34"/>
      <c r="D83" s="34"/>
      <c r="E83" s="34"/>
      <c r="G83" s="34"/>
      <c r="H83" s="34"/>
      <c r="I83" s="34"/>
      <c r="J83" s="34"/>
      <c r="K83" s="34"/>
      <c r="L83" s="34"/>
    </row>
    <row r="84" spans="1:12">
      <c r="A84" s="34"/>
      <c r="B84" s="34"/>
      <c r="C84" s="34"/>
      <c r="D84" s="34"/>
      <c r="E84" s="34"/>
      <c r="G84" s="34"/>
      <c r="H84" s="34"/>
      <c r="I84" s="34"/>
      <c r="J84" s="34"/>
      <c r="K84" s="34"/>
      <c r="L84" s="34"/>
    </row>
    <row r="85" spans="1:12">
      <c r="A85" s="34"/>
      <c r="B85" s="34"/>
      <c r="C85" s="34"/>
      <c r="D85" s="34"/>
      <c r="E85" s="34"/>
      <c r="G85" s="34"/>
      <c r="H85" s="34"/>
      <c r="I85" s="34"/>
      <c r="J85" s="34"/>
      <c r="K85" s="34"/>
      <c r="L85" s="34"/>
    </row>
    <row r="86" spans="1:12">
      <c r="A86" s="34"/>
      <c r="B86" s="34"/>
      <c r="C86" s="34"/>
      <c r="D86" s="34"/>
      <c r="E86" s="34"/>
      <c r="G86" s="34"/>
      <c r="H86" s="34"/>
      <c r="I86" s="34"/>
      <c r="J86" s="34"/>
      <c r="K86" s="34"/>
      <c r="L86" s="34"/>
    </row>
    <row r="87" spans="1:12">
      <c r="A87" s="34"/>
      <c r="B87" s="34"/>
      <c r="C87" s="34"/>
      <c r="D87" s="34"/>
      <c r="E87" s="34"/>
      <c r="G87" s="34"/>
      <c r="H87" s="34"/>
      <c r="I87" s="34"/>
      <c r="J87" s="34"/>
      <c r="K87" s="34"/>
      <c r="L87" s="34"/>
    </row>
    <row r="88" spans="1:12">
      <c r="A88" s="34"/>
      <c r="B88" s="34"/>
      <c r="C88" s="34"/>
      <c r="D88" s="34"/>
      <c r="E88" s="34"/>
      <c r="G88" s="34"/>
      <c r="H88" s="34"/>
      <c r="I88" s="34"/>
      <c r="J88" s="34"/>
      <c r="K88" s="34"/>
      <c r="L88" s="34"/>
    </row>
    <row r="89" spans="1:12">
      <c r="A89" s="34"/>
      <c r="B89" s="34"/>
      <c r="C89" s="34"/>
      <c r="D89" s="34"/>
      <c r="E89" s="34"/>
      <c r="G89" s="34"/>
      <c r="H89" s="34"/>
      <c r="I89" s="34"/>
      <c r="J89" s="34"/>
      <c r="K89" s="34"/>
      <c r="L89" s="34"/>
    </row>
    <row r="90" spans="1:12">
      <c r="A90" s="34"/>
      <c r="B90" s="34"/>
      <c r="C90" s="34"/>
      <c r="D90" s="34"/>
      <c r="E90" s="34"/>
      <c r="G90" s="34"/>
      <c r="H90" s="34"/>
      <c r="I90" s="34"/>
      <c r="J90" s="34"/>
      <c r="K90" s="34"/>
      <c r="L90" s="34"/>
    </row>
    <row r="91" spans="1:12">
      <c r="A91" s="34"/>
      <c r="B91" s="34"/>
      <c r="C91" s="34"/>
      <c r="D91" s="34"/>
      <c r="E91" s="34"/>
      <c r="G91" s="34"/>
      <c r="H91" s="34"/>
      <c r="I91" s="34"/>
      <c r="J91" s="34"/>
      <c r="K91" s="34"/>
      <c r="L91" s="34"/>
    </row>
    <row r="92" spans="1:12">
      <c r="A92" s="34"/>
      <c r="B92" s="34"/>
      <c r="C92" s="34"/>
      <c r="D92" s="34"/>
      <c r="E92" s="34"/>
      <c r="G92" s="34"/>
      <c r="H92" s="34"/>
      <c r="I92" s="34"/>
      <c r="J92" s="34"/>
      <c r="K92" s="34"/>
      <c r="L92" s="34"/>
    </row>
    <row r="93" spans="1:12">
      <c r="A93" s="34"/>
      <c r="B93" s="34"/>
      <c r="C93" s="34"/>
      <c r="D93" s="34"/>
      <c r="E93" s="34"/>
      <c r="G93" s="34"/>
      <c r="H93" s="34"/>
      <c r="I93" s="34"/>
      <c r="J93" s="34"/>
      <c r="K93" s="34"/>
      <c r="L93" s="34"/>
    </row>
    <row r="94" spans="1:12">
      <c r="A94" s="34"/>
      <c r="B94" s="34"/>
      <c r="C94" s="34"/>
      <c r="D94" s="34"/>
      <c r="E94" s="34"/>
      <c r="G94" s="34"/>
      <c r="H94" s="34"/>
      <c r="I94" s="34"/>
      <c r="J94" s="34"/>
      <c r="K94" s="34"/>
      <c r="L94" s="34"/>
    </row>
    <row r="95" spans="1:12">
      <c r="A95" s="34"/>
      <c r="B95" s="34"/>
      <c r="C95" s="34"/>
      <c r="D95" s="34"/>
      <c r="E95" s="34"/>
      <c r="G95" s="34"/>
      <c r="H95" s="34"/>
      <c r="I95" s="34"/>
      <c r="J95" s="34"/>
      <c r="K95" s="34"/>
      <c r="L95" s="34"/>
    </row>
    <row r="96" spans="1:12">
      <c r="A96" s="34"/>
      <c r="B96" s="34"/>
      <c r="C96" s="34"/>
      <c r="D96" s="34"/>
      <c r="E96" s="34"/>
      <c r="G96" s="34"/>
      <c r="H96" s="34"/>
      <c r="I96" s="34"/>
      <c r="J96" s="34"/>
      <c r="K96" s="34"/>
      <c r="L96" s="34"/>
    </row>
    <row r="97" spans="1:12">
      <c r="A97" s="34"/>
      <c r="B97" s="34"/>
      <c r="C97" s="34"/>
      <c r="D97" s="34"/>
      <c r="E97" s="34"/>
      <c r="G97" s="34"/>
      <c r="H97" s="34"/>
      <c r="I97" s="34"/>
      <c r="J97" s="34"/>
      <c r="K97" s="34"/>
      <c r="L97" s="34"/>
    </row>
    <row r="98" spans="1:12">
      <c r="A98" s="34"/>
      <c r="B98" s="34"/>
      <c r="C98" s="34"/>
      <c r="D98" s="34"/>
      <c r="E98" s="34"/>
      <c r="G98" s="34"/>
      <c r="H98" s="34"/>
      <c r="I98" s="34"/>
      <c r="J98" s="34"/>
      <c r="K98" s="34"/>
      <c r="L98" s="34"/>
    </row>
    <row r="99" spans="1:12">
      <c r="A99" s="34"/>
      <c r="B99" s="34"/>
      <c r="C99" s="34"/>
      <c r="D99" s="34"/>
      <c r="E99" s="34"/>
      <c r="G99" s="34"/>
      <c r="H99" s="34"/>
      <c r="I99" s="34"/>
      <c r="J99" s="34"/>
      <c r="K99" s="34"/>
      <c r="L99" s="34"/>
    </row>
    <row r="100" spans="1:12">
      <c r="A100" s="34"/>
      <c r="B100" s="34"/>
      <c r="C100" s="34"/>
      <c r="D100" s="34"/>
      <c r="E100" s="34"/>
      <c r="G100" s="34"/>
      <c r="H100" s="34"/>
      <c r="I100" s="34"/>
      <c r="J100" s="34"/>
      <c r="K100" s="34"/>
      <c r="L100" s="34"/>
    </row>
    <row r="101" spans="1:12">
      <c r="A101" s="34"/>
      <c r="B101" s="34"/>
      <c r="C101" s="34"/>
      <c r="D101" s="34"/>
      <c r="E101" s="34"/>
      <c r="G101" s="34"/>
      <c r="H101" s="34"/>
      <c r="I101" s="34"/>
      <c r="J101" s="34"/>
      <c r="K101" s="34"/>
      <c r="L101" s="34"/>
    </row>
    <row r="102" spans="1:12">
      <c r="A102" s="34"/>
      <c r="B102" s="34"/>
      <c r="C102" s="34"/>
      <c r="D102" s="34"/>
      <c r="E102" s="34"/>
      <c r="G102" s="34"/>
      <c r="H102" s="34"/>
      <c r="I102" s="34"/>
      <c r="J102" s="34"/>
      <c r="K102" s="34"/>
      <c r="L102" s="34"/>
    </row>
    <row r="103" spans="1:12">
      <c r="A103" s="34"/>
      <c r="B103" s="34"/>
      <c r="C103" s="34"/>
      <c r="D103" s="34"/>
      <c r="E103" s="34"/>
      <c r="G103" s="34"/>
      <c r="H103" s="34"/>
      <c r="I103" s="34"/>
      <c r="J103" s="34"/>
      <c r="K103" s="34"/>
      <c r="L103" s="34"/>
    </row>
    <row r="104" spans="1:12">
      <c r="A104" s="34"/>
      <c r="B104" s="34"/>
      <c r="C104" s="34"/>
      <c r="D104" s="34"/>
      <c r="E104" s="34"/>
      <c r="G104" s="34"/>
      <c r="H104" s="34"/>
      <c r="I104" s="34"/>
      <c r="J104" s="34"/>
      <c r="K104" s="34"/>
      <c r="L104" s="34"/>
    </row>
    <row r="105" spans="1:12">
      <c r="A105" s="34"/>
      <c r="B105" s="34"/>
      <c r="C105" s="34"/>
      <c r="D105" s="34"/>
      <c r="E105" s="34"/>
      <c r="G105" s="34"/>
      <c r="H105" s="34"/>
      <c r="I105" s="34"/>
      <c r="J105" s="34"/>
      <c r="K105" s="34"/>
      <c r="L105" s="34"/>
    </row>
    <row r="106" spans="1:12">
      <c r="A106" s="34"/>
      <c r="B106" s="34"/>
      <c r="C106" s="34"/>
      <c r="D106" s="34"/>
      <c r="E106" s="34"/>
      <c r="G106" s="34"/>
      <c r="H106" s="34"/>
      <c r="I106" s="34"/>
      <c r="J106" s="34"/>
      <c r="K106" s="34"/>
      <c r="L106" s="34"/>
    </row>
    <row r="107" spans="1:12">
      <c r="A107" s="34"/>
      <c r="B107" s="34"/>
      <c r="C107" s="34"/>
      <c r="D107" s="34"/>
      <c r="E107" s="34"/>
      <c r="G107" s="34"/>
      <c r="H107" s="34"/>
      <c r="I107" s="34"/>
      <c r="J107" s="34"/>
      <c r="K107" s="34"/>
      <c r="L107" s="34"/>
    </row>
    <row r="108" spans="1:12">
      <c r="A108" s="34"/>
      <c r="B108" s="34"/>
      <c r="C108" s="34"/>
      <c r="D108" s="34"/>
      <c r="E108" s="34"/>
      <c r="G108" s="34"/>
      <c r="H108" s="34"/>
      <c r="I108" s="34"/>
      <c r="J108" s="34"/>
      <c r="K108" s="34"/>
      <c r="L108" s="34"/>
    </row>
    <row r="109" spans="1:12">
      <c r="A109" s="34"/>
      <c r="B109" s="34"/>
      <c r="C109" s="34"/>
      <c r="D109" s="34"/>
      <c r="E109" s="34"/>
      <c r="G109" s="34"/>
      <c r="H109" s="34"/>
      <c r="I109" s="34"/>
      <c r="J109" s="34"/>
      <c r="K109" s="34"/>
      <c r="L109" s="34"/>
    </row>
    <row r="110" spans="1:12">
      <c r="A110" s="34"/>
      <c r="B110" s="34"/>
      <c r="C110" s="34"/>
      <c r="D110" s="34"/>
      <c r="E110" s="34"/>
      <c r="G110" s="34"/>
      <c r="H110" s="34"/>
      <c r="I110" s="34"/>
      <c r="J110" s="34"/>
      <c r="K110" s="34"/>
      <c r="L110" s="34"/>
    </row>
    <row r="111" spans="1:12">
      <c r="A111" s="34"/>
      <c r="B111" s="34"/>
      <c r="C111" s="34"/>
      <c r="D111" s="34"/>
      <c r="E111" s="34"/>
      <c r="G111" s="34"/>
      <c r="H111" s="34"/>
      <c r="I111" s="34"/>
      <c r="J111" s="34"/>
      <c r="K111" s="34"/>
      <c r="L111" s="34"/>
    </row>
    <row r="112" spans="1:12">
      <c r="A112" s="34"/>
      <c r="B112" s="34"/>
      <c r="C112" s="34"/>
      <c r="D112" s="34"/>
      <c r="E112" s="34"/>
      <c r="G112" s="34"/>
      <c r="H112" s="34"/>
      <c r="I112" s="34"/>
      <c r="J112" s="34"/>
      <c r="K112" s="34"/>
      <c r="L112" s="34"/>
    </row>
    <row r="113" spans="1:12">
      <c r="A113" s="34"/>
      <c r="B113" s="34"/>
      <c r="C113" s="34"/>
      <c r="D113" s="34"/>
      <c r="E113" s="34"/>
      <c r="G113" s="34"/>
      <c r="H113" s="34"/>
      <c r="I113" s="34"/>
      <c r="J113" s="34"/>
      <c r="K113" s="34"/>
      <c r="L113" s="34"/>
    </row>
    <row r="114" spans="1:12">
      <c r="A114" s="34"/>
      <c r="B114" s="34"/>
      <c r="C114" s="34"/>
      <c r="D114" s="34"/>
      <c r="E114" s="34"/>
      <c r="G114" s="34"/>
      <c r="H114" s="34"/>
      <c r="I114" s="34"/>
      <c r="J114" s="34"/>
      <c r="K114" s="34"/>
      <c r="L114" s="34"/>
    </row>
    <row r="115" spans="1:12">
      <c r="A115" s="34"/>
      <c r="B115" s="34"/>
      <c r="C115" s="34"/>
      <c r="D115" s="34"/>
      <c r="E115" s="34"/>
      <c r="G115" s="34"/>
      <c r="H115" s="34"/>
      <c r="I115" s="34"/>
      <c r="J115" s="34"/>
      <c r="K115" s="34"/>
      <c r="L115" s="34"/>
    </row>
    <row r="116" spans="1:12">
      <c r="A116" s="34"/>
      <c r="B116" s="34"/>
      <c r="C116" s="34"/>
      <c r="D116" s="34"/>
      <c r="E116" s="34"/>
      <c r="G116" s="34"/>
      <c r="H116" s="34"/>
      <c r="I116" s="34"/>
      <c r="J116" s="34"/>
      <c r="K116" s="34"/>
      <c r="L116" s="34"/>
    </row>
    <row r="117" spans="1:12">
      <c r="A117" s="34"/>
      <c r="B117" s="34"/>
      <c r="C117" s="34"/>
      <c r="D117" s="34"/>
      <c r="E117" s="34"/>
      <c r="G117" s="34"/>
      <c r="H117" s="34"/>
      <c r="I117" s="34"/>
      <c r="J117" s="34"/>
      <c r="K117" s="34"/>
      <c r="L117" s="34"/>
    </row>
    <row r="118" spans="1:12">
      <c r="A118" s="34"/>
      <c r="B118" s="34"/>
      <c r="C118" s="34"/>
      <c r="D118" s="34"/>
      <c r="E118" s="34"/>
      <c r="G118" s="34"/>
      <c r="H118" s="34"/>
      <c r="I118" s="34"/>
      <c r="J118" s="34"/>
      <c r="K118" s="34"/>
      <c r="L118" s="34"/>
    </row>
    <row r="119" spans="1:12">
      <c r="A119" s="34"/>
      <c r="B119" s="34"/>
      <c r="C119" s="34"/>
      <c r="D119" s="34"/>
      <c r="E119" s="34"/>
      <c r="G119" s="34"/>
      <c r="H119" s="34"/>
      <c r="I119" s="34"/>
      <c r="J119" s="34"/>
      <c r="K119" s="34"/>
      <c r="L119" s="34"/>
    </row>
    <row r="120" spans="1:12">
      <c r="A120" s="34"/>
      <c r="B120" s="34"/>
      <c r="C120" s="34"/>
      <c r="D120" s="34"/>
      <c r="E120" s="34"/>
      <c r="G120" s="34"/>
      <c r="H120" s="34"/>
      <c r="I120" s="34"/>
      <c r="J120" s="34"/>
      <c r="K120" s="34"/>
      <c r="L120" s="34"/>
    </row>
    <row r="121" spans="1:12">
      <c r="A121" s="34"/>
      <c r="B121" s="34"/>
      <c r="C121" s="34"/>
      <c r="D121" s="34"/>
      <c r="E121" s="34"/>
      <c r="G121" s="34"/>
      <c r="H121" s="34"/>
      <c r="I121" s="34"/>
      <c r="J121" s="34"/>
      <c r="K121" s="34"/>
      <c r="L121" s="34"/>
    </row>
    <row r="122" spans="1:12">
      <c r="A122" s="34"/>
      <c r="B122" s="34"/>
      <c r="C122" s="34"/>
      <c r="D122" s="34"/>
      <c r="E122" s="34"/>
      <c r="G122" s="34"/>
      <c r="H122" s="34"/>
      <c r="I122" s="34"/>
      <c r="J122" s="34"/>
      <c r="K122" s="34"/>
      <c r="L122" s="34"/>
    </row>
    <row r="123" spans="1:12">
      <c r="A123" s="34"/>
      <c r="B123" s="34"/>
      <c r="C123" s="34"/>
      <c r="D123" s="34"/>
      <c r="E123" s="34"/>
      <c r="G123" s="34"/>
      <c r="H123" s="34"/>
      <c r="I123" s="34"/>
      <c r="J123" s="34"/>
      <c r="K123" s="34"/>
      <c r="L123" s="34"/>
    </row>
    <row r="124" spans="1:12">
      <c r="A124" s="34"/>
      <c r="B124" s="34"/>
      <c r="C124" s="34"/>
      <c r="D124" s="34"/>
      <c r="E124" s="34"/>
      <c r="G124" s="34"/>
      <c r="H124" s="34"/>
      <c r="I124" s="34"/>
      <c r="J124" s="34"/>
      <c r="K124" s="34"/>
      <c r="L124" s="34"/>
    </row>
    <row r="125" spans="1:12">
      <c r="A125" s="34"/>
      <c r="B125" s="34"/>
      <c r="C125" s="34"/>
      <c r="D125" s="34"/>
      <c r="E125" s="34"/>
      <c r="G125" s="34"/>
      <c r="H125" s="34"/>
      <c r="I125" s="34"/>
      <c r="J125" s="34"/>
      <c r="K125" s="34"/>
      <c r="L125" s="34"/>
    </row>
    <row r="126" spans="1:12">
      <c r="A126" s="34"/>
      <c r="B126" s="34"/>
      <c r="C126" s="34"/>
      <c r="D126" s="34"/>
      <c r="E126" s="34"/>
      <c r="G126" s="34"/>
      <c r="H126" s="34"/>
      <c r="I126" s="34"/>
      <c r="J126" s="34"/>
      <c r="K126" s="34"/>
      <c r="L126" s="34"/>
    </row>
    <row r="127" spans="1:12">
      <c r="A127" s="34"/>
      <c r="B127" s="34"/>
      <c r="C127" s="34"/>
      <c r="D127" s="34"/>
      <c r="E127" s="34"/>
      <c r="G127" s="34"/>
      <c r="H127" s="34"/>
      <c r="I127" s="34"/>
      <c r="J127" s="34"/>
      <c r="K127" s="34"/>
      <c r="L127" s="34"/>
    </row>
    <row r="128" spans="1:12">
      <c r="A128" s="34"/>
      <c r="B128" s="34"/>
      <c r="C128" s="34"/>
      <c r="D128" s="34"/>
      <c r="E128" s="34"/>
      <c r="G128" s="34"/>
      <c r="H128" s="34"/>
      <c r="I128" s="34"/>
      <c r="J128" s="34"/>
      <c r="K128" s="34"/>
      <c r="L128" s="34"/>
    </row>
    <row r="129" spans="1:12">
      <c r="A129" s="34"/>
      <c r="B129" s="34"/>
      <c r="C129" s="34"/>
      <c r="D129" s="34"/>
      <c r="E129" s="34"/>
      <c r="G129" s="34"/>
      <c r="H129" s="34"/>
      <c r="I129" s="34"/>
      <c r="J129" s="34"/>
      <c r="K129" s="34"/>
      <c r="L129" s="34"/>
    </row>
    <row r="130" spans="1:12">
      <c r="A130" s="34"/>
      <c r="B130" s="34"/>
      <c r="C130" s="34"/>
      <c r="D130" s="34"/>
      <c r="E130" s="34"/>
      <c r="G130" s="34"/>
      <c r="H130" s="34"/>
      <c r="I130" s="34"/>
      <c r="J130" s="34"/>
      <c r="K130" s="34"/>
      <c r="L130" s="34"/>
    </row>
    <row r="131" spans="1:12">
      <c r="A131" s="34"/>
      <c r="B131" s="34"/>
      <c r="C131" s="34"/>
      <c r="D131" s="34"/>
      <c r="E131" s="34"/>
      <c r="G131" s="34"/>
      <c r="H131" s="34"/>
      <c r="I131" s="34"/>
      <c r="J131" s="34"/>
      <c r="K131" s="34"/>
      <c r="L131" s="34"/>
    </row>
    <row r="132" spans="1:12">
      <c r="A132" s="34"/>
      <c r="B132" s="34"/>
      <c r="C132" s="34"/>
      <c r="D132" s="34"/>
      <c r="E132" s="34"/>
      <c r="G132" s="34"/>
      <c r="H132" s="34"/>
      <c r="I132" s="34"/>
      <c r="J132" s="34"/>
      <c r="K132" s="34"/>
      <c r="L132" s="34"/>
    </row>
    <row r="133" spans="1:12">
      <c r="A133" s="34"/>
      <c r="B133" s="34"/>
      <c r="C133" s="34"/>
      <c r="D133" s="34"/>
      <c r="E133" s="34"/>
      <c r="G133" s="34"/>
      <c r="H133" s="34"/>
      <c r="I133" s="34"/>
      <c r="J133" s="34"/>
      <c r="K133" s="34"/>
      <c r="L133" s="34"/>
    </row>
    <row r="134" spans="1:12">
      <c r="A134" s="34"/>
      <c r="B134" s="34"/>
      <c r="C134" s="34"/>
      <c r="D134" s="34"/>
      <c r="E134" s="34"/>
      <c r="G134" s="34"/>
      <c r="H134" s="34"/>
      <c r="I134" s="34"/>
      <c r="J134" s="34"/>
      <c r="K134" s="34"/>
      <c r="L134" s="34"/>
    </row>
    <row r="135" spans="1:12">
      <c r="A135" s="34"/>
      <c r="B135" s="34"/>
      <c r="C135" s="34"/>
      <c r="D135" s="34"/>
      <c r="E135" s="34"/>
      <c r="G135" s="34"/>
      <c r="H135" s="34"/>
      <c r="I135" s="34"/>
      <c r="J135" s="34"/>
      <c r="K135" s="34"/>
      <c r="L135" s="34"/>
    </row>
    <row r="136" spans="1:12">
      <c r="A136" s="34"/>
      <c r="B136" s="34"/>
      <c r="C136" s="34"/>
      <c r="D136" s="34"/>
      <c r="E136" s="34"/>
      <c r="G136" s="34"/>
      <c r="H136" s="34"/>
      <c r="I136" s="34"/>
      <c r="J136" s="34"/>
      <c r="K136" s="34"/>
      <c r="L136" s="34"/>
    </row>
    <row r="137" spans="1:12">
      <c r="A137" s="34"/>
      <c r="B137" s="34"/>
      <c r="C137" s="34"/>
      <c r="D137" s="34"/>
      <c r="E137" s="34"/>
      <c r="G137" s="34"/>
      <c r="H137" s="34"/>
      <c r="I137" s="34"/>
      <c r="J137" s="34"/>
      <c r="K137" s="34"/>
      <c r="L137" s="34"/>
    </row>
    <row r="138" spans="1:12">
      <c r="A138" s="34"/>
      <c r="B138" s="34"/>
      <c r="C138" s="34"/>
      <c r="D138" s="34"/>
      <c r="E138" s="34"/>
      <c r="G138" s="34"/>
      <c r="H138" s="34"/>
      <c r="I138" s="34"/>
      <c r="J138" s="34"/>
      <c r="K138" s="34"/>
      <c r="L138" s="34"/>
    </row>
    <row r="139" spans="1:12">
      <c r="A139" s="34"/>
      <c r="B139" s="34"/>
      <c r="C139" s="34"/>
      <c r="D139" s="34"/>
      <c r="E139" s="34"/>
      <c r="G139" s="34"/>
      <c r="H139" s="34"/>
      <c r="I139" s="34"/>
      <c r="J139" s="34"/>
      <c r="K139" s="34"/>
      <c r="L139" s="34"/>
    </row>
    <row r="140" spans="1:12">
      <c r="A140" s="34"/>
      <c r="B140" s="34"/>
      <c r="C140" s="34"/>
      <c r="D140" s="34"/>
      <c r="E140" s="34"/>
      <c r="G140" s="34"/>
      <c r="H140" s="34"/>
      <c r="I140" s="34"/>
      <c r="J140" s="34"/>
      <c r="K140" s="34"/>
      <c r="L140" s="34"/>
    </row>
    <row r="141" spans="1:12">
      <c r="A141" s="34"/>
      <c r="B141" s="34"/>
      <c r="C141" s="34"/>
      <c r="D141" s="34"/>
      <c r="E141" s="34"/>
      <c r="G141" s="34"/>
      <c r="H141" s="34"/>
      <c r="I141" s="34"/>
      <c r="J141" s="34"/>
      <c r="K141" s="34"/>
      <c r="L141" s="34"/>
    </row>
    <row r="142" spans="1:12">
      <c r="A142" s="34"/>
      <c r="B142" s="34"/>
      <c r="C142" s="34"/>
      <c r="D142" s="34"/>
      <c r="E142" s="34"/>
      <c r="G142" s="34"/>
      <c r="H142" s="34"/>
      <c r="I142" s="34"/>
      <c r="J142" s="34"/>
      <c r="K142" s="34"/>
      <c r="L142" s="34"/>
    </row>
    <row r="143" spans="1:12">
      <c r="A143" s="34"/>
      <c r="B143" s="34"/>
      <c r="C143" s="34"/>
      <c r="D143" s="34"/>
      <c r="E143" s="34"/>
      <c r="G143" s="34"/>
      <c r="H143" s="34"/>
      <c r="I143" s="34"/>
      <c r="J143" s="34"/>
      <c r="K143" s="34"/>
      <c r="L143" s="34"/>
    </row>
    <row r="144" spans="1:12">
      <c r="A144" s="34"/>
      <c r="B144" s="34"/>
      <c r="C144" s="34"/>
      <c r="D144" s="34"/>
      <c r="E144" s="34"/>
      <c r="G144" s="34"/>
      <c r="H144" s="34"/>
      <c r="I144" s="34"/>
      <c r="J144" s="34"/>
      <c r="K144" s="34"/>
      <c r="L144" s="34"/>
    </row>
    <row r="145" spans="1:12">
      <c r="A145" s="34"/>
      <c r="B145" s="34"/>
      <c r="C145" s="34"/>
      <c r="D145" s="34"/>
      <c r="E145" s="34"/>
      <c r="G145" s="34"/>
      <c r="H145" s="34"/>
      <c r="I145" s="34"/>
      <c r="J145" s="34"/>
      <c r="K145" s="34"/>
      <c r="L145" s="34"/>
    </row>
    <row r="146" spans="1:12">
      <c r="A146" s="34"/>
      <c r="B146" s="34"/>
      <c r="C146" s="34"/>
      <c r="D146" s="34"/>
      <c r="E146" s="34"/>
      <c r="G146" s="34"/>
      <c r="H146" s="34"/>
      <c r="I146" s="34"/>
      <c r="J146" s="34"/>
      <c r="K146" s="34"/>
      <c r="L146" s="34"/>
    </row>
    <row r="147" spans="1:12">
      <c r="A147" s="34"/>
      <c r="B147" s="34"/>
      <c r="C147" s="34"/>
      <c r="D147" s="34"/>
      <c r="E147" s="34"/>
      <c r="G147" s="34"/>
      <c r="H147" s="34"/>
      <c r="I147" s="34"/>
      <c r="J147" s="34"/>
      <c r="K147" s="34"/>
      <c r="L147" s="34"/>
    </row>
    <row r="148" spans="1:12">
      <c r="A148" s="34"/>
      <c r="B148" s="34"/>
      <c r="C148" s="34"/>
      <c r="D148" s="34"/>
      <c r="E148" s="34"/>
      <c r="G148" s="34"/>
      <c r="H148" s="34"/>
      <c r="I148" s="34"/>
      <c r="J148" s="34"/>
      <c r="K148" s="34"/>
      <c r="L148" s="34"/>
    </row>
    <row r="149" spans="1:12">
      <c r="A149" s="34"/>
      <c r="B149" s="34"/>
      <c r="C149" s="34"/>
      <c r="D149" s="34"/>
      <c r="E149" s="34"/>
      <c r="G149" s="34"/>
      <c r="H149" s="34"/>
      <c r="I149" s="34"/>
      <c r="J149" s="34"/>
      <c r="K149" s="34"/>
      <c r="L149" s="34"/>
    </row>
    <row r="150" spans="1:12">
      <c r="A150" s="34"/>
      <c r="B150" s="34"/>
      <c r="C150" s="34"/>
      <c r="D150" s="34"/>
      <c r="E150" s="34"/>
      <c r="G150" s="34"/>
      <c r="H150" s="34"/>
      <c r="I150" s="34"/>
      <c r="J150" s="34"/>
      <c r="K150" s="34"/>
      <c r="L150" s="34"/>
    </row>
    <row r="151" spans="1:12">
      <c r="A151" s="34"/>
      <c r="B151" s="34"/>
      <c r="C151" s="34"/>
      <c r="D151" s="34"/>
      <c r="E151" s="34"/>
      <c r="G151" s="34"/>
      <c r="H151" s="34"/>
      <c r="I151" s="34"/>
      <c r="J151" s="34"/>
      <c r="K151" s="34"/>
      <c r="L151" s="34"/>
    </row>
    <row r="152" spans="1:12">
      <c r="A152" s="34"/>
      <c r="B152" s="34"/>
      <c r="C152" s="34"/>
      <c r="D152" s="34"/>
      <c r="E152" s="34"/>
      <c r="G152" s="34"/>
      <c r="H152" s="34"/>
      <c r="I152" s="34"/>
      <c r="J152" s="34"/>
      <c r="K152" s="34"/>
      <c r="L152" s="34"/>
    </row>
    <row r="153" spans="1:12">
      <c r="A153" s="34"/>
      <c r="B153" s="34"/>
      <c r="C153" s="34"/>
      <c r="D153" s="34"/>
      <c r="E153" s="34"/>
      <c r="G153" s="34"/>
      <c r="H153" s="34"/>
      <c r="I153" s="34"/>
      <c r="J153" s="34"/>
      <c r="K153" s="34"/>
      <c r="L153" s="34"/>
    </row>
    <row r="154" spans="1:12">
      <c r="A154" s="34"/>
      <c r="B154" s="34"/>
      <c r="C154" s="34"/>
      <c r="D154" s="34"/>
      <c r="E154" s="34"/>
      <c r="G154" s="34"/>
      <c r="H154" s="34"/>
      <c r="I154" s="34"/>
      <c r="J154" s="34"/>
      <c r="K154" s="34"/>
      <c r="L154" s="34"/>
    </row>
    <row r="155" spans="1:12">
      <c r="A155" s="34"/>
      <c r="B155" s="34"/>
      <c r="C155" s="34"/>
      <c r="D155" s="34"/>
      <c r="E155" s="34"/>
      <c r="G155" s="34"/>
      <c r="H155" s="34"/>
      <c r="I155" s="34"/>
      <c r="J155" s="34"/>
      <c r="K155" s="34"/>
      <c r="L155" s="34"/>
    </row>
    <row r="156" spans="1:12">
      <c r="A156" s="34"/>
      <c r="B156" s="34"/>
      <c r="C156" s="34"/>
      <c r="D156" s="34"/>
      <c r="E156" s="34"/>
      <c r="G156" s="34"/>
      <c r="H156" s="34"/>
      <c r="I156" s="34"/>
      <c r="J156" s="34"/>
      <c r="K156" s="34"/>
      <c r="L156" s="34"/>
    </row>
    <row r="157" spans="1:12">
      <c r="A157" s="34"/>
      <c r="B157" s="34"/>
      <c r="C157" s="34"/>
      <c r="D157" s="34"/>
      <c r="E157" s="34"/>
      <c r="G157" s="34"/>
      <c r="H157" s="34"/>
      <c r="I157" s="34"/>
      <c r="J157" s="34"/>
      <c r="K157" s="34"/>
      <c r="L157" s="34"/>
    </row>
    <row r="158" spans="1:12">
      <c r="A158" s="34"/>
      <c r="B158" s="34"/>
      <c r="C158" s="34"/>
      <c r="D158" s="34"/>
      <c r="E158" s="34"/>
      <c r="G158" s="34"/>
      <c r="H158" s="34"/>
      <c r="I158" s="34"/>
      <c r="J158" s="34"/>
      <c r="K158" s="34"/>
      <c r="L158" s="34"/>
    </row>
    <row r="159" spans="1:12">
      <c r="A159" s="34"/>
      <c r="B159" s="34"/>
      <c r="C159" s="34"/>
      <c r="D159" s="34"/>
      <c r="E159" s="34"/>
      <c r="G159" s="34"/>
      <c r="H159" s="34"/>
      <c r="I159" s="34"/>
      <c r="J159" s="34"/>
      <c r="K159" s="34"/>
      <c r="L159" s="34"/>
    </row>
    <row r="160" spans="1:12">
      <c r="A160" s="34"/>
      <c r="B160" s="34"/>
      <c r="C160" s="34"/>
      <c r="D160" s="34"/>
      <c r="E160" s="34"/>
      <c r="G160" s="34"/>
      <c r="H160" s="34"/>
      <c r="I160" s="34"/>
      <c r="J160" s="34"/>
      <c r="K160" s="34"/>
      <c r="L160" s="34"/>
    </row>
    <row r="161" spans="1:12">
      <c r="A161" s="34"/>
      <c r="B161" s="34"/>
      <c r="C161" s="34"/>
      <c r="D161" s="34"/>
      <c r="E161" s="34"/>
      <c r="G161" s="34"/>
      <c r="H161" s="34"/>
      <c r="I161" s="34"/>
      <c r="J161" s="34"/>
      <c r="K161" s="34"/>
      <c r="L161" s="34"/>
    </row>
    <row r="162" spans="1:12">
      <c r="A162" s="34"/>
      <c r="B162" s="34"/>
      <c r="C162" s="34"/>
      <c r="D162" s="34"/>
      <c r="E162" s="34"/>
      <c r="G162" s="34"/>
      <c r="H162" s="34"/>
      <c r="I162" s="34"/>
      <c r="J162" s="34"/>
      <c r="K162" s="34"/>
      <c r="L162" s="34"/>
    </row>
    <row r="163" spans="1:12">
      <c r="A163" s="34"/>
      <c r="B163" s="34"/>
      <c r="C163" s="34"/>
      <c r="D163" s="34"/>
      <c r="E163" s="34"/>
      <c r="G163" s="34"/>
      <c r="H163" s="34"/>
      <c r="I163" s="34"/>
      <c r="J163" s="34"/>
      <c r="K163" s="34"/>
      <c r="L163" s="34"/>
    </row>
    <row r="164" spans="1:12">
      <c r="A164" s="34"/>
      <c r="B164" s="34"/>
      <c r="C164" s="34"/>
      <c r="D164" s="34"/>
      <c r="E164" s="34"/>
      <c r="G164" s="34"/>
      <c r="H164" s="34"/>
      <c r="I164" s="34"/>
      <c r="J164" s="34"/>
      <c r="K164" s="34"/>
      <c r="L164" s="34"/>
    </row>
    <row r="165" spans="1:12">
      <c r="A165" s="34"/>
      <c r="B165" s="34"/>
      <c r="C165" s="34"/>
      <c r="D165" s="34"/>
      <c r="E165" s="34"/>
      <c r="G165" s="34"/>
      <c r="H165" s="34"/>
      <c r="I165" s="34"/>
      <c r="J165" s="34"/>
      <c r="K165" s="34"/>
      <c r="L165" s="34"/>
    </row>
    <row r="166" spans="1:12">
      <c r="A166" s="34"/>
      <c r="B166" s="34"/>
      <c r="C166" s="34"/>
      <c r="D166" s="34"/>
      <c r="E166" s="34"/>
      <c r="G166" s="34"/>
      <c r="H166" s="34"/>
      <c r="I166" s="34"/>
      <c r="J166" s="34"/>
      <c r="K166" s="34"/>
      <c r="L166" s="34"/>
    </row>
    <row r="167" spans="1:12">
      <c r="A167" s="34"/>
      <c r="B167" s="34"/>
      <c r="C167" s="34"/>
      <c r="D167" s="34"/>
      <c r="E167" s="34"/>
      <c r="G167" s="34"/>
      <c r="H167" s="34"/>
      <c r="I167" s="34"/>
      <c r="J167" s="34"/>
      <c r="K167" s="34"/>
      <c r="L167" s="34"/>
    </row>
    <row r="168" spans="1:12">
      <c r="A168" s="34"/>
      <c r="B168" s="34"/>
      <c r="C168" s="34"/>
      <c r="D168" s="34"/>
      <c r="E168" s="34"/>
      <c r="G168" s="34"/>
      <c r="H168" s="34"/>
      <c r="I168" s="34"/>
      <c r="J168" s="34"/>
      <c r="K168" s="34"/>
      <c r="L168" s="34"/>
    </row>
    <row r="169" spans="1:12">
      <c r="A169" s="34"/>
      <c r="B169" s="34"/>
      <c r="C169" s="34"/>
      <c r="D169" s="34"/>
      <c r="E169" s="34"/>
      <c r="G169" s="34"/>
      <c r="H169" s="34"/>
      <c r="I169" s="34"/>
      <c r="J169" s="34"/>
      <c r="K169" s="34"/>
      <c r="L169" s="34"/>
    </row>
    <row r="170" spans="1:12">
      <c r="A170" s="34"/>
      <c r="B170" s="34"/>
      <c r="C170" s="34"/>
      <c r="D170" s="34"/>
      <c r="E170" s="34"/>
      <c r="G170" s="34"/>
      <c r="H170" s="34"/>
      <c r="I170" s="34"/>
      <c r="J170" s="34"/>
      <c r="K170" s="34"/>
      <c r="L170" s="34"/>
    </row>
    <row r="171" spans="1:12">
      <c r="A171" s="34"/>
      <c r="B171" s="34"/>
      <c r="C171" s="34"/>
      <c r="D171" s="34"/>
      <c r="E171" s="34"/>
      <c r="G171" s="34"/>
      <c r="H171" s="34"/>
      <c r="I171" s="34"/>
      <c r="J171" s="34"/>
      <c r="K171" s="34"/>
      <c r="L171" s="34"/>
    </row>
    <row r="172" spans="1:12">
      <c r="A172" s="34"/>
      <c r="B172" s="34"/>
      <c r="C172" s="34"/>
      <c r="D172" s="34"/>
      <c r="E172" s="34"/>
      <c r="G172" s="34"/>
      <c r="H172" s="34"/>
      <c r="I172" s="34"/>
      <c r="J172" s="34"/>
      <c r="K172" s="34"/>
      <c r="L172" s="34"/>
    </row>
    <row r="173" spans="1:12">
      <c r="A173" s="34"/>
      <c r="B173" s="34"/>
      <c r="C173" s="34"/>
      <c r="D173" s="34"/>
      <c r="E173" s="34"/>
      <c r="G173" s="34"/>
      <c r="H173" s="34"/>
      <c r="I173" s="34"/>
      <c r="J173" s="34"/>
      <c r="K173" s="34"/>
      <c r="L173" s="34"/>
    </row>
    <row r="174" spans="1:12">
      <c r="A174" s="34"/>
      <c r="B174" s="34"/>
      <c r="C174" s="34"/>
      <c r="D174" s="34"/>
      <c r="E174" s="34"/>
      <c r="G174" s="34"/>
      <c r="H174" s="34"/>
      <c r="I174" s="34"/>
      <c r="J174" s="34"/>
      <c r="K174" s="34"/>
      <c r="L174" s="34"/>
    </row>
    <row r="175" spans="1:12">
      <c r="A175" s="34"/>
      <c r="B175" s="34"/>
      <c r="C175" s="34"/>
      <c r="D175" s="34"/>
      <c r="E175" s="34"/>
      <c r="G175" s="34"/>
      <c r="H175" s="34"/>
      <c r="I175" s="34"/>
      <c r="J175" s="34"/>
      <c r="K175" s="34"/>
      <c r="L175" s="34"/>
    </row>
    <row r="176" spans="1:12">
      <c r="A176" s="34"/>
      <c r="B176" s="34"/>
      <c r="C176" s="34"/>
      <c r="D176" s="34"/>
      <c r="E176" s="34"/>
      <c r="G176" s="34"/>
      <c r="H176" s="34"/>
      <c r="I176" s="34"/>
      <c r="J176" s="34"/>
      <c r="K176" s="34"/>
      <c r="L176" s="34"/>
    </row>
    <row r="177" spans="1:12">
      <c r="A177" s="34"/>
      <c r="B177" s="34"/>
      <c r="C177" s="34"/>
      <c r="D177" s="34"/>
      <c r="E177" s="34"/>
      <c r="G177" s="34"/>
      <c r="H177" s="34"/>
      <c r="I177" s="34"/>
      <c r="J177" s="34"/>
      <c r="K177" s="34"/>
      <c r="L177" s="34"/>
    </row>
    <row r="178" spans="1:12">
      <c r="A178" s="34"/>
      <c r="B178" s="34"/>
      <c r="C178" s="34"/>
      <c r="D178" s="34"/>
      <c r="E178" s="34"/>
      <c r="G178" s="34"/>
      <c r="H178" s="34"/>
      <c r="I178" s="34"/>
      <c r="J178" s="34"/>
      <c r="K178" s="34"/>
      <c r="L178" s="34"/>
    </row>
    <row r="179" spans="1:12">
      <c r="A179" s="34"/>
      <c r="B179" s="34"/>
      <c r="C179" s="34"/>
      <c r="D179" s="34"/>
      <c r="E179" s="34"/>
      <c r="G179" s="34"/>
      <c r="H179" s="34"/>
      <c r="I179" s="34"/>
      <c r="J179" s="34"/>
      <c r="K179" s="34"/>
      <c r="L179" s="34"/>
    </row>
    <row r="180" spans="1:12">
      <c r="A180" s="34"/>
      <c r="B180" s="34"/>
      <c r="C180" s="34"/>
      <c r="D180" s="34"/>
      <c r="E180" s="34"/>
      <c r="G180" s="34"/>
      <c r="H180" s="34"/>
      <c r="I180" s="34"/>
      <c r="J180" s="34"/>
      <c r="K180" s="34"/>
      <c r="L180" s="34"/>
    </row>
    <row r="181" spans="1:12">
      <c r="A181" s="34"/>
      <c r="B181" s="34"/>
      <c r="C181" s="34"/>
      <c r="D181" s="34"/>
      <c r="E181" s="34"/>
      <c r="G181" s="34"/>
      <c r="H181" s="34"/>
      <c r="I181" s="34"/>
      <c r="J181" s="34"/>
      <c r="K181" s="34"/>
      <c r="L181" s="34"/>
    </row>
    <row r="182" spans="1:12">
      <c r="A182" s="34"/>
      <c r="B182" s="34"/>
      <c r="C182" s="34"/>
      <c r="D182" s="34"/>
      <c r="E182" s="34"/>
      <c r="G182" s="34"/>
      <c r="H182" s="34"/>
      <c r="I182" s="34"/>
      <c r="J182" s="34"/>
      <c r="K182" s="34"/>
      <c r="L182" s="34"/>
    </row>
    <row r="183" spans="1:12">
      <c r="A183" s="34"/>
      <c r="B183" s="34"/>
      <c r="C183" s="34"/>
      <c r="D183" s="34"/>
      <c r="E183" s="34"/>
      <c r="G183" s="34"/>
      <c r="H183" s="34"/>
      <c r="I183" s="34"/>
      <c r="J183" s="34"/>
      <c r="K183" s="34"/>
      <c r="L183" s="34"/>
    </row>
    <row r="184" spans="1:12">
      <c r="A184" s="34"/>
      <c r="B184" s="34"/>
      <c r="C184" s="34"/>
      <c r="D184" s="34"/>
      <c r="E184" s="34"/>
      <c r="G184" s="34"/>
      <c r="H184" s="34"/>
      <c r="I184" s="34"/>
      <c r="J184" s="34"/>
      <c r="K184" s="34"/>
      <c r="L184" s="34"/>
    </row>
    <row r="185" spans="1:12">
      <c r="A185" s="34"/>
      <c r="B185" s="34"/>
      <c r="C185" s="34"/>
      <c r="D185" s="34"/>
      <c r="E185" s="34"/>
      <c r="G185" s="34"/>
      <c r="H185" s="34"/>
      <c r="I185" s="34"/>
      <c r="J185" s="34"/>
      <c r="K185" s="34"/>
      <c r="L185" s="34"/>
    </row>
    <row r="186" spans="1:12">
      <c r="A186" s="34"/>
      <c r="B186" s="34"/>
      <c r="C186" s="34"/>
      <c r="D186" s="34"/>
      <c r="E186" s="34"/>
      <c r="G186" s="34"/>
      <c r="H186" s="34"/>
      <c r="I186" s="34"/>
      <c r="J186" s="34"/>
      <c r="K186" s="34"/>
      <c r="L186" s="34"/>
    </row>
    <row r="187" spans="1:12">
      <c r="A187" s="34"/>
      <c r="B187" s="34"/>
      <c r="C187" s="34"/>
      <c r="D187" s="34"/>
      <c r="E187" s="34"/>
      <c r="G187" s="34"/>
      <c r="H187" s="34"/>
      <c r="I187" s="34"/>
      <c r="J187" s="34"/>
      <c r="K187" s="34"/>
      <c r="L187" s="34"/>
    </row>
    <row r="188" spans="1:12">
      <c r="A188" s="34"/>
      <c r="B188" s="34"/>
      <c r="C188" s="34"/>
      <c r="D188" s="34"/>
      <c r="E188" s="34"/>
      <c r="G188" s="34"/>
      <c r="H188" s="34"/>
      <c r="I188" s="34"/>
      <c r="J188" s="34"/>
      <c r="K188" s="34"/>
      <c r="L188" s="34"/>
    </row>
    <row r="189" spans="1:12">
      <c r="A189" s="34"/>
      <c r="B189" s="34"/>
      <c r="C189" s="34"/>
      <c r="D189" s="34"/>
      <c r="E189" s="34"/>
      <c r="G189" s="34"/>
      <c r="H189" s="34"/>
      <c r="I189" s="34"/>
      <c r="J189" s="34"/>
      <c r="K189" s="34"/>
      <c r="L189" s="34"/>
    </row>
    <row r="190" spans="1:12">
      <c r="A190" s="34"/>
      <c r="B190" s="34"/>
      <c r="C190" s="34"/>
      <c r="D190" s="34"/>
      <c r="E190" s="34"/>
      <c r="G190" s="34"/>
      <c r="H190" s="34"/>
      <c r="I190" s="34"/>
      <c r="J190" s="34"/>
      <c r="K190" s="34"/>
      <c r="L190" s="34"/>
    </row>
    <row r="191" spans="1:12">
      <c r="A191" s="34"/>
      <c r="B191" s="34"/>
      <c r="C191" s="34"/>
      <c r="D191" s="34"/>
      <c r="E191" s="34"/>
      <c r="G191" s="34"/>
      <c r="H191" s="34"/>
      <c r="I191" s="34"/>
      <c r="J191" s="34"/>
      <c r="K191" s="34"/>
      <c r="L191" s="34"/>
    </row>
    <row r="192" spans="1:12">
      <c r="A192" s="34"/>
      <c r="B192" s="34"/>
      <c r="C192" s="34"/>
      <c r="D192" s="34"/>
      <c r="E192" s="34"/>
      <c r="G192" s="34"/>
      <c r="H192" s="34"/>
      <c r="I192" s="34"/>
      <c r="J192" s="34"/>
      <c r="K192" s="34"/>
      <c r="L192" s="34"/>
    </row>
    <row r="193" spans="1:12">
      <c r="A193" s="34"/>
      <c r="B193" s="34"/>
      <c r="C193" s="34"/>
      <c r="D193" s="34"/>
      <c r="E193" s="34"/>
      <c r="G193" s="34"/>
      <c r="H193" s="34"/>
      <c r="I193" s="34"/>
      <c r="J193" s="34"/>
      <c r="K193" s="34"/>
      <c r="L193" s="34"/>
    </row>
    <row r="194" spans="1:12">
      <c r="A194" s="34"/>
      <c r="B194" s="34"/>
      <c r="C194" s="34"/>
      <c r="D194" s="34"/>
      <c r="E194" s="34"/>
      <c r="G194" s="34"/>
      <c r="H194" s="34"/>
      <c r="I194" s="34"/>
      <c r="J194" s="34"/>
      <c r="K194" s="34"/>
      <c r="L194" s="34"/>
    </row>
    <row r="195" spans="1:12">
      <c r="A195" s="34"/>
      <c r="B195" s="34"/>
      <c r="C195" s="34"/>
      <c r="D195" s="34"/>
      <c r="E195" s="34"/>
      <c r="G195" s="34"/>
      <c r="H195" s="34"/>
      <c r="I195" s="34"/>
      <c r="J195" s="34"/>
      <c r="K195" s="34"/>
      <c r="L195" s="34"/>
    </row>
    <row r="196" spans="1:12">
      <c r="A196" s="34"/>
      <c r="B196" s="34"/>
      <c r="C196" s="34"/>
      <c r="D196" s="34"/>
      <c r="E196" s="34"/>
      <c r="G196" s="34"/>
      <c r="H196" s="34"/>
      <c r="I196" s="34"/>
      <c r="J196" s="34"/>
      <c r="K196" s="34"/>
      <c r="L196" s="34"/>
    </row>
    <row r="197" spans="1:12">
      <c r="A197" s="34"/>
      <c r="B197" s="34"/>
      <c r="C197" s="34"/>
      <c r="D197" s="34"/>
      <c r="E197" s="34"/>
      <c r="G197" s="34"/>
      <c r="H197" s="34"/>
      <c r="I197" s="34"/>
      <c r="J197" s="34"/>
      <c r="K197" s="34"/>
      <c r="L197" s="34"/>
    </row>
    <row r="198" spans="1:12">
      <c r="A198" s="34"/>
      <c r="B198" s="34"/>
      <c r="C198" s="34"/>
      <c r="D198" s="34"/>
      <c r="E198" s="34"/>
      <c r="G198" s="34"/>
      <c r="H198" s="34"/>
      <c r="I198" s="34"/>
      <c r="J198" s="34"/>
      <c r="K198" s="34"/>
      <c r="L198" s="34"/>
    </row>
    <row r="199" spans="1:12">
      <c r="A199" s="34"/>
      <c r="B199" s="34"/>
      <c r="C199" s="34"/>
      <c r="D199" s="34"/>
      <c r="E199" s="34"/>
      <c r="G199" s="34"/>
      <c r="H199" s="34"/>
      <c r="I199" s="34"/>
      <c r="J199" s="34"/>
      <c r="K199" s="34"/>
      <c r="L199" s="34"/>
    </row>
    <row r="200" spans="1:12">
      <c r="A200" s="34"/>
      <c r="B200" s="34"/>
      <c r="C200" s="34"/>
      <c r="D200" s="34"/>
      <c r="E200" s="34"/>
      <c r="G200" s="34"/>
      <c r="H200" s="34"/>
      <c r="I200" s="34"/>
      <c r="J200" s="34"/>
      <c r="K200" s="34"/>
      <c r="L200" s="34"/>
    </row>
    <row r="201" spans="1:12">
      <c r="A201" s="34"/>
      <c r="B201" s="34"/>
      <c r="C201" s="34"/>
      <c r="D201" s="34"/>
      <c r="E201" s="34"/>
      <c r="G201" s="34"/>
      <c r="H201" s="34"/>
      <c r="I201" s="34"/>
      <c r="J201" s="34"/>
      <c r="K201" s="34"/>
      <c r="L201" s="34"/>
    </row>
    <row r="202" spans="1:12">
      <c r="A202" s="34"/>
      <c r="B202" s="34"/>
      <c r="C202" s="34"/>
      <c r="D202" s="34"/>
      <c r="E202" s="34"/>
      <c r="G202" s="34"/>
      <c r="H202" s="34"/>
      <c r="I202" s="34"/>
      <c r="J202" s="34"/>
      <c r="K202" s="34"/>
      <c r="L202" s="34"/>
    </row>
    <row r="203" spans="1:12">
      <c r="A203" s="34"/>
      <c r="B203" s="34"/>
      <c r="C203" s="34"/>
      <c r="D203" s="34"/>
      <c r="E203" s="34"/>
      <c r="G203" s="34"/>
      <c r="H203" s="34"/>
      <c r="I203" s="34"/>
      <c r="J203" s="34"/>
      <c r="K203" s="34"/>
      <c r="L203" s="34"/>
    </row>
    <row r="204" spans="1:12">
      <c r="A204" s="34"/>
      <c r="B204" s="34"/>
      <c r="C204" s="34"/>
      <c r="D204" s="34"/>
      <c r="E204" s="34"/>
      <c r="G204" s="34"/>
      <c r="H204" s="34"/>
      <c r="I204" s="34"/>
      <c r="J204" s="34"/>
      <c r="K204" s="34"/>
      <c r="L204" s="34"/>
    </row>
    <row r="205" spans="1:12">
      <c r="A205" s="34"/>
      <c r="B205" s="34"/>
      <c r="C205" s="34"/>
      <c r="D205" s="34"/>
      <c r="E205" s="34"/>
      <c r="G205" s="34"/>
      <c r="H205" s="34"/>
      <c r="I205" s="34"/>
      <c r="J205" s="34"/>
      <c r="K205" s="34"/>
      <c r="L205" s="34"/>
    </row>
    <row r="206" spans="1:12">
      <c r="A206" s="34"/>
      <c r="B206" s="34"/>
      <c r="C206" s="34"/>
      <c r="D206" s="34"/>
      <c r="E206" s="34"/>
      <c r="G206" s="34"/>
      <c r="H206" s="34"/>
      <c r="I206" s="34"/>
      <c r="J206" s="34"/>
      <c r="K206" s="34"/>
      <c r="L206" s="34"/>
    </row>
    <row r="207" spans="1:12">
      <c r="A207" s="34"/>
      <c r="B207" s="34"/>
      <c r="C207" s="34"/>
      <c r="D207" s="34"/>
      <c r="E207" s="34"/>
      <c r="G207" s="34"/>
      <c r="H207" s="34"/>
      <c r="I207" s="34"/>
      <c r="J207" s="34"/>
      <c r="K207" s="34"/>
      <c r="L207" s="34"/>
    </row>
    <row r="208" spans="1:12">
      <c r="A208" s="34"/>
      <c r="B208" s="34"/>
      <c r="C208" s="34"/>
      <c r="D208" s="34"/>
      <c r="E208" s="34"/>
      <c r="G208" s="34"/>
      <c r="H208" s="34"/>
      <c r="I208" s="34"/>
      <c r="J208" s="34"/>
      <c r="K208" s="34"/>
      <c r="L208" s="34"/>
    </row>
    <row r="209" spans="1:12">
      <c r="A209" s="34"/>
      <c r="B209" s="34"/>
      <c r="C209" s="34"/>
      <c r="D209" s="34"/>
      <c r="E209" s="34"/>
      <c r="G209" s="34"/>
      <c r="H209" s="34"/>
      <c r="I209" s="34"/>
      <c r="J209" s="34"/>
      <c r="K209" s="34"/>
      <c r="L209" s="34"/>
    </row>
    <row r="210" spans="1:12">
      <c r="A210" s="34"/>
      <c r="B210" s="34"/>
      <c r="C210" s="34"/>
      <c r="D210" s="34"/>
      <c r="E210" s="34"/>
      <c r="G210" s="34"/>
      <c r="H210" s="34"/>
      <c r="I210" s="34"/>
      <c r="J210" s="34"/>
      <c r="K210" s="34"/>
      <c r="L210" s="34"/>
    </row>
    <row r="211" spans="1:12">
      <c r="A211" s="34"/>
      <c r="B211" s="34"/>
      <c r="C211" s="34"/>
      <c r="D211" s="34"/>
      <c r="E211" s="34"/>
      <c r="G211" s="34"/>
      <c r="H211" s="34"/>
      <c r="I211" s="34"/>
      <c r="J211" s="34"/>
      <c r="K211" s="34"/>
      <c r="L211" s="34"/>
    </row>
    <row r="212" spans="1:12">
      <c r="A212" s="34"/>
      <c r="B212" s="34"/>
      <c r="C212" s="34"/>
      <c r="D212" s="34"/>
      <c r="E212" s="34"/>
      <c r="G212" s="34"/>
      <c r="H212" s="34"/>
      <c r="I212" s="34"/>
      <c r="J212" s="34"/>
      <c r="K212" s="34"/>
      <c r="L212" s="34"/>
    </row>
    <row r="213" spans="1:12">
      <c r="A213" s="34"/>
      <c r="B213" s="34"/>
      <c r="C213" s="34"/>
      <c r="D213" s="34"/>
      <c r="E213" s="34"/>
      <c r="G213" s="34"/>
      <c r="H213" s="34"/>
      <c r="I213" s="34"/>
      <c r="J213" s="34"/>
      <c r="K213" s="34"/>
      <c r="L213" s="34"/>
    </row>
    <row r="214" spans="1:12">
      <c r="A214" s="34"/>
      <c r="B214" s="34"/>
      <c r="C214" s="34"/>
      <c r="D214" s="34"/>
      <c r="E214" s="34"/>
      <c r="G214" s="34"/>
      <c r="H214" s="34"/>
      <c r="I214" s="34"/>
      <c r="J214" s="34"/>
      <c r="K214" s="34"/>
      <c r="L214" s="34"/>
    </row>
    <row r="215" spans="1:12">
      <c r="A215" s="34"/>
      <c r="B215" s="34"/>
      <c r="C215" s="34"/>
      <c r="D215" s="34"/>
      <c r="E215" s="34"/>
      <c r="G215" s="34"/>
      <c r="H215" s="34"/>
      <c r="I215" s="34"/>
      <c r="J215" s="34"/>
      <c r="K215" s="34"/>
      <c r="L215" s="34"/>
    </row>
    <row r="216" spans="1:12">
      <c r="A216" s="34"/>
      <c r="B216" s="34"/>
      <c r="C216" s="34"/>
      <c r="D216" s="34"/>
      <c r="E216" s="34"/>
      <c r="G216" s="34"/>
      <c r="H216" s="34"/>
      <c r="I216" s="34"/>
      <c r="J216" s="34"/>
      <c r="K216" s="34"/>
      <c r="L216" s="34"/>
    </row>
    <row r="217" spans="1:12">
      <c r="A217" s="34"/>
      <c r="B217" s="34"/>
      <c r="C217" s="34"/>
      <c r="D217" s="34"/>
      <c r="E217" s="34"/>
      <c r="G217" s="34"/>
      <c r="H217" s="34"/>
      <c r="I217" s="34"/>
      <c r="J217" s="34"/>
      <c r="K217" s="34"/>
      <c r="L217" s="34"/>
    </row>
    <row r="218" spans="1:12">
      <c r="A218" s="34"/>
      <c r="B218" s="34"/>
      <c r="C218" s="34"/>
      <c r="D218" s="34"/>
      <c r="E218" s="34"/>
      <c r="G218" s="34"/>
      <c r="H218" s="34"/>
      <c r="I218" s="34"/>
      <c r="J218" s="34"/>
      <c r="K218" s="34"/>
      <c r="L218" s="34"/>
    </row>
    <row r="219" spans="1:12">
      <c r="A219" s="34"/>
      <c r="B219" s="34"/>
      <c r="C219" s="34"/>
      <c r="D219" s="34"/>
      <c r="E219" s="34"/>
      <c r="G219" s="34"/>
      <c r="H219" s="34"/>
      <c r="I219" s="34"/>
      <c r="J219" s="34"/>
      <c r="K219" s="34"/>
      <c r="L219" s="34"/>
    </row>
    <row r="220" spans="1:12">
      <c r="A220" s="34"/>
      <c r="B220" s="34"/>
      <c r="C220" s="34"/>
      <c r="D220" s="34"/>
      <c r="E220" s="34"/>
      <c r="G220" s="34"/>
      <c r="H220" s="34"/>
      <c r="I220" s="34"/>
      <c r="J220" s="34"/>
      <c r="K220" s="34"/>
      <c r="L220" s="34"/>
    </row>
    <row r="221" spans="1:12">
      <c r="A221" s="34"/>
      <c r="B221" s="34"/>
      <c r="C221" s="34"/>
      <c r="D221" s="34"/>
      <c r="E221" s="34"/>
      <c r="G221" s="34"/>
      <c r="H221" s="34"/>
      <c r="I221" s="34"/>
      <c r="J221" s="34"/>
      <c r="K221" s="34"/>
      <c r="L221" s="34"/>
    </row>
    <row r="222" spans="1:12">
      <c r="A222" s="34"/>
      <c r="B222" s="34"/>
      <c r="C222" s="34"/>
      <c r="D222" s="34"/>
      <c r="E222" s="34"/>
      <c r="G222" s="34"/>
      <c r="H222" s="34"/>
      <c r="I222" s="34"/>
      <c r="J222" s="34"/>
      <c r="K222" s="34"/>
      <c r="L222" s="34"/>
    </row>
    <row r="223" spans="1:12">
      <c r="A223" s="34"/>
      <c r="B223" s="34"/>
      <c r="C223" s="34"/>
      <c r="D223" s="34"/>
      <c r="E223" s="34"/>
      <c r="G223" s="34"/>
      <c r="H223" s="34"/>
      <c r="I223" s="34"/>
      <c r="J223" s="34"/>
      <c r="K223" s="34"/>
      <c r="L223" s="34"/>
    </row>
    <row r="224" spans="1:12">
      <c r="A224" s="34"/>
      <c r="B224" s="34"/>
      <c r="C224" s="34"/>
      <c r="D224" s="34"/>
      <c r="E224" s="34"/>
      <c r="G224" s="34"/>
      <c r="H224" s="34"/>
      <c r="I224" s="34"/>
      <c r="J224" s="34"/>
      <c r="K224" s="34"/>
      <c r="L224" s="34"/>
    </row>
    <row r="225" spans="1:12">
      <c r="A225" s="34"/>
      <c r="B225" s="34"/>
      <c r="C225" s="34"/>
      <c r="D225" s="34"/>
      <c r="E225" s="34"/>
      <c r="G225" s="34"/>
      <c r="H225" s="34"/>
      <c r="I225" s="34"/>
      <c r="J225" s="34"/>
      <c r="K225" s="34"/>
      <c r="L225" s="34"/>
    </row>
    <row r="226" spans="1:12">
      <c r="A226" s="34"/>
      <c r="B226" s="34"/>
      <c r="C226" s="34"/>
      <c r="D226" s="34"/>
      <c r="E226" s="34"/>
      <c r="G226" s="34"/>
      <c r="H226" s="34"/>
      <c r="I226" s="34"/>
      <c r="J226" s="34"/>
      <c r="K226" s="34"/>
      <c r="L226" s="34"/>
    </row>
    <row r="227" spans="1:12">
      <c r="A227" s="34"/>
      <c r="B227" s="34"/>
      <c r="C227" s="34"/>
      <c r="D227" s="34"/>
      <c r="E227" s="34"/>
      <c r="G227" s="34"/>
      <c r="H227" s="34"/>
      <c r="I227" s="34"/>
      <c r="J227" s="34"/>
      <c r="K227" s="34"/>
      <c r="L227" s="34"/>
    </row>
    <row r="228" spans="1:12">
      <c r="A228" s="34"/>
      <c r="B228" s="34"/>
      <c r="C228" s="34"/>
      <c r="D228" s="34"/>
      <c r="E228" s="34"/>
      <c r="G228" s="34"/>
      <c r="H228" s="34"/>
      <c r="I228" s="34"/>
      <c r="J228" s="34"/>
      <c r="K228" s="34"/>
      <c r="L228" s="34"/>
    </row>
    <row r="229" spans="1:12">
      <c r="A229" s="34"/>
      <c r="B229" s="34"/>
      <c r="C229" s="34"/>
      <c r="D229" s="34"/>
      <c r="E229" s="34"/>
      <c r="G229" s="34"/>
      <c r="H229" s="34"/>
      <c r="I229" s="34"/>
      <c r="J229" s="34"/>
      <c r="K229" s="34"/>
      <c r="L229" s="34"/>
    </row>
    <row r="230" spans="1:12">
      <c r="A230" s="34"/>
      <c r="B230" s="34"/>
      <c r="C230" s="34"/>
      <c r="D230" s="34"/>
      <c r="E230" s="34"/>
      <c r="G230" s="34"/>
      <c r="H230" s="34"/>
      <c r="I230" s="34"/>
      <c r="J230" s="34"/>
      <c r="K230" s="34"/>
      <c r="L230" s="34"/>
    </row>
    <row r="231" spans="1:12">
      <c r="A231" s="34"/>
      <c r="B231" s="34"/>
      <c r="C231" s="34"/>
      <c r="D231" s="34"/>
      <c r="E231" s="34"/>
      <c r="G231" s="34"/>
      <c r="H231" s="34"/>
      <c r="I231" s="34"/>
      <c r="J231" s="34"/>
      <c r="K231" s="34"/>
      <c r="L231" s="34"/>
    </row>
    <row r="232" spans="1:12">
      <c r="A232" s="34"/>
      <c r="B232" s="34"/>
      <c r="C232" s="34"/>
      <c r="D232" s="34"/>
      <c r="E232" s="34"/>
      <c r="G232" s="34"/>
      <c r="H232" s="34"/>
      <c r="I232" s="34"/>
      <c r="J232" s="34"/>
      <c r="K232" s="34"/>
      <c r="L232" s="34"/>
    </row>
    <row r="233" spans="1:12">
      <c r="A233" s="34"/>
      <c r="B233" s="34"/>
      <c r="C233" s="34"/>
      <c r="D233" s="34"/>
      <c r="E233" s="34"/>
      <c r="G233" s="34"/>
      <c r="H233" s="34"/>
      <c r="I233" s="34"/>
      <c r="J233" s="34"/>
      <c r="K233" s="34"/>
      <c r="L233" s="34"/>
    </row>
    <row r="234" spans="1:12">
      <c r="A234" s="34"/>
      <c r="B234" s="34"/>
      <c r="C234" s="34"/>
      <c r="D234" s="34"/>
      <c r="E234" s="34"/>
      <c r="G234" s="34"/>
      <c r="H234" s="34"/>
      <c r="I234" s="34"/>
      <c r="J234" s="34"/>
      <c r="K234" s="34"/>
      <c r="L234" s="34"/>
    </row>
    <row r="235" spans="1:12">
      <c r="A235" s="34"/>
      <c r="B235" s="34"/>
      <c r="C235" s="34"/>
      <c r="D235" s="34"/>
      <c r="E235" s="34"/>
      <c r="G235" s="34"/>
      <c r="H235" s="34"/>
      <c r="I235" s="34"/>
      <c r="J235" s="34"/>
      <c r="K235" s="34"/>
      <c r="L235" s="34"/>
    </row>
    <row r="236" spans="1:12">
      <c r="A236" s="34"/>
      <c r="B236" s="34"/>
      <c r="C236" s="34"/>
      <c r="D236" s="34"/>
      <c r="E236" s="34"/>
      <c r="G236" s="34"/>
      <c r="H236" s="34"/>
      <c r="I236" s="34"/>
      <c r="J236" s="34"/>
      <c r="K236" s="34"/>
      <c r="L236" s="34"/>
    </row>
    <row r="237" spans="1:12">
      <c r="A237" s="34"/>
      <c r="B237" s="34"/>
      <c r="C237" s="34"/>
      <c r="D237" s="34"/>
      <c r="E237" s="34"/>
      <c r="G237" s="34"/>
      <c r="H237" s="34"/>
      <c r="I237" s="34"/>
      <c r="J237" s="34"/>
      <c r="K237" s="34"/>
      <c r="L237" s="34"/>
    </row>
    <row r="238" spans="1:12">
      <c r="A238" s="34"/>
      <c r="B238" s="34"/>
      <c r="C238" s="34"/>
      <c r="D238" s="34"/>
      <c r="E238" s="34"/>
      <c r="G238" s="34"/>
      <c r="H238" s="34"/>
      <c r="I238" s="34"/>
      <c r="J238" s="34"/>
      <c r="K238" s="34"/>
      <c r="L238" s="34"/>
    </row>
    <row r="239" spans="1:12">
      <c r="A239" s="34"/>
      <c r="B239" s="34"/>
      <c r="C239" s="34"/>
      <c r="D239" s="34"/>
      <c r="E239" s="34"/>
      <c r="G239" s="34"/>
      <c r="H239" s="34"/>
      <c r="I239" s="34"/>
      <c r="J239" s="34"/>
      <c r="K239" s="34"/>
      <c r="L239" s="34"/>
    </row>
    <row r="240" spans="1:12">
      <c r="A240" s="34"/>
      <c r="B240" s="34"/>
      <c r="C240" s="34"/>
      <c r="D240" s="34"/>
      <c r="E240" s="34"/>
      <c r="G240" s="34"/>
      <c r="H240" s="34"/>
      <c r="I240" s="34"/>
      <c r="J240" s="34"/>
      <c r="K240" s="34"/>
      <c r="L240" s="34"/>
    </row>
    <row r="241" spans="1:12">
      <c r="A241" s="34"/>
      <c r="B241" s="34"/>
      <c r="C241" s="34"/>
      <c r="D241" s="34"/>
      <c r="E241" s="34"/>
      <c r="G241" s="34"/>
      <c r="H241" s="34"/>
      <c r="I241" s="34"/>
      <c r="J241" s="34"/>
      <c r="K241" s="34"/>
      <c r="L241" s="34"/>
    </row>
    <row r="242" spans="1:12">
      <c r="A242" s="34"/>
      <c r="B242" s="34"/>
      <c r="C242" s="34"/>
      <c r="D242" s="34"/>
      <c r="E242" s="34"/>
      <c r="G242" s="34"/>
      <c r="H242" s="34"/>
      <c r="I242" s="34"/>
      <c r="J242" s="34"/>
      <c r="K242" s="34"/>
      <c r="L242" s="34"/>
    </row>
    <row r="243" spans="1:12">
      <c r="A243" s="34"/>
      <c r="B243" s="34"/>
      <c r="C243" s="34"/>
      <c r="D243" s="34"/>
      <c r="E243" s="34"/>
      <c r="G243" s="34"/>
      <c r="H243" s="34"/>
      <c r="I243" s="34"/>
      <c r="J243" s="34"/>
      <c r="K243" s="34"/>
      <c r="L243" s="34"/>
    </row>
    <row r="244" spans="1:12">
      <c r="A244" s="34"/>
      <c r="B244" s="34"/>
      <c r="C244" s="34"/>
      <c r="D244" s="34"/>
      <c r="E244" s="34"/>
      <c r="G244" s="34"/>
      <c r="H244" s="34"/>
      <c r="I244" s="34"/>
      <c r="J244" s="34"/>
      <c r="K244" s="34"/>
      <c r="L244" s="34"/>
    </row>
  </sheetData>
  <mergeCells count="12">
    <mergeCell ref="A5:I5"/>
    <mergeCell ref="A6:I6"/>
    <mergeCell ref="A7:I7"/>
    <mergeCell ref="A8:I8"/>
    <mergeCell ref="A13:J13"/>
    <mergeCell ref="B14:C14"/>
    <mergeCell ref="D14:G14"/>
    <mergeCell ref="H14:I14"/>
    <mergeCell ref="A16:J16"/>
    <mergeCell ref="A76:J76"/>
    <mergeCell ref="A14:A15"/>
    <mergeCell ref="J14:J15"/>
  </mergeCells>
  <printOptions horizontalCentered="1"/>
  <pageMargins left="0.27559055118110198" right="0.23622047244094499" top="0.31496062992126" bottom="0.35433070866141703" header="0.31496062992126" footer="0.31496062992126"/>
  <pageSetup paperSize="9" scale="6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7"/>
  <sheetViews>
    <sheetView view="pageBreakPreview" topLeftCell="A4" zoomScaleNormal="100" workbookViewId="0">
      <selection activeCell="C23" sqref="C23"/>
    </sheetView>
  </sheetViews>
  <sheetFormatPr defaultColWidth="9" defaultRowHeight="15"/>
  <cols>
    <col min="1" max="1" width="27.25" style="1" customWidth="1"/>
    <col min="2" max="2" width="16.125" style="1" customWidth="1"/>
    <col min="3" max="3" width="35" style="71" customWidth="1"/>
    <col min="4" max="4" width="11.75" style="72" customWidth="1"/>
    <col min="5" max="5" width="11" style="1" customWidth="1"/>
    <col min="6" max="6" width="15.125" style="72" customWidth="1"/>
    <col min="7" max="16384" width="9" style="1"/>
  </cols>
  <sheetData>
    <row r="1" spans="1:6" s="2" customFormat="1" ht="52.5" customHeight="1">
      <c r="E1" s="5"/>
    </row>
    <row r="2" spans="1:6" s="2" customFormat="1" ht="10.5" customHeight="1">
      <c r="A2" s="128" t="s">
        <v>0</v>
      </c>
      <c r="B2" s="128"/>
      <c r="C2" s="128"/>
      <c r="D2" s="128"/>
      <c r="E2" s="128"/>
      <c r="F2" s="128"/>
    </row>
    <row r="3" spans="1:6" s="2" customFormat="1" ht="15.95" customHeight="1">
      <c r="A3" s="128" t="s">
        <v>1</v>
      </c>
      <c r="B3" s="128"/>
      <c r="C3" s="128"/>
      <c r="D3" s="128"/>
      <c r="E3" s="128"/>
      <c r="F3" s="128"/>
    </row>
    <row r="4" spans="1:6" s="2" customFormat="1" ht="15.95" customHeight="1">
      <c r="A4" s="128" t="s">
        <v>78</v>
      </c>
      <c r="B4" s="128"/>
      <c r="C4" s="128"/>
      <c r="D4" s="128"/>
      <c r="E4" s="128"/>
      <c r="F4" s="128"/>
    </row>
    <row r="5" spans="1:6" s="2" customFormat="1" ht="15.95" customHeight="1">
      <c r="A5" s="128" t="s">
        <v>3</v>
      </c>
      <c r="B5" s="128"/>
      <c r="C5" s="128"/>
      <c r="D5" s="128"/>
      <c r="E5" s="128"/>
      <c r="F5" s="128"/>
    </row>
    <row r="6" spans="1:6" s="2" customFormat="1" ht="8.25" customHeight="1">
      <c r="E6" s="5"/>
    </row>
    <row r="7" spans="1:6" s="2" customFormat="1" ht="8.25" customHeight="1">
      <c r="E7" s="5"/>
    </row>
    <row r="8" spans="1:6" s="2" customFormat="1" ht="17.25" customHeight="1">
      <c r="A8" s="73" t="s">
        <v>79</v>
      </c>
      <c r="B8" s="73"/>
      <c r="C8" s="73" t="s">
        <v>80</v>
      </c>
      <c r="D8" s="7"/>
      <c r="E8" s="73" t="s">
        <v>81</v>
      </c>
      <c r="F8" s="7"/>
    </row>
    <row r="9" spans="1:6" s="2" customFormat="1" ht="12" customHeight="1">
      <c r="A9" s="74"/>
      <c r="B9" s="74"/>
      <c r="C9" s="8"/>
      <c r="E9" s="73" t="s">
        <v>82</v>
      </c>
      <c r="F9" s="25"/>
    </row>
    <row r="10" spans="1:6" s="2" customFormat="1" ht="14.25" customHeight="1">
      <c r="A10" s="73" t="s">
        <v>83</v>
      </c>
      <c r="B10" s="73"/>
      <c r="C10" s="73" t="s">
        <v>84</v>
      </c>
      <c r="D10" s="7"/>
      <c r="E10" s="73" t="s">
        <v>85</v>
      </c>
      <c r="F10" s="7"/>
    </row>
    <row r="11" spans="1:6" s="2" customFormat="1" ht="12" customHeight="1">
      <c r="A11" s="6"/>
      <c r="B11" s="6"/>
      <c r="C11" s="6"/>
      <c r="F11" s="7"/>
    </row>
    <row r="12" spans="1:6" ht="23.25" customHeight="1">
      <c r="A12" s="129" t="s">
        <v>86</v>
      </c>
      <c r="B12" s="130"/>
      <c r="C12" s="130"/>
      <c r="D12" s="130"/>
      <c r="E12" s="130"/>
      <c r="F12" s="130"/>
    </row>
    <row r="13" spans="1:6" s="28" customFormat="1" ht="39.75" customHeight="1">
      <c r="A13" s="75" t="s">
        <v>87</v>
      </c>
      <c r="B13" s="76" t="s">
        <v>88</v>
      </c>
      <c r="C13" s="26" t="s">
        <v>89</v>
      </c>
      <c r="D13" s="26" t="s">
        <v>90</v>
      </c>
      <c r="E13" s="26" t="s">
        <v>91</v>
      </c>
      <c r="F13" s="26" t="s">
        <v>92</v>
      </c>
    </row>
    <row r="14" spans="1:6" s="31" customFormat="1" ht="15.75">
      <c r="A14" s="110" t="s">
        <v>93</v>
      </c>
      <c r="B14" s="78" t="s">
        <v>94</v>
      </c>
      <c r="C14" s="79" t="s">
        <v>95</v>
      </c>
      <c r="D14" s="79">
        <v>3</v>
      </c>
      <c r="E14" s="79">
        <v>0</v>
      </c>
      <c r="F14" s="79">
        <v>3</v>
      </c>
    </row>
    <row r="15" spans="1:6" s="31" customFormat="1" ht="20.25" customHeight="1">
      <c r="A15" s="77" t="s">
        <v>96</v>
      </c>
      <c r="B15" s="80"/>
      <c r="C15" s="79" t="s">
        <v>95</v>
      </c>
      <c r="D15" s="79"/>
      <c r="E15" s="79">
        <v>1</v>
      </c>
      <c r="F15" s="79">
        <v>2</v>
      </c>
    </row>
    <row r="16" spans="1:6" s="31" customFormat="1" ht="20.25" customHeight="1">
      <c r="A16" s="77" t="s">
        <v>97</v>
      </c>
      <c r="B16" s="80"/>
      <c r="C16" s="79" t="s">
        <v>95</v>
      </c>
      <c r="D16" s="79"/>
      <c r="E16" s="79">
        <v>2</v>
      </c>
      <c r="F16" s="109">
        <v>0</v>
      </c>
    </row>
    <row r="17" spans="1:6" s="70" customFormat="1" ht="25.5" customHeight="1">
      <c r="A17" s="111" t="s">
        <v>98</v>
      </c>
      <c r="B17" s="81" t="s">
        <v>99</v>
      </c>
      <c r="C17" s="82" t="s">
        <v>100</v>
      </c>
      <c r="D17" s="79">
        <v>1</v>
      </c>
      <c r="E17" s="79">
        <v>0</v>
      </c>
      <c r="F17" s="79">
        <v>1</v>
      </c>
    </row>
    <row r="18" spans="1:6" s="70" customFormat="1" ht="25.5" customHeight="1">
      <c r="A18" s="81" t="s">
        <v>101</v>
      </c>
      <c r="B18" s="83"/>
      <c r="C18" s="82" t="s">
        <v>100</v>
      </c>
      <c r="D18" s="79"/>
      <c r="E18" s="79">
        <v>1</v>
      </c>
      <c r="F18" s="109">
        <v>0</v>
      </c>
    </row>
    <row r="19" spans="1:6" s="70" customFormat="1" ht="25.5" customHeight="1">
      <c r="A19" s="111" t="s">
        <v>102</v>
      </c>
      <c r="B19" s="84">
        <v>45779</v>
      </c>
      <c r="C19" s="82" t="s">
        <v>103</v>
      </c>
      <c r="D19" s="79">
        <v>1</v>
      </c>
      <c r="E19" s="79">
        <v>0</v>
      </c>
      <c r="F19" s="79">
        <v>1</v>
      </c>
    </row>
    <row r="20" spans="1:6" s="70" customFormat="1" ht="25.5" customHeight="1">
      <c r="A20" s="81" t="s">
        <v>104</v>
      </c>
      <c r="B20" s="85"/>
      <c r="C20" s="82" t="s">
        <v>103</v>
      </c>
      <c r="D20" s="79"/>
      <c r="E20" s="79">
        <v>1</v>
      </c>
      <c r="F20" s="109">
        <v>0</v>
      </c>
    </row>
    <row r="21" spans="1:6" s="105" customFormat="1" ht="30.75" customHeight="1">
      <c r="A21" s="111" t="s">
        <v>105</v>
      </c>
      <c r="B21" s="108" t="s">
        <v>106</v>
      </c>
      <c r="C21" s="107" t="s">
        <v>107</v>
      </c>
      <c r="D21" s="79">
        <v>3</v>
      </c>
      <c r="E21" s="79">
        <v>0</v>
      </c>
      <c r="F21" s="79">
        <v>3</v>
      </c>
    </row>
    <row r="22" spans="1:6" s="105" customFormat="1" ht="28.5" customHeight="1">
      <c r="A22" s="106" t="s">
        <v>108</v>
      </c>
      <c r="B22" s="107"/>
      <c r="C22" s="107" t="s">
        <v>107</v>
      </c>
      <c r="D22" s="79"/>
      <c r="E22" s="79">
        <v>1</v>
      </c>
      <c r="F22" s="79">
        <v>2</v>
      </c>
    </row>
    <row r="23" spans="1:6" s="31" customFormat="1" ht="20.25" customHeight="1">
      <c r="A23" s="86"/>
      <c r="B23" s="86"/>
      <c r="C23" s="87"/>
      <c r="D23" s="88"/>
      <c r="E23" s="88"/>
      <c r="F23" s="88"/>
    </row>
    <row r="24" spans="1:6" s="31" customFormat="1" ht="15" customHeight="1">
      <c r="A24" s="89" t="s">
        <v>109</v>
      </c>
      <c r="B24" s="86"/>
      <c r="C24" s="90"/>
      <c r="D24" s="88"/>
      <c r="E24" s="88"/>
      <c r="F24" s="88"/>
    </row>
    <row r="25" spans="1:6" s="2" customFormat="1" ht="75.75" customHeight="1">
      <c r="A25" s="24"/>
      <c r="B25" s="24"/>
    </row>
    <row r="26" spans="1:6" s="2" customFormat="1" ht="15" customHeight="1"/>
    <row r="27" spans="1:6" s="2" customFormat="1"/>
  </sheetData>
  <mergeCells count="5">
    <mergeCell ref="A2:F2"/>
    <mergeCell ref="A3:F3"/>
    <mergeCell ref="A4:F4"/>
    <mergeCell ref="A5:F5"/>
    <mergeCell ref="A12:F12"/>
  </mergeCells>
  <phoneticPr fontId="21" type="noConversion"/>
  <pageMargins left="0.25" right="0.25" top="0.75" bottom="0.75" header="0.3" footer="0.3"/>
  <pageSetup paperSize="9" scale="8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view="pageBreakPreview" zoomScaleNormal="100" workbookViewId="0">
      <selection activeCell="A13" sqref="A13:G13"/>
    </sheetView>
  </sheetViews>
  <sheetFormatPr defaultColWidth="9" defaultRowHeight="15"/>
  <cols>
    <col min="2" max="2" width="18.125" customWidth="1"/>
    <col min="3" max="3" width="19.625" customWidth="1"/>
    <col min="4" max="4" width="56.375" customWidth="1"/>
    <col min="5" max="5" width="12.375" customWidth="1"/>
    <col min="6" max="6" width="13.375" customWidth="1"/>
    <col min="7" max="7" width="15.125" customWidth="1"/>
  </cols>
  <sheetData>
    <row r="1" spans="1:7" ht="58.5" customHeight="1"/>
    <row r="2" spans="1:7" ht="15.95" customHeight="1">
      <c r="A2" s="145" t="s">
        <v>0</v>
      </c>
      <c r="B2" s="146"/>
      <c r="C2" s="146"/>
      <c r="D2" s="146"/>
      <c r="E2" s="146"/>
      <c r="F2" s="146"/>
      <c r="G2" s="146"/>
    </row>
    <row r="3" spans="1:7" ht="15.95" customHeight="1">
      <c r="A3" s="146" t="s">
        <v>1</v>
      </c>
      <c r="B3" s="146"/>
      <c r="C3" s="146"/>
      <c r="D3" s="146"/>
      <c r="E3" s="146"/>
      <c r="F3" s="146"/>
      <c r="G3" s="146"/>
    </row>
    <row r="4" spans="1:7" ht="15.95" customHeight="1">
      <c r="A4" s="146" t="s">
        <v>78</v>
      </c>
      <c r="B4" s="146"/>
      <c r="C4" s="146"/>
      <c r="D4" s="146"/>
      <c r="E4" s="146"/>
      <c r="F4" s="146"/>
      <c r="G4" s="146"/>
    </row>
    <row r="5" spans="1:7" ht="15.95" customHeight="1">
      <c r="A5" s="146" t="s">
        <v>3</v>
      </c>
      <c r="B5" s="146"/>
      <c r="C5" s="146"/>
      <c r="D5" s="146"/>
      <c r="E5" s="146"/>
      <c r="F5" s="146"/>
      <c r="G5" s="146"/>
    </row>
    <row r="6" spans="1:7" ht="19.5" customHeight="1">
      <c r="A6" s="147"/>
      <c r="B6" s="147"/>
      <c r="C6" s="147"/>
      <c r="D6" s="147"/>
      <c r="E6" s="147"/>
      <c r="F6" s="147"/>
      <c r="G6" s="147"/>
    </row>
    <row r="7" spans="1:7" ht="12" customHeight="1">
      <c r="A7" s="34" t="s">
        <v>110</v>
      </c>
      <c r="B7" s="49" t="s">
        <v>111</v>
      </c>
      <c r="C7" s="38"/>
      <c r="D7" s="38"/>
      <c r="E7" s="55" t="s">
        <v>6</v>
      </c>
      <c r="F7" s="50"/>
      <c r="G7" s="56"/>
    </row>
    <row r="8" spans="1:7" ht="12" customHeight="1">
      <c r="A8" s="34"/>
      <c r="B8" s="57"/>
      <c r="C8" s="39"/>
      <c r="D8" s="39"/>
      <c r="E8" s="58"/>
      <c r="F8" s="34"/>
      <c r="G8" s="34"/>
    </row>
    <row r="9" spans="1:7" ht="12" customHeight="1">
      <c r="A9" s="34" t="s">
        <v>112</v>
      </c>
      <c r="B9" s="49" t="s">
        <v>113</v>
      </c>
      <c r="C9" s="38"/>
      <c r="D9" s="39"/>
      <c r="E9" s="55" t="s">
        <v>9</v>
      </c>
      <c r="F9" s="59"/>
      <c r="G9" s="56"/>
    </row>
    <row r="10" spans="1:7" ht="24.75" customHeight="1">
      <c r="A10" s="127" t="s">
        <v>114</v>
      </c>
      <c r="B10" s="127"/>
      <c r="C10" s="127"/>
      <c r="D10" s="127"/>
      <c r="E10" s="127"/>
      <c r="F10" s="127"/>
      <c r="G10" s="127"/>
    </row>
    <row r="11" spans="1:7" s="53" customFormat="1" ht="29.25" customHeight="1">
      <c r="A11" s="138" t="s">
        <v>115</v>
      </c>
      <c r="B11" s="139"/>
      <c r="C11" s="60" t="s">
        <v>116</v>
      </c>
      <c r="D11" s="61" t="s">
        <v>117</v>
      </c>
      <c r="E11" s="60" t="s">
        <v>118</v>
      </c>
      <c r="F11" s="60" t="s">
        <v>119</v>
      </c>
      <c r="G11" s="62" t="s">
        <v>14</v>
      </c>
    </row>
    <row r="12" spans="1:7" ht="44.25" customHeight="1">
      <c r="A12" s="140" t="s">
        <v>120</v>
      </c>
      <c r="B12" s="141"/>
      <c r="C12" s="63" t="s">
        <v>121</v>
      </c>
      <c r="D12" s="63" t="s">
        <v>122</v>
      </c>
      <c r="E12" s="64">
        <v>1</v>
      </c>
      <c r="F12" s="65">
        <v>1</v>
      </c>
      <c r="G12" s="66">
        <f>E12-F12</f>
        <v>0</v>
      </c>
    </row>
    <row r="13" spans="1:7">
      <c r="A13" s="142" t="s">
        <v>123</v>
      </c>
      <c r="B13" s="143"/>
      <c r="C13" s="143"/>
      <c r="D13" s="143"/>
      <c r="E13" s="143"/>
      <c r="F13" s="143"/>
      <c r="G13" s="144"/>
    </row>
    <row r="14" spans="1:7">
      <c r="A14" s="142" t="s">
        <v>124</v>
      </c>
      <c r="B14" s="143"/>
      <c r="C14" s="143"/>
      <c r="D14" s="143"/>
      <c r="E14" s="143"/>
      <c r="F14" s="143"/>
      <c r="G14" s="144"/>
    </row>
    <row r="15" spans="1:7" s="54" customFormat="1" ht="30" customHeight="1">
      <c r="A15" s="132" t="s">
        <v>125</v>
      </c>
      <c r="B15" s="133"/>
      <c r="C15" s="133"/>
      <c r="D15" s="133"/>
      <c r="E15" s="133"/>
      <c r="F15" s="134"/>
      <c r="G15" s="67">
        <f>G12</f>
        <v>0</v>
      </c>
    </row>
    <row r="16" spans="1:7" ht="10.5" customHeight="1">
      <c r="A16" s="68"/>
      <c r="B16" s="68"/>
      <c r="C16" s="69"/>
      <c r="D16" s="69"/>
      <c r="E16" s="69"/>
      <c r="F16" s="69"/>
      <c r="G16" s="69"/>
    </row>
    <row r="17" spans="1:7" ht="18.75" customHeight="1">
      <c r="A17" s="135" t="s">
        <v>126</v>
      </c>
      <c r="B17" s="135"/>
      <c r="C17" s="69"/>
      <c r="D17" s="69"/>
      <c r="E17" s="69"/>
      <c r="F17" s="69"/>
      <c r="G17" s="69"/>
    </row>
    <row r="18" spans="1:7" ht="18.75" customHeight="1">
      <c r="A18" s="136"/>
      <c r="B18" s="136"/>
      <c r="C18" s="69"/>
      <c r="D18" s="69"/>
      <c r="E18" s="69"/>
      <c r="F18" s="69"/>
      <c r="G18" s="69"/>
    </row>
    <row r="19" spans="1:7" ht="18.75" customHeight="1">
      <c r="A19" s="137" t="s">
        <v>127</v>
      </c>
      <c r="B19" s="137"/>
      <c r="C19" s="137"/>
      <c r="D19" s="69"/>
      <c r="E19" s="69"/>
      <c r="F19" s="69"/>
      <c r="G19" s="69"/>
    </row>
    <row r="20" spans="1:7" ht="18.75" customHeight="1">
      <c r="A20" s="131" t="s">
        <v>128</v>
      </c>
      <c r="B20" s="131"/>
      <c r="C20" s="131"/>
      <c r="D20" s="69"/>
      <c r="E20" s="69"/>
      <c r="F20" s="69"/>
      <c r="G20" s="69"/>
    </row>
    <row r="21" spans="1:7" ht="18.75" customHeight="1">
      <c r="A21" s="131" t="s">
        <v>129</v>
      </c>
      <c r="B21" s="131"/>
      <c r="C21" s="69"/>
      <c r="D21" s="69"/>
      <c r="E21" s="69"/>
      <c r="F21" s="69"/>
      <c r="G21" s="69"/>
    </row>
  </sheetData>
  <mergeCells count="16">
    <mergeCell ref="A2:G2"/>
    <mergeCell ref="A3:G3"/>
    <mergeCell ref="A4:G4"/>
    <mergeCell ref="A5:G5"/>
    <mergeCell ref="A6:G6"/>
    <mergeCell ref="A10:G10"/>
    <mergeCell ref="A11:B11"/>
    <mergeCell ref="A12:B12"/>
    <mergeCell ref="A13:G13"/>
    <mergeCell ref="A14:G14"/>
    <mergeCell ref="A21:B21"/>
    <mergeCell ref="A15:F15"/>
    <mergeCell ref="A17:B17"/>
    <mergeCell ref="A18:B18"/>
    <mergeCell ref="A19:C19"/>
    <mergeCell ref="A20:C20"/>
  </mergeCells>
  <printOptions horizontalCentered="1"/>
  <pageMargins left="0.23622047244094499" right="0.23622047244094499" top="0.23622047244094499" bottom="0.23622047244094499" header="0.31496062992126" footer="0.31496062992126"/>
  <pageSetup paperSize="9" scale="9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4"/>
  <sheetViews>
    <sheetView view="pageBreakPreview" topLeftCell="A4" zoomScaleNormal="100" workbookViewId="0">
      <selection activeCell="A21" sqref="A21:L21"/>
    </sheetView>
  </sheetViews>
  <sheetFormatPr defaultColWidth="9" defaultRowHeight="15"/>
  <cols>
    <col min="1" max="1" width="28.875" customWidth="1"/>
    <col min="2" max="2" width="19.625" customWidth="1"/>
    <col min="3" max="3" width="18.875" customWidth="1"/>
    <col min="4" max="4" width="13.125" customWidth="1"/>
    <col min="5" max="5" width="8.75" customWidth="1"/>
    <col min="6" max="6" width="10.25" customWidth="1"/>
    <col min="8" max="8" width="9.125" customWidth="1"/>
    <col min="9" max="9" width="7.625" customWidth="1"/>
    <col min="10" max="10" width="5.125" customWidth="1"/>
    <col min="11" max="11" width="7.125" customWidth="1"/>
    <col min="12" max="12" width="3.875" customWidth="1"/>
    <col min="13" max="13" width="8" customWidth="1"/>
  </cols>
  <sheetData>
    <row r="1" spans="1:13" s="34" customFormat="1" ht="52.5" customHeight="1"/>
    <row r="2" spans="1:13" s="34" customFormat="1" ht="10.5" customHeight="1">
      <c r="A2" s="126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13" s="34" customFormat="1" ht="15.95" customHeight="1">
      <c r="A3" s="126" t="s">
        <v>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</row>
    <row r="4" spans="1:13" s="34" customFormat="1" ht="15.95" customHeight="1">
      <c r="A4" s="126" t="s">
        <v>78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</row>
    <row r="5" spans="1:13" s="34" customFormat="1" ht="15.95" customHeight="1">
      <c r="A5" s="126" t="s">
        <v>3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</row>
    <row r="6" spans="1:13" s="34" customFormat="1" ht="8.25" customHeight="1"/>
    <row r="7" spans="1:13" s="34" customFormat="1" ht="12" customHeight="1">
      <c r="A7" s="34" t="s">
        <v>4</v>
      </c>
      <c r="B7" s="155" t="s">
        <v>130</v>
      </c>
      <c r="C7" s="155"/>
      <c r="D7" s="155"/>
      <c r="H7" s="38" t="s">
        <v>6</v>
      </c>
      <c r="I7" s="182"/>
      <c r="J7" s="182"/>
      <c r="K7" s="38"/>
    </row>
    <row r="8" spans="1:13" s="34" customFormat="1" ht="12" customHeight="1">
      <c r="B8" s="39"/>
      <c r="C8" s="39"/>
      <c r="H8" s="39"/>
      <c r="I8" s="39"/>
      <c r="J8" s="39"/>
      <c r="K8" s="39"/>
    </row>
    <row r="9" spans="1:13" s="34" customFormat="1" ht="14.25" customHeight="1">
      <c r="A9" s="34" t="s">
        <v>7</v>
      </c>
      <c r="B9" s="155" t="s">
        <v>8</v>
      </c>
      <c r="C9" s="155"/>
      <c r="D9" s="155"/>
      <c r="H9" s="38" t="s">
        <v>9</v>
      </c>
      <c r="I9" s="50"/>
      <c r="J9" s="50"/>
      <c r="K9" s="38"/>
    </row>
    <row r="10" spans="1:13" s="34" customFormat="1" ht="12" customHeight="1">
      <c r="B10" s="37"/>
      <c r="C10" s="37"/>
      <c r="D10" s="37"/>
      <c r="H10" s="38"/>
      <c r="I10" s="38"/>
      <c r="J10" s="38"/>
      <c r="K10" s="38"/>
    </row>
    <row r="11" spans="1:13" s="34" customFormat="1" ht="12" customHeight="1">
      <c r="B11" s="37"/>
      <c r="C11" s="37"/>
      <c r="D11" s="37"/>
      <c r="H11" s="38"/>
      <c r="I11" s="38"/>
      <c r="J11" s="38"/>
      <c r="K11" s="38"/>
    </row>
    <row r="12" spans="1:13" ht="16.5" customHeight="1">
      <c r="A12" s="127" t="s">
        <v>131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</row>
    <row r="13" spans="1:13" s="35" customFormat="1" ht="18.75" customHeight="1">
      <c r="A13" s="158" t="s">
        <v>132</v>
      </c>
      <c r="B13" s="161" t="s">
        <v>11</v>
      </c>
      <c r="C13" s="167" t="s">
        <v>133</v>
      </c>
      <c r="D13" s="168"/>
      <c r="E13" s="173" t="s">
        <v>134</v>
      </c>
      <c r="F13" s="174"/>
      <c r="G13" s="179" t="s">
        <v>90</v>
      </c>
      <c r="H13" s="174"/>
      <c r="I13" s="179" t="s">
        <v>91</v>
      </c>
      <c r="J13" s="174"/>
      <c r="K13" s="179" t="s">
        <v>92</v>
      </c>
      <c r="L13" s="174"/>
      <c r="M13" s="164" t="s">
        <v>15</v>
      </c>
    </row>
    <row r="14" spans="1:13" s="35" customFormat="1" ht="18.75" customHeight="1">
      <c r="A14" s="159"/>
      <c r="B14" s="162"/>
      <c r="C14" s="169"/>
      <c r="D14" s="170"/>
      <c r="E14" s="175"/>
      <c r="F14" s="176"/>
      <c r="G14" s="180"/>
      <c r="H14" s="176"/>
      <c r="I14" s="180"/>
      <c r="J14" s="176"/>
      <c r="K14" s="180"/>
      <c r="L14" s="176"/>
      <c r="M14" s="165"/>
    </row>
    <row r="15" spans="1:13" s="35" customFormat="1" ht="24" customHeight="1">
      <c r="A15" s="160"/>
      <c r="B15" s="163"/>
      <c r="C15" s="171"/>
      <c r="D15" s="172"/>
      <c r="E15" s="177"/>
      <c r="F15" s="178"/>
      <c r="G15" s="181"/>
      <c r="H15" s="178"/>
      <c r="I15" s="181"/>
      <c r="J15" s="178"/>
      <c r="K15" s="181"/>
      <c r="L15" s="178"/>
      <c r="M15" s="166"/>
    </row>
    <row r="16" spans="1:13" s="36" customFormat="1" ht="39" customHeight="1">
      <c r="A16" s="40" t="s">
        <v>135</v>
      </c>
      <c r="B16" s="41" t="s">
        <v>136</v>
      </c>
      <c r="C16" s="148"/>
      <c r="D16" s="149"/>
      <c r="E16" s="156" t="s">
        <v>137</v>
      </c>
      <c r="F16" s="157"/>
      <c r="G16" s="44">
        <v>3</v>
      </c>
      <c r="H16" s="45"/>
      <c r="I16" s="44">
        <v>0</v>
      </c>
      <c r="J16" s="45"/>
      <c r="K16" s="44">
        <v>3</v>
      </c>
      <c r="L16" s="45"/>
      <c r="M16" s="51">
        <v>3</v>
      </c>
    </row>
    <row r="17" spans="1:13" s="36" customFormat="1" ht="39" customHeight="1">
      <c r="A17" s="40" t="s">
        <v>138</v>
      </c>
      <c r="B17" s="42" t="s">
        <v>139</v>
      </c>
      <c r="C17" s="148" t="s">
        <v>140</v>
      </c>
      <c r="D17" s="149"/>
      <c r="E17" s="42"/>
      <c r="F17" s="43"/>
      <c r="G17" s="44">
        <v>5</v>
      </c>
      <c r="H17" s="45"/>
      <c r="I17" s="44">
        <v>0</v>
      </c>
      <c r="J17" s="45"/>
      <c r="K17" s="44">
        <v>5</v>
      </c>
      <c r="L17" s="45"/>
      <c r="M17" s="51">
        <v>5</v>
      </c>
    </row>
    <row r="18" spans="1:13" s="36" customFormat="1" ht="39" customHeight="1">
      <c r="A18" s="40" t="s">
        <v>141</v>
      </c>
      <c r="B18" s="42" t="s">
        <v>142</v>
      </c>
      <c r="C18" s="148" t="s">
        <v>140</v>
      </c>
      <c r="D18" s="149"/>
      <c r="E18" s="42"/>
      <c r="F18" s="43"/>
      <c r="G18" s="44">
        <v>5</v>
      </c>
      <c r="H18" s="45"/>
      <c r="I18" s="44">
        <v>0</v>
      </c>
      <c r="J18" s="45"/>
      <c r="K18" s="44">
        <v>5</v>
      </c>
      <c r="L18" s="45"/>
      <c r="M18" s="51">
        <v>5</v>
      </c>
    </row>
    <row r="19" spans="1:13" s="36" customFormat="1" ht="39" customHeight="1">
      <c r="A19" s="40" t="s">
        <v>143</v>
      </c>
      <c r="B19" s="42" t="s">
        <v>144</v>
      </c>
      <c r="C19" s="148" t="s">
        <v>140</v>
      </c>
      <c r="D19" s="149"/>
      <c r="E19" s="42"/>
      <c r="F19" s="43"/>
      <c r="G19" s="44">
        <v>5</v>
      </c>
      <c r="H19" s="45"/>
      <c r="I19" s="44">
        <v>0</v>
      </c>
      <c r="J19" s="45"/>
      <c r="K19" s="44">
        <v>5</v>
      </c>
      <c r="L19" s="45"/>
      <c r="M19" s="51">
        <v>5</v>
      </c>
    </row>
    <row r="20" spans="1:13" s="36" customFormat="1" ht="39" customHeight="1">
      <c r="A20" s="40" t="s">
        <v>145</v>
      </c>
      <c r="B20" s="46" t="s">
        <v>146</v>
      </c>
      <c r="C20" s="148" t="s">
        <v>140</v>
      </c>
      <c r="D20" s="149"/>
      <c r="E20" s="150"/>
      <c r="F20" s="151"/>
      <c r="G20" s="44">
        <v>5</v>
      </c>
      <c r="H20" s="45"/>
      <c r="I20" s="44">
        <v>0</v>
      </c>
      <c r="J20" s="45"/>
      <c r="K20" s="44">
        <v>5</v>
      </c>
      <c r="L20" s="45"/>
      <c r="M20" s="51">
        <v>5</v>
      </c>
    </row>
    <row r="21" spans="1:13" s="36" customFormat="1" ht="39" customHeight="1">
      <c r="A21" s="152" t="s">
        <v>147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4"/>
      <c r="M21" s="52">
        <v>23</v>
      </c>
    </row>
    <row r="22" spans="1:13" s="34" customFormat="1" ht="75.75" customHeight="1">
      <c r="A22" s="47"/>
      <c r="B22" s="47"/>
      <c r="D22" s="48"/>
      <c r="M22" s="47"/>
    </row>
    <row r="23" spans="1:13" s="34" customFormat="1">
      <c r="D23" s="48"/>
    </row>
    <row r="24" spans="1:13" s="34" customFormat="1">
      <c r="D24" s="48"/>
    </row>
  </sheetData>
  <mergeCells count="24">
    <mergeCell ref="A2:K2"/>
    <mergeCell ref="A3:K3"/>
    <mergeCell ref="A4:K4"/>
    <mergeCell ref="A5:K5"/>
    <mergeCell ref="B7:D7"/>
    <mergeCell ref="I7:J7"/>
    <mergeCell ref="B9:D9"/>
    <mergeCell ref="A12:M12"/>
    <mergeCell ref="C16:D16"/>
    <mergeCell ref="E16:F16"/>
    <mergeCell ref="C17:D17"/>
    <mergeCell ref="A13:A15"/>
    <mergeCell ref="B13:B15"/>
    <mergeCell ref="M13:M15"/>
    <mergeCell ref="C13:D15"/>
    <mergeCell ref="E13:F15"/>
    <mergeCell ref="G13:H15"/>
    <mergeCell ref="I13:J15"/>
    <mergeCell ref="K13:L15"/>
    <mergeCell ref="C18:D18"/>
    <mergeCell ref="C19:D19"/>
    <mergeCell ref="C20:D20"/>
    <mergeCell ref="E20:F20"/>
    <mergeCell ref="A21:L21"/>
  </mergeCells>
  <printOptions horizontalCentered="1"/>
  <pageMargins left="0.23622047244094499" right="0.23622047244094499" top="0.35433070866141703" bottom="0.35433070866141703" header="0.31496062992126" footer="0.31496062992126"/>
  <pageSetup paperSize="9" scale="91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9"/>
  <sheetViews>
    <sheetView workbookViewId="0">
      <selection activeCell="B24" sqref="B24"/>
    </sheetView>
  </sheetViews>
  <sheetFormatPr defaultColWidth="9" defaultRowHeight="15"/>
  <cols>
    <col min="1" max="1" width="27.125" style="1" customWidth="1"/>
    <col min="2" max="2" width="8.25" style="1" customWidth="1"/>
    <col min="3" max="3" width="8.125" style="1" customWidth="1"/>
    <col min="4" max="4" width="7.25" style="1" customWidth="1"/>
    <col min="5" max="5" width="9.625" style="1" customWidth="1"/>
    <col min="6" max="6" width="8.375" style="1" customWidth="1"/>
    <col min="7" max="7" width="8.25" style="1" customWidth="1"/>
    <col min="8" max="10" width="9.625" style="1" customWidth="1"/>
    <col min="11" max="12" width="8.75" style="1" customWidth="1"/>
    <col min="13" max="13" width="8.75" style="1" hidden="1" customWidth="1"/>
    <col min="14" max="15" width="9.125" style="1"/>
  </cols>
  <sheetData>
    <row r="1" spans="1:15">
      <c r="A1" s="2"/>
      <c r="B1" s="2"/>
      <c r="C1" s="3"/>
      <c r="D1" s="4"/>
      <c r="E1" s="2"/>
      <c r="F1" s="2"/>
      <c r="G1" s="2"/>
      <c r="H1" s="5"/>
      <c r="I1" s="2"/>
      <c r="J1" s="2"/>
      <c r="K1" s="2"/>
      <c r="L1" s="2"/>
      <c r="M1" s="2"/>
      <c r="N1" s="2"/>
      <c r="O1" s="2"/>
    </row>
    <row r="2" spans="1:15">
      <c r="A2" s="2"/>
      <c r="B2" s="2"/>
      <c r="C2" s="3"/>
      <c r="D2" s="4"/>
      <c r="E2" s="2"/>
      <c r="F2" s="2"/>
      <c r="G2" s="2"/>
      <c r="H2" s="5"/>
      <c r="I2" s="2"/>
      <c r="J2" s="2"/>
      <c r="K2" s="2"/>
      <c r="L2" s="2"/>
      <c r="M2" s="2"/>
      <c r="N2" s="2"/>
      <c r="O2" s="2"/>
    </row>
    <row r="3" spans="1:15">
      <c r="A3" s="2"/>
      <c r="B3" s="2"/>
      <c r="C3" s="3"/>
      <c r="D3" s="4"/>
      <c r="E3" s="2"/>
      <c r="F3" s="2"/>
      <c r="G3" s="2"/>
      <c r="H3" s="5"/>
      <c r="I3" s="2"/>
      <c r="J3" s="2"/>
      <c r="K3" s="2"/>
      <c r="L3" s="2"/>
      <c r="M3" s="2"/>
      <c r="N3" s="2"/>
      <c r="O3" s="2"/>
    </row>
    <row r="4" spans="1:15">
      <c r="A4" s="2"/>
      <c r="B4" s="2"/>
      <c r="C4" s="3"/>
      <c r="D4" s="4"/>
      <c r="E4" s="2"/>
      <c r="F4" s="2"/>
      <c r="G4" s="2"/>
      <c r="H4" s="5"/>
      <c r="I4" s="2"/>
      <c r="J4" s="2"/>
      <c r="K4" s="2"/>
      <c r="L4" s="2"/>
      <c r="M4" s="2"/>
      <c r="N4" s="2"/>
      <c r="O4" s="2"/>
    </row>
    <row r="5" spans="1:15">
      <c r="A5" s="2"/>
      <c r="B5" s="2"/>
      <c r="C5" s="3"/>
      <c r="D5" s="4"/>
      <c r="E5" s="2"/>
      <c r="F5" s="2"/>
      <c r="G5" s="2"/>
      <c r="H5" s="5"/>
      <c r="I5" s="2"/>
      <c r="J5" s="2"/>
      <c r="K5" s="2"/>
      <c r="L5" s="2"/>
      <c r="M5" s="2"/>
      <c r="N5" s="2"/>
      <c r="O5" s="2"/>
    </row>
    <row r="6" spans="1:15">
      <c r="A6" s="187" t="s">
        <v>0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2"/>
      <c r="N6" s="2"/>
      <c r="O6" s="2"/>
    </row>
    <row r="7" spans="1:15">
      <c r="A7" s="187" t="s">
        <v>1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2"/>
      <c r="N7" s="2"/>
      <c r="O7" s="2"/>
    </row>
    <row r="8" spans="1:15">
      <c r="A8" s="187" t="s">
        <v>78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2"/>
      <c r="N8" s="2"/>
      <c r="O8" s="2"/>
    </row>
    <row r="9" spans="1:15">
      <c r="A9" s="187" t="s">
        <v>3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2"/>
      <c r="N9" s="2"/>
      <c r="O9" s="2"/>
    </row>
    <row r="10" spans="1:15">
      <c r="A10" s="2"/>
      <c r="B10" s="2"/>
      <c r="C10" s="5"/>
      <c r="D10" s="2"/>
      <c r="E10" s="2"/>
      <c r="F10" s="2"/>
      <c r="G10" s="2"/>
      <c r="H10" s="5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5"/>
      <c r="D11" s="2"/>
      <c r="E11" s="2"/>
      <c r="F11" s="2"/>
      <c r="G11" s="2"/>
      <c r="H11" s="5"/>
      <c r="I11" s="2"/>
      <c r="J11" s="2"/>
      <c r="K11" s="2"/>
      <c r="L11" s="2"/>
      <c r="M11" s="2"/>
      <c r="N11" s="2"/>
      <c r="O11" s="2"/>
    </row>
    <row r="12" spans="1:15">
      <c r="A12" s="6" t="s">
        <v>148</v>
      </c>
      <c r="B12" s="6"/>
      <c r="C12" s="183" t="s">
        <v>149</v>
      </c>
      <c r="D12" s="183"/>
      <c r="E12" s="183"/>
      <c r="F12" s="183"/>
      <c r="G12" s="183"/>
      <c r="H12" s="2"/>
      <c r="I12" s="183" t="s">
        <v>150</v>
      </c>
      <c r="J12" s="183"/>
      <c r="K12" s="183"/>
      <c r="L12" s="7"/>
      <c r="M12" s="2"/>
      <c r="N12" s="2"/>
      <c r="O12" s="2"/>
    </row>
    <row r="13" spans="1:15">
      <c r="A13" s="2"/>
      <c r="B13" s="8"/>
      <c r="C13" s="183" t="s">
        <v>151</v>
      </c>
      <c r="D13" s="183"/>
      <c r="E13" s="183"/>
      <c r="F13" s="183"/>
      <c r="G13" s="183"/>
      <c r="H13" s="2"/>
      <c r="I13" s="184" t="s">
        <v>152</v>
      </c>
      <c r="J13" s="184"/>
      <c r="K13" s="184"/>
      <c r="L13" s="25"/>
      <c r="M13" s="2"/>
      <c r="N13" s="2"/>
      <c r="O13" s="2"/>
    </row>
    <row r="14" spans="1:15">
      <c r="A14" s="6" t="s">
        <v>153</v>
      </c>
      <c r="B14" s="6"/>
      <c r="C14" s="9"/>
      <c r="D14" s="8"/>
      <c r="E14" s="8"/>
      <c r="F14" s="2"/>
      <c r="G14" s="2"/>
      <c r="H14" s="2"/>
      <c r="I14" s="183" t="s">
        <v>154</v>
      </c>
      <c r="J14" s="183"/>
      <c r="K14" s="183"/>
      <c r="L14" s="7"/>
      <c r="M14" s="2"/>
      <c r="N14" s="2"/>
      <c r="O14" s="2"/>
    </row>
    <row r="15" spans="1:15" ht="21">
      <c r="A15" s="185" t="s">
        <v>155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</row>
    <row r="16" spans="1:15" ht="48">
      <c r="A16" s="10" t="s">
        <v>11</v>
      </c>
      <c r="B16" s="11" t="s">
        <v>156</v>
      </c>
      <c r="C16" s="11" t="s">
        <v>157</v>
      </c>
      <c r="D16" s="11" t="s">
        <v>158</v>
      </c>
      <c r="E16" s="11" t="s">
        <v>159</v>
      </c>
      <c r="F16" s="11" t="s">
        <v>160</v>
      </c>
      <c r="G16" s="11" t="s">
        <v>161</v>
      </c>
      <c r="H16" s="11" t="s">
        <v>162</v>
      </c>
      <c r="I16" s="11" t="s">
        <v>163</v>
      </c>
      <c r="J16" s="11" t="s">
        <v>164</v>
      </c>
      <c r="K16" s="26" t="s">
        <v>165</v>
      </c>
      <c r="L16" s="27" t="s">
        <v>14</v>
      </c>
      <c r="M16" s="28"/>
      <c r="N16" s="28"/>
      <c r="O16" s="28"/>
    </row>
    <row r="17" spans="1:15">
      <c r="A17" s="12" t="s">
        <v>166</v>
      </c>
      <c r="B17" s="13"/>
      <c r="C17" s="14"/>
      <c r="D17" s="14"/>
      <c r="E17" s="13">
        <v>3</v>
      </c>
      <c r="F17" s="13"/>
      <c r="G17" s="13"/>
      <c r="H17" s="14"/>
      <c r="I17" s="13"/>
      <c r="J17" s="13"/>
      <c r="K17" s="13"/>
      <c r="L17" s="29">
        <v>3</v>
      </c>
      <c r="M17" s="28"/>
      <c r="N17" s="28"/>
      <c r="O17" s="28"/>
    </row>
    <row r="18" spans="1:15">
      <c r="A18" s="15" t="s">
        <v>167</v>
      </c>
      <c r="B18" s="13"/>
      <c r="C18" s="14"/>
      <c r="D18" s="14"/>
      <c r="E18" s="13">
        <v>1</v>
      </c>
      <c r="F18" s="13"/>
      <c r="G18" s="13"/>
      <c r="H18" s="14"/>
      <c r="I18" s="13"/>
      <c r="J18" s="13"/>
      <c r="K18" s="13"/>
      <c r="L18" s="29">
        <v>4</v>
      </c>
      <c r="M18" s="28"/>
      <c r="N18" s="28"/>
      <c r="O18" s="28"/>
    </row>
    <row r="19" spans="1:15">
      <c r="A19" s="16" t="s">
        <v>168</v>
      </c>
      <c r="B19" s="13"/>
      <c r="C19" s="14"/>
      <c r="D19" s="14"/>
      <c r="E19" s="13">
        <v>1</v>
      </c>
      <c r="F19" s="13"/>
      <c r="G19" s="13"/>
      <c r="H19" s="14"/>
      <c r="I19" s="13"/>
      <c r="J19" s="13"/>
      <c r="K19" s="13"/>
      <c r="L19" s="30">
        <v>5</v>
      </c>
      <c r="M19" s="31"/>
      <c r="N19" s="31"/>
      <c r="O19" s="31"/>
    </row>
    <row r="20" spans="1:15">
      <c r="A20" s="15" t="s">
        <v>169</v>
      </c>
      <c r="B20" s="13"/>
      <c r="C20" s="14"/>
      <c r="D20" s="14"/>
      <c r="E20" s="13">
        <v>3</v>
      </c>
      <c r="F20" s="13"/>
      <c r="G20" s="13"/>
      <c r="H20" s="14"/>
      <c r="I20" s="13"/>
      <c r="J20" s="13"/>
      <c r="K20" s="13"/>
      <c r="L20" s="30">
        <v>8</v>
      </c>
      <c r="M20" s="31"/>
      <c r="N20" s="31"/>
      <c r="O20" s="31"/>
    </row>
    <row r="21" spans="1:15">
      <c r="A21" s="15" t="s">
        <v>170</v>
      </c>
      <c r="B21" s="13"/>
      <c r="C21" s="14"/>
      <c r="D21" s="14"/>
      <c r="E21" s="13">
        <v>1</v>
      </c>
      <c r="F21" s="13"/>
      <c r="G21" s="13"/>
      <c r="H21" s="14"/>
      <c r="I21" s="13"/>
      <c r="J21" s="13"/>
      <c r="K21" s="13"/>
      <c r="L21" s="30">
        <v>9</v>
      </c>
      <c r="M21" s="31"/>
      <c r="N21" s="31"/>
      <c r="O21" s="31"/>
    </row>
    <row r="22" spans="1:15">
      <c r="A22" s="17" t="s">
        <v>171</v>
      </c>
      <c r="B22" s="18"/>
      <c r="C22" s="19"/>
      <c r="D22" s="19"/>
      <c r="E22" s="18">
        <v>7</v>
      </c>
      <c r="F22" s="18"/>
      <c r="G22" s="18"/>
      <c r="H22" s="19"/>
      <c r="I22" s="18"/>
      <c r="J22" s="18"/>
      <c r="K22" s="18"/>
      <c r="L22" s="32">
        <v>7</v>
      </c>
      <c r="M22" s="31"/>
      <c r="N22" s="31"/>
      <c r="O22" s="31"/>
    </row>
    <row r="23" spans="1:15">
      <c r="A23" s="20" t="s">
        <v>172</v>
      </c>
      <c r="B23" s="13"/>
      <c r="C23" s="14"/>
      <c r="D23" s="14"/>
      <c r="E23" s="13">
        <v>1</v>
      </c>
      <c r="F23" s="13"/>
      <c r="G23" s="13"/>
      <c r="H23" s="14"/>
      <c r="I23" s="13"/>
      <c r="J23" s="13"/>
      <c r="K23" s="13"/>
      <c r="L23" s="32">
        <v>6</v>
      </c>
      <c r="M23" s="31"/>
      <c r="N23" s="31"/>
      <c r="O23" s="31"/>
    </row>
    <row r="24" spans="1:15">
      <c r="A24" s="21" t="s">
        <v>173</v>
      </c>
      <c r="B24" s="22"/>
      <c r="C24" s="23"/>
      <c r="D24" s="23"/>
      <c r="E24" s="22">
        <v>7</v>
      </c>
      <c r="F24" s="22"/>
      <c r="G24" s="22"/>
      <c r="H24" s="23"/>
      <c r="I24" s="22"/>
      <c r="J24" s="22"/>
      <c r="K24" s="22"/>
      <c r="L24" s="22">
        <v>7</v>
      </c>
      <c r="M24" s="31"/>
      <c r="N24" s="31"/>
      <c r="O24" s="31"/>
    </row>
    <row r="25" spans="1:15">
      <c r="A25" s="20" t="s">
        <v>172</v>
      </c>
      <c r="B25" s="13"/>
      <c r="C25" s="14"/>
      <c r="D25" s="14"/>
      <c r="E25" s="13">
        <v>1</v>
      </c>
      <c r="F25" s="13"/>
      <c r="G25" s="13"/>
      <c r="H25" s="14"/>
      <c r="I25" s="13"/>
      <c r="J25" s="13"/>
      <c r="K25" s="13"/>
      <c r="L25" s="13">
        <v>6</v>
      </c>
      <c r="M25" s="31"/>
      <c r="N25" s="31"/>
      <c r="O25" s="31"/>
    </row>
    <row r="26" spans="1:15">
      <c r="A26" s="16" t="s">
        <v>174</v>
      </c>
      <c r="B26" s="13"/>
      <c r="C26" s="14"/>
      <c r="D26" s="14"/>
      <c r="E26" s="13">
        <v>1</v>
      </c>
      <c r="F26" s="13"/>
      <c r="G26" s="13"/>
      <c r="H26" s="14"/>
      <c r="I26" s="13"/>
      <c r="J26" s="13"/>
      <c r="K26" s="33"/>
      <c r="L26" s="13">
        <v>5</v>
      </c>
      <c r="M26" s="31"/>
      <c r="N26" s="31"/>
      <c r="O26" s="31"/>
    </row>
    <row r="27" spans="1:15">
      <c r="A27" s="186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</row>
    <row r="28" spans="1:15">
      <c r="A28" s="2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</sheetData>
  <mergeCells count="11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27:L27"/>
  </mergeCells>
  <pageMargins left="0.7" right="0.7" top="0.75" bottom="0.75" header="0.3" footer="0.3"/>
  <pageSetup paperSize="9" scale="62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7AB9BBAD8DB948C59350FD2A62EECC7C_12</vt:lpwstr>
  </property>
  <property fmtid="{D5CDD505-2E9C-101B-9397-08002B2CF9AE}" pid="3" name="KSOProductBuildVer">
    <vt:lpwstr>1033-12.2.0.23196</vt:lpwstr>
  </property>
</Properties>
</file>