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0E0BBD0B-7A03-4BF9-8624-40FCD91B8B29}" xr6:coauthVersionLast="47" xr6:coauthVersionMax="47" xr10:uidLastSave="{00000000-0000-0000-0000-000000000000}"/>
  <bookViews>
    <workbookView minimized="1" xWindow="13155" yWindow="7245" windowWidth="2715" windowHeight="885" firstSheet="1" activeTab="1" xr2:uid="{00000000-000D-0000-FFFF-FFFF00000000}"/>
  </bookViews>
  <sheets>
    <sheet name="Leave Card (NE) (2)" sheetId="10" r:id="rId1"/>
    <sheet name="statement" sheetId="11" r:id="rId2"/>
  </sheets>
  <definedNames>
    <definedName name="_xlnm.Print_Area" localSheetId="0">'Leave Card (NE) (2)'!$A$1:$J$75</definedName>
    <definedName name="_xlnm.Print_Area" localSheetId="1">statement!$A$1:$J$82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1" l="1"/>
  <c r="B67" i="11"/>
  <c r="I11" i="1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I30" i="11" s="1"/>
  <c r="I31" i="11" s="1"/>
  <c r="I32" i="11" s="1"/>
  <c r="I33" i="11" s="1"/>
  <c r="I34" i="11" s="1"/>
  <c r="I35" i="11" s="1"/>
  <c r="I36" i="11" s="1"/>
  <c r="I37" i="11" s="1"/>
  <c r="I38" i="11" s="1"/>
  <c r="I39" i="11" s="1"/>
  <c r="I40" i="11" s="1"/>
  <c r="I41" i="11" s="1"/>
  <c r="I42" i="11" s="1"/>
  <c r="I43" i="11" s="1"/>
  <c r="I44" i="11" s="1"/>
  <c r="I45" i="11" s="1"/>
  <c r="I46" i="11" s="1"/>
  <c r="I47" i="11" s="1"/>
  <c r="I48" i="11" s="1"/>
  <c r="I49" i="11" s="1"/>
  <c r="I50" i="11" s="1"/>
  <c r="I51" i="11" s="1"/>
  <c r="I52" i="11" s="1"/>
  <c r="I53" i="11" s="1"/>
  <c r="I54" i="11" s="1"/>
  <c r="I55" i="11" s="1"/>
  <c r="I56" i="11" s="1"/>
  <c r="I57" i="11" s="1"/>
  <c r="I58" i="11" s="1"/>
  <c r="I59" i="11" s="1"/>
  <c r="I60" i="11" s="1"/>
  <c r="I61" i="11" s="1"/>
  <c r="I62" i="11" s="1"/>
  <c r="I63" i="11" s="1"/>
  <c r="I64" i="11" s="1"/>
  <c r="I65" i="11" s="1"/>
  <c r="I66" i="11" s="1"/>
  <c r="H11" i="11"/>
  <c r="H12" i="11" s="1"/>
  <c r="H13" i="11" s="1"/>
  <c r="H14" i="11" s="1"/>
  <c r="H15" i="11" s="1"/>
  <c r="H16" i="11" s="1"/>
  <c r="B14" i="10"/>
  <c r="I13" i="10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H13" i="10"/>
  <c r="J11" i="11" l="1"/>
  <c r="J13" i="11"/>
  <c r="H17" i="11"/>
  <c r="J16" i="11"/>
  <c r="J15" i="11"/>
  <c r="J12" i="11"/>
  <c r="J14" i="11"/>
  <c r="J13" i="10"/>
  <c r="H14" i="10"/>
  <c r="H15" i="10" s="1"/>
  <c r="H16" i="10" s="1"/>
  <c r="H17" i="10" s="1"/>
  <c r="H18" i="11" l="1"/>
  <c r="J17" i="11"/>
  <c r="J17" i="10"/>
  <c r="H18" i="10"/>
  <c r="J15" i="10"/>
  <c r="J14" i="10"/>
  <c r="J16" i="10"/>
  <c r="H19" i="11" l="1"/>
  <c r="J18" i="11"/>
  <c r="H19" i="10"/>
  <c r="J18" i="10"/>
  <c r="H20" i="11" l="1"/>
  <c r="J19" i="11"/>
  <c r="J19" i="10"/>
  <c r="H20" i="10"/>
  <c r="H21" i="11" l="1"/>
  <c r="J20" i="11"/>
  <c r="H21" i="10"/>
  <c r="J20" i="10"/>
  <c r="J21" i="11" l="1"/>
  <c r="H22" i="11"/>
  <c r="J21" i="10"/>
  <c r="H22" i="10"/>
  <c r="H23" i="11" l="1"/>
  <c r="J22" i="11"/>
  <c r="J22" i="10"/>
  <c r="H23" i="10"/>
  <c r="H24" i="11" l="1"/>
  <c r="J23" i="11"/>
  <c r="J23" i="10"/>
  <c r="H24" i="10"/>
  <c r="H25" i="11" l="1"/>
  <c r="J24" i="11"/>
  <c r="J24" i="10"/>
  <c r="H25" i="10"/>
  <c r="J25" i="11" l="1"/>
  <c r="H26" i="11"/>
  <c r="J25" i="10"/>
  <c r="H26" i="10"/>
  <c r="H27" i="11" l="1"/>
  <c r="J26" i="11"/>
  <c r="H27" i="10"/>
  <c r="J26" i="10"/>
  <c r="H28" i="11" l="1"/>
  <c r="J27" i="11"/>
  <c r="J27" i="10"/>
  <c r="H28" i="10"/>
  <c r="H29" i="11" l="1"/>
  <c r="J28" i="11"/>
  <c r="H29" i="10"/>
  <c r="J28" i="10"/>
  <c r="H30" i="11" l="1"/>
  <c r="J29" i="11"/>
  <c r="J29" i="10"/>
  <c r="H30" i="10"/>
  <c r="H31" i="11" l="1"/>
  <c r="J30" i="11"/>
  <c r="H31" i="10"/>
  <c r="J30" i="10"/>
  <c r="H32" i="11" l="1"/>
  <c r="J31" i="11"/>
  <c r="J31" i="10"/>
  <c r="H32" i="10"/>
  <c r="H33" i="11" l="1"/>
  <c r="J32" i="11"/>
  <c r="J32" i="10"/>
  <c r="H33" i="10"/>
  <c r="H34" i="11" l="1"/>
  <c r="J33" i="11"/>
  <c r="J33" i="10"/>
  <c r="H34" i="10"/>
  <c r="H35" i="11" l="1"/>
  <c r="J34" i="11"/>
  <c r="H35" i="10"/>
  <c r="J34" i="10"/>
  <c r="H36" i="11" l="1"/>
  <c r="J35" i="11"/>
  <c r="J35" i="10"/>
  <c r="H36" i="10"/>
  <c r="H37" i="11" l="1"/>
  <c r="J36" i="11"/>
  <c r="H37" i="10"/>
  <c r="J36" i="10"/>
  <c r="H38" i="11" l="1"/>
  <c r="J37" i="11"/>
  <c r="J37" i="10"/>
  <c r="H38" i="10"/>
  <c r="H39" i="11" l="1"/>
  <c r="J38" i="11"/>
  <c r="J38" i="10"/>
  <c r="H39" i="10"/>
  <c r="H40" i="11" l="1"/>
  <c r="J39" i="11"/>
  <c r="H40" i="10"/>
  <c r="J39" i="10"/>
  <c r="H41" i="11" l="1"/>
  <c r="J40" i="11"/>
  <c r="J40" i="10"/>
  <c r="H41" i="10"/>
  <c r="H42" i="11" l="1"/>
  <c r="J41" i="11"/>
  <c r="H42" i="10"/>
  <c r="J41" i="10"/>
  <c r="H43" i="11" l="1"/>
  <c r="J42" i="11"/>
  <c r="J42" i="10"/>
  <c r="H43" i="10"/>
  <c r="H44" i="11" l="1"/>
  <c r="J43" i="11"/>
  <c r="H44" i="10"/>
  <c r="J43" i="10"/>
  <c r="H45" i="11" l="1"/>
  <c r="J44" i="11"/>
  <c r="J44" i="10"/>
  <c r="H45" i="10"/>
  <c r="H46" i="11" l="1"/>
  <c r="J45" i="11"/>
  <c r="J45" i="10"/>
  <c r="H46" i="10"/>
  <c r="H47" i="11" l="1"/>
  <c r="J46" i="11"/>
  <c r="H47" i="10"/>
  <c r="J46" i="10"/>
  <c r="H48" i="11" l="1"/>
  <c r="J47" i="11"/>
  <c r="J47" i="10"/>
  <c r="H48" i="10"/>
  <c r="H49" i="11" l="1"/>
  <c r="J48" i="11"/>
  <c r="H49" i="10"/>
  <c r="J48" i="10"/>
  <c r="H50" i="11" l="1"/>
  <c r="J49" i="11"/>
  <c r="H50" i="10"/>
  <c r="J49" i="10"/>
  <c r="H51" i="11" l="1"/>
  <c r="J50" i="11"/>
  <c r="H51" i="10"/>
  <c r="J50" i="10"/>
  <c r="H52" i="11" l="1"/>
  <c r="J51" i="11"/>
  <c r="J51" i="10"/>
  <c r="H52" i="10"/>
  <c r="H53" i="11" l="1"/>
  <c r="J52" i="11"/>
  <c r="H53" i="10"/>
  <c r="J52" i="10"/>
  <c r="H54" i="11" l="1"/>
  <c r="J53" i="11"/>
  <c r="J53" i="10"/>
  <c r="H54" i="10"/>
  <c r="H55" i="11" l="1"/>
  <c r="J54" i="11"/>
  <c r="J54" i="10"/>
  <c r="H55" i="10"/>
  <c r="H56" i="11" l="1"/>
  <c r="J55" i="11"/>
  <c r="H56" i="10"/>
  <c r="J55" i="10"/>
  <c r="H57" i="11" l="1"/>
  <c r="J56" i="11"/>
  <c r="J56" i="10"/>
  <c r="H57" i="10"/>
  <c r="H58" i="11" l="1"/>
  <c r="J57" i="11"/>
  <c r="J57" i="10"/>
  <c r="H58" i="10"/>
  <c r="H59" i="11" l="1"/>
  <c r="J58" i="11"/>
  <c r="J58" i="10"/>
  <c r="H59" i="10"/>
  <c r="H60" i="11" l="1"/>
  <c r="J59" i="11"/>
  <c r="J59" i="10"/>
  <c r="H60" i="10"/>
  <c r="H61" i="11" l="1"/>
  <c r="J60" i="11"/>
  <c r="H61" i="10"/>
  <c r="J60" i="10"/>
  <c r="H62" i="11" l="1"/>
  <c r="J61" i="11"/>
  <c r="J61" i="10"/>
  <c r="H62" i="10"/>
  <c r="H63" i="11" l="1"/>
  <c r="J62" i="11"/>
  <c r="H63" i="10"/>
  <c r="H64" i="10" s="1"/>
  <c r="J62" i="10"/>
  <c r="H64" i="11" l="1"/>
  <c r="J63" i="11"/>
  <c r="J64" i="10"/>
  <c r="H65" i="10"/>
  <c r="J63" i="10"/>
  <c r="H65" i="11" l="1"/>
  <c r="J64" i="11"/>
  <c r="J65" i="10"/>
  <c r="H66" i="10"/>
  <c r="H66" i="11" l="1"/>
  <c r="J65" i="11"/>
  <c r="J66" i="10"/>
  <c r="H67" i="10"/>
  <c r="J66" i="11" l="1"/>
  <c r="J67" i="10"/>
  <c r="H68" i="10"/>
  <c r="J68" i="10" s="1"/>
</calcChain>
</file>

<file path=xl/sharedStrings.xml><?xml version="1.0" encoding="utf-8"?>
<sst xmlns="http://schemas.openxmlformats.org/spreadsheetml/2006/main" count="170" uniqueCount="101">
  <si>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</si>
  <si>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</si>
  <si>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</si>
  <si>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</si>
  <si>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</si>
  <si>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</si>
  <si>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</si>
  <si>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</si>
  <si>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</si>
  <si>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</si>
  <si>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</si>
  <si>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</si>
  <si>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</si>
  <si>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</si>
  <si>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</si>
  <si>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</si>
  <si>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POSITION: __________________________</t>
  </si>
  <si>
    <t>DISTRICT: ___________________________</t>
  </si>
  <si>
    <t>SCHOOL/OFFICE:_____________________</t>
  </si>
  <si>
    <t>ADD: 3/15/2022 - 3/31/2022</t>
  </si>
  <si>
    <t>ADD: 4/01/2022 - 12/31/2022</t>
  </si>
  <si>
    <t>LESS: 11/15/2022</t>
  </si>
  <si>
    <t>LESS: 11/22 &amp; 23/2022</t>
  </si>
  <si>
    <t>ADD: 01/01/2023 - 02/28/2023</t>
  </si>
  <si>
    <t>LESS: 03/20/2023</t>
  </si>
  <si>
    <t>ADD: 03/01/2023 - 03/31/2023</t>
  </si>
  <si>
    <t>LESS: 04/13/2023</t>
  </si>
  <si>
    <t>ADD: 04/01/2023 - 04/30/2023</t>
  </si>
  <si>
    <t>LESS: 04/27/2023</t>
  </si>
  <si>
    <t>LESS: 05/08/2023</t>
  </si>
  <si>
    <t>ADD: 05/01/2023 - 05/31/2023</t>
  </si>
  <si>
    <t>LESS: 06/01/2023</t>
  </si>
  <si>
    <t>ADD: 06/01/2023 - 06/30/2023</t>
  </si>
  <si>
    <t>LESS: 07/20/2023</t>
  </si>
  <si>
    <t>LESS: 07/28/2023</t>
  </si>
  <si>
    <t>ADD: 07/01/2023 - 08/31/2023</t>
  </si>
  <si>
    <t>LESS: 08/11/2023</t>
  </si>
  <si>
    <t>LESS: 08/16/2023</t>
  </si>
  <si>
    <t>LESS: 09/07/2023</t>
  </si>
  <si>
    <t>LESS:O9/01/2023</t>
  </si>
  <si>
    <t>LESS: 09/18-19/2023</t>
  </si>
  <si>
    <t>ADD: 09/01/2023-09/30/2023</t>
  </si>
  <si>
    <t>LESS: 10/06/2023</t>
  </si>
  <si>
    <t>LESS: 10/19/2023</t>
  </si>
  <si>
    <t>ADD: 10/01/2023-10/31/2023</t>
  </si>
  <si>
    <t>LESS: 11/24/2023</t>
  </si>
  <si>
    <t>ADD: 11/01/2023-11/30/2023</t>
  </si>
  <si>
    <t>LESS: 12/13/2023</t>
  </si>
  <si>
    <t>ADD: 12/01/2023-12/31/2023</t>
  </si>
  <si>
    <t>LESS: 01/08/2024</t>
  </si>
  <si>
    <t>LESS: 01/19/2024</t>
  </si>
  <si>
    <t>LESS: 01/26 &amp; 29, 2024</t>
  </si>
  <si>
    <t>ADD: 01/01-31/2024</t>
  </si>
  <si>
    <t>ADD: 02/01/2024-02/29/2024</t>
  </si>
  <si>
    <t>LESS: 03/01/2024</t>
  </si>
  <si>
    <t>LESS: 03/14-15/2024</t>
  </si>
  <si>
    <t>ADD: 03/01-31/2024</t>
  </si>
  <si>
    <t>LESS: 04/08/2024</t>
  </si>
  <si>
    <t>LESS: 04/26/2024</t>
  </si>
  <si>
    <t>LESS: 05/6-7/2024</t>
  </si>
  <si>
    <t>ADD: 04/1/2024-05/31/2024</t>
  </si>
  <si>
    <t>LESS: 06/4/2024</t>
  </si>
  <si>
    <t>LESS: MANDATORY FL 2023</t>
  </si>
  <si>
    <t>ADD: 06/1-30/2024</t>
  </si>
  <si>
    <t>LESS: 07/12/2024</t>
  </si>
  <si>
    <t>LESS: 07/22/2024</t>
  </si>
  <si>
    <t>DATE FILED/RECEIVED</t>
  </si>
  <si>
    <t>SPECIAL</t>
  </si>
  <si>
    <t xml:space="preserve">  </t>
  </si>
  <si>
    <t>LESS: 07/26/2024</t>
  </si>
  <si>
    <t>LESS: 08/1-2/2024</t>
  </si>
  <si>
    <t>LESS: FL 2022</t>
  </si>
  <si>
    <t>LESS: 08/16/2024</t>
  </si>
  <si>
    <t>LESS: 08/22/2024</t>
  </si>
  <si>
    <t>LESS: 09/10/2024</t>
  </si>
  <si>
    <t>ADD: 08/1-31/2024</t>
  </si>
  <si>
    <t>ADD: 09/1-30/2024</t>
  </si>
  <si>
    <t>ADD: 07/1-31/2024</t>
  </si>
  <si>
    <t>RESIGNED: EFFECTIVE OCTOBER 01, 2024</t>
  </si>
  <si>
    <t>STATEMENT OF VACATION AND SICK LEAVE CREDITS</t>
  </si>
  <si>
    <t>PURSUANT TO CIVIL CERVICE COMMISSION</t>
  </si>
  <si>
    <t>RESOLUTION NO. 06- 213 DATED JUNE 6, 1986</t>
  </si>
  <si>
    <t xml:space="preserve"> </t>
  </si>
  <si>
    <t>Agency: DepEd Division of Sipalay City</t>
  </si>
  <si>
    <t xml:space="preserve">Vacation </t>
  </si>
  <si>
    <t>Sick</t>
  </si>
  <si>
    <t>Vacation</t>
  </si>
  <si>
    <t>Mon</t>
  </si>
  <si>
    <t>Conformed by:</t>
  </si>
  <si>
    <t xml:space="preserve">Certified Correct:              </t>
  </si>
  <si>
    <t>MA. LUISA B. CATIGAN</t>
  </si>
  <si>
    <t>Administrative Officer IV - HRMO</t>
  </si>
  <si>
    <t xml:space="preserve">DATE: </t>
  </si>
  <si>
    <t>BALTAZAR B. TABIANO</t>
  </si>
  <si>
    <t>Administrative Officer V- Admin</t>
  </si>
  <si>
    <t>VIRMIE G. GADAYAN</t>
  </si>
  <si>
    <t>Administrative Officer - V</t>
  </si>
  <si>
    <t xml:space="preserve">              Budget Officer</t>
  </si>
  <si>
    <t>Name: LUMOGDANG, ANGELENE MAE C.</t>
  </si>
  <si>
    <t>RESIGNED EFFECTIVE 10/01/2024</t>
  </si>
  <si>
    <t>ANGELENE MAE C. LUMOGDANG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</si>
</sst>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Bookman Old Style"/>
      <family val="1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96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4" fontId="0" fillId="2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164" fontId="0" fillId="2" borderId="12" xfId="0" applyNumberFormat="1" applyFill="1" applyBorder="1" applyAlignment="1">
      <alignment horizontal="center" vertical="center"/>
    </xf>
    <xf numFmtId="164" fontId="3" fillId="2" borderId="12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3" xfId="0" applyNumberFormat="1" applyFill="1" applyBorder="1" applyAlignment="1">
      <alignment horizontal="center" vertical="center"/>
    </xf>
    <xf numFmtId="0" fontId="8" fillId="0" borderId="0" xfId="0" applyFont="1"/>
    <xf numFmtId="164" fontId="0" fillId="2" borderId="2" xfId="0" applyNumberForma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9" fillId="0" borderId="0" xfId="1" applyAlignment="1">
      <alignment horizontal="center"/>
    </xf>
    <xf numFmtId="0" fontId="9" fillId="0" borderId="0" xfId="1"/>
    <xf numFmtId="0" fontId="9" fillId="0" borderId="0" xfId="1" applyAlignment="1">
      <alignment horizontal="center"/>
    </xf>
    <xf numFmtId="0" fontId="10" fillId="0" borderId="0" xfId="1" applyFont="1" applyAlignment="1">
      <alignment horizontal="left"/>
    </xf>
    <xf numFmtId="0" fontId="1" fillId="0" borderId="1" xfId="1" applyFont="1" applyBorder="1" applyAlignment="1">
      <alignment horizontal="center"/>
    </xf>
    <xf numFmtId="0" fontId="11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0" borderId="1" xfId="1" applyFont="1" applyBorder="1"/>
    <xf numFmtId="0" fontId="9" fillId="0" borderId="6" xfId="2" applyBorder="1" applyAlignment="1">
      <alignment horizontal="center" vertical="center" wrapText="1"/>
    </xf>
    <xf numFmtId="164" fontId="3" fillId="0" borderId="18" xfId="2" applyNumberFormat="1" applyFont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>
      <alignment horizontal="center" vertical="center"/>
    </xf>
    <xf numFmtId="2" fontId="9" fillId="0" borderId="1" xfId="1" applyNumberFormat="1" applyBorder="1" applyAlignment="1">
      <alignment horizontal="center" vertical="center"/>
    </xf>
    <xf numFmtId="0" fontId="9" fillId="0" borderId="7" xfId="2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center"/>
    </xf>
    <xf numFmtId="164" fontId="9" fillId="0" borderId="1" xfId="1" applyNumberFormat="1" applyBorder="1" applyAlignment="1">
      <alignment horizontal="center" vertical="center"/>
    </xf>
    <xf numFmtId="0" fontId="9" fillId="0" borderId="14" xfId="2" applyBorder="1" applyAlignment="1">
      <alignment horizontal="center"/>
    </xf>
    <xf numFmtId="164" fontId="10" fillId="2" borderId="12" xfId="1" applyNumberFormat="1" applyFont="1" applyFill="1" applyBorder="1" applyAlignment="1">
      <alignment horizontal="center" vertical="center" wrapText="1"/>
    </xf>
    <xf numFmtId="164" fontId="3" fillId="2" borderId="12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0" fontId="9" fillId="0" borderId="22" xfId="2" applyBorder="1" applyAlignment="1">
      <alignment horizontal="center"/>
    </xf>
    <xf numFmtId="2" fontId="3" fillId="0" borderId="1" xfId="1" applyNumberFormat="1" applyFont="1" applyBorder="1" applyAlignment="1">
      <alignment horizontal="center" vertical="center"/>
    </xf>
    <xf numFmtId="164" fontId="10" fillId="0" borderId="1" xfId="1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23" xfId="2" applyBorder="1" applyAlignment="1">
      <alignment horizontal="center" vertical="center"/>
    </xf>
    <xf numFmtId="164" fontId="3" fillId="0" borderId="12" xfId="2" applyNumberFormat="1" applyFont="1" applyBorder="1" applyAlignment="1">
      <alignment horizontal="center" vertical="center"/>
    </xf>
    <xf numFmtId="0" fontId="12" fillId="0" borderId="24" xfId="1" applyFont="1" applyBorder="1" applyAlignment="1">
      <alignment horizontal="center"/>
    </xf>
    <xf numFmtId="164" fontId="12" fillId="0" borderId="25" xfId="1" applyNumberFormat="1" applyFont="1" applyBorder="1" applyAlignment="1">
      <alignment horizontal="center" vertical="center"/>
    </xf>
    <xf numFmtId="164" fontId="12" fillId="0" borderId="26" xfId="1" applyNumberFormat="1" applyFont="1" applyBorder="1" applyAlignment="1">
      <alignment horizontal="center" vertical="center"/>
    </xf>
    <xf numFmtId="2" fontId="12" fillId="0" borderId="27" xfId="1" applyNumberFormat="1" applyFont="1" applyBorder="1" applyAlignment="1">
      <alignment horizontal="center" vertical="center"/>
    </xf>
    <xf numFmtId="2" fontId="12" fillId="0" borderId="28" xfId="1" applyNumberFormat="1" applyFont="1" applyBorder="1" applyAlignment="1">
      <alignment horizontal="center" vertical="center"/>
    </xf>
    <xf numFmtId="164" fontId="12" fillId="0" borderId="28" xfId="1" applyNumberFormat="1" applyFont="1" applyBorder="1" applyAlignment="1">
      <alignment horizontal="center" vertical="center"/>
    </xf>
    <xf numFmtId="164" fontId="12" fillId="0" borderId="26" xfId="1" applyNumberFormat="1" applyFont="1" applyBorder="1" applyAlignment="1">
      <alignment horizontal="center" vertical="center"/>
    </xf>
    <xf numFmtId="0" fontId="9" fillId="0" borderId="0" xfId="1" applyAlignment="1">
      <alignment horizontal="center" vertical="center"/>
    </xf>
    <xf numFmtId="0" fontId="9" fillId="0" borderId="0" xfId="1" applyAlignment="1">
      <alignment horizontal="left" vertical="center"/>
    </xf>
    <xf numFmtId="0" fontId="13" fillId="0" borderId="0" xfId="1" applyFont="1" applyAlignment="1">
      <alignment horizontal="left" vertical="center"/>
    </xf>
    <xf numFmtId="0" fontId="1" fillId="0" borderId="0" xfId="1" applyFont="1"/>
    <xf numFmtId="0" fontId="14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4" fillId="0" borderId="0" xfId="1" applyFont="1"/>
    <xf numFmtId="0" fontId="1" fillId="0" borderId="12" xfId="1" applyFont="1" applyBorder="1" applyAlignment="1">
      <alignment horizontal="center" vertical="center"/>
    </xf>
    <xf numFmtId="0" fontId="1" fillId="0" borderId="29" xfId="1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</cellXfs>
  <cellStyles count="3">
    <cellStyle name="Normal" xfId="0" builtinId="0"/>
    <cellStyle name="Normal 3" xfId="2" xr:uid="{BEA86DD6-9E97-431C-B855-B964F4674289}"/>
    <cellStyle name="Normal 4" xfId="1" xr:uid="{5B3BFF1C-E6C3-4BA2-9AE5-B18361AD29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395376</xdr:colOff>
      <xdr:row>0</xdr:row>
      <xdr:rowOff>25040</xdr:rowOff>
    </xdr:from>
    <xdr:to>
      <xdr:col>4</xdr:col>
      <xdr:colOff>221304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FA54D0-266E-4FC6-8EA6-FDE7891C523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6107" y="25040"/>
          <a:ext cx="598711" cy="639913"/>
        </a:xfrm>
        <a:prstGeom prst="rect">
          <a:avLst/>
        </a:prstGeom>
        <a:noFill/>
      </xdr:spPr>
    </xdr:pic>
    <xdr:clientData/>
  </xdr:twoCellAnchor>
  <xdr:twoCellAnchor>
    <xdr:from>
      <xdr:col>0</xdr:col>
      <xdr:colOff>350448</xdr:colOff>
      <xdr:row>5</xdr:row>
      <xdr:rowOff>45159</xdr:rowOff>
    </xdr:from>
    <xdr:to>
      <xdr:col>1</xdr:col>
      <xdr:colOff>80873</xdr:colOff>
      <xdr:row>7</xdr:row>
      <xdr:rowOff>35138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85374D9-D304-4257-8AEB-15B242964DA8}"/>
            </a:ext>
          </a:extLst>
        </xdr:cNvPr>
        <xdr:cNvSpPr txBox="1"/>
      </xdr:nvSpPr>
      <xdr:spPr>
        <a:xfrm>
          <a:off x="350448" y="1437966"/>
          <a:ext cx="2165590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LUMOGDANG, ANGELENE MAE C.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047123-AEF3-40BE-A8A6-E0E46D2708DC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9873052-2319-4F3B-BF84-50D47FBEEDC0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CALANGCANG ES</a:t>
          </a:r>
        </a:p>
      </xdr:txBody>
    </xdr:sp>
    <xdr:clientData/>
  </xdr:twoCellAnchor>
  <xdr:twoCellAnchor>
    <xdr:from>
      <xdr:col>5</xdr:col>
      <xdr:colOff>347452</xdr:colOff>
      <xdr:row>69</xdr:row>
      <xdr:rowOff>53914</xdr:rowOff>
    </xdr:from>
    <xdr:to>
      <xdr:col>9</xdr:col>
      <xdr:colOff>672043</xdr:colOff>
      <xdr:row>74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E999905-1EE1-47CD-B2A1-1BC09EF51B35}"/>
            </a:ext>
          </a:extLst>
        </xdr:cNvPr>
        <xdr:cNvSpPr txBox="1"/>
      </xdr:nvSpPr>
      <xdr:spPr>
        <a:xfrm>
          <a:off x="5871952" y="11931589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127257</xdr:colOff>
      <xdr:row>0</xdr:row>
      <xdr:rowOff>126067</xdr:rowOff>
    </xdr:from>
    <xdr:to>
      <xdr:col>9</xdr:col>
      <xdr:colOff>137225</xdr:colOff>
      <xdr:row>4</xdr:row>
      <xdr:rowOff>40360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6B0FA-6674-46B0-A22C-9C73C0211EE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3732" y="126067"/>
          <a:ext cx="695768" cy="67629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16144</xdr:colOff>
      <xdr:row>0</xdr:row>
      <xdr:rowOff>127135</xdr:rowOff>
    </xdr:from>
    <xdr:to>
      <xdr:col>8</xdr:col>
      <xdr:colOff>113637</xdr:colOff>
      <xdr:row>4</xdr:row>
      <xdr:rowOff>80722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10456F-91D1-47F0-BA5F-BEE03C0C509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2069" y="127135"/>
          <a:ext cx="688043" cy="71558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8D1A5-B8A5-4A3E-9AC3-14D7DE85E900}">
  <sheetPr>
    <pageSetUpPr fitToPage="1"/>
  </sheetPr>
  <dimension ref="A1:K73"/>
  <sheetViews>
    <sheetView view="pageBreakPreview" topLeftCell="A12" zoomScale="106" zoomScaleNormal="100" zoomScaleSheetLayoutView="106" workbookViewId="0">
      <selection activeCell="G37" sqref="G37"/>
    </sheetView>
  </sheetViews>
  <sheetFormatPr defaultRowHeight="15" x14ac:dyDescent="0.25"/>
  <cols>
    <col min="1" max="1" width="36.5703125" style="33" customWidth="1"/>
    <col min="2" max="2" width="11.5703125" style="33" customWidth="1"/>
    <col min="3" max="5" width="11.5703125" customWidth="1"/>
    <col min="6" max="7" width="11.5703125" style="30" customWidth="1"/>
    <col min="8" max="10" width="11.5703125" customWidth="1"/>
    <col min="11" max="11" width="26.42578125" style="25" customWidth="1"/>
  </cols>
  <sheetData>
    <row r="1" spans="1:11" s="1" customFormat="1" ht="52.5" customHeight="1" x14ac:dyDescent="0.25">
      <c r="A1" s="5"/>
      <c r="B1" s="5"/>
    </row>
    <row r="2" spans="1:11" s="1" customFormat="1" ht="10.5" customHeight="1" x14ac:dyDescent="0.25">
      <c r="A2" s="38" t="s">
        <v>11</v>
      </c>
      <c r="B2" s="38"/>
      <c r="C2" s="38"/>
      <c r="D2" s="38"/>
      <c r="E2" s="38"/>
      <c r="F2" s="38"/>
      <c r="G2" s="38"/>
      <c r="H2" s="38"/>
      <c r="I2" s="38"/>
      <c r="J2" s="38"/>
    </row>
    <row r="3" spans="1:11" s="1" customFormat="1" ht="15.95" customHeight="1" x14ac:dyDescent="0.25">
      <c r="A3" s="38" t="s">
        <v>12</v>
      </c>
      <c r="B3" s="38"/>
      <c r="C3" s="38"/>
      <c r="D3" s="38"/>
      <c r="E3" s="38"/>
      <c r="F3" s="38"/>
      <c r="G3" s="38"/>
      <c r="H3" s="38"/>
      <c r="I3" s="38"/>
      <c r="J3" s="38"/>
    </row>
    <row r="4" spans="1:11" s="1" customFormat="1" ht="15.95" customHeight="1" x14ac:dyDescent="0.25">
      <c r="A4" s="38" t="s">
        <v>13</v>
      </c>
      <c r="B4" s="38"/>
      <c r="C4" s="38"/>
      <c r="D4" s="38"/>
      <c r="E4" s="38"/>
      <c r="F4" s="38"/>
      <c r="G4" s="38"/>
      <c r="H4" s="38"/>
      <c r="I4" s="38"/>
      <c r="J4" s="38"/>
    </row>
    <row r="5" spans="1:11" s="1" customFormat="1" ht="15.95" customHeight="1" x14ac:dyDescent="0.25">
      <c r="A5" s="38" t="s">
        <v>14</v>
      </c>
      <c r="B5" s="38"/>
      <c r="C5" s="38"/>
      <c r="D5" s="38"/>
      <c r="E5" s="38"/>
      <c r="F5" s="38"/>
      <c r="G5" s="38"/>
      <c r="H5" s="38"/>
      <c r="I5" s="38"/>
      <c r="J5" s="38"/>
    </row>
    <row r="6" spans="1:11" s="1" customFormat="1" ht="8.25" customHeight="1" x14ac:dyDescent="0.25">
      <c r="A6" s="5"/>
      <c r="B6" s="5"/>
    </row>
    <row r="7" spans="1:11" s="1" customFormat="1" ht="12" customHeight="1" x14ac:dyDescent="0.25">
      <c r="A7" s="5" t="s">
        <v>15</v>
      </c>
      <c r="B7" s="37" t="s">
        <v>17</v>
      </c>
      <c r="C7" s="37"/>
      <c r="D7" s="37"/>
      <c r="H7" s="3" t="s">
        <v>9</v>
      </c>
      <c r="I7" s="11"/>
      <c r="J7" s="3"/>
    </row>
    <row r="8" spans="1:11" s="1" customFormat="1" ht="12" customHeight="1" x14ac:dyDescent="0.25">
      <c r="A8" s="5"/>
      <c r="B8" s="31"/>
      <c r="C8" s="2"/>
      <c r="H8" s="2"/>
      <c r="I8" s="2"/>
      <c r="J8" s="2"/>
    </row>
    <row r="9" spans="1:11" s="1" customFormat="1" ht="12" customHeight="1" x14ac:dyDescent="0.25">
      <c r="A9" s="5" t="s">
        <v>16</v>
      </c>
      <c r="B9" s="37" t="s">
        <v>18</v>
      </c>
      <c r="C9" s="37"/>
      <c r="D9" s="37"/>
      <c r="H9" s="3" t="s">
        <v>10</v>
      </c>
      <c r="I9" s="4"/>
      <c r="J9" s="3"/>
    </row>
    <row r="10" spans="1:11" ht="23.25" customHeight="1" thickBot="1" x14ac:dyDescent="0.3">
      <c r="A10" s="40" t="s">
        <v>0</v>
      </c>
      <c r="B10" s="40"/>
      <c r="C10" s="40"/>
      <c r="D10" s="40"/>
      <c r="E10" s="40"/>
      <c r="F10" s="40"/>
      <c r="G10" s="40"/>
      <c r="H10" s="40"/>
      <c r="I10" s="40"/>
      <c r="J10" s="40"/>
      <c r="K10"/>
    </row>
    <row r="11" spans="1:11" ht="18.75" customHeight="1" x14ac:dyDescent="0.25">
      <c r="A11" s="41" t="s">
        <v>4</v>
      </c>
      <c r="B11" s="43" t="s">
        <v>5</v>
      </c>
      <c r="C11" s="44"/>
      <c r="D11" s="45" t="s">
        <v>6</v>
      </c>
      <c r="E11" s="46"/>
      <c r="F11" s="46"/>
      <c r="G11" s="47"/>
      <c r="H11" s="48" t="s">
        <v>7</v>
      </c>
      <c r="I11" s="49"/>
      <c r="J11" s="50" t="s">
        <v>8</v>
      </c>
      <c r="K11" s="39" t="s">
        <v>66</v>
      </c>
    </row>
    <row r="12" spans="1:11" ht="18.75" customHeight="1" thickBot="1" x14ac:dyDescent="0.3">
      <c r="A12" s="42"/>
      <c r="B12" s="22" t="s">
        <v>1</v>
      </c>
      <c r="C12" s="22" t="s">
        <v>2</v>
      </c>
      <c r="D12" s="22" t="s">
        <v>1</v>
      </c>
      <c r="E12" s="22" t="s">
        <v>2</v>
      </c>
      <c r="F12" s="22" t="s">
        <v>3</v>
      </c>
      <c r="G12" s="22" t="s">
        <v>67</v>
      </c>
      <c r="H12" s="22" t="s">
        <v>1</v>
      </c>
      <c r="I12" s="22" t="s">
        <v>2</v>
      </c>
      <c r="J12" s="51"/>
      <c r="K12" s="39"/>
    </row>
    <row r="13" spans="1:11" ht="16.5" customHeight="1" x14ac:dyDescent="0.25">
      <c r="A13" s="6" t="s">
        <v>19</v>
      </c>
      <c r="B13" s="8">
        <v>0.70799999999999996</v>
      </c>
      <c r="C13" s="8">
        <v>0.70799999999999996</v>
      </c>
      <c r="D13" s="8"/>
      <c r="E13" s="8"/>
      <c r="F13" s="8"/>
      <c r="G13" s="8"/>
      <c r="H13" s="23">
        <f>B13</f>
        <v>0.70799999999999996</v>
      </c>
      <c r="I13" s="23">
        <f>C13</f>
        <v>0.70799999999999996</v>
      </c>
      <c r="J13" s="24">
        <f>SUM(H13:I13)</f>
        <v>1.4159999999999999</v>
      </c>
    </row>
    <row r="14" spans="1:11" ht="12" customHeight="1" x14ac:dyDescent="0.25">
      <c r="A14" s="6" t="s">
        <v>20</v>
      </c>
      <c r="B14" s="8">
        <f>9*1.25</f>
        <v>11.25</v>
      </c>
      <c r="C14" s="8">
        <v>11.25</v>
      </c>
      <c r="D14" s="8"/>
      <c r="E14" s="8"/>
      <c r="F14" s="8"/>
      <c r="G14" s="8"/>
      <c r="H14" s="8">
        <f>H13-F14-D14+B14</f>
        <v>11.958</v>
      </c>
      <c r="I14" s="8">
        <f>I13-E14+C14</f>
        <v>11.958</v>
      </c>
      <c r="J14" s="26">
        <f>SUM(H14:I14)</f>
        <v>23.916</v>
      </c>
    </row>
    <row r="15" spans="1:11" ht="12" customHeight="1" x14ac:dyDescent="0.25">
      <c r="A15" s="7" t="s">
        <v>21</v>
      </c>
      <c r="B15" s="8"/>
      <c r="C15" s="8"/>
      <c r="D15" s="8"/>
      <c r="E15" s="8">
        <v>1</v>
      </c>
      <c r="F15" s="8"/>
      <c r="G15" s="8"/>
      <c r="H15" s="8">
        <f t="shared" ref="H15:H16" si="0">H14-F15-D15+B15</f>
        <v>11.958</v>
      </c>
      <c r="I15" s="8">
        <f t="shared" ref="I15:I16" si="1">I14-E15+C15</f>
        <v>10.958</v>
      </c>
      <c r="J15" s="26">
        <f t="shared" ref="J15:J16" si="2">SUM(H15:I15)</f>
        <v>22.916</v>
      </c>
    </row>
    <row r="16" spans="1:11" ht="12" customHeight="1" x14ac:dyDescent="0.25">
      <c r="A16" s="7" t="s">
        <v>22</v>
      </c>
      <c r="B16" s="8"/>
      <c r="C16" s="8"/>
      <c r="D16" s="8"/>
      <c r="E16" s="8"/>
      <c r="F16" s="8">
        <v>2</v>
      </c>
      <c r="G16" s="8"/>
      <c r="H16" s="8">
        <f t="shared" si="0"/>
        <v>9.9580000000000002</v>
      </c>
      <c r="I16" s="8">
        <f t="shared" si="1"/>
        <v>10.958</v>
      </c>
      <c r="J16" s="26">
        <f t="shared" si="2"/>
        <v>20.916</v>
      </c>
    </row>
    <row r="17" spans="1:10" ht="12" customHeight="1" x14ac:dyDescent="0.25">
      <c r="A17" s="7" t="s">
        <v>71</v>
      </c>
      <c r="B17" s="8"/>
      <c r="C17" s="8"/>
      <c r="D17" s="8"/>
      <c r="E17" s="8"/>
      <c r="F17" s="8">
        <v>3</v>
      </c>
      <c r="G17" s="8"/>
      <c r="H17" s="8">
        <f t="shared" ref="H17:H44" si="3">H16-F17-D17+B17</f>
        <v>6.9580000000000002</v>
      </c>
      <c r="I17" s="8">
        <f t="shared" ref="I17:I44" si="4">I16-E17+C17</f>
        <v>10.958</v>
      </c>
      <c r="J17" s="26">
        <f t="shared" ref="J17:J44" si="5">SUM(H17:I17)</f>
        <v>17.916</v>
      </c>
    </row>
    <row r="18" spans="1:10" ht="12" customHeight="1" x14ac:dyDescent="0.25">
      <c r="A18" s="7" t="s">
        <v>23</v>
      </c>
      <c r="B18" s="8">
        <v>2.5</v>
      </c>
      <c r="C18" s="8">
        <v>2.5</v>
      </c>
      <c r="D18" s="8"/>
      <c r="E18" s="8"/>
      <c r="F18" s="8"/>
      <c r="G18" s="8"/>
      <c r="H18" s="8">
        <f t="shared" si="3"/>
        <v>9.4580000000000002</v>
      </c>
      <c r="I18" s="8">
        <f t="shared" si="4"/>
        <v>13.458</v>
      </c>
      <c r="J18" s="26">
        <f t="shared" si="5"/>
        <v>22.916</v>
      </c>
    </row>
    <row r="19" spans="1:10" ht="12" customHeight="1" x14ac:dyDescent="0.25">
      <c r="A19" s="7" t="s">
        <v>24</v>
      </c>
      <c r="B19" s="8"/>
      <c r="C19" s="8"/>
      <c r="D19" s="8"/>
      <c r="E19" s="8">
        <v>1</v>
      </c>
      <c r="F19" s="8"/>
      <c r="G19" s="8"/>
      <c r="H19" s="8">
        <f t="shared" si="3"/>
        <v>9.4580000000000002</v>
      </c>
      <c r="I19" s="8">
        <f t="shared" si="4"/>
        <v>12.458</v>
      </c>
      <c r="J19" s="26">
        <f t="shared" si="5"/>
        <v>21.916</v>
      </c>
    </row>
    <row r="20" spans="1:10" ht="12" customHeight="1" x14ac:dyDescent="0.25">
      <c r="A20" s="7" t="s">
        <v>25</v>
      </c>
      <c r="B20" s="8">
        <v>1.25</v>
      </c>
      <c r="C20" s="8">
        <v>1.25</v>
      </c>
      <c r="D20" s="8"/>
      <c r="E20" s="8"/>
      <c r="F20" s="8"/>
      <c r="G20" s="8"/>
      <c r="H20" s="8">
        <f t="shared" si="3"/>
        <v>10.708</v>
      </c>
      <c r="I20" s="8">
        <f t="shared" si="4"/>
        <v>13.708</v>
      </c>
      <c r="J20" s="26">
        <f t="shared" si="5"/>
        <v>24.416</v>
      </c>
    </row>
    <row r="21" spans="1:10" ht="12" customHeight="1" x14ac:dyDescent="0.25">
      <c r="A21" s="7" t="s">
        <v>26</v>
      </c>
      <c r="B21" s="8"/>
      <c r="C21" s="8"/>
      <c r="D21" s="8"/>
      <c r="E21" s="8"/>
      <c r="F21" s="8"/>
      <c r="G21" s="8">
        <v>1</v>
      </c>
      <c r="H21" s="8">
        <f t="shared" si="3"/>
        <v>10.708</v>
      </c>
      <c r="I21" s="8">
        <f t="shared" si="4"/>
        <v>13.708</v>
      </c>
      <c r="J21" s="26">
        <f t="shared" si="5"/>
        <v>24.416</v>
      </c>
    </row>
    <row r="22" spans="1:10" ht="12" customHeight="1" x14ac:dyDescent="0.25">
      <c r="A22" s="7" t="s">
        <v>27</v>
      </c>
      <c r="B22" s="8">
        <v>1.25</v>
      </c>
      <c r="C22" s="8">
        <v>1.25</v>
      </c>
      <c r="D22" s="8"/>
      <c r="E22" s="8"/>
      <c r="F22" s="8"/>
      <c r="G22" s="8"/>
      <c r="H22" s="8">
        <f t="shared" si="3"/>
        <v>11.958</v>
      </c>
      <c r="I22" s="8">
        <f t="shared" si="4"/>
        <v>14.958</v>
      </c>
      <c r="J22" s="26">
        <f t="shared" si="5"/>
        <v>26.916</v>
      </c>
    </row>
    <row r="23" spans="1:10" ht="12" customHeight="1" x14ac:dyDescent="0.25">
      <c r="A23" s="7" t="s">
        <v>28</v>
      </c>
      <c r="B23" s="8"/>
      <c r="C23" s="8"/>
      <c r="D23" s="8"/>
      <c r="E23" s="8">
        <v>1</v>
      </c>
      <c r="F23" s="8"/>
      <c r="G23" s="8"/>
      <c r="H23" s="8">
        <f t="shared" si="3"/>
        <v>11.958</v>
      </c>
      <c r="I23" s="8">
        <f t="shared" si="4"/>
        <v>13.958</v>
      </c>
      <c r="J23" s="26">
        <f t="shared" si="5"/>
        <v>25.916</v>
      </c>
    </row>
    <row r="24" spans="1:10" ht="12" customHeight="1" x14ac:dyDescent="0.25">
      <c r="A24" s="7" t="s">
        <v>29</v>
      </c>
      <c r="B24" s="8"/>
      <c r="C24" s="8"/>
      <c r="D24" s="8"/>
      <c r="E24" s="8">
        <v>1</v>
      </c>
      <c r="F24" s="8"/>
      <c r="G24" s="8"/>
      <c r="H24" s="8">
        <f t="shared" si="3"/>
        <v>11.958</v>
      </c>
      <c r="I24" s="8">
        <f t="shared" si="4"/>
        <v>12.958</v>
      </c>
      <c r="J24" s="26">
        <f t="shared" si="5"/>
        <v>24.916</v>
      </c>
    </row>
    <row r="25" spans="1:10" ht="12" customHeight="1" x14ac:dyDescent="0.25">
      <c r="A25" s="7" t="s">
        <v>30</v>
      </c>
      <c r="B25" s="8">
        <v>1.25</v>
      </c>
      <c r="C25" s="8">
        <v>1.25</v>
      </c>
      <c r="D25" s="8"/>
      <c r="E25" s="8"/>
      <c r="F25" s="8"/>
      <c r="G25" s="8"/>
      <c r="H25" s="8">
        <f t="shared" si="3"/>
        <v>13.208</v>
      </c>
      <c r="I25" s="8">
        <f t="shared" si="4"/>
        <v>14.208</v>
      </c>
      <c r="J25" s="26">
        <f t="shared" si="5"/>
        <v>27.416</v>
      </c>
    </row>
    <row r="26" spans="1:10" ht="14.25" customHeight="1" x14ac:dyDescent="0.25">
      <c r="A26" s="6" t="s">
        <v>31</v>
      </c>
      <c r="B26" s="8"/>
      <c r="C26" s="8"/>
      <c r="D26" s="10"/>
      <c r="E26" s="8">
        <v>1</v>
      </c>
      <c r="F26" s="10"/>
      <c r="G26" s="10"/>
      <c r="H26" s="8">
        <f t="shared" si="3"/>
        <v>13.208</v>
      </c>
      <c r="I26" s="8">
        <f t="shared" si="4"/>
        <v>13.208</v>
      </c>
      <c r="J26" s="26">
        <f t="shared" si="5"/>
        <v>26.416</v>
      </c>
    </row>
    <row r="27" spans="1:10" ht="12" customHeight="1" x14ac:dyDescent="0.25">
      <c r="A27" s="7" t="s">
        <v>32</v>
      </c>
      <c r="B27" s="8">
        <v>1.25</v>
      </c>
      <c r="C27" s="8">
        <v>1.25</v>
      </c>
      <c r="D27" s="10"/>
      <c r="E27" s="8"/>
      <c r="F27" s="8"/>
      <c r="G27" s="8"/>
      <c r="H27" s="8">
        <f t="shared" si="3"/>
        <v>14.458</v>
      </c>
      <c r="I27" s="8">
        <f t="shared" si="4"/>
        <v>14.458</v>
      </c>
      <c r="J27" s="26">
        <f t="shared" si="5"/>
        <v>28.916</v>
      </c>
    </row>
    <row r="28" spans="1:10" ht="12" customHeight="1" x14ac:dyDescent="0.25">
      <c r="A28" s="6" t="s">
        <v>33</v>
      </c>
      <c r="B28" s="8"/>
      <c r="C28" s="8"/>
      <c r="D28" s="12"/>
      <c r="E28" s="13"/>
      <c r="F28" s="13"/>
      <c r="G28" s="13">
        <v>1</v>
      </c>
      <c r="H28" s="8">
        <f t="shared" si="3"/>
        <v>14.458</v>
      </c>
      <c r="I28" s="8">
        <f t="shared" si="4"/>
        <v>14.458</v>
      </c>
      <c r="J28" s="26">
        <f t="shared" si="5"/>
        <v>28.916</v>
      </c>
    </row>
    <row r="29" spans="1:10" ht="12" customHeight="1" x14ac:dyDescent="0.25">
      <c r="A29" s="6" t="s">
        <v>34</v>
      </c>
      <c r="B29" s="13"/>
      <c r="C29" s="13"/>
      <c r="D29" s="13"/>
      <c r="E29" s="13"/>
      <c r="F29" s="13"/>
      <c r="G29" s="13">
        <v>1</v>
      </c>
      <c r="H29" s="8">
        <f t="shared" si="3"/>
        <v>14.458</v>
      </c>
      <c r="I29" s="8">
        <f t="shared" si="4"/>
        <v>14.458</v>
      </c>
      <c r="J29" s="26">
        <f t="shared" si="5"/>
        <v>28.916</v>
      </c>
    </row>
    <row r="30" spans="1:10" ht="12" customHeight="1" x14ac:dyDescent="0.25">
      <c r="A30" s="7" t="s">
        <v>35</v>
      </c>
      <c r="B30" s="8">
        <v>2.5</v>
      </c>
      <c r="C30" s="8">
        <v>2.5</v>
      </c>
      <c r="D30" s="13"/>
      <c r="E30" s="13"/>
      <c r="F30" s="13"/>
      <c r="G30" s="13"/>
      <c r="H30" s="8">
        <f t="shared" si="3"/>
        <v>16.957999999999998</v>
      </c>
      <c r="I30" s="8">
        <f t="shared" si="4"/>
        <v>16.957999999999998</v>
      </c>
      <c r="J30" s="26">
        <f t="shared" si="5"/>
        <v>33.915999999999997</v>
      </c>
    </row>
    <row r="31" spans="1:10" ht="12" customHeight="1" x14ac:dyDescent="0.25">
      <c r="A31" s="6" t="s">
        <v>36</v>
      </c>
      <c r="B31" s="13"/>
      <c r="C31" s="13"/>
      <c r="D31" s="13"/>
      <c r="E31" s="13"/>
      <c r="F31" s="13">
        <v>1</v>
      </c>
      <c r="G31" s="13"/>
      <c r="H31" s="8">
        <f t="shared" si="3"/>
        <v>15.957999999999998</v>
      </c>
      <c r="I31" s="8">
        <f t="shared" si="4"/>
        <v>16.957999999999998</v>
      </c>
      <c r="J31" s="26">
        <f t="shared" si="5"/>
        <v>32.915999999999997</v>
      </c>
    </row>
    <row r="32" spans="1:10" ht="12" customHeight="1" x14ac:dyDescent="0.25">
      <c r="A32" s="6" t="s">
        <v>37</v>
      </c>
      <c r="B32" s="8"/>
      <c r="C32" s="8"/>
      <c r="D32" s="13">
        <v>1</v>
      </c>
      <c r="E32" s="13"/>
      <c r="F32" s="13"/>
      <c r="G32" s="13"/>
      <c r="H32" s="8">
        <f t="shared" si="3"/>
        <v>14.957999999999998</v>
      </c>
      <c r="I32" s="8">
        <f t="shared" si="4"/>
        <v>16.957999999999998</v>
      </c>
      <c r="J32" s="26">
        <f t="shared" si="5"/>
        <v>31.915999999999997</v>
      </c>
    </row>
    <row r="33" spans="1:11" s="28" customFormat="1" ht="12" customHeight="1" x14ac:dyDescent="0.25">
      <c r="A33" s="6" t="s">
        <v>38</v>
      </c>
      <c r="B33" s="8"/>
      <c r="C33" s="8"/>
      <c r="D33" s="13"/>
      <c r="E33" s="13">
        <v>1</v>
      </c>
      <c r="F33" s="13"/>
      <c r="G33" s="13"/>
      <c r="H33" s="8">
        <f t="shared" si="3"/>
        <v>14.957999999999998</v>
      </c>
      <c r="I33" s="8">
        <f t="shared" si="4"/>
        <v>15.957999999999998</v>
      </c>
      <c r="J33" s="26">
        <f t="shared" si="5"/>
        <v>30.915999999999997</v>
      </c>
      <c r="K33" s="27"/>
    </row>
    <row r="34" spans="1:11" s="28" customFormat="1" ht="12" customHeight="1" x14ac:dyDescent="0.25">
      <c r="A34" s="6" t="s">
        <v>39</v>
      </c>
      <c r="B34" s="8"/>
      <c r="C34" s="8"/>
      <c r="D34" s="13"/>
      <c r="E34" s="13"/>
      <c r="F34" s="13">
        <v>1</v>
      </c>
      <c r="G34" s="13"/>
      <c r="H34" s="8">
        <f t="shared" si="3"/>
        <v>13.957999999999998</v>
      </c>
      <c r="I34" s="8">
        <f t="shared" si="4"/>
        <v>15.957999999999998</v>
      </c>
      <c r="J34" s="26">
        <f t="shared" si="5"/>
        <v>29.915999999999997</v>
      </c>
      <c r="K34" s="27"/>
    </row>
    <row r="35" spans="1:11" ht="12" customHeight="1" x14ac:dyDescent="0.25">
      <c r="A35" s="6" t="s">
        <v>40</v>
      </c>
      <c r="B35" s="8"/>
      <c r="C35" s="8"/>
      <c r="D35" s="13"/>
      <c r="E35" s="13">
        <v>2</v>
      </c>
      <c r="F35" s="13"/>
      <c r="G35" s="13"/>
      <c r="H35" s="8">
        <f t="shared" si="3"/>
        <v>13.957999999999998</v>
      </c>
      <c r="I35" s="8">
        <f t="shared" si="4"/>
        <v>13.957999999999998</v>
      </c>
      <c r="J35" s="26">
        <f t="shared" si="5"/>
        <v>27.915999999999997</v>
      </c>
    </row>
    <row r="36" spans="1:11" s="28" customFormat="1" ht="12" customHeight="1" x14ac:dyDescent="0.25">
      <c r="A36" s="6" t="s">
        <v>41</v>
      </c>
      <c r="B36" s="8">
        <v>1.25</v>
      </c>
      <c r="C36" s="8">
        <v>1.25</v>
      </c>
      <c r="D36" s="13"/>
      <c r="E36" s="13"/>
      <c r="F36" s="13"/>
      <c r="G36" s="13"/>
      <c r="H36" s="8">
        <f t="shared" si="3"/>
        <v>15.207999999999998</v>
      </c>
      <c r="I36" s="8">
        <f t="shared" si="4"/>
        <v>15.207999999999998</v>
      </c>
      <c r="J36" s="26">
        <f t="shared" si="5"/>
        <v>30.415999999999997</v>
      </c>
      <c r="K36" s="27"/>
    </row>
    <row r="37" spans="1:11" s="28" customFormat="1" ht="12" customHeight="1" x14ac:dyDescent="0.25">
      <c r="A37" s="6" t="s">
        <v>42</v>
      </c>
      <c r="B37" s="8"/>
      <c r="C37" s="8"/>
      <c r="D37" s="13">
        <v>1</v>
      </c>
      <c r="E37" s="13"/>
      <c r="F37" s="13"/>
      <c r="G37" s="13"/>
      <c r="H37" s="8">
        <f t="shared" si="3"/>
        <v>14.207999999999998</v>
      </c>
      <c r="I37" s="8">
        <f t="shared" si="4"/>
        <v>15.207999999999998</v>
      </c>
      <c r="J37" s="26">
        <f t="shared" si="5"/>
        <v>29.415999999999997</v>
      </c>
      <c r="K37" s="27"/>
    </row>
    <row r="38" spans="1:11" ht="12" customHeight="1" x14ac:dyDescent="0.25">
      <c r="A38" s="6" t="s">
        <v>43</v>
      </c>
      <c r="B38" s="8"/>
      <c r="C38" s="8"/>
      <c r="D38" s="13">
        <v>1</v>
      </c>
      <c r="E38" s="13"/>
      <c r="F38" s="13"/>
      <c r="G38" s="13"/>
      <c r="H38" s="8">
        <f t="shared" si="3"/>
        <v>13.207999999999998</v>
      </c>
      <c r="I38" s="8">
        <f t="shared" si="4"/>
        <v>15.207999999999998</v>
      </c>
      <c r="J38" s="26">
        <f t="shared" si="5"/>
        <v>28.415999999999997</v>
      </c>
    </row>
    <row r="39" spans="1:11" ht="12" customHeight="1" x14ac:dyDescent="0.25">
      <c r="A39" s="6" t="s">
        <v>44</v>
      </c>
      <c r="B39" s="8">
        <v>1.25</v>
      </c>
      <c r="C39" s="8">
        <v>1.25</v>
      </c>
      <c r="D39" s="13"/>
      <c r="E39" s="13"/>
      <c r="F39" s="13"/>
      <c r="G39" s="13"/>
      <c r="H39" s="8">
        <f t="shared" si="3"/>
        <v>14.457999999999998</v>
      </c>
      <c r="I39" s="8">
        <f t="shared" si="4"/>
        <v>16.457999999999998</v>
      </c>
      <c r="J39" s="26">
        <f t="shared" si="5"/>
        <v>30.915999999999997</v>
      </c>
    </row>
    <row r="40" spans="1:11" ht="12" customHeight="1" x14ac:dyDescent="0.25">
      <c r="A40" s="14" t="s">
        <v>45</v>
      </c>
      <c r="B40" s="15"/>
      <c r="C40" s="15"/>
      <c r="D40" s="16"/>
      <c r="E40" s="16">
        <v>1</v>
      </c>
      <c r="F40" s="16"/>
      <c r="G40" s="16"/>
      <c r="H40" s="8">
        <f t="shared" si="3"/>
        <v>14.457999999999998</v>
      </c>
      <c r="I40" s="8">
        <f t="shared" si="4"/>
        <v>15.457999999999998</v>
      </c>
      <c r="J40" s="26">
        <f t="shared" si="5"/>
        <v>29.915999999999997</v>
      </c>
    </row>
    <row r="41" spans="1:11" ht="12" customHeight="1" x14ac:dyDescent="0.25">
      <c r="A41" s="6" t="s">
        <v>46</v>
      </c>
      <c r="B41" s="8">
        <v>1.25</v>
      </c>
      <c r="C41" s="8">
        <v>1.25</v>
      </c>
      <c r="D41" s="13"/>
      <c r="E41" s="13"/>
      <c r="F41" s="13"/>
      <c r="G41" s="13"/>
      <c r="H41" s="8">
        <f t="shared" si="3"/>
        <v>15.707999999999998</v>
      </c>
      <c r="I41" s="8">
        <f t="shared" si="4"/>
        <v>16.707999999999998</v>
      </c>
      <c r="J41" s="26">
        <f t="shared" si="5"/>
        <v>32.415999999999997</v>
      </c>
    </row>
    <row r="42" spans="1:11" ht="12" customHeight="1" x14ac:dyDescent="0.25">
      <c r="A42" s="14" t="s">
        <v>47</v>
      </c>
      <c r="B42" s="15"/>
      <c r="C42" s="15"/>
      <c r="D42" s="16">
        <v>1</v>
      </c>
      <c r="E42" s="16"/>
      <c r="F42" s="16"/>
      <c r="G42" s="16"/>
      <c r="H42" s="8">
        <f t="shared" si="3"/>
        <v>14.707999999999998</v>
      </c>
      <c r="I42" s="8">
        <f t="shared" si="4"/>
        <v>16.707999999999998</v>
      </c>
      <c r="J42" s="26">
        <f t="shared" si="5"/>
        <v>31.415999999999997</v>
      </c>
    </row>
    <row r="43" spans="1:11" ht="12" customHeight="1" x14ac:dyDescent="0.25">
      <c r="A43" s="6" t="s">
        <v>48</v>
      </c>
      <c r="B43" s="8">
        <v>1.25</v>
      </c>
      <c r="C43" s="8">
        <v>1.25</v>
      </c>
      <c r="D43" s="13"/>
      <c r="E43" s="13"/>
      <c r="F43" s="13"/>
      <c r="G43" s="13"/>
      <c r="H43" s="8">
        <f t="shared" si="3"/>
        <v>15.957999999999998</v>
      </c>
      <c r="I43" s="8">
        <f t="shared" si="4"/>
        <v>17.957999999999998</v>
      </c>
      <c r="J43" s="26">
        <f t="shared" si="5"/>
        <v>33.915999999999997</v>
      </c>
    </row>
    <row r="44" spans="1:11" ht="12" customHeight="1" x14ac:dyDescent="0.25">
      <c r="A44" s="20" t="s">
        <v>62</v>
      </c>
      <c r="B44" s="20"/>
      <c r="C44" s="20"/>
      <c r="D44" s="19"/>
      <c r="E44" s="19"/>
      <c r="F44" s="19">
        <v>3</v>
      </c>
      <c r="G44" s="19"/>
      <c r="H44" s="8">
        <f t="shared" si="3"/>
        <v>12.957999999999998</v>
      </c>
      <c r="I44" s="8">
        <f t="shared" si="4"/>
        <v>17.957999999999998</v>
      </c>
      <c r="J44" s="26">
        <f t="shared" si="5"/>
        <v>30.915999999999997</v>
      </c>
    </row>
    <row r="45" spans="1:11" ht="12" customHeight="1" x14ac:dyDescent="0.25">
      <c r="A45" s="17" t="s">
        <v>49</v>
      </c>
      <c r="B45" s="17"/>
      <c r="C45" s="17"/>
      <c r="D45" s="18"/>
      <c r="E45" s="18">
        <v>1</v>
      </c>
      <c r="F45" s="18"/>
      <c r="G45" s="18"/>
      <c r="H45" s="8">
        <f t="shared" ref="H45:H63" si="6">H44-F45-D45+B45</f>
        <v>12.957999999999998</v>
      </c>
      <c r="I45" s="8">
        <f t="shared" ref="I45:I63" si="7">I44-E45+C45</f>
        <v>16.957999999999998</v>
      </c>
      <c r="J45" s="26">
        <f t="shared" ref="J45:J63" si="8">SUM(H45:I45)</f>
        <v>29.915999999999997</v>
      </c>
    </row>
    <row r="46" spans="1:11" ht="12" customHeight="1" x14ac:dyDescent="0.25">
      <c r="A46" s="17" t="s">
        <v>50</v>
      </c>
      <c r="B46" s="17"/>
      <c r="C46" s="17"/>
      <c r="D46" s="18"/>
      <c r="E46" s="18"/>
      <c r="F46" s="19">
        <v>1</v>
      </c>
      <c r="G46" s="18"/>
      <c r="H46" s="8">
        <f t="shared" si="6"/>
        <v>11.957999999999998</v>
      </c>
      <c r="I46" s="8">
        <f t="shared" si="7"/>
        <v>16.957999999999998</v>
      </c>
      <c r="J46" s="26">
        <f t="shared" si="8"/>
        <v>28.915999999999997</v>
      </c>
    </row>
    <row r="47" spans="1:11" ht="12" customHeight="1" x14ac:dyDescent="0.25">
      <c r="A47" s="17" t="s">
        <v>51</v>
      </c>
      <c r="B47" s="17"/>
      <c r="C47" s="17"/>
      <c r="D47" s="18">
        <v>2</v>
      </c>
      <c r="E47" s="18"/>
      <c r="F47" s="19"/>
      <c r="G47" s="18"/>
      <c r="H47" s="8">
        <f t="shared" si="6"/>
        <v>9.9579999999999984</v>
      </c>
      <c r="I47" s="8">
        <f t="shared" si="7"/>
        <v>16.957999999999998</v>
      </c>
      <c r="J47" s="26">
        <f t="shared" si="8"/>
        <v>26.915999999999997</v>
      </c>
    </row>
    <row r="48" spans="1:11" ht="12" customHeight="1" x14ac:dyDescent="0.25">
      <c r="A48" s="20" t="s">
        <v>52</v>
      </c>
      <c r="B48" s="17">
        <v>1.25</v>
      </c>
      <c r="C48" s="17">
        <v>1.25</v>
      </c>
      <c r="D48" s="18"/>
      <c r="E48" s="18"/>
      <c r="F48" s="19"/>
      <c r="G48" s="18"/>
      <c r="H48" s="8">
        <f t="shared" si="6"/>
        <v>11.207999999999998</v>
      </c>
      <c r="I48" s="8">
        <f t="shared" si="7"/>
        <v>18.207999999999998</v>
      </c>
      <c r="J48" s="26">
        <f t="shared" si="8"/>
        <v>29.415999999999997</v>
      </c>
    </row>
    <row r="49" spans="1:10" ht="12" customHeight="1" x14ac:dyDescent="0.25">
      <c r="A49" s="20" t="s">
        <v>53</v>
      </c>
      <c r="B49" s="17">
        <v>1.25</v>
      </c>
      <c r="C49" s="17">
        <v>1.25</v>
      </c>
      <c r="D49" s="18"/>
      <c r="E49" s="18"/>
      <c r="F49" s="19"/>
      <c r="G49" s="18"/>
      <c r="H49" s="8">
        <f t="shared" si="6"/>
        <v>12.457999999999998</v>
      </c>
      <c r="I49" s="8">
        <f t="shared" si="7"/>
        <v>19.457999999999998</v>
      </c>
      <c r="J49" s="26">
        <f t="shared" si="8"/>
        <v>31.915999999999997</v>
      </c>
    </row>
    <row r="50" spans="1:10" ht="12" customHeight="1" x14ac:dyDescent="0.25">
      <c r="A50" s="20" t="s">
        <v>54</v>
      </c>
      <c r="B50" s="17"/>
      <c r="C50" s="17"/>
      <c r="D50" s="18"/>
      <c r="E50" s="18"/>
      <c r="F50" s="19">
        <v>1</v>
      </c>
      <c r="G50" s="18"/>
      <c r="H50" s="8">
        <f t="shared" si="6"/>
        <v>11.457999999999998</v>
      </c>
      <c r="I50" s="8">
        <f t="shared" si="7"/>
        <v>19.457999999999998</v>
      </c>
      <c r="J50" s="26">
        <f t="shared" si="8"/>
        <v>30.915999999999997</v>
      </c>
    </row>
    <row r="51" spans="1:10" ht="12" customHeight="1" x14ac:dyDescent="0.25">
      <c r="A51" s="20" t="s">
        <v>55</v>
      </c>
      <c r="B51" s="17"/>
      <c r="C51" s="17"/>
      <c r="D51" s="18"/>
      <c r="E51" s="18"/>
      <c r="F51" s="19">
        <v>2</v>
      </c>
      <c r="G51" s="18"/>
      <c r="H51" s="8">
        <f t="shared" si="6"/>
        <v>9.4579999999999984</v>
      </c>
      <c r="I51" s="8">
        <f t="shared" si="7"/>
        <v>19.457999999999998</v>
      </c>
      <c r="J51" s="26">
        <f t="shared" si="8"/>
        <v>28.915999999999997</v>
      </c>
    </row>
    <row r="52" spans="1:10" ht="12" customHeight="1" x14ac:dyDescent="0.25">
      <c r="A52" s="20" t="s">
        <v>56</v>
      </c>
      <c r="B52" s="17">
        <v>1.25</v>
      </c>
      <c r="C52" s="17">
        <v>1.25</v>
      </c>
      <c r="D52" s="18"/>
      <c r="E52" s="18"/>
      <c r="F52" s="19"/>
      <c r="G52" s="18"/>
      <c r="H52" s="8">
        <f t="shared" si="6"/>
        <v>10.707999999999998</v>
      </c>
      <c r="I52" s="8">
        <f t="shared" si="7"/>
        <v>20.707999999999998</v>
      </c>
      <c r="J52" s="26">
        <f t="shared" si="8"/>
        <v>31.415999999999997</v>
      </c>
    </row>
    <row r="53" spans="1:10" ht="12" customHeight="1" x14ac:dyDescent="0.25">
      <c r="A53" s="17" t="s">
        <v>57</v>
      </c>
      <c r="B53" s="17"/>
      <c r="C53" s="17"/>
      <c r="D53" s="18"/>
      <c r="E53" s="18"/>
      <c r="F53" s="19">
        <v>1</v>
      </c>
      <c r="G53" s="18"/>
      <c r="H53" s="8">
        <f t="shared" si="6"/>
        <v>9.7079999999999984</v>
      </c>
      <c r="I53" s="8">
        <f t="shared" si="7"/>
        <v>20.707999999999998</v>
      </c>
      <c r="J53" s="26">
        <f t="shared" si="8"/>
        <v>30.415999999999997</v>
      </c>
    </row>
    <row r="54" spans="1:10" ht="12" customHeight="1" x14ac:dyDescent="0.25">
      <c r="A54" s="21" t="s">
        <v>58</v>
      </c>
      <c r="B54" s="21"/>
      <c r="C54" s="21"/>
      <c r="D54" s="21"/>
      <c r="E54" s="21">
        <v>1</v>
      </c>
      <c r="F54" s="21"/>
      <c r="G54" s="21"/>
      <c r="H54" s="8">
        <f t="shared" si="6"/>
        <v>9.7079999999999984</v>
      </c>
      <c r="I54" s="8">
        <f t="shared" si="7"/>
        <v>19.707999999999998</v>
      </c>
      <c r="J54" s="26">
        <f t="shared" si="8"/>
        <v>29.415999999999997</v>
      </c>
    </row>
    <row r="55" spans="1:10" ht="12" customHeight="1" x14ac:dyDescent="0.25">
      <c r="A55" s="21" t="s">
        <v>59</v>
      </c>
      <c r="B55" s="21"/>
      <c r="C55" s="21"/>
      <c r="D55" s="21">
        <v>2</v>
      </c>
      <c r="E55" s="21"/>
      <c r="F55" s="21"/>
      <c r="G55" s="21"/>
      <c r="H55" s="8">
        <f t="shared" si="6"/>
        <v>7.7079999999999984</v>
      </c>
      <c r="I55" s="8">
        <f t="shared" si="7"/>
        <v>19.707999999999998</v>
      </c>
      <c r="J55" s="26">
        <f t="shared" si="8"/>
        <v>27.415999999999997</v>
      </c>
    </row>
    <row r="56" spans="1:10" ht="12" customHeight="1" x14ac:dyDescent="0.25">
      <c r="A56" s="21" t="s">
        <v>60</v>
      </c>
      <c r="B56" s="21">
        <v>2.5</v>
      </c>
      <c r="C56" s="21">
        <v>2.5</v>
      </c>
      <c r="D56" s="21"/>
      <c r="E56" s="21"/>
      <c r="F56" s="21"/>
      <c r="G56" s="21"/>
      <c r="H56" s="8">
        <f t="shared" si="6"/>
        <v>10.207999999999998</v>
      </c>
      <c r="I56" s="8">
        <f t="shared" si="7"/>
        <v>22.207999999999998</v>
      </c>
      <c r="J56" s="26">
        <f t="shared" si="8"/>
        <v>32.415999999999997</v>
      </c>
    </row>
    <row r="57" spans="1:10" ht="12" customHeight="1" x14ac:dyDescent="0.25">
      <c r="A57" s="21" t="s">
        <v>61</v>
      </c>
      <c r="B57" s="21"/>
      <c r="C57" s="21"/>
      <c r="D57" s="21"/>
      <c r="E57" s="21">
        <v>1</v>
      </c>
      <c r="F57" s="21"/>
      <c r="G57" s="21"/>
      <c r="H57" s="8">
        <f t="shared" si="6"/>
        <v>10.207999999999998</v>
      </c>
      <c r="I57" s="8">
        <f t="shared" si="7"/>
        <v>21.207999999999998</v>
      </c>
      <c r="J57" s="26">
        <f t="shared" si="8"/>
        <v>31.415999999999997</v>
      </c>
    </row>
    <row r="58" spans="1:10" ht="12" customHeight="1" x14ac:dyDescent="0.25">
      <c r="A58" s="21" t="s">
        <v>63</v>
      </c>
      <c r="B58" s="21">
        <v>1.25</v>
      </c>
      <c r="C58" s="21">
        <v>1.25</v>
      </c>
      <c r="D58" s="21"/>
      <c r="E58" s="21"/>
      <c r="F58" s="21"/>
      <c r="G58" s="21"/>
      <c r="H58" s="8">
        <f t="shared" si="6"/>
        <v>11.457999999999998</v>
      </c>
      <c r="I58" s="8">
        <f t="shared" si="7"/>
        <v>22.457999999999998</v>
      </c>
      <c r="J58" s="26">
        <f t="shared" si="8"/>
        <v>33.915999999999997</v>
      </c>
    </row>
    <row r="59" spans="1:10" ht="12" customHeight="1" x14ac:dyDescent="0.25">
      <c r="A59" s="21" t="s">
        <v>64</v>
      </c>
      <c r="B59" s="21"/>
      <c r="C59" s="21"/>
      <c r="D59" s="21"/>
      <c r="E59" s="21">
        <v>1</v>
      </c>
      <c r="F59" s="21"/>
      <c r="G59" s="21"/>
      <c r="H59" s="8">
        <f t="shared" si="6"/>
        <v>11.457999999999998</v>
      </c>
      <c r="I59" s="8">
        <f t="shared" si="7"/>
        <v>21.457999999999998</v>
      </c>
      <c r="J59" s="26">
        <f t="shared" si="8"/>
        <v>32.915999999999997</v>
      </c>
    </row>
    <row r="60" spans="1:10" ht="13.5" customHeight="1" x14ac:dyDescent="0.25">
      <c r="A60" s="21" t="s">
        <v>65</v>
      </c>
      <c r="B60" s="21"/>
      <c r="C60" s="21"/>
      <c r="D60" s="21"/>
      <c r="E60" s="21">
        <v>1</v>
      </c>
      <c r="F60" s="21"/>
      <c r="G60" s="21"/>
      <c r="H60" s="8">
        <f t="shared" si="6"/>
        <v>11.457999999999998</v>
      </c>
      <c r="I60" s="8">
        <f t="shared" si="7"/>
        <v>20.457999999999998</v>
      </c>
      <c r="J60" s="26">
        <f t="shared" si="8"/>
        <v>31.915999999999997</v>
      </c>
    </row>
    <row r="61" spans="1:10" ht="13.5" customHeight="1" x14ac:dyDescent="0.25">
      <c r="A61" s="21" t="s">
        <v>69</v>
      </c>
      <c r="B61" s="21"/>
      <c r="C61" s="21"/>
      <c r="D61" s="21"/>
      <c r="E61" s="21">
        <v>1</v>
      </c>
      <c r="F61" s="21"/>
      <c r="G61" s="21"/>
      <c r="H61" s="8">
        <f t="shared" si="6"/>
        <v>11.457999999999998</v>
      </c>
      <c r="I61" s="8">
        <f t="shared" si="7"/>
        <v>19.457999999999998</v>
      </c>
      <c r="J61" s="26">
        <f t="shared" si="8"/>
        <v>30.915999999999997</v>
      </c>
    </row>
    <row r="62" spans="1:10" x14ac:dyDescent="0.25">
      <c r="A62" s="32" t="s">
        <v>77</v>
      </c>
      <c r="B62" s="32">
        <v>1.25</v>
      </c>
      <c r="C62" s="32">
        <v>1.25</v>
      </c>
      <c r="D62" s="29"/>
      <c r="E62" s="29"/>
      <c r="F62" s="9"/>
      <c r="G62" s="9"/>
      <c r="H62" s="8">
        <f t="shared" si="6"/>
        <v>12.707999999999998</v>
      </c>
      <c r="I62" s="8">
        <f t="shared" si="7"/>
        <v>20.707999999999998</v>
      </c>
      <c r="J62" s="26">
        <f t="shared" si="8"/>
        <v>33.415999999999997</v>
      </c>
    </row>
    <row r="63" spans="1:10" x14ac:dyDescent="0.25">
      <c r="A63" s="32" t="s">
        <v>70</v>
      </c>
      <c r="B63" s="32"/>
      <c r="C63" s="29"/>
      <c r="D63" s="29"/>
      <c r="E63" s="32">
        <v>2</v>
      </c>
      <c r="F63" s="9"/>
      <c r="G63" s="9"/>
      <c r="H63" s="8">
        <f t="shared" si="6"/>
        <v>12.707999999999998</v>
      </c>
      <c r="I63" s="8">
        <f t="shared" si="7"/>
        <v>18.707999999999998</v>
      </c>
      <c r="J63" s="26">
        <f t="shared" si="8"/>
        <v>31.415999999999997</v>
      </c>
    </row>
    <row r="64" spans="1:10" x14ac:dyDescent="0.25">
      <c r="A64" s="32" t="s">
        <v>72</v>
      </c>
      <c r="B64" s="32"/>
      <c r="C64" s="29"/>
      <c r="D64" s="32"/>
      <c r="E64" s="32">
        <v>1</v>
      </c>
      <c r="F64" s="9"/>
      <c r="G64" s="9"/>
      <c r="H64" s="8">
        <f t="shared" ref="H64:H67" si="9">H63-F64-D64+B64</f>
        <v>12.707999999999998</v>
      </c>
      <c r="I64" s="8">
        <f t="shared" ref="I64:I67" si="10">I63-E64+C64</f>
        <v>17.707999999999998</v>
      </c>
      <c r="J64" s="26">
        <f t="shared" ref="J64:J67" si="11">SUM(H64:I64)</f>
        <v>30.415999999999997</v>
      </c>
    </row>
    <row r="65" spans="1:10" x14ac:dyDescent="0.25">
      <c r="A65" s="32" t="s">
        <v>73</v>
      </c>
      <c r="B65" s="32"/>
      <c r="C65" s="29"/>
      <c r="D65" s="32"/>
      <c r="E65" s="32">
        <v>1</v>
      </c>
      <c r="F65" s="9"/>
      <c r="G65" s="9"/>
      <c r="H65" s="8">
        <f t="shared" si="9"/>
        <v>12.707999999999998</v>
      </c>
      <c r="I65" s="8">
        <f t="shared" si="10"/>
        <v>16.707999999999998</v>
      </c>
      <c r="J65" s="26">
        <f t="shared" si="11"/>
        <v>29.415999999999997</v>
      </c>
    </row>
    <row r="66" spans="1:10" x14ac:dyDescent="0.25">
      <c r="A66" s="32" t="s">
        <v>75</v>
      </c>
      <c r="B66" s="32">
        <v>1.25</v>
      </c>
      <c r="C66" s="32">
        <v>1.25</v>
      </c>
      <c r="D66" s="32"/>
      <c r="E66" s="32"/>
      <c r="F66" s="9"/>
      <c r="G66" s="9"/>
      <c r="H66" s="8">
        <f t="shared" si="9"/>
        <v>13.957999999999998</v>
      </c>
      <c r="I66" s="8">
        <f t="shared" si="10"/>
        <v>17.957999999999998</v>
      </c>
      <c r="J66" s="26">
        <f t="shared" si="11"/>
        <v>31.915999999999997</v>
      </c>
    </row>
    <row r="67" spans="1:10" x14ac:dyDescent="0.25">
      <c r="A67" s="32" t="s">
        <v>74</v>
      </c>
      <c r="B67" s="32"/>
      <c r="C67" s="29"/>
      <c r="D67" s="29"/>
      <c r="E67" s="32">
        <v>1</v>
      </c>
      <c r="F67" s="9"/>
      <c r="G67" s="9"/>
      <c r="H67" s="8">
        <f t="shared" si="9"/>
        <v>13.957999999999998</v>
      </c>
      <c r="I67" s="8">
        <f t="shared" si="10"/>
        <v>16.957999999999998</v>
      </c>
      <c r="J67" s="26">
        <f t="shared" si="11"/>
        <v>30.915999999999997</v>
      </c>
    </row>
    <row r="68" spans="1:10" x14ac:dyDescent="0.25">
      <c r="A68" s="32" t="s">
        <v>76</v>
      </c>
      <c r="B68" s="32">
        <v>1.25</v>
      </c>
      <c r="C68" s="32">
        <v>1.25</v>
      </c>
      <c r="D68" s="29"/>
      <c r="E68" s="32"/>
      <c r="F68" s="9"/>
      <c r="G68" s="9"/>
      <c r="H68" s="8">
        <f t="shared" ref="H68" si="12">H67-F68-D68+B68</f>
        <v>15.207999999999998</v>
      </c>
      <c r="I68" s="8">
        <f t="shared" ref="I68" si="13">I67-E68+C68</f>
        <v>18.207999999999998</v>
      </c>
      <c r="J68" s="26">
        <f t="shared" ref="J68" si="14">SUM(H68:I68)</f>
        <v>33.415999999999997</v>
      </c>
    </row>
    <row r="69" spans="1:10" x14ac:dyDescent="0.25">
      <c r="A69" s="34" t="s">
        <v>78</v>
      </c>
      <c r="B69" s="35"/>
      <c r="C69" s="35"/>
      <c r="D69" s="35"/>
      <c r="E69" s="35"/>
      <c r="F69" s="35"/>
      <c r="G69" s="35"/>
      <c r="H69" s="35"/>
      <c r="I69" s="35"/>
      <c r="J69" s="36"/>
    </row>
    <row r="73" spans="1:10" x14ac:dyDescent="0.25">
      <c r="F73" s="30" t="s">
        <v>68</v>
      </c>
    </row>
  </sheetData>
  <mergeCells count="14">
    <mergeCell ref="K11:K12"/>
    <mergeCell ref="A10:J10"/>
    <mergeCell ref="A11:A12"/>
    <mergeCell ref="B11:C11"/>
    <mergeCell ref="D11:G11"/>
    <mergeCell ref="H11:I11"/>
    <mergeCell ref="J11:J12"/>
    <mergeCell ref="A69:J69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607ED-0BF5-4051-BE92-7A8AEB25B830}">
  <sheetPr>
    <pageSetUpPr fitToPage="1"/>
  </sheetPr>
  <dimension ref="A1:K108"/>
  <sheetViews>
    <sheetView tabSelected="1" view="pageBreakPreview" topLeftCell="A43" zoomScale="118" zoomScaleNormal="29" zoomScaleSheetLayoutView="118" workbookViewId="0">
      <selection activeCell="A20" sqref="A20"/>
    </sheetView>
  </sheetViews>
  <sheetFormatPr defaultRowHeight="15" x14ac:dyDescent="0.25"/>
  <cols>
    <col min="1" max="1" width="37.28515625" style="53" customWidth="1"/>
    <col min="2" max="2" width="8.5703125" style="86" customWidth="1"/>
    <col min="3" max="3" width="7.5703125" style="86" customWidth="1"/>
    <col min="4" max="5" width="7.42578125" style="86" customWidth="1"/>
    <col min="6" max="6" width="7.28515625" style="53" customWidth="1"/>
    <col min="7" max="7" width="6.85546875" style="86" customWidth="1"/>
    <col min="8" max="8" width="8.85546875" style="86" customWidth="1"/>
    <col min="9" max="9" width="10.28515625" style="86" customWidth="1"/>
    <col min="10" max="10" width="9" style="86" customWidth="1"/>
    <col min="11" max="16384" width="9.140625" style="53"/>
  </cols>
  <sheetData>
    <row r="1" spans="1:11" x14ac:dyDescent="0.25">
      <c r="A1" s="52" t="s">
        <v>79</v>
      </c>
      <c r="B1" s="52"/>
      <c r="C1" s="52"/>
      <c r="D1" s="52"/>
      <c r="E1" s="52"/>
      <c r="F1" s="52"/>
      <c r="G1" s="52"/>
      <c r="H1" s="52"/>
      <c r="I1" s="52"/>
      <c r="J1" s="52"/>
    </row>
    <row r="2" spans="1:11" x14ac:dyDescent="0.25">
      <c r="A2" s="52" t="s">
        <v>80</v>
      </c>
      <c r="B2" s="52"/>
      <c r="C2" s="52"/>
      <c r="D2" s="52"/>
      <c r="E2" s="52"/>
      <c r="F2" s="52"/>
      <c r="G2" s="52"/>
      <c r="H2" s="52"/>
      <c r="I2" s="52"/>
      <c r="J2" s="52"/>
    </row>
    <row r="3" spans="1:11" x14ac:dyDescent="0.25">
      <c r="A3" s="52" t="s">
        <v>81</v>
      </c>
      <c r="B3" s="52"/>
      <c r="C3" s="52"/>
      <c r="D3" s="52"/>
      <c r="E3" s="52"/>
      <c r="F3" s="52"/>
      <c r="G3" s="52"/>
      <c r="H3" s="52"/>
      <c r="I3" s="52"/>
      <c r="J3" s="52"/>
    </row>
    <row r="4" spans="1:11" x14ac:dyDescent="0.25">
      <c r="A4" s="54"/>
      <c r="B4" s="54"/>
      <c r="C4" s="54"/>
      <c r="D4" s="54"/>
      <c r="E4" s="54"/>
      <c r="F4" s="54"/>
      <c r="G4" s="54"/>
      <c r="H4" s="54"/>
      <c r="I4" s="54"/>
      <c r="J4" s="54"/>
    </row>
    <row r="5" spans="1:11" ht="8.1" customHeight="1" x14ac:dyDescent="0.25">
      <c r="A5" s="54"/>
      <c r="B5" s="54"/>
      <c r="C5" s="54"/>
      <c r="D5" s="54"/>
      <c r="E5" s="54"/>
      <c r="F5" s="54"/>
      <c r="G5" s="54"/>
      <c r="H5" s="54"/>
      <c r="I5" s="54"/>
      <c r="J5" s="54"/>
      <c r="K5" s="53" t="s">
        <v>82</v>
      </c>
    </row>
    <row r="6" spans="1:11" x14ac:dyDescent="0.25">
      <c r="A6" s="55" t="s">
        <v>98</v>
      </c>
      <c r="B6" s="54"/>
      <c r="C6" s="54"/>
      <c r="D6" s="54"/>
      <c r="E6" s="54"/>
      <c r="F6" s="54"/>
      <c r="G6" s="54"/>
      <c r="H6" s="54"/>
      <c r="I6" s="54"/>
      <c r="J6" s="54"/>
    </row>
    <row r="7" spans="1:11" x14ac:dyDescent="0.25">
      <c r="A7" s="55" t="s">
        <v>83</v>
      </c>
      <c r="B7" s="54"/>
      <c r="C7" s="54"/>
      <c r="D7" s="54"/>
      <c r="E7" s="54"/>
      <c r="F7" s="54"/>
      <c r="G7" s="54"/>
      <c r="H7" s="54"/>
      <c r="I7" s="54"/>
      <c r="J7" s="54"/>
    </row>
    <row r="8" spans="1:11" ht="15.95" customHeight="1" x14ac:dyDescent="0.25">
      <c r="A8" s="93" t="s">
        <v>4</v>
      </c>
      <c r="B8" s="56" t="s">
        <v>5</v>
      </c>
      <c r="C8" s="56"/>
      <c r="D8" s="57" t="s">
        <v>6</v>
      </c>
      <c r="E8" s="57"/>
      <c r="F8" s="57"/>
      <c r="G8" s="57"/>
      <c r="H8" s="58" t="s">
        <v>7</v>
      </c>
      <c r="I8" s="58"/>
      <c r="J8" s="58" t="s">
        <v>8</v>
      </c>
    </row>
    <row r="9" spans="1:11" ht="15.95" customHeight="1" x14ac:dyDescent="0.25">
      <c r="A9" s="94"/>
      <c r="B9" s="58" t="s">
        <v>84</v>
      </c>
      <c r="C9" s="58" t="s">
        <v>85</v>
      </c>
      <c r="D9" s="56" t="s">
        <v>86</v>
      </c>
      <c r="E9" s="56"/>
      <c r="F9" s="56" t="s">
        <v>85</v>
      </c>
      <c r="G9" s="56"/>
      <c r="H9" s="58" t="s">
        <v>86</v>
      </c>
      <c r="I9" s="58" t="s">
        <v>85</v>
      </c>
      <c r="J9" s="58"/>
    </row>
    <row r="10" spans="1:11" ht="15.95" customHeight="1" x14ac:dyDescent="0.25">
      <c r="A10" s="95"/>
      <c r="B10" s="58"/>
      <c r="C10" s="58"/>
      <c r="D10" s="59"/>
      <c r="E10" s="59" t="s">
        <v>87</v>
      </c>
      <c r="F10" s="60"/>
      <c r="G10" s="59" t="s">
        <v>87</v>
      </c>
      <c r="H10" s="58"/>
      <c r="I10" s="58"/>
      <c r="J10" s="58"/>
    </row>
    <row r="11" spans="1:11" ht="27.75" customHeight="1" x14ac:dyDescent="0.25">
      <c r="A11" s="61" t="s">
        <v>19</v>
      </c>
      <c r="B11" s="62">
        <v>0.70799999999999996</v>
      </c>
      <c r="C11" s="62">
        <v>0.70799999999999996</v>
      </c>
      <c r="D11" s="63"/>
      <c r="E11" s="63"/>
      <c r="F11" s="63"/>
      <c r="G11" s="64"/>
      <c r="H11" s="65">
        <f>B11</f>
        <v>0.70799999999999996</v>
      </c>
      <c r="I11" s="65">
        <f>C11</f>
        <v>0.70799999999999996</v>
      </c>
      <c r="J11" s="65">
        <f>SUM(H11:I11)</f>
        <v>1.4159999999999999</v>
      </c>
    </row>
    <row r="12" spans="1:11" ht="15.95" customHeight="1" x14ac:dyDescent="0.25">
      <c r="A12" s="66" t="s">
        <v>20</v>
      </c>
      <c r="B12" s="67">
        <v>11.25</v>
      </c>
      <c r="C12" s="67">
        <v>11.25</v>
      </c>
      <c r="D12" s="63"/>
      <c r="E12" s="63"/>
      <c r="F12" s="63"/>
      <c r="G12" s="64"/>
      <c r="H12" s="68">
        <f>H11-E12-D12+B12</f>
        <v>11.958</v>
      </c>
      <c r="I12" s="68">
        <f>I11-G12-F12+C12</f>
        <v>11.958</v>
      </c>
      <c r="J12" s="68">
        <f t="shared" ref="J12" si="0">SUM(H12:I12)</f>
        <v>23.916</v>
      </c>
    </row>
    <row r="13" spans="1:11" ht="15.95" customHeight="1" x14ac:dyDescent="0.25">
      <c r="A13" s="66" t="s">
        <v>21</v>
      </c>
      <c r="B13" s="67"/>
      <c r="C13" s="67"/>
      <c r="D13" s="63"/>
      <c r="E13" s="63"/>
      <c r="F13" s="63">
        <v>1</v>
      </c>
      <c r="G13" s="64"/>
      <c r="H13" s="68">
        <f t="shared" ref="H13:H66" si="1">H12-E13-D13+B13</f>
        <v>11.958</v>
      </c>
      <c r="I13" s="68">
        <f t="shared" ref="I13:I66" si="2">I12-G13-F13+C13</f>
        <v>10.958</v>
      </c>
      <c r="J13" s="68">
        <f t="shared" ref="J13:J66" si="3">SUM(H13:I13)</f>
        <v>22.916</v>
      </c>
    </row>
    <row r="14" spans="1:11" ht="15.95" customHeight="1" x14ac:dyDescent="0.25">
      <c r="A14" s="66" t="s">
        <v>22</v>
      </c>
      <c r="B14" s="67"/>
      <c r="C14" s="67"/>
      <c r="D14" s="63">
        <v>2</v>
      </c>
      <c r="E14" s="63"/>
      <c r="F14" s="63"/>
      <c r="G14" s="64"/>
      <c r="H14" s="68">
        <f t="shared" si="1"/>
        <v>9.9580000000000002</v>
      </c>
      <c r="I14" s="68">
        <f t="shared" si="2"/>
        <v>10.958</v>
      </c>
      <c r="J14" s="68">
        <f t="shared" si="3"/>
        <v>20.916</v>
      </c>
    </row>
    <row r="15" spans="1:11" ht="15.95" customHeight="1" x14ac:dyDescent="0.25">
      <c r="A15" s="66" t="s">
        <v>71</v>
      </c>
      <c r="B15" s="67"/>
      <c r="C15" s="67"/>
      <c r="D15" s="63">
        <v>3</v>
      </c>
      <c r="E15" s="63"/>
      <c r="F15" s="63"/>
      <c r="G15" s="64"/>
      <c r="H15" s="68">
        <f t="shared" si="1"/>
        <v>6.9580000000000002</v>
      </c>
      <c r="I15" s="68">
        <f t="shared" si="2"/>
        <v>10.958</v>
      </c>
      <c r="J15" s="68">
        <f t="shared" si="3"/>
        <v>17.916</v>
      </c>
    </row>
    <row r="16" spans="1:11" ht="15.95" customHeight="1" x14ac:dyDescent="0.25">
      <c r="A16" s="66" t="s">
        <v>23</v>
      </c>
      <c r="B16" s="67">
        <v>2.5</v>
      </c>
      <c r="C16" s="67">
        <v>2.5</v>
      </c>
      <c r="D16" s="63"/>
      <c r="E16" s="63"/>
      <c r="F16" s="63"/>
      <c r="G16" s="64"/>
      <c r="H16" s="68">
        <f t="shared" si="1"/>
        <v>9.4580000000000002</v>
      </c>
      <c r="I16" s="68">
        <f t="shared" si="2"/>
        <v>13.458</v>
      </c>
      <c r="J16" s="68">
        <f t="shared" si="3"/>
        <v>22.916</v>
      </c>
    </row>
    <row r="17" spans="1:10" ht="15.95" customHeight="1" x14ac:dyDescent="0.25">
      <c r="A17" s="66" t="s">
        <v>24</v>
      </c>
      <c r="B17" s="67"/>
      <c r="C17" s="67"/>
      <c r="D17" s="63"/>
      <c r="E17" s="63"/>
      <c r="F17" s="63">
        <v>1</v>
      </c>
      <c r="G17" s="64"/>
      <c r="H17" s="68">
        <f t="shared" si="1"/>
        <v>9.4580000000000002</v>
      </c>
      <c r="I17" s="68">
        <f t="shared" si="2"/>
        <v>12.458</v>
      </c>
      <c r="J17" s="68">
        <f t="shared" si="3"/>
        <v>21.916</v>
      </c>
    </row>
    <row r="18" spans="1:10" ht="15.95" customHeight="1" x14ac:dyDescent="0.25">
      <c r="A18" s="66" t="s">
        <v>25</v>
      </c>
      <c r="B18" s="67">
        <v>1.25</v>
      </c>
      <c r="C18" s="67">
        <v>1.25</v>
      </c>
      <c r="D18" s="63"/>
      <c r="E18" s="63"/>
      <c r="F18" s="63"/>
      <c r="G18" s="64"/>
      <c r="H18" s="68">
        <f t="shared" si="1"/>
        <v>10.708</v>
      </c>
      <c r="I18" s="68">
        <f t="shared" si="2"/>
        <v>13.708</v>
      </c>
      <c r="J18" s="68">
        <f t="shared" si="3"/>
        <v>24.416</v>
      </c>
    </row>
    <row r="19" spans="1:10" ht="15.95" customHeight="1" x14ac:dyDescent="0.25">
      <c r="A19" s="66" t="s">
        <v>26</v>
      </c>
      <c r="B19" s="67"/>
      <c r="C19" s="67"/>
      <c r="D19" s="63"/>
      <c r="E19" s="63"/>
      <c r="F19" s="63"/>
      <c r="G19" s="64"/>
      <c r="H19" s="68">
        <f t="shared" si="1"/>
        <v>10.708</v>
      </c>
      <c r="I19" s="68">
        <f t="shared" si="2"/>
        <v>13.708</v>
      </c>
      <c r="J19" s="68">
        <f t="shared" si="3"/>
        <v>24.416</v>
      </c>
    </row>
    <row r="20" spans="1:10" ht="15.95" customHeight="1" x14ac:dyDescent="0.25">
      <c r="A20" s="66" t="s">
        <v>27</v>
      </c>
      <c r="B20" s="67">
        <v>1.25</v>
      </c>
      <c r="C20" s="67">
        <v>1.25</v>
      </c>
      <c r="D20" s="63"/>
      <c r="E20" s="63"/>
      <c r="F20" s="63"/>
      <c r="G20" s="64"/>
      <c r="H20" s="68">
        <f t="shared" si="1"/>
        <v>11.958</v>
      </c>
      <c r="I20" s="68">
        <f t="shared" si="2"/>
        <v>14.958</v>
      </c>
      <c r="J20" s="68">
        <f t="shared" si="3"/>
        <v>26.916</v>
      </c>
    </row>
    <row r="21" spans="1:10" ht="15.95" customHeight="1" x14ac:dyDescent="0.25">
      <c r="A21" s="66" t="s">
        <v>28</v>
      </c>
      <c r="B21" s="67"/>
      <c r="C21" s="67"/>
      <c r="D21" s="63"/>
      <c r="E21" s="63"/>
      <c r="F21" s="63">
        <v>1</v>
      </c>
      <c r="G21" s="64"/>
      <c r="H21" s="68">
        <f t="shared" si="1"/>
        <v>11.958</v>
      </c>
      <c r="I21" s="68">
        <f t="shared" si="2"/>
        <v>13.958</v>
      </c>
      <c r="J21" s="68">
        <f t="shared" si="3"/>
        <v>25.916</v>
      </c>
    </row>
    <row r="22" spans="1:10" ht="15.95" customHeight="1" x14ac:dyDescent="0.25">
      <c r="A22" s="69" t="s">
        <v>29</v>
      </c>
      <c r="B22" s="67"/>
      <c r="C22" s="67"/>
      <c r="D22" s="63"/>
      <c r="E22" s="63"/>
      <c r="F22" s="63">
        <v>1</v>
      </c>
      <c r="G22" s="64"/>
      <c r="H22" s="68">
        <f t="shared" si="1"/>
        <v>11.958</v>
      </c>
      <c r="I22" s="68">
        <f t="shared" si="2"/>
        <v>12.958</v>
      </c>
      <c r="J22" s="68">
        <f t="shared" si="3"/>
        <v>24.916</v>
      </c>
    </row>
    <row r="23" spans="1:10" ht="15.95" customHeight="1" x14ac:dyDescent="0.25">
      <c r="A23" s="66" t="s">
        <v>30</v>
      </c>
      <c r="B23" s="67">
        <v>1.25</v>
      </c>
      <c r="C23" s="67">
        <v>1.25</v>
      </c>
      <c r="D23" s="63"/>
      <c r="E23" s="63"/>
      <c r="F23" s="63"/>
      <c r="G23" s="64"/>
      <c r="H23" s="68">
        <f t="shared" si="1"/>
        <v>13.208</v>
      </c>
      <c r="I23" s="68">
        <f t="shared" si="2"/>
        <v>14.208</v>
      </c>
      <c r="J23" s="68">
        <f t="shared" si="3"/>
        <v>27.416</v>
      </c>
    </row>
    <row r="24" spans="1:10" ht="15.95" customHeight="1" x14ac:dyDescent="0.25">
      <c r="A24" s="66" t="s">
        <v>31</v>
      </c>
      <c r="B24" s="67"/>
      <c r="C24" s="67"/>
      <c r="D24" s="63"/>
      <c r="E24" s="63"/>
      <c r="F24" s="63">
        <v>1</v>
      </c>
      <c r="G24" s="63"/>
      <c r="H24" s="68">
        <f t="shared" si="1"/>
        <v>13.208</v>
      </c>
      <c r="I24" s="68">
        <f t="shared" si="2"/>
        <v>13.208</v>
      </c>
      <c r="J24" s="68">
        <f t="shared" si="3"/>
        <v>26.416</v>
      </c>
    </row>
    <row r="25" spans="1:10" ht="15.95" customHeight="1" x14ac:dyDescent="0.25">
      <c r="A25" s="69" t="s">
        <v>32</v>
      </c>
      <c r="B25" s="67">
        <v>1.25</v>
      </c>
      <c r="C25" s="67">
        <v>1.25</v>
      </c>
      <c r="D25" s="63"/>
      <c r="E25" s="63"/>
      <c r="F25" s="63"/>
      <c r="G25" s="64"/>
      <c r="H25" s="68">
        <f t="shared" si="1"/>
        <v>14.458</v>
      </c>
      <c r="I25" s="68">
        <f t="shared" si="2"/>
        <v>14.458</v>
      </c>
      <c r="J25" s="68">
        <f t="shared" si="3"/>
        <v>28.916</v>
      </c>
    </row>
    <row r="26" spans="1:10" ht="15.95" customHeight="1" x14ac:dyDescent="0.25">
      <c r="A26" s="66" t="s">
        <v>33</v>
      </c>
      <c r="B26" s="67"/>
      <c r="C26" s="67"/>
      <c r="D26" s="63"/>
      <c r="E26" s="63"/>
      <c r="F26" s="63"/>
      <c r="G26" s="64"/>
      <c r="H26" s="68">
        <f t="shared" si="1"/>
        <v>14.458</v>
      </c>
      <c r="I26" s="68">
        <f t="shared" si="2"/>
        <v>14.458</v>
      </c>
      <c r="J26" s="68">
        <f t="shared" si="3"/>
        <v>28.916</v>
      </c>
    </row>
    <row r="27" spans="1:10" ht="15.95" customHeight="1" x14ac:dyDescent="0.25">
      <c r="A27" s="66" t="s">
        <v>34</v>
      </c>
      <c r="B27" s="67"/>
      <c r="C27" s="67"/>
      <c r="D27" s="63"/>
      <c r="E27" s="63"/>
      <c r="F27" s="63"/>
      <c r="G27" s="64"/>
      <c r="H27" s="68">
        <f t="shared" si="1"/>
        <v>14.458</v>
      </c>
      <c r="I27" s="68">
        <f t="shared" si="2"/>
        <v>14.458</v>
      </c>
      <c r="J27" s="68">
        <f t="shared" si="3"/>
        <v>28.916</v>
      </c>
    </row>
    <row r="28" spans="1:10" ht="15.95" customHeight="1" x14ac:dyDescent="0.25">
      <c r="A28" s="66" t="s">
        <v>35</v>
      </c>
      <c r="B28" s="67">
        <v>2.5</v>
      </c>
      <c r="C28" s="67">
        <v>2.5</v>
      </c>
      <c r="D28" s="63"/>
      <c r="E28" s="63"/>
      <c r="F28" s="63"/>
      <c r="G28" s="64"/>
      <c r="H28" s="68">
        <f t="shared" si="1"/>
        <v>16.957999999999998</v>
      </c>
      <c r="I28" s="68">
        <f t="shared" si="2"/>
        <v>16.957999999999998</v>
      </c>
      <c r="J28" s="68">
        <f t="shared" si="3"/>
        <v>33.915999999999997</v>
      </c>
    </row>
    <row r="29" spans="1:10" ht="15.95" customHeight="1" x14ac:dyDescent="0.25">
      <c r="A29" s="66" t="s">
        <v>36</v>
      </c>
      <c r="B29" s="67"/>
      <c r="C29" s="67"/>
      <c r="D29" s="63">
        <v>1</v>
      </c>
      <c r="E29" s="63"/>
      <c r="F29" s="63"/>
      <c r="G29" s="64"/>
      <c r="H29" s="68">
        <f t="shared" si="1"/>
        <v>15.957999999999998</v>
      </c>
      <c r="I29" s="68">
        <f t="shared" si="2"/>
        <v>16.957999999999998</v>
      </c>
      <c r="J29" s="68">
        <f t="shared" si="3"/>
        <v>32.915999999999997</v>
      </c>
    </row>
    <row r="30" spans="1:10" ht="15.95" customHeight="1" x14ac:dyDescent="0.25">
      <c r="A30" s="69" t="s">
        <v>37</v>
      </c>
      <c r="B30" s="67"/>
      <c r="C30" s="67"/>
      <c r="D30" s="70"/>
      <c r="E30" s="71"/>
      <c r="F30" s="70"/>
      <c r="G30" s="64"/>
      <c r="H30" s="68">
        <f t="shared" si="1"/>
        <v>15.957999999999998</v>
      </c>
      <c r="I30" s="68">
        <f t="shared" si="2"/>
        <v>16.957999999999998</v>
      </c>
      <c r="J30" s="68">
        <f t="shared" si="3"/>
        <v>32.915999999999997</v>
      </c>
    </row>
    <row r="31" spans="1:10" ht="15.95" customHeight="1" x14ac:dyDescent="0.25">
      <c r="A31" s="66" t="s">
        <v>38</v>
      </c>
      <c r="B31" s="67"/>
      <c r="C31" s="67"/>
      <c r="D31" s="72"/>
      <c r="E31" s="72"/>
      <c r="F31" s="72">
        <v>1</v>
      </c>
      <c r="G31" s="64"/>
      <c r="H31" s="68">
        <f t="shared" si="1"/>
        <v>15.957999999999998</v>
      </c>
      <c r="I31" s="68">
        <f t="shared" si="2"/>
        <v>15.957999999999998</v>
      </c>
      <c r="J31" s="68">
        <f t="shared" si="3"/>
        <v>31.915999999999997</v>
      </c>
    </row>
    <row r="32" spans="1:10" ht="15.95" customHeight="1" x14ac:dyDescent="0.25">
      <c r="A32" s="73" t="s">
        <v>39</v>
      </c>
      <c r="B32" s="67"/>
      <c r="C32" s="67"/>
      <c r="D32" s="72">
        <v>1</v>
      </c>
      <c r="E32" s="72"/>
      <c r="F32" s="72"/>
      <c r="G32" s="64"/>
      <c r="H32" s="68">
        <f t="shared" si="1"/>
        <v>14.957999999999998</v>
      </c>
      <c r="I32" s="68">
        <f t="shared" si="2"/>
        <v>15.957999999999998</v>
      </c>
      <c r="J32" s="68">
        <f t="shared" si="3"/>
        <v>30.915999999999997</v>
      </c>
    </row>
    <row r="33" spans="1:10" ht="15.95" customHeight="1" x14ac:dyDescent="0.25">
      <c r="A33" s="66" t="s">
        <v>40</v>
      </c>
      <c r="B33" s="67"/>
      <c r="C33" s="67"/>
      <c r="D33" s="72"/>
      <c r="E33" s="72"/>
      <c r="F33" s="72">
        <v>2</v>
      </c>
      <c r="G33" s="64"/>
      <c r="H33" s="68">
        <f t="shared" si="1"/>
        <v>14.957999999999998</v>
      </c>
      <c r="I33" s="68">
        <f t="shared" si="2"/>
        <v>13.957999999999998</v>
      </c>
      <c r="J33" s="68">
        <f t="shared" si="3"/>
        <v>28.915999999999997</v>
      </c>
    </row>
    <row r="34" spans="1:10" ht="15.95" customHeight="1" x14ac:dyDescent="0.25">
      <c r="A34" s="66" t="s">
        <v>41</v>
      </c>
      <c r="B34" s="67">
        <v>1.25</v>
      </c>
      <c r="C34" s="67">
        <v>1.25</v>
      </c>
      <c r="D34" s="72"/>
      <c r="E34" s="72"/>
      <c r="F34" s="72"/>
      <c r="G34" s="64"/>
      <c r="H34" s="68">
        <f t="shared" si="1"/>
        <v>16.207999999999998</v>
      </c>
      <c r="I34" s="68">
        <f t="shared" si="2"/>
        <v>15.207999999999998</v>
      </c>
      <c r="J34" s="68">
        <f t="shared" si="3"/>
        <v>31.415999999999997</v>
      </c>
    </row>
    <row r="35" spans="1:10" ht="15.95" customHeight="1" x14ac:dyDescent="0.25">
      <c r="A35" s="66" t="s">
        <v>42</v>
      </c>
      <c r="B35" s="67"/>
      <c r="C35" s="67"/>
      <c r="D35" s="72">
        <v>1</v>
      </c>
      <c r="E35" s="72"/>
      <c r="F35" s="72"/>
      <c r="G35" s="64"/>
      <c r="H35" s="68">
        <f t="shared" si="1"/>
        <v>15.207999999999998</v>
      </c>
      <c r="I35" s="68">
        <f t="shared" si="2"/>
        <v>15.207999999999998</v>
      </c>
      <c r="J35" s="68">
        <f t="shared" si="3"/>
        <v>30.415999999999997</v>
      </c>
    </row>
    <row r="36" spans="1:10" ht="15.95" customHeight="1" x14ac:dyDescent="0.25">
      <c r="A36" s="73" t="s">
        <v>43</v>
      </c>
      <c r="B36" s="67"/>
      <c r="C36" s="67"/>
      <c r="D36" s="72">
        <v>1</v>
      </c>
      <c r="E36" s="72"/>
      <c r="F36" s="72"/>
      <c r="G36" s="64"/>
      <c r="H36" s="68">
        <f t="shared" si="1"/>
        <v>14.207999999999998</v>
      </c>
      <c r="I36" s="68">
        <f t="shared" si="2"/>
        <v>15.207999999999998</v>
      </c>
      <c r="J36" s="68">
        <f t="shared" si="3"/>
        <v>29.415999999999997</v>
      </c>
    </row>
    <row r="37" spans="1:10" ht="15.95" customHeight="1" x14ac:dyDescent="0.25">
      <c r="A37" s="66" t="s">
        <v>44</v>
      </c>
      <c r="B37" s="67">
        <v>1.25</v>
      </c>
      <c r="C37" s="67">
        <v>1.25</v>
      </c>
      <c r="D37" s="72"/>
      <c r="E37" s="72"/>
      <c r="F37" s="72"/>
      <c r="G37" s="64"/>
      <c r="H37" s="68">
        <f t="shared" si="1"/>
        <v>15.457999999999998</v>
      </c>
      <c r="I37" s="68">
        <f t="shared" si="2"/>
        <v>16.457999999999998</v>
      </c>
      <c r="J37" s="68">
        <f t="shared" si="3"/>
        <v>31.915999999999997</v>
      </c>
    </row>
    <row r="38" spans="1:10" ht="15.95" customHeight="1" x14ac:dyDescent="0.25">
      <c r="A38" s="66" t="s">
        <v>45</v>
      </c>
      <c r="B38" s="67"/>
      <c r="C38" s="67"/>
      <c r="D38" s="72"/>
      <c r="E38" s="72"/>
      <c r="F38" s="72">
        <v>1</v>
      </c>
      <c r="G38" s="63"/>
      <c r="H38" s="68">
        <f t="shared" si="1"/>
        <v>15.457999999999998</v>
      </c>
      <c r="I38" s="68">
        <f t="shared" si="2"/>
        <v>15.457999999999998</v>
      </c>
      <c r="J38" s="68">
        <f t="shared" si="3"/>
        <v>30.915999999999997</v>
      </c>
    </row>
    <row r="39" spans="1:10" ht="15.95" customHeight="1" x14ac:dyDescent="0.25">
      <c r="A39" s="66" t="s">
        <v>46</v>
      </c>
      <c r="B39" s="67">
        <v>1.25</v>
      </c>
      <c r="C39" s="67">
        <v>1.25</v>
      </c>
      <c r="D39" s="72"/>
      <c r="E39" s="72"/>
      <c r="F39" s="72"/>
      <c r="G39" s="64"/>
      <c r="H39" s="68">
        <f t="shared" si="1"/>
        <v>16.707999999999998</v>
      </c>
      <c r="I39" s="68">
        <f t="shared" si="2"/>
        <v>16.707999999999998</v>
      </c>
      <c r="J39" s="68">
        <f t="shared" si="3"/>
        <v>33.415999999999997</v>
      </c>
    </row>
    <row r="40" spans="1:10" ht="15.95" customHeight="1" x14ac:dyDescent="0.25">
      <c r="A40" s="66" t="s">
        <v>47</v>
      </c>
      <c r="B40" s="67"/>
      <c r="C40" s="67"/>
      <c r="D40" s="72">
        <v>1</v>
      </c>
      <c r="E40" s="72"/>
      <c r="F40" s="72"/>
      <c r="G40" s="64"/>
      <c r="H40" s="68">
        <f t="shared" si="1"/>
        <v>15.707999999999998</v>
      </c>
      <c r="I40" s="68">
        <f t="shared" si="2"/>
        <v>16.707999999999998</v>
      </c>
      <c r="J40" s="68">
        <f t="shared" si="3"/>
        <v>32.415999999999997</v>
      </c>
    </row>
    <row r="41" spans="1:10" ht="15.95" customHeight="1" x14ac:dyDescent="0.25">
      <c r="A41" s="66" t="s">
        <v>48</v>
      </c>
      <c r="B41" s="67">
        <v>1.25</v>
      </c>
      <c r="C41" s="67">
        <v>1.25</v>
      </c>
      <c r="D41" s="72"/>
      <c r="E41" s="72"/>
      <c r="F41" s="72"/>
      <c r="G41" s="74"/>
      <c r="H41" s="68">
        <f t="shared" si="1"/>
        <v>16.957999999999998</v>
      </c>
      <c r="I41" s="68">
        <f t="shared" si="2"/>
        <v>17.957999999999998</v>
      </c>
      <c r="J41" s="68">
        <f t="shared" si="3"/>
        <v>34.915999999999997</v>
      </c>
    </row>
    <row r="42" spans="1:10" ht="15.95" customHeight="1" x14ac:dyDescent="0.25">
      <c r="A42" s="66" t="s">
        <v>62</v>
      </c>
      <c r="B42" s="75"/>
      <c r="C42" s="75"/>
      <c r="D42" s="72">
        <v>3</v>
      </c>
      <c r="E42" s="72"/>
      <c r="F42" s="72"/>
      <c r="G42" s="74"/>
      <c r="H42" s="68">
        <f t="shared" si="1"/>
        <v>13.957999999999998</v>
      </c>
      <c r="I42" s="68">
        <f t="shared" si="2"/>
        <v>17.957999999999998</v>
      </c>
      <c r="J42" s="68">
        <f t="shared" si="3"/>
        <v>31.915999999999997</v>
      </c>
    </row>
    <row r="43" spans="1:10" ht="20.25" customHeight="1" x14ac:dyDescent="0.25">
      <c r="A43" s="61" t="s">
        <v>49</v>
      </c>
      <c r="B43" s="67"/>
      <c r="C43" s="67"/>
      <c r="D43" s="72"/>
      <c r="E43" s="72"/>
      <c r="F43" s="72">
        <v>1</v>
      </c>
      <c r="G43" s="74"/>
      <c r="H43" s="68">
        <f t="shared" si="1"/>
        <v>13.957999999999998</v>
      </c>
      <c r="I43" s="68">
        <f t="shared" si="2"/>
        <v>16.957999999999998</v>
      </c>
      <c r="J43" s="68">
        <f t="shared" si="3"/>
        <v>30.915999999999997</v>
      </c>
    </row>
    <row r="44" spans="1:10" ht="15" customHeight="1" x14ac:dyDescent="0.25">
      <c r="A44" s="76" t="s">
        <v>50</v>
      </c>
      <c r="B44" s="13"/>
      <c r="C44" s="13"/>
      <c r="D44" s="72">
        <v>1</v>
      </c>
      <c r="E44" s="72"/>
      <c r="F44" s="72"/>
      <c r="G44" s="74"/>
      <c r="H44" s="68">
        <f t="shared" si="1"/>
        <v>12.957999999999998</v>
      </c>
      <c r="I44" s="68">
        <f t="shared" si="2"/>
        <v>16.957999999999998</v>
      </c>
      <c r="J44" s="68">
        <f t="shared" si="3"/>
        <v>29.915999999999997</v>
      </c>
    </row>
    <row r="45" spans="1:10" ht="15.95" customHeight="1" x14ac:dyDescent="0.25">
      <c r="A45" s="76" t="s">
        <v>51</v>
      </c>
      <c r="B45" s="13"/>
      <c r="C45" s="13"/>
      <c r="D45" s="72">
        <v>2</v>
      </c>
      <c r="E45" s="72"/>
      <c r="F45" s="72"/>
      <c r="G45" s="74"/>
      <c r="H45" s="68">
        <f t="shared" si="1"/>
        <v>10.957999999999998</v>
      </c>
      <c r="I45" s="68">
        <f t="shared" si="2"/>
        <v>16.957999999999998</v>
      </c>
      <c r="J45" s="68">
        <f t="shared" si="3"/>
        <v>27.915999999999997</v>
      </c>
    </row>
    <row r="46" spans="1:10" ht="15" customHeight="1" x14ac:dyDescent="0.25">
      <c r="A46" s="66" t="s">
        <v>52</v>
      </c>
      <c r="B46" s="67">
        <v>1.25</v>
      </c>
      <c r="C46" s="67">
        <v>1.25</v>
      </c>
      <c r="D46" s="72"/>
      <c r="E46" s="72"/>
      <c r="F46" s="72"/>
      <c r="G46" s="74"/>
      <c r="H46" s="68">
        <f t="shared" si="1"/>
        <v>12.207999999999998</v>
      </c>
      <c r="I46" s="68">
        <f t="shared" si="2"/>
        <v>18.207999999999998</v>
      </c>
      <c r="J46" s="68">
        <f t="shared" si="3"/>
        <v>30.415999999999997</v>
      </c>
    </row>
    <row r="47" spans="1:10" ht="15.95" customHeight="1" x14ac:dyDescent="0.25">
      <c r="A47" s="66" t="s">
        <v>53</v>
      </c>
      <c r="B47" s="67">
        <v>1.25</v>
      </c>
      <c r="C47" s="67">
        <v>1.25</v>
      </c>
      <c r="D47" s="72"/>
      <c r="E47" s="72"/>
      <c r="F47" s="72"/>
      <c r="G47" s="74"/>
      <c r="H47" s="68">
        <f t="shared" si="1"/>
        <v>13.457999999999998</v>
      </c>
      <c r="I47" s="68">
        <f t="shared" si="2"/>
        <v>19.457999999999998</v>
      </c>
      <c r="J47" s="68">
        <f t="shared" si="3"/>
        <v>32.915999999999997</v>
      </c>
    </row>
    <row r="48" spans="1:10" ht="15.95" customHeight="1" x14ac:dyDescent="0.25">
      <c r="A48" s="66" t="s">
        <v>54</v>
      </c>
      <c r="B48" s="67"/>
      <c r="C48" s="67"/>
      <c r="D48" s="72">
        <v>1</v>
      </c>
      <c r="E48" s="72"/>
      <c r="F48" s="72"/>
      <c r="G48" s="74"/>
      <c r="H48" s="68">
        <f t="shared" si="1"/>
        <v>12.457999999999998</v>
      </c>
      <c r="I48" s="68">
        <f t="shared" si="2"/>
        <v>19.457999999999998</v>
      </c>
      <c r="J48" s="68">
        <f t="shared" si="3"/>
        <v>31.915999999999997</v>
      </c>
    </row>
    <row r="49" spans="1:10" ht="15.95" customHeight="1" x14ac:dyDescent="0.25">
      <c r="A49" s="77" t="s">
        <v>55</v>
      </c>
      <c r="B49" s="78"/>
      <c r="C49" s="78"/>
      <c r="D49" s="72">
        <v>2</v>
      </c>
      <c r="E49" s="72"/>
      <c r="F49" s="72"/>
      <c r="G49" s="74"/>
      <c r="H49" s="68">
        <f t="shared" si="1"/>
        <v>10.457999999999998</v>
      </c>
      <c r="I49" s="68">
        <f t="shared" si="2"/>
        <v>19.457999999999998</v>
      </c>
      <c r="J49" s="68">
        <f t="shared" si="3"/>
        <v>29.915999999999997</v>
      </c>
    </row>
    <row r="50" spans="1:10" ht="15.95" customHeight="1" x14ac:dyDescent="0.25">
      <c r="A50" s="66" t="s">
        <v>56</v>
      </c>
      <c r="B50" s="78">
        <v>1.25</v>
      </c>
      <c r="C50" s="78">
        <v>1.25</v>
      </c>
      <c r="D50" s="72"/>
      <c r="E50" s="72"/>
      <c r="F50" s="72"/>
      <c r="G50" s="74"/>
      <c r="H50" s="68">
        <f t="shared" si="1"/>
        <v>11.707999999999998</v>
      </c>
      <c r="I50" s="68">
        <f t="shared" si="2"/>
        <v>20.707999999999998</v>
      </c>
      <c r="J50" s="68">
        <f t="shared" si="3"/>
        <v>32.415999999999997</v>
      </c>
    </row>
    <row r="51" spans="1:10" ht="15.95" customHeight="1" x14ac:dyDescent="0.25">
      <c r="A51" s="66" t="s">
        <v>57</v>
      </c>
      <c r="B51" s="78"/>
      <c r="C51" s="78"/>
      <c r="D51" s="72">
        <v>1</v>
      </c>
      <c r="E51" s="72"/>
      <c r="F51" s="72"/>
      <c r="G51" s="74"/>
      <c r="H51" s="68">
        <f t="shared" si="1"/>
        <v>10.707999999999998</v>
      </c>
      <c r="I51" s="68">
        <f t="shared" si="2"/>
        <v>20.707999999999998</v>
      </c>
      <c r="J51" s="68">
        <f t="shared" si="3"/>
        <v>31.415999999999997</v>
      </c>
    </row>
    <row r="52" spans="1:10" ht="15.95" customHeight="1" x14ac:dyDescent="0.25">
      <c r="A52" s="66" t="s">
        <v>58</v>
      </c>
      <c r="B52" s="67"/>
      <c r="C52" s="67"/>
      <c r="D52" s="72">
        <v>1</v>
      </c>
      <c r="E52" s="72"/>
      <c r="F52" s="72">
        <v>1</v>
      </c>
      <c r="G52" s="74"/>
      <c r="H52" s="68">
        <f t="shared" si="1"/>
        <v>9.7079999999999984</v>
      </c>
      <c r="I52" s="68">
        <f t="shared" si="2"/>
        <v>19.707999999999998</v>
      </c>
      <c r="J52" s="68">
        <f t="shared" si="3"/>
        <v>29.415999999999997</v>
      </c>
    </row>
    <row r="53" spans="1:10" ht="15.95" customHeight="1" x14ac:dyDescent="0.25">
      <c r="A53" s="66" t="s">
        <v>59</v>
      </c>
      <c r="B53" s="67"/>
      <c r="C53" s="67"/>
      <c r="D53" s="72">
        <v>2</v>
      </c>
      <c r="E53" s="72"/>
      <c r="F53" s="72"/>
      <c r="G53" s="74"/>
      <c r="H53" s="68">
        <f t="shared" si="1"/>
        <v>7.7079999999999984</v>
      </c>
      <c r="I53" s="68">
        <f t="shared" si="2"/>
        <v>19.707999999999998</v>
      </c>
      <c r="J53" s="68">
        <f t="shared" si="3"/>
        <v>27.415999999999997</v>
      </c>
    </row>
    <row r="54" spans="1:10" ht="15.95" customHeight="1" x14ac:dyDescent="0.25">
      <c r="A54" s="66" t="s">
        <v>60</v>
      </c>
      <c r="B54" s="67">
        <v>2.5</v>
      </c>
      <c r="C54" s="67">
        <v>2.5</v>
      </c>
      <c r="D54" s="72"/>
      <c r="E54" s="72"/>
      <c r="F54" s="72"/>
      <c r="G54" s="74"/>
      <c r="H54" s="68">
        <f t="shared" si="1"/>
        <v>10.207999999999998</v>
      </c>
      <c r="I54" s="68">
        <f t="shared" si="2"/>
        <v>22.207999999999998</v>
      </c>
      <c r="J54" s="68">
        <f t="shared" si="3"/>
        <v>32.415999999999997</v>
      </c>
    </row>
    <row r="55" spans="1:10" ht="15.95" customHeight="1" x14ac:dyDescent="0.25">
      <c r="A55" s="66" t="s">
        <v>61</v>
      </c>
      <c r="B55" s="67"/>
      <c r="C55" s="67"/>
      <c r="D55" s="72"/>
      <c r="E55" s="72"/>
      <c r="F55" s="72">
        <v>1</v>
      </c>
      <c r="G55" s="74"/>
      <c r="H55" s="68">
        <f t="shared" si="1"/>
        <v>10.207999999999998</v>
      </c>
      <c r="I55" s="68">
        <f t="shared" si="2"/>
        <v>21.207999999999998</v>
      </c>
      <c r="J55" s="68">
        <f t="shared" si="3"/>
        <v>31.415999999999997</v>
      </c>
    </row>
    <row r="56" spans="1:10" ht="15.95" customHeight="1" x14ac:dyDescent="0.25">
      <c r="A56" s="66" t="s">
        <v>63</v>
      </c>
      <c r="B56" s="67">
        <v>1.25</v>
      </c>
      <c r="C56" s="67">
        <v>1.25</v>
      </c>
      <c r="D56" s="72"/>
      <c r="E56" s="72"/>
      <c r="F56" s="72"/>
      <c r="G56" s="74"/>
      <c r="H56" s="68">
        <f t="shared" si="1"/>
        <v>11.457999999999998</v>
      </c>
      <c r="I56" s="68">
        <f t="shared" si="2"/>
        <v>22.457999999999998</v>
      </c>
      <c r="J56" s="68">
        <f t="shared" si="3"/>
        <v>33.915999999999997</v>
      </c>
    </row>
    <row r="57" spans="1:10" ht="15.95" customHeight="1" x14ac:dyDescent="0.25">
      <c r="A57" s="66" t="s">
        <v>64</v>
      </c>
      <c r="B57" s="67"/>
      <c r="C57" s="67"/>
      <c r="D57" s="72"/>
      <c r="E57" s="72"/>
      <c r="F57" s="72">
        <v>1</v>
      </c>
      <c r="G57" s="74"/>
      <c r="H57" s="68">
        <f t="shared" si="1"/>
        <v>11.457999999999998</v>
      </c>
      <c r="I57" s="68">
        <f t="shared" si="2"/>
        <v>21.457999999999998</v>
      </c>
      <c r="J57" s="68">
        <f t="shared" si="3"/>
        <v>32.915999999999997</v>
      </c>
    </row>
    <row r="58" spans="1:10" ht="15.95" customHeight="1" x14ac:dyDescent="0.25">
      <c r="A58" s="66" t="s">
        <v>65</v>
      </c>
      <c r="B58" s="67"/>
      <c r="C58" s="67"/>
      <c r="D58" s="72"/>
      <c r="E58" s="72"/>
      <c r="F58" s="72">
        <v>1</v>
      </c>
      <c r="G58" s="74"/>
      <c r="H58" s="68">
        <f t="shared" si="1"/>
        <v>11.457999999999998</v>
      </c>
      <c r="I58" s="68">
        <f t="shared" si="2"/>
        <v>20.457999999999998</v>
      </c>
      <c r="J58" s="68">
        <f t="shared" si="3"/>
        <v>31.915999999999997</v>
      </c>
    </row>
    <row r="59" spans="1:10" ht="15.95" customHeight="1" x14ac:dyDescent="0.25">
      <c r="A59" s="66" t="s">
        <v>69</v>
      </c>
      <c r="B59" s="67"/>
      <c r="C59" s="67"/>
      <c r="D59" s="72"/>
      <c r="E59" s="72"/>
      <c r="F59" s="72">
        <v>1</v>
      </c>
      <c r="G59" s="74"/>
      <c r="H59" s="68">
        <f t="shared" si="1"/>
        <v>11.457999999999998</v>
      </c>
      <c r="I59" s="68">
        <f t="shared" si="2"/>
        <v>19.457999999999998</v>
      </c>
      <c r="J59" s="68">
        <f t="shared" si="3"/>
        <v>30.915999999999997</v>
      </c>
    </row>
    <row r="60" spans="1:10" ht="15.95" customHeight="1" x14ac:dyDescent="0.25">
      <c r="A60" s="66" t="s">
        <v>77</v>
      </c>
      <c r="B60" s="67">
        <v>1.25</v>
      </c>
      <c r="C60" s="67">
        <v>1.25</v>
      </c>
      <c r="D60" s="72"/>
      <c r="E60" s="72"/>
      <c r="F60" s="72"/>
      <c r="G60" s="74"/>
      <c r="H60" s="68">
        <f t="shared" si="1"/>
        <v>12.707999999999998</v>
      </c>
      <c r="I60" s="68">
        <f t="shared" si="2"/>
        <v>20.707999999999998</v>
      </c>
      <c r="J60" s="68">
        <f t="shared" si="3"/>
        <v>33.415999999999997</v>
      </c>
    </row>
    <row r="61" spans="1:10" ht="15.95" customHeight="1" x14ac:dyDescent="0.25">
      <c r="A61" s="66" t="s">
        <v>70</v>
      </c>
      <c r="B61" s="67"/>
      <c r="C61" s="67"/>
      <c r="D61" s="72"/>
      <c r="E61" s="72"/>
      <c r="F61" s="72">
        <v>2</v>
      </c>
      <c r="G61" s="74"/>
      <c r="H61" s="68">
        <f t="shared" si="1"/>
        <v>12.707999999999998</v>
      </c>
      <c r="I61" s="68">
        <f t="shared" si="2"/>
        <v>18.707999999999998</v>
      </c>
      <c r="J61" s="68">
        <f t="shared" si="3"/>
        <v>31.415999999999997</v>
      </c>
    </row>
    <row r="62" spans="1:10" ht="15.95" customHeight="1" x14ac:dyDescent="0.25">
      <c r="A62" s="66" t="s">
        <v>72</v>
      </c>
      <c r="B62" s="67"/>
      <c r="C62" s="67"/>
      <c r="D62" s="72"/>
      <c r="E62" s="72"/>
      <c r="F62" s="72">
        <v>1</v>
      </c>
      <c r="G62" s="74"/>
      <c r="H62" s="68">
        <f t="shared" si="1"/>
        <v>12.707999999999998</v>
      </c>
      <c r="I62" s="68">
        <f t="shared" si="2"/>
        <v>17.707999999999998</v>
      </c>
      <c r="J62" s="68">
        <f t="shared" si="3"/>
        <v>30.415999999999997</v>
      </c>
    </row>
    <row r="63" spans="1:10" ht="15.95" customHeight="1" x14ac:dyDescent="0.25">
      <c r="A63" s="66" t="s">
        <v>73</v>
      </c>
      <c r="B63" s="75"/>
      <c r="C63" s="75"/>
      <c r="D63" s="72"/>
      <c r="E63" s="72"/>
      <c r="F63" s="72">
        <v>1</v>
      </c>
      <c r="G63" s="74"/>
      <c r="H63" s="68">
        <f t="shared" si="1"/>
        <v>12.707999999999998</v>
      </c>
      <c r="I63" s="68">
        <f t="shared" si="2"/>
        <v>16.707999999999998</v>
      </c>
      <c r="J63" s="68">
        <f t="shared" si="3"/>
        <v>29.415999999999997</v>
      </c>
    </row>
    <row r="64" spans="1:10" ht="15.95" customHeight="1" x14ac:dyDescent="0.25">
      <c r="A64" s="66" t="s">
        <v>75</v>
      </c>
      <c r="B64" s="72">
        <v>1.25</v>
      </c>
      <c r="C64" s="72">
        <v>1.25</v>
      </c>
      <c r="D64" s="72"/>
      <c r="E64" s="72"/>
      <c r="F64" s="72"/>
      <c r="G64" s="74"/>
      <c r="H64" s="68">
        <f t="shared" si="1"/>
        <v>13.957999999999998</v>
      </c>
      <c r="I64" s="68">
        <f t="shared" si="2"/>
        <v>17.957999999999998</v>
      </c>
      <c r="J64" s="68">
        <f t="shared" si="3"/>
        <v>31.915999999999997</v>
      </c>
    </row>
    <row r="65" spans="1:10" ht="15.95" customHeight="1" x14ac:dyDescent="0.25">
      <c r="A65" s="66" t="s">
        <v>74</v>
      </c>
      <c r="B65" s="67"/>
      <c r="C65" s="67"/>
      <c r="D65" s="72"/>
      <c r="E65" s="72"/>
      <c r="F65" s="72">
        <v>1</v>
      </c>
      <c r="G65" s="74"/>
      <c r="H65" s="68">
        <f t="shared" si="1"/>
        <v>13.957999999999998</v>
      </c>
      <c r="I65" s="68">
        <f t="shared" si="2"/>
        <v>16.957999999999998</v>
      </c>
      <c r="J65" s="68">
        <f t="shared" si="3"/>
        <v>30.915999999999997</v>
      </c>
    </row>
    <row r="66" spans="1:10" ht="15.95" customHeight="1" thickBot="1" x14ac:dyDescent="0.3">
      <c r="A66" s="66" t="s">
        <v>76</v>
      </c>
      <c r="B66" s="67">
        <v>1.25</v>
      </c>
      <c r="C66" s="67">
        <v>1.25</v>
      </c>
      <c r="D66" s="72"/>
      <c r="E66" s="72"/>
      <c r="F66" s="72"/>
      <c r="G66" s="74"/>
      <c r="H66" s="68">
        <f t="shared" si="1"/>
        <v>15.207999999999998</v>
      </c>
      <c r="I66" s="68">
        <f t="shared" si="2"/>
        <v>18.207999999999998</v>
      </c>
      <c r="J66" s="68">
        <f t="shared" si="3"/>
        <v>33.415999999999997</v>
      </c>
    </row>
    <row r="67" spans="1:10" ht="15.95" customHeight="1" thickBot="1" x14ac:dyDescent="0.3">
      <c r="A67" s="79" t="s">
        <v>99</v>
      </c>
      <c r="B67" s="80">
        <f>SUM(B11:C66)</f>
        <v>76.415999999999997</v>
      </c>
      <c r="C67" s="81"/>
      <c r="D67" s="82">
        <f>SUM(D11:G66)</f>
        <v>43</v>
      </c>
      <c r="E67" s="83"/>
      <c r="F67" s="83"/>
      <c r="G67" s="83"/>
      <c r="H67" s="84">
        <v>15.208</v>
      </c>
      <c r="I67" s="84">
        <v>18.207999999999998</v>
      </c>
      <c r="J67" s="85">
        <v>33.415999999999997</v>
      </c>
    </row>
    <row r="68" spans="1:10" ht="14.25" customHeight="1" x14ac:dyDescent="0.25"/>
    <row r="69" spans="1:10" x14ac:dyDescent="0.25">
      <c r="A69" s="53" t="s">
        <v>88</v>
      </c>
      <c r="G69" s="87" t="s">
        <v>89</v>
      </c>
      <c r="H69" s="87"/>
      <c r="I69" s="87"/>
      <c r="J69" s="87"/>
    </row>
    <row r="70" spans="1:10" ht="24.6" customHeight="1" x14ac:dyDescent="0.25"/>
    <row r="71" spans="1:10" x14ac:dyDescent="0.25">
      <c r="H71" s="88" t="s">
        <v>90</v>
      </c>
      <c r="I71" s="88"/>
      <c r="J71" s="88"/>
    </row>
    <row r="72" spans="1:10" x14ac:dyDescent="0.25">
      <c r="A72" s="89" t="s">
        <v>100</v>
      </c>
      <c r="H72" s="90" t="s">
        <v>91</v>
      </c>
      <c r="I72" s="90"/>
      <c r="J72" s="90"/>
    </row>
    <row r="73" spans="1:10" ht="6.95" customHeight="1" x14ac:dyDescent="0.25">
      <c r="H73" s="91"/>
      <c r="I73" s="91"/>
      <c r="J73" s="91"/>
    </row>
    <row r="74" spans="1:10" ht="24" customHeight="1" x14ac:dyDescent="0.25">
      <c r="A74" s="92" t="s">
        <v>92</v>
      </c>
    </row>
    <row r="75" spans="1:10" x14ac:dyDescent="0.25">
      <c r="H75" s="88" t="s">
        <v>93</v>
      </c>
      <c r="I75" s="88"/>
      <c r="J75" s="88"/>
    </row>
    <row r="76" spans="1:10" x14ac:dyDescent="0.25">
      <c r="H76" s="90" t="s">
        <v>94</v>
      </c>
      <c r="I76" s="90"/>
      <c r="J76" s="90"/>
    </row>
    <row r="77" spans="1:10" ht="9" customHeight="1" x14ac:dyDescent="0.25"/>
    <row r="78" spans="1:10" ht="22.5" customHeight="1" x14ac:dyDescent="0.25"/>
    <row r="79" spans="1:10" x14ac:dyDescent="0.25">
      <c r="H79" s="88" t="s">
        <v>95</v>
      </c>
      <c r="I79" s="88"/>
      <c r="J79" s="88"/>
    </row>
    <row r="80" spans="1:10" x14ac:dyDescent="0.25">
      <c r="H80" s="90" t="s">
        <v>96</v>
      </c>
      <c r="I80" s="90"/>
      <c r="J80" s="90"/>
    </row>
    <row r="81" spans="8:10" x14ac:dyDescent="0.25">
      <c r="H81" s="90" t="s">
        <v>97</v>
      </c>
      <c r="I81" s="90"/>
      <c r="J81" s="90"/>
    </row>
    <row r="82" spans="8:10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t="14.45" hidden="1" customHeight="1" x14ac:dyDescent="0.25"/>
    <row r="108" ht="14.25" customHeight="1" x14ac:dyDescent="0.25"/>
  </sheetData>
  <mergeCells count="24">
    <mergeCell ref="H81:J81"/>
    <mergeCell ref="A8:A10"/>
    <mergeCell ref="H71:J71"/>
    <mergeCell ref="H72:J72"/>
    <mergeCell ref="H75:J75"/>
    <mergeCell ref="H76:J76"/>
    <mergeCell ref="H79:J79"/>
    <mergeCell ref="H80:J80"/>
    <mergeCell ref="F9:G9"/>
    <mergeCell ref="H9:H10"/>
    <mergeCell ref="I9:I10"/>
    <mergeCell ref="B67:C67"/>
    <mergeCell ref="D67:G67"/>
    <mergeCell ref="G69:J69"/>
    <mergeCell ref="A1:J1"/>
    <mergeCell ref="A2:J2"/>
    <mergeCell ref="A3:J3"/>
    <mergeCell ref="B8:C8"/>
    <mergeCell ref="D8:G8"/>
    <mergeCell ref="H8:I8"/>
    <mergeCell ref="J8:J10"/>
    <mergeCell ref="B9:B10"/>
    <mergeCell ref="C9:C10"/>
    <mergeCell ref="D9:E9"/>
  </mergeCells>
  <printOptions horizontalCentered="1"/>
  <pageMargins left="0.45" right="0.45" top="0.5" bottom="0.5" header="0.3" footer="0.3"/>
  <pageSetup paperSize="9" scale="85" fitToHeight="0" orientation="portrait" horizontalDpi="0" verticalDpi="0" r:id="rId1"/>
  <rowBreaks count="1" manualBreakCount="1">
    <brk id="81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Leave Card (NE) (2)</vt:lpstr>
      <vt:lpstr>statement</vt:lpstr>
      <vt:lpstr>'Leave Card (NE) (2)'!Print_Area</vt:lpstr>
      <vt:lpstr>statement!Print_Area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2024-11-06T02:44:51Z</cp:lastPrinted>
  <dcterms:created xsi:type="dcterms:W3CDTF">2021-10-07T06:10:16Z</dcterms:created>
  <dcterms:modified xsi:type="dcterms:W3CDTF">2024-11-06T04:36:36Z</dcterms:modified>
</cp:coreProperties>
</file>