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87C982CC-A40F-42BB-BF9E-52C02E761F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RRECTED" sheetId="9" r:id="rId1"/>
    <sheet name="NEGATIVE" sheetId="10" r:id="rId2"/>
    <sheet name="BALANCE FORWARDED" sheetId="6" r:id="rId3"/>
    <sheet name="CTO" sheetId="8" r:id="rId4"/>
  </sheets>
  <definedNames>
    <definedName name="_xlnm.Print_Area" localSheetId="2">'BALANCE FORWARDED'!$A$1:$J$80</definedName>
    <definedName name="_xlnm.Print_Area" localSheetId="0">CORRECTED!$A$1:$J$151</definedName>
    <definedName name="_xlnm.Print_Area" localSheetId="1">NEGATIVE!$A$1:$J$133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3" i="9" l="1"/>
  <c r="J143" i="9" s="1"/>
  <c r="I143" i="9"/>
  <c r="J74" i="6"/>
  <c r="I74" i="6"/>
  <c r="H74" i="6"/>
  <c r="J73" i="6"/>
  <c r="I73" i="6"/>
  <c r="H73" i="6"/>
  <c r="J72" i="6"/>
  <c r="I72" i="6"/>
  <c r="H72" i="6"/>
  <c r="J71" i="6"/>
  <c r="I71" i="6"/>
  <c r="H71" i="6"/>
  <c r="J70" i="6"/>
  <c r="I70" i="6"/>
  <c r="H70" i="6"/>
  <c r="J69" i="6"/>
  <c r="I69" i="6"/>
  <c r="H69" i="6"/>
  <c r="J68" i="6"/>
  <c r="I68" i="6"/>
  <c r="H68" i="6"/>
  <c r="J67" i="6"/>
  <c r="I67" i="6"/>
  <c r="H67" i="6"/>
  <c r="J66" i="6"/>
  <c r="I66" i="6"/>
  <c r="H66" i="6"/>
  <c r="J65" i="6"/>
  <c r="I65" i="6"/>
  <c r="H65" i="6"/>
  <c r="J64" i="6"/>
  <c r="I64" i="6"/>
  <c r="H64" i="6"/>
  <c r="J63" i="6"/>
  <c r="I63" i="6"/>
  <c r="H63" i="6"/>
  <c r="J62" i="6"/>
  <c r="I62" i="6"/>
  <c r="H62" i="6"/>
  <c r="J61" i="6"/>
  <c r="I61" i="6"/>
  <c r="H61" i="6"/>
  <c r="J60" i="6"/>
  <c r="I60" i="6"/>
  <c r="H60" i="6"/>
  <c r="J59" i="6"/>
  <c r="I59" i="6"/>
  <c r="H59" i="6"/>
  <c r="J58" i="6"/>
  <c r="I58" i="6"/>
  <c r="H58" i="6"/>
  <c r="J57" i="6"/>
  <c r="I57" i="6"/>
  <c r="H57" i="6"/>
  <c r="J56" i="6"/>
  <c r="I56" i="6"/>
  <c r="H56" i="6"/>
  <c r="J55" i="6"/>
  <c r="I55" i="6"/>
  <c r="H55" i="6"/>
  <c r="J54" i="6"/>
  <c r="I54" i="6"/>
  <c r="H54" i="6"/>
  <c r="J53" i="6"/>
  <c r="I53" i="6"/>
  <c r="H53" i="6"/>
  <c r="J52" i="6"/>
  <c r="I52" i="6"/>
  <c r="H52" i="6"/>
  <c r="J51" i="6"/>
  <c r="I51" i="6"/>
  <c r="H51" i="6"/>
  <c r="J50" i="6"/>
  <c r="I50" i="6"/>
  <c r="H50" i="6"/>
  <c r="J49" i="6"/>
  <c r="I49" i="6"/>
  <c r="H49" i="6"/>
  <c r="J48" i="6"/>
  <c r="I48" i="6"/>
  <c r="H48" i="6"/>
  <c r="B48" i="6"/>
  <c r="J47" i="6"/>
  <c r="I47" i="6"/>
  <c r="H47" i="6"/>
  <c r="J46" i="6"/>
  <c r="I46" i="6"/>
  <c r="H46" i="6"/>
  <c r="J45" i="6"/>
  <c r="I45" i="6"/>
  <c r="H45" i="6"/>
  <c r="J44" i="6"/>
  <c r="I44" i="6"/>
  <c r="H44" i="6"/>
  <c r="J43" i="6"/>
  <c r="I43" i="6"/>
  <c r="H43" i="6"/>
  <c r="J42" i="6"/>
  <c r="I42" i="6"/>
  <c r="H42" i="6"/>
  <c r="J41" i="6"/>
  <c r="I41" i="6"/>
  <c r="H41" i="6"/>
  <c r="J40" i="6"/>
  <c r="I40" i="6"/>
  <c r="H40" i="6"/>
  <c r="J39" i="6"/>
  <c r="I39" i="6"/>
  <c r="H39" i="6"/>
  <c r="J38" i="6"/>
  <c r="I38" i="6"/>
  <c r="H38" i="6"/>
  <c r="J37" i="6"/>
  <c r="I37" i="6"/>
  <c r="H37" i="6"/>
  <c r="J36" i="6"/>
  <c r="I36" i="6"/>
  <c r="H36" i="6"/>
  <c r="J35" i="6"/>
  <c r="I35" i="6"/>
  <c r="H35" i="6"/>
  <c r="J34" i="6"/>
  <c r="I34" i="6"/>
  <c r="H34" i="6"/>
  <c r="J33" i="6"/>
  <c r="I33" i="6"/>
  <c r="H33" i="6"/>
  <c r="J32" i="6"/>
  <c r="I32" i="6"/>
  <c r="H32" i="6"/>
  <c r="J31" i="6"/>
  <c r="I31" i="6"/>
  <c r="H31" i="6"/>
  <c r="J30" i="6"/>
  <c r="I30" i="6"/>
  <c r="H30" i="6"/>
  <c r="J29" i="6"/>
  <c r="I29" i="6"/>
  <c r="H29" i="6"/>
  <c r="J28" i="6"/>
  <c r="I28" i="6"/>
  <c r="H28" i="6"/>
  <c r="J27" i="6"/>
  <c r="I27" i="6"/>
  <c r="H27" i="6"/>
  <c r="J26" i="6"/>
  <c r="I26" i="6"/>
  <c r="H26" i="6"/>
  <c r="J25" i="6"/>
  <c r="I25" i="6"/>
  <c r="H25" i="6"/>
  <c r="J24" i="6"/>
  <c r="I24" i="6"/>
  <c r="H24" i="6"/>
  <c r="J23" i="6"/>
  <c r="I23" i="6"/>
  <c r="H23" i="6"/>
  <c r="J22" i="6"/>
  <c r="I22" i="6"/>
  <c r="H22" i="6"/>
  <c r="J21" i="6"/>
  <c r="I21" i="6"/>
  <c r="H21" i="6"/>
  <c r="J20" i="6"/>
  <c r="I20" i="6"/>
  <c r="H20" i="6"/>
  <c r="J19" i="6"/>
  <c r="I19" i="6"/>
  <c r="H19" i="6"/>
  <c r="J18" i="6"/>
  <c r="I18" i="6"/>
  <c r="H18" i="6"/>
  <c r="J17" i="6"/>
  <c r="I17" i="6"/>
  <c r="H17" i="6"/>
  <c r="J16" i="6"/>
  <c r="I16" i="6"/>
  <c r="H16" i="6"/>
  <c r="J15" i="6"/>
  <c r="I15" i="6"/>
  <c r="H15" i="6"/>
  <c r="B15" i="6"/>
  <c r="J14" i="6"/>
  <c r="I14" i="6"/>
  <c r="H14" i="6"/>
  <c r="J13" i="6"/>
  <c r="I13" i="6"/>
  <c r="H13" i="6"/>
  <c r="J126" i="10"/>
  <c r="I126" i="10"/>
  <c r="H126" i="10"/>
  <c r="J125" i="10"/>
  <c r="I125" i="10"/>
  <c r="H125" i="10"/>
  <c r="J124" i="10"/>
  <c r="I124" i="10"/>
  <c r="H124" i="10"/>
  <c r="J123" i="10"/>
  <c r="I123" i="10"/>
  <c r="H123" i="10"/>
  <c r="J122" i="10"/>
  <c r="I122" i="10"/>
  <c r="H122" i="10"/>
  <c r="J121" i="10"/>
  <c r="I121" i="10"/>
  <c r="H121" i="10"/>
  <c r="J120" i="10"/>
  <c r="I120" i="10"/>
  <c r="H120" i="10"/>
  <c r="J119" i="10"/>
  <c r="I119" i="10"/>
  <c r="H119" i="10"/>
  <c r="J118" i="10"/>
  <c r="I118" i="10"/>
  <c r="H118" i="10"/>
  <c r="J117" i="10"/>
  <c r="I117" i="10"/>
  <c r="H117" i="10"/>
  <c r="J116" i="10"/>
  <c r="I116" i="10"/>
  <c r="H116" i="10"/>
  <c r="J115" i="10"/>
  <c r="I115" i="10"/>
  <c r="H115" i="10"/>
  <c r="J114" i="10"/>
  <c r="I114" i="10"/>
  <c r="H114" i="10"/>
  <c r="J113" i="10"/>
  <c r="I113" i="10"/>
  <c r="H113" i="10"/>
  <c r="J112" i="10"/>
  <c r="I112" i="10"/>
  <c r="H112" i="10"/>
  <c r="J111" i="10"/>
  <c r="I111" i="10"/>
  <c r="H111" i="10"/>
  <c r="J110" i="10"/>
  <c r="I110" i="10"/>
  <c r="H110" i="10"/>
  <c r="J109" i="10"/>
  <c r="I109" i="10"/>
  <c r="H109" i="10"/>
  <c r="J108" i="10"/>
  <c r="I108" i="10"/>
  <c r="H108" i="10"/>
  <c r="J107" i="10"/>
  <c r="I107" i="10"/>
  <c r="H107" i="10"/>
  <c r="J106" i="10"/>
  <c r="I106" i="10"/>
  <c r="H106" i="10"/>
  <c r="J105" i="10"/>
  <c r="I105" i="10"/>
  <c r="H105" i="10"/>
  <c r="J104" i="10"/>
  <c r="I104" i="10"/>
  <c r="H104" i="10"/>
  <c r="J103" i="10"/>
  <c r="I103" i="10"/>
  <c r="H103" i="10"/>
  <c r="J102" i="10"/>
  <c r="I102" i="10"/>
  <c r="H102" i="10"/>
  <c r="J101" i="10"/>
  <c r="I101" i="10"/>
  <c r="H101" i="10"/>
  <c r="J100" i="10"/>
  <c r="I100" i="10"/>
  <c r="H100" i="10"/>
  <c r="J99" i="10"/>
  <c r="I99" i="10"/>
  <c r="H99" i="10"/>
  <c r="J98" i="10"/>
  <c r="I98" i="10"/>
  <c r="H98" i="10"/>
  <c r="J97" i="10"/>
  <c r="I97" i="10"/>
  <c r="H97" i="10"/>
  <c r="J96" i="10"/>
  <c r="I96" i="10"/>
  <c r="H96" i="10"/>
  <c r="J95" i="10"/>
  <c r="I95" i="10"/>
  <c r="H95" i="10"/>
  <c r="J94" i="10"/>
  <c r="I94" i="10"/>
  <c r="H94" i="10"/>
  <c r="J93" i="10"/>
  <c r="I93" i="10"/>
  <c r="H93" i="10"/>
  <c r="J92" i="10"/>
  <c r="I92" i="10"/>
  <c r="H92" i="10"/>
  <c r="J91" i="10"/>
  <c r="I91" i="10"/>
  <c r="H91" i="10"/>
  <c r="J90" i="10"/>
  <c r="I90" i="10"/>
  <c r="H90" i="10"/>
  <c r="J89" i="10"/>
  <c r="I89" i="10"/>
  <c r="H89" i="10"/>
  <c r="J88" i="10"/>
  <c r="I88" i="10"/>
  <c r="H88" i="10"/>
  <c r="J87" i="10"/>
  <c r="I87" i="10"/>
  <c r="H87" i="10"/>
  <c r="J86" i="10"/>
  <c r="I86" i="10"/>
  <c r="H86" i="10"/>
  <c r="J85" i="10"/>
  <c r="I85" i="10"/>
  <c r="H85" i="10"/>
  <c r="J84" i="10"/>
  <c r="I84" i="10"/>
  <c r="H84" i="10"/>
  <c r="J83" i="10"/>
  <c r="I83" i="10"/>
  <c r="H83" i="10"/>
  <c r="J82" i="10"/>
  <c r="I82" i="10"/>
  <c r="H82" i="10"/>
  <c r="J81" i="10"/>
  <c r="I81" i="10"/>
  <c r="H81" i="10"/>
  <c r="J80" i="10"/>
  <c r="I80" i="10"/>
  <c r="H80" i="10"/>
  <c r="J79" i="10"/>
  <c r="I79" i="10"/>
  <c r="H79" i="10"/>
  <c r="J78" i="10"/>
  <c r="I78" i="10"/>
  <c r="H78" i="10"/>
  <c r="J77" i="10"/>
  <c r="I77" i="10"/>
  <c r="H77" i="10"/>
  <c r="J76" i="10"/>
  <c r="I76" i="10"/>
  <c r="H76" i="10"/>
  <c r="J75" i="10"/>
  <c r="I75" i="10"/>
  <c r="H75" i="10"/>
  <c r="J74" i="10"/>
  <c r="I74" i="10"/>
  <c r="H74" i="10"/>
  <c r="J73" i="10"/>
  <c r="I73" i="10"/>
  <c r="H73" i="10"/>
  <c r="J72" i="10"/>
  <c r="I72" i="10"/>
  <c r="H72" i="10"/>
  <c r="J71" i="10"/>
  <c r="I71" i="10"/>
  <c r="H71" i="10"/>
  <c r="J70" i="10"/>
  <c r="I70" i="10"/>
  <c r="H70" i="10"/>
  <c r="J69" i="10"/>
  <c r="I69" i="10"/>
  <c r="H69" i="10"/>
  <c r="J68" i="10"/>
  <c r="I68" i="10"/>
  <c r="H68" i="10"/>
  <c r="J67" i="10"/>
  <c r="I67" i="10"/>
  <c r="H67" i="10"/>
  <c r="J66" i="10"/>
  <c r="I66" i="10"/>
  <c r="H66" i="10"/>
  <c r="J65" i="10"/>
  <c r="I65" i="10"/>
  <c r="H65" i="10"/>
  <c r="J64" i="10"/>
  <c r="I64" i="10"/>
  <c r="H64" i="10"/>
  <c r="J63" i="10"/>
  <c r="I63" i="10"/>
  <c r="H63" i="10"/>
  <c r="J62" i="10"/>
  <c r="I62" i="10"/>
  <c r="H62" i="10"/>
  <c r="J61" i="10"/>
  <c r="I61" i="10"/>
  <c r="H61" i="10"/>
  <c r="J60" i="10"/>
  <c r="I60" i="10"/>
  <c r="H60" i="10"/>
  <c r="J59" i="10"/>
  <c r="I59" i="10"/>
  <c r="H59" i="10"/>
  <c r="J58" i="10"/>
  <c r="I58" i="10"/>
  <c r="H58" i="10"/>
  <c r="J57" i="10"/>
  <c r="I57" i="10"/>
  <c r="H57" i="10"/>
  <c r="J56" i="10"/>
  <c r="I56" i="10"/>
  <c r="H56" i="10"/>
  <c r="J55" i="10"/>
  <c r="I55" i="10"/>
  <c r="H55" i="10"/>
  <c r="J54" i="10"/>
  <c r="I54" i="10"/>
  <c r="H54" i="10"/>
  <c r="J53" i="10"/>
  <c r="I53" i="10"/>
  <c r="H53" i="10"/>
  <c r="J52" i="10"/>
  <c r="I52" i="10"/>
  <c r="H52" i="10"/>
  <c r="J51" i="10"/>
  <c r="I51" i="10"/>
  <c r="H51" i="10"/>
  <c r="J50" i="10"/>
  <c r="I50" i="10"/>
  <c r="H50" i="10"/>
  <c r="J49" i="10"/>
  <c r="I49" i="10"/>
  <c r="H49" i="10"/>
  <c r="J48" i="10"/>
  <c r="I48" i="10"/>
  <c r="H48" i="10"/>
  <c r="J47" i="10"/>
  <c r="I47" i="10"/>
  <c r="H47" i="10"/>
  <c r="J46" i="10"/>
  <c r="I46" i="10"/>
  <c r="H46" i="10"/>
  <c r="J45" i="10"/>
  <c r="I45" i="10"/>
  <c r="H45" i="10"/>
  <c r="J44" i="10"/>
  <c r="I44" i="10"/>
  <c r="H44" i="10"/>
  <c r="J43" i="10"/>
  <c r="I43" i="10"/>
  <c r="H43" i="10"/>
  <c r="J42" i="10"/>
  <c r="I42" i="10"/>
  <c r="H42" i="10"/>
  <c r="J41" i="10"/>
  <c r="I41" i="10"/>
  <c r="H41" i="10"/>
  <c r="J40" i="10"/>
  <c r="I40" i="10"/>
  <c r="H40" i="10"/>
  <c r="J39" i="10"/>
  <c r="I39" i="10"/>
  <c r="H39" i="10"/>
  <c r="J38" i="10"/>
  <c r="I38" i="10"/>
  <c r="H38" i="10"/>
  <c r="J37" i="10"/>
  <c r="I37" i="10"/>
  <c r="H37" i="10"/>
  <c r="J36" i="10"/>
  <c r="I36" i="10"/>
  <c r="H36" i="10"/>
  <c r="J35" i="10"/>
  <c r="I35" i="10"/>
  <c r="H35" i="10"/>
  <c r="J34" i="10"/>
  <c r="I34" i="10"/>
  <c r="H34" i="10"/>
  <c r="J33" i="10"/>
  <c r="I33" i="10"/>
  <c r="H33" i="10"/>
  <c r="J32" i="10"/>
  <c r="I32" i="10"/>
  <c r="H32" i="10"/>
  <c r="J31" i="10"/>
  <c r="I31" i="10"/>
  <c r="H31" i="10"/>
  <c r="J30" i="10"/>
  <c r="I30" i="10"/>
  <c r="H30" i="10"/>
  <c r="J29" i="10"/>
  <c r="I29" i="10"/>
  <c r="H29" i="10"/>
  <c r="J28" i="10"/>
  <c r="I28" i="10"/>
  <c r="H28" i="10"/>
  <c r="J27" i="10"/>
  <c r="I27" i="10"/>
  <c r="H27" i="10"/>
  <c r="J26" i="10"/>
  <c r="I26" i="10"/>
  <c r="H26" i="10"/>
  <c r="J25" i="10"/>
  <c r="I25" i="10"/>
  <c r="H25" i="10"/>
  <c r="J24" i="10"/>
  <c r="I24" i="10"/>
  <c r="H24" i="10"/>
  <c r="J23" i="10"/>
  <c r="I23" i="10"/>
  <c r="H23" i="10"/>
  <c r="J22" i="10"/>
  <c r="I22" i="10"/>
  <c r="H22" i="10"/>
  <c r="J21" i="10"/>
  <c r="I21" i="10"/>
  <c r="H21" i="10"/>
  <c r="J20" i="10"/>
  <c r="I20" i="10"/>
  <c r="H20" i="10"/>
  <c r="J19" i="10"/>
  <c r="I19" i="10"/>
  <c r="H19" i="10"/>
  <c r="J18" i="10"/>
  <c r="I18" i="10"/>
  <c r="H18" i="10"/>
  <c r="J17" i="10"/>
  <c r="I17" i="10"/>
  <c r="H17" i="10"/>
  <c r="J16" i="10"/>
  <c r="I16" i="10"/>
  <c r="H16" i="10"/>
  <c r="J15" i="10"/>
  <c r="I15" i="10"/>
  <c r="H15" i="10"/>
  <c r="J14" i="10"/>
  <c r="I14" i="10"/>
  <c r="H14" i="10"/>
  <c r="J13" i="10"/>
  <c r="I13" i="10"/>
  <c r="H13" i="10"/>
  <c r="I14" i="9"/>
  <c r="I15" i="9" s="1"/>
  <c r="I16" i="9" s="1"/>
  <c r="I17" i="9" s="1"/>
  <c r="I18" i="9" s="1"/>
  <c r="I19" i="9" s="1"/>
  <c r="I20" i="9" s="1"/>
  <c r="I21" i="9" s="1"/>
  <c r="I22" i="9" s="1"/>
  <c r="I23" i="9" s="1"/>
  <c r="I24" i="9" s="1"/>
  <c r="I25" i="9" s="1"/>
  <c r="I26" i="9" s="1"/>
  <c r="I27" i="9" s="1"/>
  <c r="I28" i="9" s="1"/>
  <c r="I29" i="9" s="1"/>
  <c r="I30" i="9" s="1"/>
  <c r="I31" i="9" s="1"/>
  <c r="I32" i="9" s="1"/>
  <c r="I33" i="9" s="1"/>
  <c r="I34" i="9" s="1"/>
  <c r="I35" i="9" s="1"/>
  <c r="I36" i="9" s="1"/>
  <c r="I37" i="9" s="1"/>
  <c r="I38" i="9" s="1"/>
  <c r="I39" i="9" s="1"/>
  <c r="I40" i="9" s="1"/>
  <c r="I41" i="9" s="1"/>
  <c r="I42" i="9" s="1"/>
  <c r="I43" i="9" s="1"/>
  <c r="I44" i="9" s="1"/>
  <c r="I45" i="9" s="1"/>
  <c r="I46" i="9" s="1"/>
  <c r="I47" i="9" s="1"/>
  <c r="I48" i="9" s="1"/>
  <c r="I49" i="9" s="1"/>
  <c r="I50" i="9" s="1"/>
  <c r="I51" i="9" s="1"/>
  <c r="I52" i="9" s="1"/>
  <c r="I53" i="9" s="1"/>
  <c r="I54" i="9" s="1"/>
  <c r="I55" i="9" s="1"/>
  <c r="I56" i="9" s="1"/>
  <c r="I57" i="9" s="1"/>
  <c r="I58" i="9" s="1"/>
  <c r="I59" i="9" s="1"/>
  <c r="I60" i="9" s="1"/>
  <c r="I61" i="9" s="1"/>
  <c r="I62" i="9" s="1"/>
  <c r="I63" i="9" s="1"/>
  <c r="I64" i="9" s="1"/>
  <c r="I65" i="9" s="1"/>
  <c r="I66" i="9" s="1"/>
  <c r="I67" i="9" s="1"/>
  <c r="I68" i="9" s="1"/>
  <c r="I69" i="9" s="1"/>
  <c r="I70" i="9" s="1"/>
  <c r="I71" i="9" s="1"/>
  <c r="I72" i="9" s="1"/>
  <c r="I73" i="9" s="1"/>
  <c r="I74" i="9" s="1"/>
  <c r="I75" i="9" s="1"/>
  <c r="I76" i="9" s="1"/>
  <c r="I77" i="9" s="1"/>
  <c r="I78" i="9" s="1"/>
  <c r="I79" i="9" s="1"/>
  <c r="I80" i="9" s="1"/>
  <c r="I81" i="9" s="1"/>
  <c r="I82" i="9" s="1"/>
  <c r="I83" i="9" s="1"/>
  <c r="I84" i="9" s="1"/>
  <c r="I85" i="9" s="1"/>
  <c r="I86" i="9" s="1"/>
  <c r="I87" i="9" s="1"/>
  <c r="I88" i="9" s="1"/>
  <c r="I89" i="9" s="1"/>
  <c r="I90" i="9" s="1"/>
  <c r="I91" i="9" s="1"/>
  <c r="I92" i="9" s="1"/>
  <c r="I93" i="9" s="1"/>
  <c r="I94" i="9" s="1"/>
  <c r="I95" i="9" s="1"/>
  <c r="I96" i="9" s="1"/>
  <c r="I97" i="9" s="1"/>
  <c r="I98" i="9" s="1"/>
  <c r="I99" i="9" s="1"/>
  <c r="I100" i="9" s="1"/>
  <c r="I101" i="9" s="1"/>
  <c r="I102" i="9" s="1"/>
  <c r="I103" i="9" s="1"/>
  <c r="I104" i="9" s="1"/>
  <c r="I105" i="9" s="1"/>
  <c r="I106" i="9" s="1"/>
  <c r="I107" i="9" s="1"/>
  <c r="I108" i="9" s="1"/>
  <c r="I109" i="9" s="1"/>
  <c r="I110" i="9" s="1"/>
  <c r="I111" i="9" s="1"/>
  <c r="I112" i="9" s="1"/>
  <c r="I113" i="9" s="1"/>
  <c r="I114" i="9" s="1"/>
  <c r="I115" i="9" s="1"/>
  <c r="I116" i="9" s="1"/>
  <c r="I117" i="9" s="1"/>
  <c r="I118" i="9" s="1"/>
  <c r="I119" i="9" s="1"/>
  <c r="I120" i="9" s="1"/>
  <c r="I121" i="9" s="1"/>
  <c r="I122" i="9" s="1"/>
  <c r="I123" i="9" s="1"/>
  <c r="I124" i="9" s="1"/>
  <c r="I125" i="9" s="1"/>
  <c r="I126" i="9" s="1"/>
  <c r="I127" i="9" s="1"/>
  <c r="I128" i="9" s="1"/>
  <c r="I129" i="9" s="1"/>
  <c r="I130" i="9" s="1"/>
  <c r="I131" i="9" s="1"/>
  <c r="I132" i="9" s="1"/>
  <c r="I133" i="9" s="1"/>
  <c r="I134" i="9" s="1"/>
  <c r="I135" i="9" s="1"/>
  <c r="I136" i="9" s="1"/>
  <c r="I137" i="9" s="1"/>
  <c r="I138" i="9" s="1"/>
  <c r="I139" i="9" s="1"/>
  <c r="I140" i="9" s="1"/>
  <c r="I141" i="9" s="1"/>
  <c r="I142" i="9" s="1"/>
  <c r="I13" i="9"/>
  <c r="H13" i="9"/>
  <c r="J13" i="9" s="1"/>
  <c r="H14" i="9" l="1"/>
  <c r="H15" i="9"/>
  <c r="J14" i="9"/>
  <c r="J15" i="9" l="1"/>
  <c r="H16" i="9"/>
  <c r="H17" i="9" l="1"/>
  <c r="J16" i="9"/>
  <c r="J17" i="9" l="1"/>
  <c r="H18" i="9"/>
  <c r="H19" i="9" l="1"/>
  <c r="J18" i="9"/>
  <c r="J19" i="9" l="1"/>
  <c r="H20" i="9"/>
  <c r="H21" i="9" l="1"/>
  <c r="J20" i="9"/>
  <c r="J21" i="9" l="1"/>
  <c r="H22" i="9"/>
  <c r="H23" i="9" l="1"/>
  <c r="J22" i="9"/>
  <c r="J23" i="9" l="1"/>
  <c r="H24" i="9"/>
  <c r="H25" i="9" l="1"/>
  <c r="J24" i="9"/>
  <c r="J25" i="9" l="1"/>
  <c r="H26" i="9"/>
  <c r="H27" i="9" l="1"/>
  <c r="J26" i="9"/>
  <c r="J27" i="9" l="1"/>
  <c r="H28" i="9"/>
  <c r="H29" i="9" l="1"/>
  <c r="J28" i="9"/>
  <c r="J29" i="9" l="1"/>
  <c r="H30" i="9"/>
  <c r="H31" i="9" l="1"/>
  <c r="J30" i="9"/>
  <c r="J31" i="9" l="1"/>
  <c r="H32" i="9"/>
  <c r="H33" i="9" l="1"/>
  <c r="J32" i="9"/>
  <c r="J33" i="9" l="1"/>
  <c r="H34" i="9"/>
  <c r="H35" i="9" l="1"/>
  <c r="J34" i="9"/>
  <c r="J35" i="9" l="1"/>
  <c r="H36" i="9"/>
  <c r="H37" i="9" l="1"/>
  <c r="J36" i="9"/>
  <c r="J37" i="9" l="1"/>
  <c r="H38" i="9"/>
  <c r="H39" i="9" l="1"/>
  <c r="J38" i="9"/>
  <c r="J39" i="9" l="1"/>
  <c r="H40" i="9"/>
  <c r="H41" i="9" l="1"/>
  <c r="J40" i="9"/>
  <c r="J41" i="9" l="1"/>
  <c r="H42" i="9"/>
  <c r="H43" i="9" l="1"/>
  <c r="J42" i="9"/>
  <c r="J43" i="9" l="1"/>
  <c r="H44" i="9"/>
  <c r="H45" i="9" l="1"/>
  <c r="J44" i="9"/>
  <c r="J45" i="9" l="1"/>
  <c r="H46" i="9"/>
  <c r="H47" i="9" l="1"/>
  <c r="J46" i="9"/>
  <c r="J47" i="9" l="1"/>
  <c r="H48" i="9"/>
  <c r="H49" i="9" l="1"/>
  <c r="J48" i="9"/>
  <c r="J49" i="9" l="1"/>
  <c r="H50" i="9"/>
  <c r="H51" i="9" l="1"/>
  <c r="J50" i="9"/>
  <c r="J51" i="9" l="1"/>
  <c r="H52" i="9"/>
  <c r="H53" i="9" l="1"/>
  <c r="J52" i="9"/>
  <c r="J53" i="9" l="1"/>
  <c r="H54" i="9"/>
  <c r="H55" i="9" l="1"/>
  <c r="J54" i="9"/>
  <c r="J55" i="9" l="1"/>
  <c r="H56" i="9"/>
  <c r="H57" i="9" l="1"/>
  <c r="J56" i="9"/>
  <c r="J57" i="9" l="1"/>
  <c r="H58" i="9"/>
  <c r="H59" i="9" l="1"/>
  <c r="J58" i="9"/>
  <c r="J59" i="9" l="1"/>
  <c r="H60" i="9"/>
  <c r="H61" i="9" l="1"/>
  <c r="J60" i="9"/>
  <c r="J61" i="9" l="1"/>
  <c r="H62" i="9"/>
  <c r="H63" i="9" l="1"/>
  <c r="J62" i="9"/>
  <c r="J63" i="9" l="1"/>
  <c r="H64" i="9"/>
  <c r="H65" i="9" l="1"/>
  <c r="J64" i="9"/>
  <c r="J65" i="9" l="1"/>
  <c r="H66" i="9"/>
  <c r="H67" i="9" l="1"/>
  <c r="J66" i="9"/>
  <c r="J67" i="9" l="1"/>
  <c r="H68" i="9"/>
  <c r="H69" i="9" l="1"/>
  <c r="J68" i="9"/>
  <c r="J69" i="9" l="1"/>
  <c r="H70" i="9"/>
  <c r="H71" i="9" l="1"/>
  <c r="J70" i="9"/>
  <c r="J71" i="9" l="1"/>
  <c r="H72" i="9"/>
  <c r="H73" i="9" l="1"/>
  <c r="J72" i="9"/>
  <c r="J73" i="9" l="1"/>
  <c r="H74" i="9"/>
  <c r="H75" i="9" l="1"/>
  <c r="J74" i="9"/>
  <c r="J75" i="9" l="1"/>
  <c r="H76" i="9"/>
  <c r="H77" i="9" l="1"/>
  <c r="J76" i="9"/>
  <c r="J77" i="9" l="1"/>
  <c r="H78" i="9"/>
  <c r="H79" i="9" l="1"/>
  <c r="J78" i="9"/>
  <c r="J79" i="9" l="1"/>
  <c r="H80" i="9"/>
  <c r="H81" i="9" l="1"/>
  <c r="J80" i="9"/>
  <c r="J81" i="9" l="1"/>
  <c r="H82" i="9"/>
  <c r="H83" i="9" l="1"/>
  <c r="J82" i="9"/>
  <c r="J83" i="9" l="1"/>
  <c r="H84" i="9"/>
  <c r="H85" i="9" l="1"/>
  <c r="J84" i="9"/>
  <c r="J85" i="9" l="1"/>
  <c r="H86" i="9"/>
  <c r="H87" i="9" l="1"/>
  <c r="J86" i="9"/>
  <c r="J87" i="9" l="1"/>
  <c r="H88" i="9"/>
  <c r="H89" i="9" l="1"/>
  <c r="J88" i="9"/>
  <c r="J89" i="9" l="1"/>
  <c r="H90" i="9"/>
  <c r="H91" i="9" l="1"/>
  <c r="J90" i="9"/>
  <c r="J91" i="9" l="1"/>
  <c r="H92" i="9"/>
  <c r="H93" i="9" l="1"/>
  <c r="J92" i="9"/>
  <c r="J93" i="9" l="1"/>
  <c r="H94" i="9"/>
  <c r="H95" i="9" l="1"/>
  <c r="J94" i="9"/>
  <c r="J95" i="9" l="1"/>
  <c r="H96" i="9"/>
  <c r="H97" i="9" l="1"/>
  <c r="J96" i="9"/>
  <c r="J97" i="9" l="1"/>
  <c r="H98" i="9"/>
  <c r="H99" i="9" l="1"/>
  <c r="J98" i="9"/>
  <c r="J99" i="9" l="1"/>
  <c r="H100" i="9"/>
  <c r="H101" i="9" l="1"/>
  <c r="J100" i="9"/>
  <c r="J101" i="9" l="1"/>
  <c r="H102" i="9"/>
  <c r="H103" i="9" l="1"/>
  <c r="J102" i="9"/>
  <c r="J103" i="9" l="1"/>
  <c r="H104" i="9"/>
  <c r="H105" i="9" l="1"/>
  <c r="J104" i="9"/>
  <c r="J105" i="9" l="1"/>
  <c r="H106" i="9"/>
  <c r="H107" i="9" l="1"/>
  <c r="J106" i="9"/>
  <c r="J107" i="9" l="1"/>
  <c r="H108" i="9"/>
  <c r="H109" i="9" l="1"/>
  <c r="J108" i="9"/>
  <c r="J109" i="9" l="1"/>
  <c r="H110" i="9"/>
  <c r="H111" i="9" l="1"/>
  <c r="J110" i="9"/>
  <c r="J111" i="9" l="1"/>
  <c r="H112" i="9"/>
  <c r="H113" i="9" l="1"/>
  <c r="J112" i="9"/>
  <c r="J113" i="9" l="1"/>
  <c r="H114" i="9"/>
  <c r="H115" i="9" l="1"/>
  <c r="J114" i="9"/>
  <c r="J115" i="9" l="1"/>
  <c r="H116" i="9"/>
  <c r="H117" i="9" l="1"/>
  <c r="J116" i="9"/>
  <c r="J117" i="9" l="1"/>
  <c r="H118" i="9"/>
  <c r="H119" i="9" l="1"/>
  <c r="J118" i="9"/>
  <c r="J119" i="9" l="1"/>
  <c r="H120" i="9"/>
  <c r="H121" i="9" l="1"/>
  <c r="J120" i="9"/>
  <c r="J121" i="9" l="1"/>
  <c r="H122" i="9"/>
  <c r="H123" i="9" l="1"/>
  <c r="J122" i="9"/>
  <c r="J123" i="9" l="1"/>
  <c r="H124" i="9"/>
  <c r="H125" i="9" l="1"/>
  <c r="J124" i="9"/>
  <c r="J125" i="9" l="1"/>
  <c r="H126" i="9"/>
  <c r="H127" i="9" l="1"/>
  <c r="J126" i="9"/>
  <c r="J127" i="9" l="1"/>
  <c r="H128" i="9"/>
  <c r="H129" i="9" l="1"/>
  <c r="J128" i="9"/>
  <c r="J129" i="9" l="1"/>
  <c r="H130" i="9"/>
  <c r="H131" i="9" l="1"/>
  <c r="J130" i="9"/>
  <c r="J131" i="9" l="1"/>
  <c r="H132" i="9"/>
  <c r="H133" i="9" l="1"/>
  <c r="J132" i="9"/>
  <c r="J133" i="9" l="1"/>
  <c r="H134" i="9"/>
  <c r="H135" i="9" l="1"/>
  <c r="J134" i="9"/>
  <c r="J135" i="9" l="1"/>
  <c r="H136" i="9"/>
  <c r="H137" i="9" l="1"/>
  <c r="J136" i="9"/>
  <c r="J137" i="9" l="1"/>
  <c r="H138" i="9"/>
  <c r="H139" i="9" l="1"/>
  <c r="J138" i="9"/>
  <c r="H140" i="9" l="1"/>
  <c r="J139" i="9"/>
  <c r="J140" i="9" l="1"/>
  <c r="H141" i="9"/>
  <c r="H142" i="9" l="1"/>
  <c r="J142" i="9" s="1"/>
  <c r="J141" i="9"/>
</calcChain>
</file>

<file path=xl/sharedStrings.xml><?xml version="1.0" encoding="utf-8"?>
<sst xmlns="http://schemas.openxmlformats.org/spreadsheetml/2006/main" count="423" uniqueCount="186">
  <si>
    <t>Republic of the Philippines</t>
  </si>
  <si>
    <t>Department of Education</t>
  </si>
  <si>
    <t>NEGROS ISLAND REGION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</si>
  <si>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</si>
  <si>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</si>
  <si>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</si>
  <si>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</si>
  <si>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</si>
  <si>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</si>
  <si>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</si>
  <si>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</si>
  <si>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</si>
  <si>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</si>
  <si>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</si>
  <si>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</si>
  <si>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</si>
  <si>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</si>
  <si>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</si>
  <si>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</si>
  <si>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</si>
  <si>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SPECIAL</t>
  </si>
  <si>
    <t>ADD: 07/1/2004-12/31/2004</t>
  </si>
  <si>
    <t>ADD: 01/1/2005-12/31/2005</t>
  </si>
  <si>
    <t>LESS: MONETIZATION 2005</t>
  </si>
  <si>
    <t>LESS: MANDATORY FL 2005</t>
  </si>
  <si>
    <t>ADD: 01/1/2006-12/31/2006</t>
  </si>
  <si>
    <t>LESS: MONETIZATION 2006</t>
  </si>
  <si>
    <t>LESS: MANDATORY FL 2006</t>
  </si>
  <si>
    <t>ADD: 01/1/2007-12/31/2007</t>
  </si>
  <si>
    <t>LESS: MONETIZATION 2007</t>
  </si>
  <si>
    <t>LESS: MANDATORY FL 2007</t>
  </si>
  <si>
    <r>
      <rPr>
        <sz val="11"/>
        <color theme="1"/>
        <rFont val="Calibri"/>
        <charset val="134"/>
        <scheme val="minor"/>
      </rPr>
      <t>ADD: S0 # 2135, S. 2004 (</t>
    </r>
    <r>
      <rPr>
        <b/>
        <sz val="11"/>
        <color theme="1"/>
        <rFont val="Calibri"/>
        <charset val="134"/>
        <scheme val="minor"/>
      </rPr>
      <t>5 DAYS</t>
    </r>
    <r>
      <rPr>
        <sz val="11"/>
        <color theme="1"/>
        <rFont val="Calibri"/>
        <charset val="134"/>
        <scheme val="minor"/>
      </rPr>
      <t>)     CONVERT: 30*5/69/2</t>
    </r>
  </si>
  <si>
    <t>ADD: 01/1/2008-05/31/2008</t>
  </si>
  <si>
    <t>LESS: 06/18-19/2008</t>
  </si>
  <si>
    <t>ADD: 06/1/2008-12/31/2008</t>
  </si>
  <si>
    <t>LESS: MONETIZATION 2008</t>
  </si>
  <si>
    <t>LESS: ADDITIONAL MONET 2008</t>
  </si>
  <si>
    <t>LESS: MANDATORY FL 2008</t>
  </si>
  <si>
    <t>ADD: 01/1/2009-09/30/2009</t>
  </si>
  <si>
    <t>LESS: MONETIZATION 2009</t>
  </si>
  <si>
    <t>ADD: 10/1/2009-12/31/2009</t>
  </si>
  <si>
    <t>LESS: MANDATORY FL 2009</t>
  </si>
  <si>
    <t>ADD: 01/1/2010-12/31/2010</t>
  </si>
  <si>
    <t>LESS: MONETIZATION 2010</t>
  </si>
  <si>
    <t>LESS: MANDATORY FL 2010</t>
  </si>
  <si>
    <t>ADD: 01/1/2011-06/30/2011</t>
  </si>
  <si>
    <t>LESS: 07/18 (PM), 19, 20/2011</t>
  </si>
  <si>
    <t>ADD: 07/1/2011-12/31/2011</t>
  </si>
  <si>
    <t>LESS: MANDATORY FL 2011</t>
  </si>
  <si>
    <t>ADD: 01/1/2012-12/31/2014</t>
  </si>
  <si>
    <t>LESS: MANDATORY FL 2012, 2013 &amp; 2014</t>
  </si>
  <si>
    <t>LESS: MONETIZATION 2014</t>
  </si>
  <si>
    <t>ADD: 01/1/2015-12/31/2015</t>
  </si>
  <si>
    <t>LESS: MONETIZATION 2015</t>
  </si>
  <si>
    <t>LESS: MANDATORY FL 2015</t>
  </si>
  <si>
    <t>ADD: 01/1/2016-12/31/2016</t>
  </si>
  <si>
    <t>LESS: MANDATORY FL 2016</t>
  </si>
  <si>
    <t>ADD: 01/1/2017-11/30/2017</t>
  </si>
  <si>
    <t>LESS: MONETIZATION 2017</t>
  </si>
  <si>
    <t>ADD: 12/1-31/2017</t>
  </si>
  <si>
    <t>LESS: MANDATORY FL 2017</t>
  </si>
  <si>
    <t>ADD: 01/1/2018-06/30/2018</t>
  </si>
  <si>
    <t>LESS: MONETIZATION 2018</t>
  </si>
  <si>
    <t>ADD: 07/1/2018-08/31/2018</t>
  </si>
  <si>
    <t>LESS: 09/12, 13, 14, 17 &amp; 18/2018</t>
  </si>
  <si>
    <t>ADD: 09/1/2018-12/31/2018</t>
  </si>
  <si>
    <t>ADD: 01/1-31/2019</t>
  </si>
  <si>
    <t>LESS: 02/7/2019</t>
  </si>
  <si>
    <t>ADD: 02/1/2019-09/30/2019</t>
  </si>
  <si>
    <t>LESS: MONETIZATION 2019</t>
  </si>
  <si>
    <t>LESS: 10/10 &amp; 11/2019</t>
  </si>
  <si>
    <t>ADD: 10/1/2019-12/31/2019</t>
  </si>
  <si>
    <t>LESS: MANDATORY FL 2019</t>
  </si>
  <si>
    <t>ADD:01/01/2020 - 11/30/2020</t>
  </si>
  <si>
    <t>LESS: 12/10, 11, 14-18/2020</t>
  </si>
  <si>
    <t>ADD: 12/1-31/2020</t>
  </si>
  <si>
    <t>ADD:01/01/2021 - 03/31/2021</t>
  </si>
  <si>
    <t>LESS: 04/6-8/2021</t>
  </si>
  <si>
    <t>ADD: 04/1-30/2021</t>
  </si>
  <si>
    <t>LESS: 05/21/2021</t>
  </si>
  <si>
    <t>ADD: 05/1/2021-10/31/2021</t>
  </si>
  <si>
    <t>LESS: 11/12/2021</t>
  </si>
  <si>
    <t>ADD: 11/1-30/2021</t>
  </si>
  <si>
    <t>LESS: 12/6/2021</t>
  </si>
  <si>
    <t>ADD: 12/1-31/2021</t>
  </si>
  <si>
    <t>LESS: MONETIZATION 2021</t>
  </si>
  <si>
    <t>ADD: 01/01/22 - 01/31/22</t>
  </si>
  <si>
    <t>LESS: 02/14/22</t>
  </si>
  <si>
    <t>ADD: 02/01/22 - 02/28/22</t>
  </si>
  <si>
    <t>LESS: 03/18/22</t>
  </si>
  <si>
    <t>ADD: 03/01/22 - 03/31/22</t>
  </si>
  <si>
    <t>LESS: 04/29/2022</t>
  </si>
  <si>
    <t>ADD: 04/01/22 - 07/31/22</t>
  </si>
  <si>
    <t>LESS: 08/26/2022</t>
  </si>
  <si>
    <t>ADD: 08/01/22 - 08/31/22</t>
  </si>
  <si>
    <t>LESS: 09/26, 27 &amp; 28/2022</t>
  </si>
  <si>
    <t>LESS: MONETIZATION 2022</t>
  </si>
  <si>
    <t>ADD: 09/01/22 - 09/30/22</t>
  </si>
  <si>
    <t>LESS: 10/24/2022</t>
  </si>
  <si>
    <t>ADD: 10/01/22 - 11/30/22</t>
  </si>
  <si>
    <t>LESS: 11/21 &amp; 22/2022</t>
  </si>
  <si>
    <t>ADD: 12/01/22 - 12/31/22</t>
  </si>
  <si>
    <t>LESS: 01/9, 10 &amp; 11/22</t>
  </si>
  <si>
    <t>ADD: 01/01/23 - 07/31/23</t>
  </si>
  <si>
    <t>LESS: 08/17 &amp; 18/ 23</t>
  </si>
  <si>
    <t>ADD: 08/1-31/2023</t>
  </si>
  <si>
    <t>LESS: MONETIZATION 2023</t>
  </si>
  <si>
    <t>LESS: 09/19/2023</t>
  </si>
  <si>
    <t>ADD: 09/01/2023-11/30/2023</t>
  </si>
  <si>
    <t>LESS: 12/22,28,29/2023</t>
  </si>
  <si>
    <t>ADD: 12/01-31/2023</t>
  </si>
  <si>
    <t>LESS: MANDATORY FL 2023</t>
  </si>
  <si>
    <t>ADD: 01/01-31/2024</t>
  </si>
  <si>
    <t>ADD: 02/01/2024-02/29/2024</t>
  </si>
  <si>
    <t>LESS: 02/19/2024</t>
  </si>
  <si>
    <t>LESS: 02/27/2024</t>
  </si>
  <si>
    <t>ADD: 03/1/2024-06/30/2024</t>
  </si>
  <si>
    <t>LESS: 07/10/2024</t>
  </si>
  <si>
    <t>ADD: JULY 1-31, 2024</t>
  </si>
  <si>
    <t>LESS: MONETIZATION 2024</t>
  </si>
  <si>
    <t>ADD: 08/1-31/2024</t>
  </si>
  <si>
    <t>LESS: 09/06/2024</t>
  </si>
  <si>
    <t>LESS: 10/01/2024</t>
  </si>
  <si>
    <t>ADD: 09/1-30/2024</t>
  </si>
  <si>
    <t>LESS: 10/15-16/2024</t>
  </si>
  <si>
    <t>LESS: 10/18 &amp; 21/2024</t>
  </si>
  <si>
    <t>ADD: 10/1/2024-12/31/2024</t>
  </si>
  <si>
    <t>LESS: 01/15/2025</t>
  </si>
  <si>
    <t>ADD: 01/1/2025-03/31/2025</t>
  </si>
  <si>
    <t>LESS: 04/21-22/2025</t>
  </si>
  <si>
    <t>LESS: 04/29-30/2025</t>
  </si>
  <si>
    <t>ADD: 04/1-30/2025</t>
  </si>
  <si>
    <t>LESS: 04/28/2025</t>
  </si>
  <si>
    <t>LESS: 05/2/2025</t>
  </si>
  <si>
    <t>LESS: 05/5-7/2025</t>
  </si>
  <si>
    <t>LESS: 05/26-27/2025</t>
  </si>
  <si>
    <t>ADD: 05/1-31/2025</t>
  </si>
  <si>
    <t>LESS: 06/11/2025</t>
  </si>
  <si>
    <t>ADD: 06/1/2025-07/31/2025</t>
  </si>
  <si>
    <t>LESS: 08/5-6/2025</t>
  </si>
  <si>
    <t>ADD: 08/1-31/2025</t>
  </si>
  <si>
    <t>LESS: 08/27-29/2025</t>
  </si>
  <si>
    <t>LESS: 10/13-14/2025</t>
  </si>
  <si>
    <t>ADD: 09/1/2025-10/31/2025</t>
  </si>
  <si>
    <t>LESS: 11/7/2025</t>
  </si>
  <si>
    <t>LESS: 11/27-28/2025</t>
  </si>
  <si>
    <t>ADD: 11/1-30/2025</t>
  </si>
  <si>
    <t>LESS: 11/26/2025</t>
  </si>
  <si>
    <t>REGION VI-WESTERN VISAYAS</t>
  </si>
  <si>
    <t>ADD: 01/1/2008-05/31/2005</t>
  </si>
  <si>
    <t>SPECIAL PRIVILEGE LEAVE</t>
  </si>
  <si>
    <t>BALANCE FORWARDED AS OF JULY 15, 2019</t>
  </si>
  <si>
    <t>ADD: 07/16/2019 - 07/31/2019</t>
  </si>
  <si>
    <t>ADD: 08/01/2019 - 12/31/2019</t>
  </si>
  <si>
    <t>ADD:01/01/2020 - 12/31/2020</t>
  </si>
  <si>
    <t>ADD:01/01/2021 - 12/31/2021</t>
  </si>
  <si>
    <t>ADD: 01/01/23 - 04/30/23</t>
  </si>
  <si>
    <t>ADD: 05/01/23 - 08/31/23</t>
  </si>
  <si>
    <t>Certified Correct:</t>
  </si>
  <si>
    <t>MA. LUISA B. CATIGAN</t>
  </si>
  <si>
    <t>Administrative Officer IV</t>
  </si>
  <si>
    <t>HRMO</t>
  </si>
  <si>
    <t>COMPENSATORY TIME OFF (CTO)</t>
  </si>
  <si>
    <t>Special Order No. and Date Issued</t>
  </si>
  <si>
    <t>No. of Days Granted</t>
  </si>
  <si>
    <t>No. of Days Used</t>
  </si>
  <si>
    <t>Balance</t>
  </si>
  <si>
    <t>ADD: APRIL 18, 2023</t>
  </si>
  <si>
    <t>S.O. # 052, S. 2023. PALARONG PANLALAWIGAN 2023</t>
  </si>
  <si>
    <t>LESS: 05/29/23</t>
  </si>
  <si>
    <t>ADD: 05/20/2024</t>
  </si>
  <si>
    <t>S.O. # 015, S. 2024. PALARONG PANLALAWIGAN 2024</t>
  </si>
  <si>
    <t>LESS: 08/02/2024</t>
  </si>
  <si>
    <t>LESS: 08/19/2024</t>
  </si>
  <si>
    <t>LESS: 08/27/2024</t>
  </si>
  <si>
    <t>ADD: 10/11/2023</t>
  </si>
  <si>
    <t>S.O. # 084, S. 2023. CAPACITY BLDG. ON THE IMPLEMENTATION OF NLC</t>
  </si>
  <si>
    <t>LESS: 08/29/2024</t>
  </si>
  <si>
    <t>ADD: 10/17/2023</t>
  </si>
  <si>
    <t>S.O. # 159, S. 2023. 125TH PHILIPPINE INDEPENDENCE DAY CELEBRATION</t>
  </si>
  <si>
    <t>LESS: 08/30/2024</t>
  </si>
  <si>
    <t>NOTE:  Valid for one (1) year only</t>
  </si>
  <si>
    <t>ADD: 12/1-31/2025</t>
  </si>
  <si>
    <t>LESS: 01/19-23/2026</t>
  </si>
  <si>
    <t>LESS: 01/14-16/2026</t>
  </si>
  <si>
    <t>LESS: 01/9, 12, 13/2026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</si>
</sst>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u/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11" fillId="0" borderId="0"/>
  </cellStyleXfs>
  <cellXfs count="111">
    <xf numFmtId="0" fontId="0" fillId="0" borderId="0" xfId="0"/>
    <xf numFmtId="0" fontId="11" fillId="2" borderId="0" xfId="1" applyFill="1"/>
    <xf numFmtId="0" fontId="1" fillId="0" borderId="0" xfId="1" applyFont="1"/>
    <xf numFmtId="0" fontId="2" fillId="0" borderId="0" xfId="1" applyFont="1"/>
    <xf numFmtId="0" fontId="11" fillId="0" borderId="0" xfId="1"/>
    <xf numFmtId="0" fontId="3" fillId="2" borderId="0" xfId="1" applyFont="1" applyFill="1" applyAlignment="1">
      <alignment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0" xfId="1" applyFont="1" applyFill="1"/>
    <xf numFmtId="0" fontId="3" fillId="2" borderId="1" xfId="1" applyFont="1" applyFill="1" applyBorder="1" applyAlignment="1">
      <alignment vertical="center"/>
    </xf>
    <xf numFmtId="0" fontId="11" fillId="2" borderId="6" xfId="1" applyFill="1" applyBorder="1" applyAlignment="1">
      <alignment horizontal="center" vertical="center" wrapText="1"/>
    </xf>
    <xf numFmtId="0" fontId="11" fillId="0" borderId="6" xfId="1" applyBorder="1" applyAlignment="1">
      <alignment horizontal="center" vertical="center" wrapText="1"/>
    </xf>
    <xf numFmtId="0" fontId="11" fillId="2" borderId="0" xfId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11" fillId="0" borderId="0" xfId="1" applyAlignment="1">
      <alignment vertical="center"/>
    </xf>
    <xf numFmtId="0" fontId="11" fillId="2" borderId="0" xfId="1" applyFill="1" applyAlignment="1">
      <alignment horizontal="center"/>
    </xf>
    <xf numFmtId="0" fontId="11" fillId="2" borderId="12" xfId="1" applyFill="1" applyBorder="1" applyAlignment="1">
      <alignment horizontal="center" vertical="center" wrapText="1"/>
    </xf>
    <xf numFmtId="0" fontId="11" fillId="6" borderId="12" xfId="1" applyFill="1" applyBorder="1" applyAlignment="1">
      <alignment horizontal="center" vertical="center" wrapText="1"/>
    </xf>
    <xf numFmtId="0" fontId="11" fillId="0" borderId="12" xfId="1" applyBorder="1" applyAlignment="1">
      <alignment horizontal="center" vertical="center" wrapText="1"/>
    </xf>
    <xf numFmtId="0" fontId="11" fillId="0" borderId="0" xfId="1" applyAlignment="1">
      <alignment horizontal="center" vertical="center" wrapText="1"/>
    </xf>
    <xf numFmtId="0" fontId="7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8" fillId="0" borderId="0" xfId="0" applyFont="1"/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15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164" fontId="0" fillId="2" borderId="15" xfId="0" applyNumberFormat="1" applyFill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64" fontId="0" fillId="2" borderId="9" xfId="0" applyNumberForma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5" xfId="0" applyBorder="1" applyAlignment="1">
      <alignment horizontal="center"/>
    </xf>
    <xf numFmtId="164" fontId="0" fillId="2" borderId="15" xfId="0" applyNumberForma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5" xfId="0" applyBorder="1"/>
    <xf numFmtId="164" fontId="0" fillId="0" borderId="15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164" fontId="0" fillId="2" borderId="12" xfId="0" applyNumberFormat="1" applyFill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2" borderId="20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64" fontId="0" fillId="0" borderId="21" xfId="0" applyNumberFormat="1" applyBorder="1" applyAlignment="1">
      <alignment horizontal="center" vertical="center"/>
    </xf>
    <xf numFmtId="164" fontId="0" fillId="2" borderId="21" xfId="0" applyNumberFormat="1" applyFill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164" fontId="0" fillId="0" borderId="22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2" borderId="11" xfId="0" applyNumberForma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0" fillId="6" borderId="15" xfId="0" applyFill="1" applyBorder="1" applyAlignment="1">
      <alignment horizontal="center" vertical="center"/>
    </xf>
    <xf numFmtId="164" fontId="0" fillId="6" borderId="15" xfId="0" applyNumberForma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0" fontId="8" fillId="0" borderId="1" xfId="0" applyFont="1" applyBorder="1"/>
    <xf numFmtId="0" fontId="0" fillId="0" borderId="2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4" fontId="0" fillId="0" borderId="15" xfId="0" applyNumberFormat="1" applyBorder="1" applyAlignment="1">
      <alignment horizontal="center" vertical="center"/>
    </xf>
    <xf numFmtId="164" fontId="0" fillId="12" borderId="15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19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3" fillId="7" borderId="24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/>
    </xf>
    <xf numFmtId="0" fontId="3" fillId="10" borderId="13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11" fillId="2" borderId="0" xfId="1" applyFill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horizontal="center" vertical="center" wrapText="1"/>
    </xf>
    <xf numFmtId="0" fontId="6" fillId="5" borderId="9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9" xfId="1" applyFont="1" applyFill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center"/>
    </xf>
    <xf numFmtId="0" fontId="11" fillId="0" borderId="0" xfId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10" xfId="1" applyFont="1" applyFill="1" applyBorder="1" applyAlignment="1">
      <alignment horizontal="center" vertical="center"/>
    </xf>
    <xf numFmtId="0" fontId="5" fillId="3" borderId="11" xfId="1" applyFont="1" applyFill="1" applyBorder="1" applyAlignment="1">
      <alignment horizontal="center" vertical="center"/>
    </xf>
    <xf numFmtId="164" fontId="0" fillId="0" borderId="15" xfId="0" applyNumberFormat="1" applyFill="1" applyBorder="1" applyAlignment="1">
      <alignment horizontal="center" vertical="center"/>
    </xf>
  </cellXfs>
  <cellStyles count="2">
    <cellStyle name="Normal" xfId="0" builtinId="0"/>
    <cellStyle name="Normal 2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94530" y="24765"/>
          <a:ext cx="619760" cy="64198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73405" y="1376045"/>
          <a:ext cx="1983740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PERALTA, ROLANDO B.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16585" y="1725930"/>
          <a:ext cx="1940560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HT I to PSDS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3765550" y="1707515"/>
          <a:ext cx="177673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SDO-CID</a:t>
          </a:r>
        </a:p>
      </xdr:txBody>
    </xdr:sp>
    <xdr:clientData/>
  </xdr:twoCellAnchor>
  <xdr:twoCellAnchor>
    <xdr:from>
      <xdr:col>5</xdr:col>
      <xdr:colOff>356437</xdr:colOff>
      <xdr:row>144</xdr:row>
      <xdr:rowOff>35942</xdr:rowOff>
    </xdr:from>
    <xdr:to>
      <xdr:col>9</xdr:col>
      <xdr:colOff>681028</xdr:colOff>
      <xdr:row>149</xdr:row>
      <xdr:rowOff>152758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936649" y="26023017"/>
          <a:ext cx="3415723" cy="106033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82795" y="24765"/>
          <a:ext cx="619760" cy="64198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73405" y="1376045"/>
          <a:ext cx="2009140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PERALTA, ROLANDO B.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616585" y="1725930"/>
          <a:ext cx="200850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HT I to PSDS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3853815" y="1707515"/>
          <a:ext cx="177673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SDO-CID</a:t>
          </a:r>
        </a:p>
      </xdr:txBody>
    </xdr:sp>
    <xdr:clientData/>
  </xdr:twoCellAnchor>
  <xdr:twoCellAnchor>
    <xdr:from>
      <xdr:col>5</xdr:col>
      <xdr:colOff>347452</xdr:colOff>
      <xdr:row>127</xdr:row>
      <xdr:rowOff>53914</xdr:rowOff>
    </xdr:from>
    <xdr:to>
      <xdr:col>9</xdr:col>
      <xdr:colOff>672043</xdr:colOff>
      <xdr:row>132</xdr:row>
      <xdr:rowOff>170731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6167755" y="23035260"/>
          <a:ext cx="3499485" cy="10312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174626</xdr:colOff>
      <xdr:row>0</xdr:row>
      <xdr:rowOff>88900</xdr:rowOff>
    </xdr:from>
    <xdr:to>
      <xdr:col>4</xdr:col>
      <xdr:colOff>225555</xdr:colOff>
      <xdr:row>0</xdr:row>
      <xdr:rowOff>619125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85640" y="88900"/>
          <a:ext cx="844550" cy="5302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573405" y="1376045"/>
          <a:ext cx="2009140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PERALTA, ROLANDO B.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616585" y="1725930"/>
          <a:ext cx="200850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PSDS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3931920" y="1707515"/>
          <a:ext cx="177673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 - SDO SIPALAY CITY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62365</xdr:colOff>
      <xdr:row>0</xdr:row>
      <xdr:rowOff>40369</xdr:rowOff>
    </xdr:from>
    <xdr:to>
      <xdr:col>5</xdr:col>
      <xdr:colOff>154213</xdr:colOff>
      <xdr:row>0</xdr:row>
      <xdr:rowOff>657678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57345" y="40005"/>
          <a:ext cx="688975" cy="61722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573405" y="1376045"/>
          <a:ext cx="2326640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PERALTA, ROLANDO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654050" y="1684020"/>
          <a:ext cx="10668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PSDS</a:t>
          </a:r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4023995" y="1706880"/>
          <a:ext cx="1131570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44"/>
  <sheetViews>
    <sheetView tabSelected="1" view="pageBreakPreview" topLeftCell="A125" zoomScale="106" zoomScaleNormal="100" workbookViewId="0">
      <selection activeCell="A142" sqref="A142:XFD142"/>
    </sheetView>
  </sheetViews>
  <sheetFormatPr defaultColWidth="9" defaultRowHeight="15"/>
  <cols>
    <col min="1" max="1" width="37.28515625" customWidth="1"/>
    <col min="2" max="5" width="11.5703125" customWidth="1"/>
    <col min="6" max="7" width="11.5703125" style="47" customWidth="1"/>
    <col min="8" max="10" width="11.5703125" customWidth="1"/>
    <col min="11" max="11" width="26.42578125" style="23" customWidth="1"/>
  </cols>
  <sheetData>
    <row r="1" spans="1:11" s="21" customFormat="1" ht="52.5" customHeight="1"/>
    <row r="2" spans="1:11" s="21" customFormat="1" ht="10.5" customHeight="1">
      <c r="A2" s="72" t="s">
        <v>0</v>
      </c>
      <c r="B2" s="72"/>
      <c r="C2" s="72"/>
      <c r="D2" s="72"/>
      <c r="E2" s="72"/>
      <c r="F2" s="72"/>
      <c r="G2" s="72"/>
      <c r="H2" s="72"/>
      <c r="I2" s="72"/>
      <c r="J2" s="72"/>
    </row>
    <row r="3" spans="1:11" s="21" customFormat="1" ht="15.95" customHeight="1">
      <c r="A3" s="72" t="s">
        <v>1</v>
      </c>
      <c r="B3" s="72"/>
      <c r="C3" s="72"/>
      <c r="D3" s="72"/>
      <c r="E3" s="72"/>
      <c r="F3" s="72"/>
      <c r="G3" s="72"/>
      <c r="H3" s="72"/>
      <c r="I3" s="72"/>
      <c r="J3" s="72"/>
    </row>
    <row r="4" spans="1:11" s="21" customFormat="1" ht="15.95" customHeight="1">
      <c r="A4" s="72" t="s">
        <v>2</v>
      </c>
      <c r="B4" s="72"/>
      <c r="C4" s="72"/>
      <c r="D4" s="72"/>
      <c r="E4" s="72"/>
      <c r="F4" s="72"/>
      <c r="G4" s="72"/>
      <c r="H4" s="72"/>
      <c r="I4" s="72"/>
      <c r="J4" s="72"/>
    </row>
    <row r="5" spans="1:11" s="21" customFormat="1" ht="15.95" customHeight="1">
      <c r="A5" s="72" t="s">
        <v>3</v>
      </c>
      <c r="B5" s="72"/>
      <c r="C5" s="72"/>
      <c r="D5" s="72"/>
      <c r="E5" s="72"/>
      <c r="F5" s="72"/>
      <c r="G5" s="72"/>
      <c r="H5" s="72"/>
      <c r="I5" s="72"/>
      <c r="J5" s="72"/>
    </row>
    <row r="6" spans="1:11" s="21" customFormat="1" ht="8.25" customHeight="1"/>
    <row r="7" spans="1:11" s="21" customFormat="1" ht="12" customHeight="1">
      <c r="A7" s="21" t="s">
        <v>4</v>
      </c>
      <c r="B7" s="73" t="s">
        <v>5</v>
      </c>
      <c r="C7" s="73"/>
      <c r="D7" s="73"/>
      <c r="H7" s="25" t="s">
        <v>6</v>
      </c>
      <c r="I7" s="39"/>
      <c r="J7" s="25"/>
    </row>
    <row r="8" spans="1:11" s="21" customFormat="1" ht="12" customHeight="1">
      <c r="B8" s="26"/>
      <c r="C8" s="26"/>
      <c r="H8" s="26"/>
      <c r="I8" s="26"/>
      <c r="J8" s="26"/>
    </row>
    <row r="9" spans="1:11" s="21" customFormat="1" ht="12" customHeight="1">
      <c r="A9" s="21" t="s">
        <v>7</v>
      </c>
      <c r="B9" s="73" t="s">
        <v>8</v>
      </c>
      <c r="C9" s="73"/>
      <c r="D9" s="73"/>
      <c r="H9" s="25" t="s">
        <v>9</v>
      </c>
      <c r="I9" s="40"/>
      <c r="J9" s="25"/>
    </row>
    <row r="10" spans="1:11" ht="23.25" customHeight="1">
      <c r="A10" s="74" t="s">
        <v>10</v>
      </c>
      <c r="B10" s="74"/>
      <c r="C10" s="74"/>
      <c r="D10" s="74"/>
      <c r="E10" s="74"/>
      <c r="F10" s="74"/>
      <c r="G10" s="74"/>
      <c r="H10" s="74"/>
      <c r="I10" s="74"/>
      <c r="J10" s="74"/>
      <c r="K10"/>
    </row>
    <row r="11" spans="1:11" ht="18.75" customHeight="1">
      <c r="A11" s="82" t="s">
        <v>11</v>
      </c>
      <c r="B11" s="75" t="s">
        <v>12</v>
      </c>
      <c r="C11" s="76"/>
      <c r="D11" s="77" t="s">
        <v>13</v>
      </c>
      <c r="E11" s="78"/>
      <c r="F11" s="78"/>
      <c r="G11" s="79"/>
      <c r="H11" s="80" t="s">
        <v>14</v>
      </c>
      <c r="I11" s="81"/>
      <c r="J11" s="84" t="s">
        <v>15</v>
      </c>
      <c r="K11" s="86" t="s">
        <v>16</v>
      </c>
    </row>
    <row r="12" spans="1:11" ht="18.75" customHeight="1">
      <c r="A12" s="83"/>
      <c r="B12" s="51" t="s">
        <v>17</v>
      </c>
      <c r="C12" s="51" t="s">
        <v>18</v>
      </c>
      <c r="D12" s="51" t="s">
        <v>17</v>
      </c>
      <c r="E12" s="51" t="s">
        <v>18</v>
      </c>
      <c r="F12" s="51" t="s">
        <v>19</v>
      </c>
      <c r="G12" s="51" t="s">
        <v>20</v>
      </c>
      <c r="H12" s="51" t="s">
        <v>17</v>
      </c>
      <c r="I12" s="51" t="s">
        <v>18</v>
      </c>
      <c r="J12" s="85"/>
      <c r="K12" s="86"/>
    </row>
    <row r="13" spans="1:11" ht="30.75" customHeight="1">
      <c r="A13" s="68" t="s">
        <v>21</v>
      </c>
      <c r="B13" s="53">
        <v>7.5</v>
      </c>
      <c r="C13" s="53">
        <v>7.5</v>
      </c>
      <c r="D13" s="53"/>
      <c r="E13" s="53"/>
      <c r="F13" s="53"/>
      <c r="G13" s="53"/>
      <c r="H13" s="54">
        <f>B13</f>
        <v>7.5</v>
      </c>
      <c r="I13" s="54">
        <f>C13</f>
        <v>7.5</v>
      </c>
      <c r="J13" s="54">
        <f>SUM(H13:I13)</f>
        <v>15</v>
      </c>
    </row>
    <row r="14" spans="1:11" ht="18" customHeight="1">
      <c r="A14" s="36" t="s">
        <v>22</v>
      </c>
      <c r="B14" s="38">
        <v>15</v>
      </c>
      <c r="C14" s="38">
        <v>15</v>
      </c>
      <c r="D14" s="38"/>
      <c r="E14" s="38"/>
      <c r="F14" s="38"/>
      <c r="G14" s="38"/>
      <c r="H14" s="30">
        <f>H13-F14-D14+B14</f>
        <v>22.5</v>
      </c>
      <c r="I14" s="30">
        <f>I13-E14+C14</f>
        <v>22.5</v>
      </c>
      <c r="J14" s="30">
        <f>SUM(H14:I14)</f>
        <v>45</v>
      </c>
    </row>
    <row r="15" spans="1:11" ht="15.75" customHeight="1">
      <c r="A15" s="36" t="s">
        <v>23</v>
      </c>
      <c r="B15" s="38"/>
      <c r="C15" s="38"/>
      <c r="D15" s="38">
        <v>11</v>
      </c>
      <c r="E15" s="38">
        <v>11</v>
      </c>
      <c r="F15" s="38"/>
      <c r="G15" s="38"/>
      <c r="H15" s="30">
        <f t="shared" ref="H15:H44" si="0">H14-F15-D15+B15</f>
        <v>11.5</v>
      </c>
      <c r="I15" s="30">
        <f t="shared" ref="I15:I44" si="1">I14-E15+C15</f>
        <v>11.5</v>
      </c>
      <c r="J15" s="30">
        <f t="shared" ref="J15:J44" si="2">SUM(H15:I15)</f>
        <v>23</v>
      </c>
    </row>
    <row r="16" spans="1:11" ht="12.75" customHeight="1">
      <c r="A16" s="36" t="s">
        <v>24</v>
      </c>
      <c r="B16" s="38"/>
      <c r="C16" s="38"/>
      <c r="D16" s="38"/>
      <c r="E16" s="38"/>
      <c r="F16" s="38">
        <v>5</v>
      </c>
      <c r="G16" s="38"/>
      <c r="H16" s="30">
        <f t="shared" si="0"/>
        <v>6.5</v>
      </c>
      <c r="I16" s="30">
        <f t="shared" si="1"/>
        <v>11.5</v>
      </c>
      <c r="J16" s="30">
        <f t="shared" si="2"/>
        <v>18</v>
      </c>
    </row>
    <row r="17" spans="1:10" ht="12.75" customHeight="1">
      <c r="A17" s="36" t="s">
        <v>25</v>
      </c>
      <c r="B17" s="38">
        <v>15</v>
      </c>
      <c r="C17" s="38">
        <v>15</v>
      </c>
      <c r="D17" s="38"/>
      <c r="E17" s="38"/>
      <c r="F17" s="38"/>
      <c r="G17" s="38"/>
      <c r="H17" s="30">
        <f t="shared" si="0"/>
        <v>21.5</v>
      </c>
      <c r="I17" s="30">
        <f t="shared" si="1"/>
        <v>26.5</v>
      </c>
      <c r="J17" s="30">
        <f t="shared" si="2"/>
        <v>48</v>
      </c>
    </row>
    <row r="18" spans="1:10" ht="12" customHeight="1">
      <c r="A18" s="36" t="s">
        <v>26</v>
      </c>
      <c r="B18" s="38"/>
      <c r="C18" s="38"/>
      <c r="D18" s="38">
        <v>12</v>
      </c>
      <c r="E18" s="38"/>
      <c r="F18" s="38"/>
      <c r="G18" s="38"/>
      <c r="H18" s="30">
        <f t="shared" si="0"/>
        <v>9.5</v>
      </c>
      <c r="I18" s="30">
        <f t="shared" si="1"/>
        <v>26.5</v>
      </c>
      <c r="J18" s="30">
        <f t="shared" si="2"/>
        <v>36</v>
      </c>
    </row>
    <row r="19" spans="1:10" ht="12" customHeight="1">
      <c r="A19" s="36" t="s">
        <v>27</v>
      </c>
      <c r="B19" s="38"/>
      <c r="C19" s="38"/>
      <c r="D19" s="38"/>
      <c r="E19" s="38"/>
      <c r="F19" s="38">
        <v>5</v>
      </c>
      <c r="G19" s="38"/>
      <c r="H19" s="30">
        <f t="shared" si="0"/>
        <v>4.5</v>
      </c>
      <c r="I19" s="30">
        <f t="shared" si="1"/>
        <v>26.5</v>
      </c>
      <c r="J19" s="30">
        <f t="shared" si="2"/>
        <v>31</v>
      </c>
    </row>
    <row r="20" spans="1:10" ht="12" customHeight="1">
      <c r="A20" s="36" t="s">
        <v>28</v>
      </c>
      <c r="B20" s="38">
        <v>15</v>
      </c>
      <c r="C20" s="38">
        <v>15</v>
      </c>
      <c r="D20" s="38"/>
      <c r="E20" s="38"/>
      <c r="F20" s="38"/>
      <c r="G20" s="38"/>
      <c r="H20" s="30">
        <f t="shared" si="0"/>
        <v>19.5</v>
      </c>
      <c r="I20" s="30">
        <f t="shared" si="1"/>
        <v>41.5</v>
      </c>
      <c r="J20" s="30">
        <f t="shared" si="2"/>
        <v>61</v>
      </c>
    </row>
    <row r="21" spans="1:10" ht="12" customHeight="1">
      <c r="A21" s="36" t="s">
        <v>29</v>
      </c>
      <c r="B21" s="38"/>
      <c r="C21" s="38"/>
      <c r="D21" s="38">
        <v>10</v>
      </c>
      <c r="E21" s="38">
        <v>20</v>
      </c>
      <c r="F21" s="38"/>
      <c r="G21" s="38"/>
      <c r="H21" s="30">
        <f t="shared" si="0"/>
        <v>9.5</v>
      </c>
      <c r="I21" s="30">
        <f t="shared" si="1"/>
        <v>21.5</v>
      </c>
      <c r="J21" s="30">
        <f t="shared" si="2"/>
        <v>31</v>
      </c>
    </row>
    <row r="22" spans="1:10" ht="12" customHeight="1">
      <c r="A22" s="36" t="s">
        <v>30</v>
      </c>
      <c r="B22" s="38"/>
      <c r="C22" s="38"/>
      <c r="D22" s="38"/>
      <c r="E22" s="38"/>
      <c r="F22" s="38">
        <v>5</v>
      </c>
      <c r="G22" s="38"/>
      <c r="H22" s="30">
        <f t="shared" si="0"/>
        <v>4.5</v>
      </c>
      <c r="I22" s="30">
        <f t="shared" si="1"/>
        <v>21.5</v>
      </c>
      <c r="J22" s="30">
        <f t="shared" si="2"/>
        <v>26</v>
      </c>
    </row>
    <row r="23" spans="1:10" ht="33" customHeight="1">
      <c r="A23" s="69" t="s">
        <v>31</v>
      </c>
      <c r="B23" s="38">
        <v>1.0860000000000001</v>
      </c>
      <c r="C23" s="38">
        <v>1.0860000000000001</v>
      </c>
      <c r="D23" s="38"/>
      <c r="E23" s="38"/>
      <c r="F23" s="38"/>
      <c r="G23" s="38"/>
      <c r="H23" s="30">
        <f t="shared" si="0"/>
        <v>5.5860000000000003</v>
      </c>
      <c r="I23" s="30">
        <f t="shared" si="1"/>
        <v>22.585999999999999</v>
      </c>
      <c r="J23" s="30">
        <f t="shared" si="2"/>
        <v>28.171999999999997</v>
      </c>
    </row>
    <row r="24" spans="1:10" ht="13.5" customHeight="1">
      <c r="A24" s="36" t="s">
        <v>32</v>
      </c>
      <c r="B24" s="38">
        <v>6.25</v>
      </c>
      <c r="C24" s="38">
        <v>6.25</v>
      </c>
      <c r="D24" s="38"/>
      <c r="E24" s="38"/>
      <c r="F24" s="38"/>
      <c r="G24" s="38"/>
      <c r="H24" s="30">
        <f t="shared" si="0"/>
        <v>11.836</v>
      </c>
      <c r="I24" s="30">
        <f t="shared" si="1"/>
        <v>28.835999999999999</v>
      </c>
      <c r="J24" s="30">
        <f t="shared" si="2"/>
        <v>40.671999999999997</v>
      </c>
    </row>
    <row r="25" spans="1:10" ht="12.75" customHeight="1">
      <c r="A25" s="36" t="s">
        <v>33</v>
      </c>
      <c r="B25" s="38"/>
      <c r="C25" s="38"/>
      <c r="D25" s="38"/>
      <c r="E25" s="38">
        <v>2</v>
      </c>
      <c r="F25" s="38"/>
      <c r="G25" s="38"/>
      <c r="H25" s="30">
        <f t="shared" si="0"/>
        <v>11.836</v>
      </c>
      <c r="I25" s="30">
        <f t="shared" si="1"/>
        <v>26.835999999999999</v>
      </c>
      <c r="J25" s="30">
        <f t="shared" si="2"/>
        <v>38.671999999999997</v>
      </c>
    </row>
    <row r="26" spans="1:10" ht="12" customHeight="1">
      <c r="A26" s="36" t="s">
        <v>34</v>
      </c>
      <c r="B26" s="38">
        <v>8.75</v>
      </c>
      <c r="C26" s="38">
        <v>8.75</v>
      </c>
      <c r="D26" s="38"/>
      <c r="E26" s="38"/>
      <c r="F26" s="38"/>
      <c r="G26" s="38"/>
      <c r="H26" s="30">
        <f t="shared" si="0"/>
        <v>20.585999999999999</v>
      </c>
      <c r="I26" s="30">
        <f t="shared" si="1"/>
        <v>35.585999999999999</v>
      </c>
      <c r="J26" s="30">
        <f t="shared" si="2"/>
        <v>56.171999999999997</v>
      </c>
    </row>
    <row r="27" spans="1:10" ht="12" customHeight="1">
      <c r="A27" s="36" t="s">
        <v>35</v>
      </c>
      <c r="B27" s="38"/>
      <c r="C27" s="38"/>
      <c r="D27" s="38">
        <v>10</v>
      </c>
      <c r="E27" s="38">
        <v>5</v>
      </c>
      <c r="F27" s="38"/>
      <c r="G27" s="38"/>
      <c r="H27" s="30">
        <f t="shared" si="0"/>
        <v>10.585999999999999</v>
      </c>
      <c r="I27" s="30">
        <f t="shared" si="1"/>
        <v>30.585999999999999</v>
      </c>
      <c r="J27" s="30">
        <f t="shared" si="2"/>
        <v>41.171999999999997</v>
      </c>
    </row>
    <row r="28" spans="1:10" ht="12" customHeight="1">
      <c r="A28" s="36" t="s">
        <v>36</v>
      </c>
      <c r="B28" s="38"/>
      <c r="C28" s="38"/>
      <c r="D28" s="38"/>
      <c r="E28" s="38">
        <v>15</v>
      </c>
      <c r="F28" s="38"/>
      <c r="G28" s="38"/>
      <c r="H28" s="30">
        <f t="shared" si="0"/>
        <v>10.585999999999999</v>
      </c>
      <c r="I28" s="30">
        <f t="shared" si="1"/>
        <v>15.585999999999999</v>
      </c>
      <c r="J28" s="30">
        <f t="shared" si="2"/>
        <v>26.171999999999997</v>
      </c>
    </row>
    <row r="29" spans="1:10" ht="12" customHeight="1">
      <c r="A29" s="36" t="s">
        <v>37</v>
      </c>
      <c r="B29" s="38"/>
      <c r="C29" s="38"/>
      <c r="D29" s="38"/>
      <c r="E29" s="38"/>
      <c r="F29" s="38">
        <v>5</v>
      </c>
      <c r="G29" s="38"/>
      <c r="H29" s="30">
        <f t="shared" si="0"/>
        <v>5.5859999999999985</v>
      </c>
      <c r="I29" s="30">
        <f t="shared" si="1"/>
        <v>15.585999999999999</v>
      </c>
      <c r="J29" s="30">
        <f t="shared" si="2"/>
        <v>21.171999999999997</v>
      </c>
    </row>
    <row r="30" spans="1:10" ht="16.5" customHeight="1">
      <c r="A30" s="69" t="s">
        <v>38</v>
      </c>
      <c r="B30" s="38">
        <v>11.25</v>
      </c>
      <c r="C30" s="38">
        <v>11.25</v>
      </c>
      <c r="D30" s="38"/>
      <c r="E30" s="38"/>
      <c r="F30" s="38"/>
      <c r="G30" s="38"/>
      <c r="H30" s="30">
        <f t="shared" si="0"/>
        <v>16.835999999999999</v>
      </c>
      <c r="I30" s="30">
        <f t="shared" si="1"/>
        <v>26.835999999999999</v>
      </c>
      <c r="J30" s="30">
        <f t="shared" si="2"/>
        <v>43.671999999999997</v>
      </c>
    </row>
    <row r="31" spans="1:10" ht="18" customHeight="1">
      <c r="A31" s="70" t="s">
        <v>39</v>
      </c>
      <c r="B31" s="38"/>
      <c r="C31" s="38"/>
      <c r="D31" s="38">
        <v>10</v>
      </c>
      <c r="E31" s="38">
        <v>20</v>
      </c>
      <c r="F31" s="38"/>
      <c r="G31" s="38"/>
      <c r="H31" s="30">
        <f t="shared" si="0"/>
        <v>6.8359999999999985</v>
      </c>
      <c r="I31" s="30">
        <f t="shared" si="1"/>
        <v>6.8359999999999985</v>
      </c>
      <c r="J31" s="30">
        <f t="shared" si="2"/>
        <v>13.671999999999997</v>
      </c>
    </row>
    <row r="32" spans="1:10" ht="13.5" customHeight="1">
      <c r="A32" s="70" t="s">
        <v>40</v>
      </c>
      <c r="B32" s="38">
        <v>3.75</v>
      </c>
      <c r="C32" s="38">
        <v>3.75</v>
      </c>
      <c r="D32" s="38"/>
      <c r="E32" s="38"/>
      <c r="F32" s="38"/>
      <c r="G32" s="38"/>
      <c r="H32" s="30">
        <f t="shared" si="0"/>
        <v>10.585999999999999</v>
      </c>
      <c r="I32" s="30">
        <f t="shared" si="1"/>
        <v>10.585999999999999</v>
      </c>
      <c r="J32" s="30">
        <f t="shared" si="2"/>
        <v>21.171999999999997</v>
      </c>
    </row>
    <row r="33" spans="1:11" ht="16.5" customHeight="1">
      <c r="A33" s="36" t="s">
        <v>41</v>
      </c>
      <c r="B33" s="38"/>
      <c r="C33" s="38"/>
      <c r="D33" s="38"/>
      <c r="E33" s="38"/>
      <c r="F33" s="38">
        <v>5</v>
      </c>
      <c r="G33" s="38"/>
      <c r="H33" s="30">
        <f t="shared" si="0"/>
        <v>5.5859999999999985</v>
      </c>
      <c r="I33" s="30">
        <f t="shared" si="1"/>
        <v>10.585999999999999</v>
      </c>
      <c r="J33" s="30">
        <f t="shared" si="2"/>
        <v>16.171999999999997</v>
      </c>
    </row>
    <row r="34" spans="1:11" ht="15.75" customHeight="1">
      <c r="A34" s="36" t="s">
        <v>42</v>
      </c>
      <c r="B34" s="38">
        <v>15</v>
      </c>
      <c r="C34" s="38">
        <v>15</v>
      </c>
      <c r="D34" s="38"/>
      <c r="E34" s="38"/>
      <c r="F34" s="38"/>
      <c r="G34" s="38"/>
      <c r="H34" s="30">
        <f t="shared" si="0"/>
        <v>20.585999999999999</v>
      </c>
      <c r="I34" s="30">
        <f t="shared" si="1"/>
        <v>25.585999999999999</v>
      </c>
      <c r="J34" s="30">
        <f t="shared" si="2"/>
        <v>46.171999999999997</v>
      </c>
    </row>
    <row r="35" spans="1:11" ht="14.25" customHeight="1">
      <c r="A35" s="36" t="s">
        <v>43</v>
      </c>
      <c r="B35" s="38"/>
      <c r="C35" s="38"/>
      <c r="D35" s="38">
        <v>10</v>
      </c>
      <c r="E35" s="38">
        <v>20</v>
      </c>
      <c r="F35" s="38"/>
      <c r="G35" s="38"/>
      <c r="H35" s="30">
        <f t="shared" si="0"/>
        <v>10.585999999999999</v>
      </c>
      <c r="I35" s="30">
        <f t="shared" si="1"/>
        <v>5.5859999999999985</v>
      </c>
      <c r="J35" s="30">
        <f t="shared" si="2"/>
        <v>16.171999999999997</v>
      </c>
    </row>
    <row r="36" spans="1:11" ht="15" customHeight="1">
      <c r="A36" s="36" t="s">
        <v>44</v>
      </c>
      <c r="B36" s="38"/>
      <c r="C36" s="38"/>
      <c r="D36" s="38"/>
      <c r="E36" s="38"/>
      <c r="F36" s="38">
        <v>5</v>
      </c>
      <c r="G36" s="38"/>
      <c r="H36" s="30">
        <f t="shared" si="0"/>
        <v>5.5859999999999985</v>
      </c>
      <c r="I36" s="30">
        <f t="shared" si="1"/>
        <v>5.5859999999999985</v>
      </c>
      <c r="J36" s="30">
        <f t="shared" si="2"/>
        <v>11.171999999999997</v>
      </c>
    </row>
    <row r="37" spans="1:11" ht="18" customHeight="1">
      <c r="A37" s="36" t="s">
        <v>45</v>
      </c>
      <c r="B37" s="38">
        <v>7.5</v>
      </c>
      <c r="C37" s="38">
        <v>7.5</v>
      </c>
      <c r="D37" s="38"/>
      <c r="E37" s="38"/>
      <c r="F37" s="38"/>
      <c r="G37" s="38"/>
      <c r="H37" s="30">
        <f t="shared" si="0"/>
        <v>13.085999999999999</v>
      </c>
      <c r="I37" s="30">
        <f t="shared" si="1"/>
        <v>13.085999999999999</v>
      </c>
      <c r="J37" s="30">
        <f t="shared" si="2"/>
        <v>26.171999999999997</v>
      </c>
    </row>
    <row r="38" spans="1:11" ht="15" customHeight="1">
      <c r="A38" s="36" t="s">
        <v>46</v>
      </c>
      <c r="B38" s="38"/>
      <c r="C38" s="38"/>
      <c r="D38" s="38"/>
      <c r="E38" s="38"/>
      <c r="F38" s="38">
        <v>2.5</v>
      </c>
      <c r="G38" s="38"/>
      <c r="H38" s="30">
        <f t="shared" si="0"/>
        <v>10.585999999999999</v>
      </c>
      <c r="I38" s="30">
        <f t="shared" si="1"/>
        <v>13.085999999999999</v>
      </c>
      <c r="J38" s="30">
        <f t="shared" si="2"/>
        <v>23.671999999999997</v>
      </c>
    </row>
    <row r="39" spans="1:11" s="50" customFormat="1" ht="13.5" customHeight="1">
      <c r="A39" s="36" t="s">
        <v>47</v>
      </c>
      <c r="B39" s="38">
        <v>7.5</v>
      </c>
      <c r="C39" s="38">
        <v>7.5</v>
      </c>
      <c r="D39" s="38"/>
      <c r="E39" s="38"/>
      <c r="F39" s="38"/>
      <c r="G39" s="38"/>
      <c r="H39" s="30">
        <f t="shared" si="0"/>
        <v>18.085999999999999</v>
      </c>
      <c r="I39" s="30">
        <f t="shared" si="1"/>
        <v>20.585999999999999</v>
      </c>
      <c r="J39" s="30">
        <f t="shared" si="2"/>
        <v>38.671999999999997</v>
      </c>
      <c r="K39" s="61"/>
    </row>
    <row r="40" spans="1:11" s="50" customFormat="1" ht="12" customHeight="1">
      <c r="A40" s="36" t="s">
        <v>48</v>
      </c>
      <c r="B40" s="38"/>
      <c r="C40" s="38"/>
      <c r="D40" s="38"/>
      <c r="E40" s="38"/>
      <c r="F40" s="38">
        <v>2.5</v>
      </c>
      <c r="G40" s="38"/>
      <c r="H40" s="30">
        <f t="shared" si="0"/>
        <v>15.585999999999999</v>
      </c>
      <c r="I40" s="30">
        <f t="shared" si="1"/>
        <v>20.585999999999999</v>
      </c>
      <c r="J40" s="30">
        <f t="shared" si="2"/>
        <v>36.171999999999997</v>
      </c>
      <c r="K40" s="61"/>
    </row>
    <row r="41" spans="1:11" s="50" customFormat="1" ht="12.75" customHeight="1">
      <c r="A41" s="36" t="s">
        <v>49</v>
      </c>
      <c r="B41" s="38">
        <v>45</v>
      </c>
      <c r="C41" s="38">
        <v>45</v>
      </c>
      <c r="D41" s="38"/>
      <c r="E41" s="38"/>
      <c r="F41" s="38"/>
      <c r="G41" s="38"/>
      <c r="H41" s="30">
        <f t="shared" si="0"/>
        <v>60.585999999999999</v>
      </c>
      <c r="I41" s="30">
        <f t="shared" si="1"/>
        <v>65.585999999999999</v>
      </c>
      <c r="J41" s="30">
        <f t="shared" si="2"/>
        <v>126.172</v>
      </c>
      <c r="K41" s="61"/>
    </row>
    <row r="42" spans="1:11" ht="15.75" customHeight="1">
      <c r="A42" s="36" t="s">
        <v>50</v>
      </c>
      <c r="B42" s="38"/>
      <c r="C42" s="38"/>
      <c r="D42" s="38"/>
      <c r="E42" s="38"/>
      <c r="F42" s="38">
        <v>15</v>
      </c>
      <c r="G42" s="38"/>
      <c r="H42" s="30">
        <f t="shared" si="0"/>
        <v>45.585999999999999</v>
      </c>
      <c r="I42" s="30">
        <f t="shared" si="1"/>
        <v>65.585999999999999</v>
      </c>
      <c r="J42" s="30">
        <f t="shared" si="2"/>
        <v>111.172</v>
      </c>
    </row>
    <row r="43" spans="1:11" ht="15.75" customHeight="1">
      <c r="A43" s="36" t="s">
        <v>51</v>
      </c>
      <c r="B43" s="38"/>
      <c r="C43" s="38"/>
      <c r="D43" s="38">
        <v>10</v>
      </c>
      <c r="E43" s="38"/>
      <c r="F43" s="38"/>
      <c r="G43" s="38"/>
      <c r="H43" s="30">
        <f t="shared" si="0"/>
        <v>35.585999999999999</v>
      </c>
      <c r="I43" s="30">
        <f t="shared" si="1"/>
        <v>65.585999999999999</v>
      </c>
      <c r="J43" s="30">
        <f t="shared" si="2"/>
        <v>101.172</v>
      </c>
    </row>
    <row r="44" spans="1:11" s="50" customFormat="1" ht="16.5" customHeight="1">
      <c r="A44" s="36" t="s">
        <v>52</v>
      </c>
      <c r="B44" s="38">
        <v>15</v>
      </c>
      <c r="C44" s="38">
        <v>15</v>
      </c>
      <c r="D44" s="38"/>
      <c r="E44" s="38"/>
      <c r="F44" s="38"/>
      <c r="G44" s="38"/>
      <c r="H44" s="30">
        <f t="shared" si="0"/>
        <v>50.585999999999999</v>
      </c>
      <c r="I44" s="30">
        <f t="shared" si="1"/>
        <v>80.585999999999999</v>
      </c>
      <c r="J44" s="30">
        <f t="shared" si="2"/>
        <v>131.172</v>
      </c>
      <c r="K44" s="61"/>
    </row>
    <row r="45" spans="1:11" s="50" customFormat="1" ht="14.25" customHeight="1">
      <c r="A45" s="36" t="s">
        <v>53</v>
      </c>
      <c r="B45" s="38"/>
      <c r="C45" s="38"/>
      <c r="D45" s="38">
        <v>10</v>
      </c>
      <c r="E45" s="38"/>
      <c r="F45" s="38"/>
      <c r="G45" s="38"/>
      <c r="H45" s="30">
        <f t="shared" ref="H45:H62" si="3">H44-F45-D45+B45</f>
        <v>40.585999999999999</v>
      </c>
      <c r="I45" s="30">
        <f t="shared" ref="I45:I62" si="4">I44-E45+C45</f>
        <v>80.585999999999999</v>
      </c>
      <c r="J45" s="30">
        <f t="shared" ref="J45:J62" si="5">SUM(H45:I45)</f>
        <v>121.172</v>
      </c>
      <c r="K45" s="61"/>
    </row>
    <row r="46" spans="1:11" ht="15.75" customHeight="1">
      <c r="A46" s="36" t="s">
        <v>54</v>
      </c>
      <c r="B46" s="38"/>
      <c r="C46" s="38"/>
      <c r="D46" s="38"/>
      <c r="E46" s="38"/>
      <c r="F46" s="38">
        <v>5</v>
      </c>
      <c r="G46" s="38"/>
      <c r="H46" s="30">
        <f t="shared" si="3"/>
        <v>35.585999999999999</v>
      </c>
      <c r="I46" s="30">
        <f t="shared" si="4"/>
        <v>80.585999999999999</v>
      </c>
      <c r="J46" s="30">
        <f t="shared" si="5"/>
        <v>116.172</v>
      </c>
    </row>
    <row r="47" spans="1:11" ht="16.5" customHeight="1">
      <c r="A47" s="36" t="s">
        <v>55</v>
      </c>
      <c r="B47" s="38">
        <v>15</v>
      </c>
      <c r="C47" s="38">
        <v>15</v>
      </c>
      <c r="D47" s="38"/>
      <c r="E47" s="38"/>
      <c r="F47" s="38"/>
      <c r="G47" s="38"/>
      <c r="H47" s="30">
        <f t="shared" si="3"/>
        <v>50.585999999999999</v>
      </c>
      <c r="I47" s="30">
        <f t="shared" si="4"/>
        <v>95.585999999999999</v>
      </c>
      <c r="J47" s="30">
        <f t="shared" si="5"/>
        <v>146.172</v>
      </c>
    </row>
    <row r="48" spans="1:11" ht="17.25" customHeight="1">
      <c r="A48" s="36" t="s">
        <v>56</v>
      </c>
      <c r="B48" s="38"/>
      <c r="C48" s="38"/>
      <c r="D48" s="38"/>
      <c r="E48" s="38"/>
      <c r="F48" s="38">
        <v>5</v>
      </c>
      <c r="G48" s="38"/>
      <c r="H48" s="30">
        <f t="shared" si="3"/>
        <v>45.585999999999999</v>
      </c>
      <c r="I48" s="30">
        <f t="shared" si="4"/>
        <v>95.585999999999999</v>
      </c>
      <c r="J48" s="30">
        <f t="shared" si="5"/>
        <v>141.172</v>
      </c>
    </row>
    <row r="49" spans="1:10" ht="14.25" customHeight="1">
      <c r="A49" s="36" t="s">
        <v>57</v>
      </c>
      <c r="B49" s="38">
        <v>13.75</v>
      </c>
      <c r="C49" s="38">
        <v>13.75</v>
      </c>
      <c r="D49" s="38"/>
      <c r="E49" s="38"/>
      <c r="F49" s="38"/>
      <c r="G49" s="38"/>
      <c r="H49" s="30">
        <f t="shared" si="3"/>
        <v>59.335999999999999</v>
      </c>
      <c r="I49" s="30">
        <f t="shared" si="4"/>
        <v>109.336</v>
      </c>
      <c r="J49" s="30">
        <f t="shared" si="5"/>
        <v>168.672</v>
      </c>
    </row>
    <row r="50" spans="1:10" ht="16.5" customHeight="1">
      <c r="A50" s="36" t="s">
        <v>58</v>
      </c>
      <c r="B50" s="38"/>
      <c r="C50" s="38"/>
      <c r="D50" s="38">
        <v>15</v>
      </c>
      <c r="E50" s="38"/>
      <c r="F50" s="38"/>
      <c r="G50" s="38"/>
      <c r="H50" s="30">
        <f t="shared" si="3"/>
        <v>44.335999999999999</v>
      </c>
      <c r="I50" s="30">
        <f t="shared" si="4"/>
        <v>109.336</v>
      </c>
      <c r="J50" s="30">
        <f t="shared" si="5"/>
        <v>153.672</v>
      </c>
    </row>
    <row r="51" spans="1:10" ht="12" customHeight="1">
      <c r="A51" s="36" t="s">
        <v>59</v>
      </c>
      <c r="B51" s="38">
        <v>1.25</v>
      </c>
      <c r="C51" s="38">
        <v>1.25</v>
      </c>
      <c r="D51" s="38"/>
      <c r="E51" s="38"/>
      <c r="F51" s="38"/>
      <c r="G51" s="38"/>
      <c r="H51" s="30">
        <f t="shared" si="3"/>
        <v>45.585999999999999</v>
      </c>
      <c r="I51" s="30">
        <f t="shared" si="4"/>
        <v>110.586</v>
      </c>
      <c r="J51" s="30">
        <f t="shared" si="5"/>
        <v>156.172</v>
      </c>
    </row>
    <row r="52" spans="1:10" ht="16.5" customHeight="1">
      <c r="A52" s="36" t="s">
        <v>60</v>
      </c>
      <c r="B52" s="38"/>
      <c r="C52" s="38"/>
      <c r="D52" s="38"/>
      <c r="E52" s="38"/>
      <c r="F52" s="38">
        <v>5</v>
      </c>
      <c r="G52" s="38"/>
      <c r="H52" s="30">
        <f t="shared" si="3"/>
        <v>40.585999999999999</v>
      </c>
      <c r="I52" s="30">
        <f t="shared" si="4"/>
        <v>110.586</v>
      </c>
      <c r="J52" s="30">
        <f t="shared" si="5"/>
        <v>151.172</v>
      </c>
    </row>
    <row r="53" spans="1:10" ht="14.25" customHeight="1">
      <c r="A53" s="36" t="s">
        <v>61</v>
      </c>
      <c r="B53" s="38">
        <v>7.5</v>
      </c>
      <c r="C53" s="38">
        <v>7.5</v>
      </c>
      <c r="D53" s="38"/>
      <c r="E53" s="38"/>
      <c r="F53" s="38"/>
      <c r="G53" s="38"/>
      <c r="H53" s="30">
        <f t="shared" si="3"/>
        <v>48.085999999999999</v>
      </c>
      <c r="I53" s="30">
        <f t="shared" si="4"/>
        <v>118.086</v>
      </c>
      <c r="J53" s="30">
        <f t="shared" si="5"/>
        <v>166.172</v>
      </c>
    </row>
    <row r="54" spans="1:10" ht="16.5" customHeight="1">
      <c r="A54" s="36" t="s">
        <v>62</v>
      </c>
      <c r="B54" s="38"/>
      <c r="C54" s="38"/>
      <c r="D54" s="38">
        <v>29</v>
      </c>
      <c r="E54" s="38"/>
      <c r="F54" s="38"/>
      <c r="G54" s="38"/>
      <c r="H54" s="30">
        <f t="shared" si="3"/>
        <v>19.085999999999999</v>
      </c>
      <c r="I54" s="30">
        <f t="shared" si="4"/>
        <v>118.086</v>
      </c>
      <c r="J54" s="30">
        <f t="shared" si="5"/>
        <v>137.172</v>
      </c>
    </row>
    <row r="55" spans="1:10" ht="15.75" customHeight="1">
      <c r="A55" s="36" t="s">
        <v>63</v>
      </c>
      <c r="B55" s="38">
        <v>2.5</v>
      </c>
      <c r="C55" s="38">
        <v>2.5</v>
      </c>
      <c r="D55" s="38"/>
      <c r="E55" s="38"/>
      <c r="F55" s="38"/>
      <c r="G55" s="38"/>
      <c r="H55" s="30">
        <f t="shared" si="3"/>
        <v>21.585999999999999</v>
      </c>
      <c r="I55" s="30">
        <f t="shared" si="4"/>
        <v>120.586</v>
      </c>
      <c r="J55" s="30">
        <f t="shared" si="5"/>
        <v>142.172</v>
      </c>
    </row>
    <row r="56" spans="1:10" ht="16.5" customHeight="1">
      <c r="A56" s="36" t="s">
        <v>64</v>
      </c>
      <c r="B56" s="38"/>
      <c r="C56" s="38"/>
      <c r="D56" s="38"/>
      <c r="E56" s="38"/>
      <c r="F56" s="38">
        <v>5</v>
      </c>
      <c r="G56" s="38"/>
      <c r="H56" s="30">
        <f t="shared" si="3"/>
        <v>16.585999999999999</v>
      </c>
      <c r="I56" s="30">
        <f t="shared" si="4"/>
        <v>120.586</v>
      </c>
      <c r="J56" s="30">
        <f t="shared" si="5"/>
        <v>137.172</v>
      </c>
    </row>
    <row r="57" spans="1:10" ht="14.25" customHeight="1">
      <c r="A57" s="36" t="s">
        <v>65</v>
      </c>
      <c r="B57" s="38">
        <v>5</v>
      </c>
      <c r="C57" s="38">
        <v>5</v>
      </c>
      <c r="D57" s="38"/>
      <c r="E57" s="38"/>
      <c r="F57" s="38"/>
      <c r="G57" s="38"/>
      <c r="H57" s="30">
        <f t="shared" si="3"/>
        <v>21.585999999999999</v>
      </c>
      <c r="I57" s="30">
        <f t="shared" si="4"/>
        <v>125.586</v>
      </c>
      <c r="J57" s="30">
        <f t="shared" si="5"/>
        <v>147.172</v>
      </c>
    </row>
    <row r="58" spans="1:10" ht="15" customHeight="1">
      <c r="A58" s="36" t="s">
        <v>66</v>
      </c>
      <c r="B58" s="38">
        <v>1.25</v>
      </c>
      <c r="C58" s="38">
        <v>1.25</v>
      </c>
      <c r="D58" s="38"/>
      <c r="E58" s="38"/>
      <c r="F58" s="38"/>
      <c r="G58" s="38"/>
      <c r="H58" s="30">
        <f t="shared" si="3"/>
        <v>22.835999999999999</v>
      </c>
      <c r="I58" s="30">
        <f t="shared" si="4"/>
        <v>126.836</v>
      </c>
      <c r="J58" s="30">
        <f t="shared" si="5"/>
        <v>149.672</v>
      </c>
    </row>
    <row r="59" spans="1:10" ht="17.25" customHeight="1">
      <c r="A59" s="36" t="s">
        <v>67</v>
      </c>
      <c r="B59" s="38"/>
      <c r="C59" s="38"/>
      <c r="D59" s="38"/>
      <c r="E59" s="38">
        <v>1</v>
      </c>
      <c r="F59" s="38"/>
      <c r="G59" s="38"/>
      <c r="H59" s="30">
        <f t="shared" si="3"/>
        <v>22.835999999999999</v>
      </c>
      <c r="I59" s="30">
        <f t="shared" si="4"/>
        <v>125.836</v>
      </c>
      <c r="J59" s="30">
        <f t="shared" si="5"/>
        <v>148.672</v>
      </c>
    </row>
    <row r="60" spans="1:10" ht="12.75" customHeight="1">
      <c r="A60" s="36" t="s">
        <v>68</v>
      </c>
      <c r="B60" s="38">
        <v>10</v>
      </c>
      <c r="C60" s="38">
        <v>10</v>
      </c>
      <c r="D60" s="38"/>
      <c r="E60" s="38"/>
      <c r="F60" s="38"/>
      <c r="G60" s="38"/>
      <c r="H60" s="30">
        <f t="shared" si="3"/>
        <v>32.835999999999999</v>
      </c>
      <c r="I60" s="30">
        <f t="shared" si="4"/>
        <v>135.83600000000001</v>
      </c>
      <c r="J60" s="30">
        <f t="shared" si="5"/>
        <v>168.67200000000003</v>
      </c>
    </row>
    <row r="61" spans="1:10" ht="17.25" customHeight="1">
      <c r="A61" s="36" t="s">
        <v>69</v>
      </c>
      <c r="B61" s="38"/>
      <c r="C61" s="38"/>
      <c r="D61" s="38">
        <v>29</v>
      </c>
      <c r="E61" s="38"/>
      <c r="F61" s="38"/>
      <c r="G61" s="38"/>
      <c r="H61" s="30">
        <f t="shared" si="3"/>
        <v>3.8359999999999985</v>
      </c>
      <c r="I61" s="30">
        <f t="shared" si="4"/>
        <v>135.83600000000001</v>
      </c>
      <c r="J61" s="30">
        <f t="shared" si="5"/>
        <v>139.67200000000003</v>
      </c>
    </row>
    <row r="62" spans="1:10" ht="15.75" customHeight="1">
      <c r="A62" s="36" t="s">
        <v>70</v>
      </c>
      <c r="B62" s="38"/>
      <c r="C62" s="38"/>
      <c r="D62" s="38"/>
      <c r="E62" s="38">
        <v>2</v>
      </c>
      <c r="F62" s="38"/>
      <c r="G62" s="38"/>
      <c r="H62" s="30">
        <f t="shared" si="3"/>
        <v>3.8359999999999985</v>
      </c>
      <c r="I62" s="30">
        <f t="shared" si="4"/>
        <v>133.83600000000001</v>
      </c>
      <c r="J62" s="30">
        <f t="shared" si="5"/>
        <v>137.67200000000003</v>
      </c>
    </row>
    <row r="63" spans="1:10" ht="15.75" customHeight="1">
      <c r="A63" s="36" t="s">
        <v>71</v>
      </c>
      <c r="B63" s="38">
        <v>3.75</v>
      </c>
      <c r="C63" s="38">
        <v>3.75</v>
      </c>
      <c r="D63" s="38"/>
      <c r="E63" s="38"/>
      <c r="F63" s="38"/>
      <c r="G63" s="38"/>
      <c r="H63" s="30">
        <f t="shared" ref="H63" si="6">H62-F63-D63+B63</f>
        <v>7.5859999999999985</v>
      </c>
      <c r="I63" s="30">
        <f t="shared" ref="I63" si="7">I62-E63+C63</f>
        <v>137.58600000000001</v>
      </c>
      <c r="J63" s="30">
        <f t="shared" ref="J63" si="8">SUM(H63:I63)</f>
        <v>145.17200000000003</v>
      </c>
    </row>
    <row r="64" spans="1:10" ht="15.75" customHeight="1">
      <c r="A64" s="36" t="s">
        <v>72</v>
      </c>
      <c r="B64" s="38"/>
      <c r="C64" s="38"/>
      <c r="D64" s="38"/>
      <c r="E64" s="38"/>
      <c r="F64" s="38">
        <v>5</v>
      </c>
      <c r="G64" s="38"/>
      <c r="H64" s="30">
        <f t="shared" ref="H64:H66" si="9">H63-F64-D64+B64</f>
        <v>2.5859999999999985</v>
      </c>
      <c r="I64" s="30">
        <f t="shared" ref="I64:I66" si="10">I63-E64+C64</f>
        <v>137.58600000000001</v>
      </c>
      <c r="J64" s="30">
        <f t="shared" ref="J64:J66" si="11">SUM(H64:I64)</f>
        <v>140.17200000000003</v>
      </c>
    </row>
    <row r="65" spans="1:10" ht="13.5" customHeight="1">
      <c r="A65" s="36" t="s">
        <v>73</v>
      </c>
      <c r="B65" s="38">
        <v>13.75</v>
      </c>
      <c r="C65" s="38">
        <v>13.75</v>
      </c>
      <c r="D65" s="38"/>
      <c r="E65" s="38"/>
      <c r="F65" s="38"/>
      <c r="G65" s="38"/>
      <c r="H65" s="30">
        <f t="shared" si="9"/>
        <v>16.335999999999999</v>
      </c>
      <c r="I65" s="30">
        <f t="shared" si="10"/>
        <v>151.33600000000001</v>
      </c>
      <c r="J65" s="30">
        <f t="shared" si="11"/>
        <v>167.67200000000003</v>
      </c>
    </row>
    <row r="66" spans="1:10" ht="12" customHeight="1">
      <c r="A66" s="36" t="s">
        <v>74</v>
      </c>
      <c r="B66" s="38"/>
      <c r="C66" s="38"/>
      <c r="D66" s="38">
        <v>2</v>
      </c>
      <c r="E66" s="38"/>
      <c r="F66" s="38">
        <v>5</v>
      </c>
      <c r="G66" s="38"/>
      <c r="H66" s="30">
        <f t="shared" si="9"/>
        <v>9.3359999999999985</v>
      </c>
      <c r="I66" s="30">
        <f t="shared" si="10"/>
        <v>151.33600000000001</v>
      </c>
      <c r="J66" s="30">
        <f t="shared" si="11"/>
        <v>160.67200000000003</v>
      </c>
    </row>
    <row r="67" spans="1:10" ht="12" customHeight="1">
      <c r="A67" s="36" t="s">
        <v>75</v>
      </c>
      <c r="B67" s="38">
        <v>1.25</v>
      </c>
      <c r="C67" s="38">
        <v>1.25</v>
      </c>
      <c r="D67" s="38"/>
      <c r="E67" s="38"/>
      <c r="F67" s="38"/>
      <c r="G67" s="38"/>
      <c r="H67" s="30">
        <f t="shared" ref="H67:H69" si="12">H66-F67-D67+B67</f>
        <v>10.585999999999999</v>
      </c>
      <c r="I67" s="30">
        <f t="shared" ref="I67:I69" si="13">I66-E67+C67</f>
        <v>152.58600000000001</v>
      </c>
      <c r="J67" s="30">
        <f t="shared" ref="J67:J69" si="14">SUM(H67:I67)</f>
        <v>163.17200000000003</v>
      </c>
    </row>
    <row r="68" spans="1:10" ht="12" customHeight="1">
      <c r="A68" s="36" t="s">
        <v>76</v>
      </c>
      <c r="B68" s="38">
        <v>3.75</v>
      </c>
      <c r="C68" s="38">
        <v>3.75</v>
      </c>
      <c r="D68" s="38"/>
      <c r="E68" s="38"/>
      <c r="F68" s="38"/>
      <c r="G68" s="38"/>
      <c r="H68" s="30">
        <f t="shared" si="12"/>
        <v>14.335999999999999</v>
      </c>
      <c r="I68" s="30">
        <f t="shared" si="13"/>
        <v>156.33600000000001</v>
      </c>
      <c r="J68" s="30">
        <f t="shared" si="14"/>
        <v>170.67200000000003</v>
      </c>
    </row>
    <row r="69" spans="1:10" ht="12" customHeight="1">
      <c r="A69" s="36" t="s">
        <v>77</v>
      </c>
      <c r="B69" s="38"/>
      <c r="C69" s="38"/>
      <c r="D69" s="38"/>
      <c r="E69" s="38"/>
      <c r="F69" s="38">
        <v>3</v>
      </c>
      <c r="G69" s="38"/>
      <c r="H69" s="30">
        <f t="shared" si="12"/>
        <v>11.335999999999999</v>
      </c>
      <c r="I69" s="30">
        <f t="shared" si="13"/>
        <v>156.33600000000001</v>
      </c>
      <c r="J69" s="30">
        <f t="shared" si="14"/>
        <v>167.67200000000003</v>
      </c>
    </row>
    <row r="70" spans="1:10" ht="12" customHeight="1">
      <c r="A70" s="36" t="s">
        <v>78</v>
      </c>
      <c r="B70" s="38">
        <v>1.25</v>
      </c>
      <c r="C70" s="38">
        <v>1.25</v>
      </c>
      <c r="D70" s="38"/>
      <c r="E70" s="38"/>
      <c r="F70" s="38"/>
      <c r="G70" s="38"/>
      <c r="H70" s="30">
        <f t="shared" ref="H70:H95" si="15">H69-F70-D70+B70</f>
        <v>12.585999999999999</v>
      </c>
      <c r="I70" s="30">
        <f t="shared" ref="I70:I95" si="16">I69-E70+C70</f>
        <v>157.58600000000001</v>
      </c>
      <c r="J70" s="30">
        <f t="shared" ref="J70:J95" si="17">SUM(H70:I70)</f>
        <v>170.17200000000003</v>
      </c>
    </row>
    <row r="71" spans="1:10" ht="15.75" customHeight="1">
      <c r="A71" s="36" t="s">
        <v>79</v>
      </c>
      <c r="B71" s="38"/>
      <c r="C71" s="38"/>
      <c r="D71" s="38"/>
      <c r="E71" s="38"/>
      <c r="F71" s="38">
        <v>1</v>
      </c>
      <c r="G71" s="38"/>
      <c r="H71" s="30">
        <f t="shared" si="15"/>
        <v>11.585999999999999</v>
      </c>
      <c r="I71" s="30">
        <f t="shared" si="16"/>
        <v>157.58600000000001</v>
      </c>
      <c r="J71" s="30">
        <f t="shared" si="17"/>
        <v>169.17200000000003</v>
      </c>
    </row>
    <row r="72" spans="1:10" ht="15.75" customHeight="1">
      <c r="A72" s="36" t="s">
        <v>80</v>
      </c>
      <c r="B72" s="38">
        <v>7.5</v>
      </c>
      <c r="C72" s="38">
        <v>7.5</v>
      </c>
      <c r="D72" s="38"/>
      <c r="E72" s="38"/>
      <c r="F72" s="38"/>
      <c r="G72" s="38"/>
      <c r="H72" s="30">
        <f t="shared" si="15"/>
        <v>19.085999999999999</v>
      </c>
      <c r="I72" s="30">
        <f t="shared" si="16"/>
        <v>165.08600000000001</v>
      </c>
      <c r="J72" s="30">
        <f t="shared" si="17"/>
        <v>184.17200000000003</v>
      </c>
    </row>
    <row r="73" spans="1:10" ht="12" customHeight="1">
      <c r="A73" s="36" t="s">
        <v>81</v>
      </c>
      <c r="B73" s="38"/>
      <c r="C73" s="38"/>
      <c r="D73" s="38"/>
      <c r="E73" s="38"/>
      <c r="F73" s="38">
        <v>1</v>
      </c>
      <c r="G73" s="38"/>
      <c r="H73" s="30">
        <f t="shared" si="15"/>
        <v>18.085999999999999</v>
      </c>
      <c r="I73" s="30">
        <f t="shared" si="16"/>
        <v>165.08600000000001</v>
      </c>
      <c r="J73" s="30">
        <f t="shared" si="17"/>
        <v>183.17200000000003</v>
      </c>
    </row>
    <row r="74" spans="1:10" ht="12" customHeight="1">
      <c r="A74" s="36" t="s">
        <v>82</v>
      </c>
      <c r="B74" s="38">
        <v>1.25</v>
      </c>
      <c r="C74" s="38">
        <v>1.25</v>
      </c>
      <c r="D74" s="38"/>
      <c r="E74" s="38"/>
      <c r="F74" s="38"/>
      <c r="G74" s="38"/>
      <c r="H74" s="30">
        <f t="shared" si="15"/>
        <v>19.335999999999999</v>
      </c>
      <c r="I74" s="30">
        <f t="shared" si="16"/>
        <v>166.33600000000001</v>
      </c>
      <c r="J74" s="30">
        <f t="shared" si="17"/>
        <v>185.67200000000003</v>
      </c>
    </row>
    <row r="75" spans="1:10" ht="12" customHeight="1">
      <c r="A75" s="36" t="s">
        <v>83</v>
      </c>
      <c r="B75" s="38"/>
      <c r="C75" s="38"/>
      <c r="D75" s="38">
        <v>1</v>
      </c>
      <c r="E75" s="38"/>
      <c r="F75" s="38"/>
      <c r="G75" s="38"/>
      <c r="H75" s="30">
        <f t="shared" si="15"/>
        <v>18.335999999999999</v>
      </c>
      <c r="I75" s="30">
        <f t="shared" si="16"/>
        <v>166.33600000000001</v>
      </c>
      <c r="J75" s="30">
        <f t="shared" si="17"/>
        <v>184.67200000000003</v>
      </c>
    </row>
    <row r="76" spans="1:10" ht="12" customHeight="1">
      <c r="A76" s="36" t="s">
        <v>84</v>
      </c>
      <c r="B76" s="38">
        <v>1.25</v>
      </c>
      <c r="C76" s="38">
        <v>1.25</v>
      </c>
      <c r="D76" s="38"/>
      <c r="E76" s="38"/>
      <c r="F76" s="38"/>
      <c r="G76" s="38"/>
      <c r="H76" s="30">
        <f t="shared" si="15"/>
        <v>19.585999999999999</v>
      </c>
      <c r="I76" s="30">
        <f t="shared" si="16"/>
        <v>167.58600000000001</v>
      </c>
      <c r="J76" s="30">
        <f t="shared" si="17"/>
        <v>187.17200000000003</v>
      </c>
    </row>
    <row r="77" spans="1:10" ht="12" customHeight="1">
      <c r="A77" s="36" t="s">
        <v>85</v>
      </c>
      <c r="B77" s="38"/>
      <c r="C77" s="38"/>
      <c r="D77" s="38">
        <v>10</v>
      </c>
      <c r="E77" s="38">
        <v>19</v>
      </c>
      <c r="F77" s="38"/>
      <c r="G77" s="38"/>
      <c r="H77" s="30">
        <f t="shared" si="15"/>
        <v>9.5859999999999985</v>
      </c>
      <c r="I77" s="30">
        <f t="shared" si="16"/>
        <v>148.58600000000001</v>
      </c>
      <c r="J77" s="30">
        <f t="shared" si="17"/>
        <v>158.17200000000003</v>
      </c>
    </row>
    <row r="78" spans="1:10" ht="12" customHeight="1">
      <c r="A78" s="36" t="s">
        <v>86</v>
      </c>
      <c r="B78" s="38">
        <v>1.25</v>
      </c>
      <c r="C78" s="38">
        <v>1.25</v>
      </c>
      <c r="D78" s="38"/>
      <c r="E78" s="38"/>
      <c r="F78" s="38"/>
      <c r="G78" s="38"/>
      <c r="H78" s="30">
        <f t="shared" si="15"/>
        <v>10.835999999999999</v>
      </c>
      <c r="I78" s="30">
        <f t="shared" si="16"/>
        <v>149.83600000000001</v>
      </c>
      <c r="J78" s="30">
        <f t="shared" si="17"/>
        <v>160.67200000000003</v>
      </c>
    </row>
    <row r="79" spans="1:10" ht="12" customHeight="1">
      <c r="A79" s="36" t="s">
        <v>87</v>
      </c>
      <c r="B79" s="38"/>
      <c r="C79" s="38"/>
      <c r="D79" s="38"/>
      <c r="E79" s="38"/>
      <c r="F79" s="38">
        <v>1</v>
      </c>
      <c r="G79" s="38"/>
      <c r="H79" s="30">
        <f t="shared" si="15"/>
        <v>9.8359999999999985</v>
      </c>
      <c r="I79" s="30">
        <f t="shared" si="16"/>
        <v>149.83600000000001</v>
      </c>
      <c r="J79" s="30">
        <f t="shared" si="17"/>
        <v>159.67200000000003</v>
      </c>
    </row>
    <row r="80" spans="1:10" ht="12" customHeight="1">
      <c r="A80" s="36" t="s">
        <v>88</v>
      </c>
      <c r="B80" s="38">
        <v>1.25</v>
      </c>
      <c r="C80" s="38">
        <v>1.25</v>
      </c>
      <c r="D80" s="38"/>
      <c r="E80" s="38"/>
      <c r="F80" s="38"/>
      <c r="G80" s="38"/>
      <c r="H80" s="30">
        <f t="shared" si="15"/>
        <v>11.085999999999999</v>
      </c>
      <c r="I80" s="30">
        <f t="shared" si="16"/>
        <v>151.08600000000001</v>
      </c>
      <c r="J80" s="30">
        <f t="shared" si="17"/>
        <v>162.17200000000003</v>
      </c>
    </row>
    <row r="81" spans="1:10" ht="12" customHeight="1">
      <c r="A81" s="36" t="s">
        <v>89</v>
      </c>
      <c r="B81" s="38"/>
      <c r="C81" s="38"/>
      <c r="D81" s="38"/>
      <c r="E81" s="38"/>
      <c r="F81" s="38">
        <v>1</v>
      </c>
      <c r="G81" s="38"/>
      <c r="H81" s="30">
        <f t="shared" si="15"/>
        <v>10.085999999999999</v>
      </c>
      <c r="I81" s="30">
        <f t="shared" si="16"/>
        <v>151.08600000000001</v>
      </c>
      <c r="J81" s="30">
        <f t="shared" si="17"/>
        <v>161.17200000000003</v>
      </c>
    </row>
    <row r="82" spans="1:10" s="23" customFormat="1" ht="12" customHeight="1">
      <c r="A82" s="36" t="s">
        <v>90</v>
      </c>
      <c r="B82" s="38">
        <v>1.25</v>
      </c>
      <c r="C82" s="38">
        <v>1.25</v>
      </c>
      <c r="D82" s="38"/>
      <c r="E82" s="38"/>
      <c r="F82" s="38"/>
      <c r="G82" s="38"/>
      <c r="H82" s="30">
        <f t="shared" si="15"/>
        <v>11.335999999999999</v>
      </c>
      <c r="I82" s="30">
        <f t="shared" si="16"/>
        <v>152.33600000000001</v>
      </c>
      <c r="J82" s="30">
        <f t="shared" si="17"/>
        <v>163.67200000000003</v>
      </c>
    </row>
    <row r="83" spans="1:10" s="23" customFormat="1" ht="12" customHeight="1">
      <c r="A83" s="36" t="s">
        <v>91</v>
      </c>
      <c r="B83" s="38"/>
      <c r="C83" s="38"/>
      <c r="D83" s="38"/>
      <c r="E83" s="38"/>
      <c r="F83" s="38">
        <v>1</v>
      </c>
      <c r="G83" s="38"/>
      <c r="H83" s="30">
        <f t="shared" si="15"/>
        <v>10.335999999999999</v>
      </c>
      <c r="I83" s="30">
        <f t="shared" si="16"/>
        <v>152.33600000000001</v>
      </c>
      <c r="J83" s="30">
        <f t="shared" si="17"/>
        <v>162.67200000000003</v>
      </c>
    </row>
    <row r="84" spans="1:10" s="23" customFormat="1" ht="12" customHeight="1">
      <c r="A84" s="36" t="s">
        <v>92</v>
      </c>
      <c r="B84" s="38">
        <v>6.25</v>
      </c>
      <c r="C84" s="38">
        <v>6.25</v>
      </c>
      <c r="D84" s="38"/>
      <c r="E84" s="38"/>
      <c r="F84" s="38"/>
      <c r="G84" s="38"/>
      <c r="H84" s="30">
        <f t="shared" si="15"/>
        <v>16.585999999999999</v>
      </c>
      <c r="I84" s="30">
        <f t="shared" si="16"/>
        <v>158.58600000000001</v>
      </c>
      <c r="J84" s="30">
        <f t="shared" si="17"/>
        <v>175.17200000000003</v>
      </c>
    </row>
    <row r="85" spans="1:10" s="23" customFormat="1" ht="12" customHeight="1">
      <c r="A85" s="36" t="s">
        <v>93</v>
      </c>
      <c r="B85" s="38"/>
      <c r="C85" s="38"/>
      <c r="D85" s="38"/>
      <c r="E85" s="38"/>
      <c r="F85" s="38">
        <v>1</v>
      </c>
      <c r="G85" s="38"/>
      <c r="H85" s="30">
        <f t="shared" si="15"/>
        <v>15.585999999999999</v>
      </c>
      <c r="I85" s="30">
        <f t="shared" si="16"/>
        <v>158.58600000000001</v>
      </c>
      <c r="J85" s="30">
        <f t="shared" si="17"/>
        <v>174.17200000000003</v>
      </c>
    </row>
    <row r="86" spans="1:10" s="23" customFormat="1" ht="12" customHeight="1">
      <c r="A86" s="36" t="s">
        <v>94</v>
      </c>
      <c r="B86" s="38">
        <v>1.25</v>
      </c>
      <c r="C86" s="38">
        <v>1.25</v>
      </c>
      <c r="D86" s="38"/>
      <c r="E86" s="38"/>
      <c r="F86" s="38"/>
      <c r="G86" s="38"/>
      <c r="H86" s="30">
        <f t="shared" si="15"/>
        <v>16.835999999999999</v>
      </c>
      <c r="I86" s="30">
        <f t="shared" si="16"/>
        <v>159.83600000000001</v>
      </c>
      <c r="J86" s="30">
        <f t="shared" si="17"/>
        <v>176.67200000000003</v>
      </c>
    </row>
    <row r="87" spans="1:10" s="23" customFormat="1" ht="12" customHeight="1">
      <c r="A87" s="36" t="s">
        <v>95</v>
      </c>
      <c r="B87" s="38"/>
      <c r="C87" s="38"/>
      <c r="D87" s="38"/>
      <c r="E87" s="38"/>
      <c r="F87" s="38"/>
      <c r="G87" s="38">
        <v>3</v>
      </c>
      <c r="H87" s="30">
        <f t="shared" si="15"/>
        <v>16.835999999999999</v>
      </c>
      <c r="I87" s="30">
        <f t="shared" si="16"/>
        <v>159.83600000000001</v>
      </c>
      <c r="J87" s="30">
        <f t="shared" si="17"/>
        <v>176.67200000000003</v>
      </c>
    </row>
    <row r="88" spans="1:10" s="23" customFormat="1" ht="12" customHeight="1">
      <c r="A88" s="36" t="s">
        <v>96</v>
      </c>
      <c r="B88" s="38"/>
      <c r="C88" s="38"/>
      <c r="D88" s="38">
        <v>5</v>
      </c>
      <c r="E88" s="38">
        <v>24</v>
      </c>
      <c r="F88" s="38"/>
      <c r="G88" s="38"/>
      <c r="H88" s="30">
        <f t="shared" si="15"/>
        <v>11.835999999999999</v>
      </c>
      <c r="I88" s="30">
        <f t="shared" si="16"/>
        <v>135.83600000000001</v>
      </c>
      <c r="J88" s="30">
        <f t="shared" si="17"/>
        <v>147.67200000000003</v>
      </c>
    </row>
    <row r="89" spans="1:10" s="23" customFormat="1" ht="12" customHeight="1">
      <c r="A89" s="36" t="s">
        <v>97</v>
      </c>
      <c r="B89" s="38">
        <v>1.25</v>
      </c>
      <c r="C89" s="38">
        <v>1.25</v>
      </c>
      <c r="D89" s="38"/>
      <c r="E89" s="38"/>
      <c r="F89" s="38"/>
      <c r="G89" s="38"/>
      <c r="H89" s="30">
        <f t="shared" si="15"/>
        <v>13.085999999999999</v>
      </c>
      <c r="I89" s="30">
        <f t="shared" si="16"/>
        <v>137.08600000000001</v>
      </c>
      <c r="J89" s="30">
        <f t="shared" si="17"/>
        <v>150.17200000000003</v>
      </c>
    </row>
    <row r="90" spans="1:10" s="23" customFormat="1" ht="12" customHeight="1">
      <c r="A90" s="36" t="s">
        <v>98</v>
      </c>
      <c r="B90" s="38"/>
      <c r="C90" s="38"/>
      <c r="D90" s="38"/>
      <c r="E90" s="38"/>
      <c r="F90" s="38">
        <v>1</v>
      </c>
      <c r="G90" s="38"/>
      <c r="H90" s="30">
        <f t="shared" si="15"/>
        <v>12.085999999999999</v>
      </c>
      <c r="I90" s="30">
        <f t="shared" si="16"/>
        <v>137.08600000000001</v>
      </c>
      <c r="J90" s="30">
        <f t="shared" si="17"/>
        <v>149.17200000000003</v>
      </c>
    </row>
    <row r="91" spans="1:10" s="23" customFormat="1" ht="12" customHeight="1">
      <c r="A91" s="36" t="s">
        <v>99</v>
      </c>
      <c r="B91" s="38">
        <v>2.5</v>
      </c>
      <c r="C91" s="38">
        <v>2.5</v>
      </c>
      <c r="D91" s="38"/>
      <c r="E91" s="38"/>
      <c r="F91" s="38"/>
      <c r="G91" s="38"/>
      <c r="H91" s="30">
        <f t="shared" si="15"/>
        <v>14.585999999999999</v>
      </c>
      <c r="I91" s="30">
        <f t="shared" si="16"/>
        <v>139.58600000000001</v>
      </c>
      <c r="J91" s="30">
        <f t="shared" si="17"/>
        <v>154.17200000000003</v>
      </c>
    </row>
    <row r="92" spans="1:10" s="23" customFormat="1" ht="12" customHeight="1">
      <c r="A92" s="36" t="s">
        <v>100</v>
      </c>
      <c r="B92" s="38"/>
      <c r="C92" s="38"/>
      <c r="D92" s="38"/>
      <c r="E92" s="38">
        <v>2</v>
      </c>
      <c r="F92" s="38"/>
      <c r="G92" s="38"/>
      <c r="H92" s="30">
        <f t="shared" si="15"/>
        <v>14.585999999999999</v>
      </c>
      <c r="I92" s="30">
        <f t="shared" si="16"/>
        <v>137.58600000000001</v>
      </c>
      <c r="J92" s="30">
        <f t="shared" si="17"/>
        <v>152.17200000000003</v>
      </c>
    </row>
    <row r="93" spans="1:10" s="23" customFormat="1" ht="12" customHeight="1">
      <c r="A93" s="36" t="s">
        <v>101</v>
      </c>
      <c r="B93" s="38">
        <v>1.25</v>
      </c>
      <c r="C93" s="38">
        <v>1.25</v>
      </c>
      <c r="D93" s="38"/>
      <c r="E93" s="38"/>
      <c r="F93" s="38"/>
      <c r="G93" s="38"/>
      <c r="H93" s="30">
        <f t="shared" si="15"/>
        <v>15.835999999999999</v>
      </c>
      <c r="I93" s="30">
        <f t="shared" si="16"/>
        <v>138.83600000000001</v>
      </c>
      <c r="J93" s="30">
        <f t="shared" si="17"/>
        <v>154.67200000000003</v>
      </c>
    </row>
    <row r="94" spans="1:10" s="23" customFormat="1" ht="12" customHeight="1">
      <c r="A94" s="36" t="s">
        <v>102</v>
      </c>
      <c r="B94" s="38"/>
      <c r="C94" s="38"/>
      <c r="D94" s="38">
        <v>3</v>
      </c>
      <c r="E94" s="38"/>
      <c r="F94" s="38"/>
      <c r="G94" s="38"/>
      <c r="H94" s="30">
        <f t="shared" si="15"/>
        <v>12.835999999999999</v>
      </c>
      <c r="I94" s="30">
        <f t="shared" si="16"/>
        <v>138.83600000000001</v>
      </c>
      <c r="J94" s="30">
        <f t="shared" si="17"/>
        <v>151.67200000000003</v>
      </c>
    </row>
    <row r="95" spans="1:10" s="23" customFormat="1" ht="12" customHeight="1">
      <c r="A95" s="36" t="s">
        <v>103</v>
      </c>
      <c r="B95" s="38">
        <v>8.75</v>
      </c>
      <c r="C95" s="38">
        <v>8.75</v>
      </c>
      <c r="D95" s="38"/>
      <c r="E95" s="38"/>
      <c r="F95" s="38"/>
      <c r="G95" s="38"/>
      <c r="H95" s="30">
        <f t="shared" si="15"/>
        <v>21.585999999999999</v>
      </c>
      <c r="I95" s="30">
        <f t="shared" si="16"/>
        <v>147.58600000000001</v>
      </c>
      <c r="J95" s="30">
        <f t="shared" si="17"/>
        <v>169.17200000000003</v>
      </c>
    </row>
    <row r="96" spans="1:10" s="23" customFormat="1" ht="12" customHeight="1">
      <c r="A96" s="36" t="s">
        <v>104</v>
      </c>
      <c r="B96" s="38"/>
      <c r="C96" s="38"/>
      <c r="D96" s="38"/>
      <c r="E96" s="38">
        <v>2</v>
      </c>
      <c r="F96" s="38"/>
      <c r="G96" s="38"/>
      <c r="H96" s="30">
        <f t="shared" ref="H96:H126" si="18">H95-F96-D96+B96</f>
        <v>21.585999999999999</v>
      </c>
      <c r="I96" s="30">
        <f t="shared" ref="I96:I126" si="19">I95-E96+C96</f>
        <v>145.58600000000001</v>
      </c>
      <c r="J96" s="30">
        <f t="shared" ref="J96:J126" si="20">SUM(H96:I96)</f>
        <v>167.17200000000003</v>
      </c>
    </row>
    <row r="97" spans="1:10" s="23" customFormat="1" ht="12" customHeight="1">
      <c r="A97" s="36" t="s">
        <v>105</v>
      </c>
      <c r="B97" s="38">
        <v>1.25</v>
      </c>
      <c r="C97" s="38">
        <v>1.25</v>
      </c>
      <c r="D97" s="38"/>
      <c r="E97" s="38"/>
      <c r="F97" s="38"/>
      <c r="G97" s="38"/>
      <c r="H97" s="30">
        <f t="shared" si="18"/>
        <v>22.835999999999999</v>
      </c>
      <c r="I97" s="30">
        <f t="shared" si="19"/>
        <v>146.83600000000001</v>
      </c>
      <c r="J97" s="30">
        <f t="shared" si="20"/>
        <v>169.67200000000003</v>
      </c>
    </row>
    <row r="98" spans="1:10" s="23" customFormat="1" ht="12" customHeight="1">
      <c r="A98" s="36" t="s">
        <v>106</v>
      </c>
      <c r="B98" s="38"/>
      <c r="C98" s="38"/>
      <c r="D98" s="38">
        <v>9</v>
      </c>
      <c r="E98" s="38">
        <v>20</v>
      </c>
      <c r="F98" s="38"/>
      <c r="G98" s="38"/>
      <c r="H98" s="30">
        <f t="shared" si="18"/>
        <v>13.835999999999999</v>
      </c>
      <c r="I98" s="30">
        <f t="shared" si="19"/>
        <v>126.83600000000001</v>
      </c>
      <c r="J98" s="30">
        <f t="shared" si="20"/>
        <v>140.67200000000003</v>
      </c>
    </row>
    <row r="99" spans="1:10" s="23" customFormat="1" ht="12" customHeight="1">
      <c r="A99" s="36" t="s">
        <v>107</v>
      </c>
      <c r="B99" s="38"/>
      <c r="C99" s="38"/>
      <c r="D99" s="38"/>
      <c r="E99" s="38"/>
      <c r="F99" s="38">
        <v>1</v>
      </c>
      <c r="G99" s="38"/>
      <c r="H99" s="30">
        <f t="shared" si="18"/>
        <v>12.835999999999999</v>
      </c>
      <c r="I99" s="30">
        <f t="shared" si="19"/>
        <v>126.83600000000001</v>
      </c>
      <c r="J99" s="30">
        <f t="shared" si="20"/>
        <v>139.67200000000003</v>
      </c>
    </row>
    <row r="100" spans="1:10" s="23" customFormat="1" ht="12" customHeight="1">
      <c r="A100" s="36" t="s">
        <v>108</v>
      </c>
      <c r="B100" s="38">
        <v>3.75</v>
      </c>
      <c r="C100" s="38">
        <v>3.75</v>
      </c>
      <c r="D100" s="38"/>
      <c r="E100" s="38"/>
      <c r="F100" s="38"/>
      <c r="G100" s="38"/>
      <c r="H100" s="30">
        <f t="shared" si="18"/>
        <v>16.585999999999999</v>
      </c>
      <c r="I100" s="30">
        <f t="shared" si="19"/>
        <v>130.58600000000001</v>
      </c>
      <c r="J100" s="30">
        <f t="shared" si="20"/>
        <v>147.17200000000003</v>
      </c>
    </row>
    <row r="101" spans="1:10" s="23" customFormat="1" ht="12" customHeight="1">
      <c r="A101" s="36" t="s">
        <v>109</v>
      </c>
      <c r="B101" s="38"/>
      <c r="C101" s="38"/>
      <c r="D101" s="38"/>
      <c r="E101" s="38"/>
      <c r="F101" s="38">
        <v>3</v>
      </c>
      <c r="G101" s="38"/>
      <c r="H101" s="30">
        <f t="shared" si="18"/>
        <v>13.585999999999999</v>
      </c>
      <c r="I101" s="30">
        <f t="shared" si="19"/>
        <v>130.58600000000001</v>
      </c>
      <c r="J101" s="30">
        <f t="shared" si="20"/>
        <v>144.17200000000003</v>
      </c>
    </row>
    <row r="102" spans="1:10" s="23" customFormat="1" ht="12" customHeight="1">
      <c r="A102" s="36" t="s">
        <v>110</v>
      </c>
      <c r="B102" s="38">
        <v>1.25</v>
      </c>
      <c r="C102" s="38">
        <v>1.25</v>
      </c>
      <c r="D102" s="38"/>
      <c r="E102" s="38"/>
      <c r="F102" s="38"/>
      <c r="G102" s="38"/>
      <c r="H102" s="30">
        <f t="shared" si="18"/>
        <v>14.835999999999999</v>
      </c>
      <c r="I102" s="30">
        <f t="shared" si="19"/>
        <v>131.83600000000001</v>
      </c>
      <c r="J102" s="30">
        <f t="shared" si="20"/>
        <v>146.67200000000003</v>
      </c>
    </row>
    <row r="103" spans="1:10" s="23" customFormat="1" ht="12" customHeight="1">
      <c r="A103" s="36" t="s">
        <v>111</v>
      </c>
      <c r="B103" s="38"/>
      <c r="C103" s="38"/>
      <c r="D103" s="38"/>
      <c r="E103" s="38"/>
      <c r="F103" s="38">
        <v>1</v>
      </c>
      <c r="G103" s="38"/>
      <c r="H103" s="30">
        <f t="shared" si="18"/>
        <v>13.835999999999999</v>
      </c>
      <c r="I103" s="30">
        <f t="shared" si="19"/>
        <v>131.83600000000001</v>
      </c>
      <c r="J103" s="30">
        <f t="shared" si="20"/>
        <v>145.67200000000003</v>
      </c>
    </row>
    <row r="104" spans="1:10" s="23" customFormat="1" ht="12" customHeight="1">
      <c r="A104" s="36" t="s">
        <v>112</v>
      </c>
      <c r="B104" s="38">
        <v>1.25</v>
      </c>
      <c r="C104" s="38">
        <v>1.25</v>
      </c>
      <c r="D104" s="38"/>
      <c r="E104" s="38"/>
      <c r="F104" s="38"/>
      <c r="G104" s="38"/>
      <c r="H104" s="30">
        <f t="shared" si="18"/>
        <v>15.085999999999999</v>
      </c>
      <c r="I104" s="30">
        <f t="shared" si="19"/>
        <v>133.08600000000001</v>
      </c>
      <c r="J104" s="30">
        <f t="shared" si="20"/>
        <v>148.17200000000003</v>
      </c>
    </row>
    <row r="105" spans="1:10" s="23" customFormat="1" ht="12" customHeight="1">
      <c r="A105" s="36" t="s">
        <v>113</v>
      </c>
      <c r="B105" s="38">
        <v>1.25</v>
      </c>
      <c r="C105" s="38">
        <v>1.25</v>
      </c>
      <c r="D105" s="38"/>
      <c r="E105" s="38"/>
      <c r="F105" s="38"/>
      <c r="G105" s="38"/>
      <c r="H105" s="30">
        <f t="shared" si="18"/>
        <v>16.335999999999999</v>
      </c>
      <c r="I105" s="30">
        <f t="shared" si="19"/>
        <v>134.33600000000001</v>
      </c>
      <c r="J105" s="30">
        <f t="shared" si="20"/>
        <v>150.67200000000003</v>
      </c>
    </row>
    <row r="106" spans="1:10" s="23" customFormat="1" ht="12" customHeight="1">
      <c r="A106" s="36" t="s">
        <v>114</v>
      </c>
      <c r="B106" s="38"/>
      <c r="C106" s="38"/>
      <c r="D106" s="38"/>
      <c r="E106" s="38">
        <v>1</v>
      </c>
      <c r="F106" s="38"/>
      <c r="G106" s="38"/>
      <c r="H106" s="30">
        <f t="shared" si="18"/>
        <v>16.335999999999999</v>
      </c>
      <c r="I106" s="30">
        <f t="shared" si="19"/>
        <v>133.33600000000001</v>
      </c>
      <c r="J106" s="30">
        <f t="shared" si="20"/>
        <v>149.67200000000003</v>
      </c>
    </row>
    <row r="107" spans="1:10" s="23" customFormat="1" ht="12" customHeight="1">
      <c r="A107" s="36" t="s">
        <v>115</v>
      </c>
      <c r="B107" s="38"/>
      <c r="C107" s="38"/>
      <c r="D107" s="38"/>
      <c r="E107" s="38"/>
      <c r="F107" s="38">
        <v>1</v>
      </c>
      <c r="G107" s="38"/>
      <c r="H107" s="30">
        <f t="shared" si="18"/>
        <v>15.335999999999999</v>
      </c>
      <c r="I107" s="30">
        <f t="shared" si="19"/>
        <v>133.33600000000001</v>
      </c>
      <c r="J107" s="30">
        <f t="shared" si="20"/>
        <v>148.67200000000003</v>
      </c>
    </row>
    <row r="108" spans="1:10" s="23" customFormat="1" ht="12" customHeight="1">
      <c r="A108" s="36" t="s">
        <v>116</v>
      </c>
      <c r="B108" s="38">
        <v>5</v>
      </c>
      <c r="C108" s="38">
        <v>5</v>
      </c>
      <c r="D108" s="38"/>
      <c r="E108" s="38"/>
      <c r="F108" s="38"/>
      <c r="G108" s="38"/>
      <c r="H108" s="30">
        <f t="shared" si="18"/>
        <v>20.335999999999999</v>
      </c>
      <c r="I108" s="30">
        <f t="shared" si="19"/>
        <v>138.33600000000001</v>
      </c>
      <c r="J108" s="30">
        <f t="shared" si="20"/>
        <v>158.67200000000003</v>
      </c>
    </row>
    <row r="109" spans="1:10" s="23" customFormat="1" ht="12" customHeight="1">
      <c r="A109" s="36" t="s">
        <v>117</v>
      </c>
      <c r="B109" s="38"/>
      <c r="C109" s="38"/>
      <c r="D109" s="38"/>
      <c r="E109" s="38"/>
      <c r="F109" s="38">
        <v>1</v>
      </c>
      <c r="G109" s="38"/>
      <c r="H109" s="30">
        <f t="shared" si="18"/>
        <v>19.335999999999999</v>
      </c>
      <c r="I109" s="30">
        <f t="shared" si="19"/>
        <v>138.33600000000001</v>
      </c>
      <c r="J109" s="30">
        <f t="shared" si="20"/>
        <v>157.67200000000003</v>
      </c>
    </row>
    <row r="110" spans="1:10" s="23" customFormat="1" ht="12" customHeight="1">
      <c r="A110" s="36" t="s">
        <v>118</v>
      </c>
      <c r="B110" s="38">
        <v>1.25</v>
      </c>
      <c r="C110" s="38">
        <v>1.25</v>
      </c>
      <c r="D110" s="38"/>
      <c r="E110" s="38"/>
      <c r="F110" s="38"/>
      <c r="G110" s="38"/>
      <c r="H110" s="30">
        <f t="shared" si="18"/>
        <v>20.585999999999999</v>
      </c>
      <c r="I110" s="30">
        <f t="shared" si="19"/>
        <v>139.58600000000001</v>
      </c>
      <c r="J110" s="30">
        <f t="shared" si="20"/>
        <v>160.17200000000003</v>
      </c>
    </row>
    <row r="111" spans="1:10" s="23" customFormat="1" ht="13.5" customHeight="1">
      <c r="A111" s="36" t="s">
        <v>119</v>
      </c>
      <c r="B111" s="38"/>
      <c r="C111" s="38"/>
      <c r="D111" s="38">
        <v>12</v>
      </c>
      <c r="E111" s="38"/>
      <c r="F111" s="38"/>
      <c r="G111" s="38"/>
      <c r="H111" s="30">
        <f t="shared" si="18"/>
        <v>8.5859999999999985</v>
      </c>
      <c r="I111" s="30">
        <f t="shared" si="19"/>
        <v>139.58600000000001</v>
      </c>
      <c r="J111" s="30">
        <f t="shared" si="20"/>
        <v>148.17200000000003</v>
      </c>
    </row>
    <row r="112" spans="1:10" s="23" customFormat="1" ht="12" customHeight="1">
      <c r="A112" s="36" t="s">
        <v>120</v>
      </c>
      <c r="B112" s="38">
        <v>1.25</v>
      </c>
      <c r="C112" s="38">
        <v>1.25</v>
      </c>
      <c r="D112" s="38"/>
      <c r="E112" s="38"/>
      <c r="F112" s="38"/>
      <c r="G112" s="38"/>
      <c r="H112" s="30">
        <f t="shared" si="18"/>
        <v>9.8359999999999985</v>
      </c>
      <c r="I112" s="30">
        <f t="shared" si="19"/>
        <v>140.83600000000001</v>
      </c>
      <c r="J112" s="30">
        <f t="shared" si="20"/>
        <v>150.67200000000003</v>
      </c>
    </row>
    <row r="113" spans="1:10" s="23" customFormat="1" ht="12" customHeight="1">
      <c r="A113" s="36" t="s">
        <v>121</v>
      </c>
      <c r="B113" s="38"/>
      <c r="C113" s="38"/>
      <c r="D113" s="38"/>
      <c r="E113" s="38"/>
      <c r="F113" s="38">
        <v>1</v>
      </c>
      <c r="G113" s="38"/>
      <c r="H113" s="30">
        <f t="shared" si="18"/>
        <v>8.8359999999999985</v>
      </c>
      <c r="I113" s="30">
        <f t="shared" si="19"/>
        <v>140.83600000000001</v>
      </c>
      <c r="J113" s="30">
        <f t="shared" si="20"/>
        <v>149.67200000000003</v>
      </c>
    </row>
    <row r="114" spans="1:10" s="23" customFormat="1" ht="14.25" customHeight="1">
      <c r="A114" s="34" t="s">
        <v>122</v>
      </c>
      <c r="B114" s="37"/>
      <c r="C114" s="37"/>
      <c r="D114" s="34"/>
      <c r="E114" s="38"/>
      <c r="F114" s="38"/>
      <c r="G114" s="38">
        <v>1</v>
      </c>
      <c r="H114" s="30">
        <f t="shared" si="18"/>
        <v>8.8359999999999985</v>
      </c>
      <c r="I114" s="30">
        <f t="shared" si="19"/>
        <v>140.83600000000001</v>
      </c>
      <c r="J114" s="30">
        <f t="shared" si="20"/>
        <v>149.67200000000003</v>
      </c>
    </row>
    <row r="115" spans="1:10" s="23" customFormat="1" ht="14.25" customHeight="1">
      <c r="A115" s="34" t="s">
        <v>123</v>
      </c>
      <c r="B115" s="34">
        <v>1.25</v>
      </c>
      <c r="C115" s="34">
        <v>1.25</v>
      </c>
      <c r="D115" s="34"/>
      <c r="E115" s="38"/>
      <c r="F115" s="38"/>
      <c r="G115" s="38"/>
      <c r="H115" s="30">
        <f t="shared" si="18"/>
        <v>10.085999999999999</v>
      </c>
      <c r="I115" s="30">
        <f t="shared" si="19"/>
        <v>142.08600000000001</v>
      </c>
      <c r="J115" s="30">
        <f t="shared" si="20"/>
        <v>152.17200000000003</v>
      </c>
    </row>
    <row r="116" spans="1:10" s="23" customFormat="1" ht="14.25" customHeight="1">
      <c r="A116" s="34" t="s">
        <v>124</v>
      </c>
      <c r="B116" s="34"/>
      <c r="C116" s="34"/>
      <c r="D116" s="34"/>
      <c r="E116" s="38"/>
      <c r="F116" s="38"/>
      <c r="G116" s="38">
        <v>2</v>
      </c>
      <c r="H116" s="30">
        <f t="shared" si="18"/>
        <v>10.085999999999999</v>
      </c>
      <c r="I116" s="30">
        <f t="shared" si="19"/>
        <v>142.08600000000001</v>
      </c>
      <c r="J116" s="30">
        <f t="shared" si="20"/>
        <v>152.17200000000003</v>
      </c>
    </row>
    <row r="117" spans="1:10" s="23" customFormat="1" ht="14.25" customHeight="1">
      <c r="A117" s="34" t="s">
        <v>125</v>
      </c>
      <c r="B117" s="34"/>
      <c r="C117" s="34"/>
      <c r="D117" s="34"/>
      <c r="E117" s="38"/>
      <c r="F117" s="38">
        <v>2</v>
      </c>
      <c r="G117" s="38"/>
      <c r="H117" s="30">
        <f t="shared" si="18"/>
        <v>8.0859999999999985</v>
      </c>
      <c r="I117" s="30">
        <f t="shared" si="19"/>
        <v>142.08600000000001</v>
      </c>
      <c r="J117" s="30">
        <f t="shared" si="20"/>
        <v>150.17200000000003</v>
      </c>
    </row>
    <row r="118" spans="1:10" s="23" customFormat="1" ht="14.25" customHeight="1">
      <c r="A118" s="34" t="s">
        <v>126</v>
      </c>
      <c r="B118" s="34">
        <v>3.75</v>
      </c>
      <c r="C118" s="34">
        <v>3.75</v>
      </c>
      <c r="D118" s="34"/>
      <c r="E118" s="38"/>
      <c r="F118" s="38"/>
      <c r="G118" s="38"/>
      <c r="H118" s="30">
        <f t="shared" si="18"/>
        <v>11.835999999999999</v>
      </c>
      <c r="I118" s="30">
        <f t="shared" si="19"/>
        <v>145.83600000000001</v>
      </c>
      <c r="J118" s="30">
        <f t="shared" si="20"/>
        <v>157.67200000000003</v>
      </c>
    </row>
    <row r="119" spans="1:10" s="23" customFormat="1" ht="14.25" customHeight="1">
      <c r="A119" s="34" t="s">
        <v>127</v>
      </c>
      <c r="B119" s="34"/>
      <c r="C119" s="34"/>
      <c r="D119" s="34"/>
      <c r="E119" s="38">
        <v>1</v>
      </c>
      <c r="F119" s="38"/>
      <c r="G119" s="38"/>
      <c r="H119" s="30">
        <f t="shared" si="18"/>
        <v>11.835999999999999</v>
      </c>
      <c r="I119" s="30">
        <f t="shared" si="19"/>
        <v>144.83600000000001</v>
      </c>
      <c r="J119" s="30">
        <f t="shared" si="20"/>
        <v>156.67200000000003</v>
      </c>
    </row>
    <row r="120" spans="1:10" s="23" customFormat="1" ht="14.25" customHeight="1">
      <c r="A120" s="34" t="s">
        <v>128</v>
      </c>
      <c r="B120" s="34">
        <v>3.75</v>
      </c>
      <c r="C120" s="34">
        <v>3.75</v>
      </c>
      <c r="D120" s="34"/>
      <c r="E120" s="38"/>
      <c r="F120" s="38"/>
      <c r="G120" s="38"/>
      <c r="H120" s="30">
        <f t="shared" si="18"/>
        <v>15.585999999999999</v>
      </c>
      <c r="I120" s="30">
        <f t="shared" si="19"/>
        <v>148.58600000000001</v>
      </c>
      <c r="J120" s="30">
        <f t="shared" si="20"/>
        <v>164.17200000000003</v>
      </c>
    </row>
    <row r="121" spans="1:10" s="23" customFormat="1" ht="14.25" customHeight="1">
      <c r="A121" s="34" t="s">
        <v>129</v>
      </c>
      <c r="B121" s="34"/>
      <c r="C121" s="34"/>
      <c r="D121" s="34"/>
      <c r="E121" s="38">
        <v>2</v>
      </c>
      <c r="F121" s="38"/>
      <c r="G121" s="38"/>
      <c r="H121" s="30">
        <f t="shared" si="18"/>
        <v>15.585999999999999</v>
      </c>
      <c r="I121" s="30">
        <f t="shared" si="19"/>
        <v>146.58600000000001</v>
      </c>
      <c r="J121" s="30">
        <f t="shared" si="20"/>
        <v>162.17200000000003</v>
      </c>
    </row>
    <row r="122" spans="1:10" s="23" customFormat="1" ht="14.25" customHeight="1">
      <c r="A122" s="34" t="s">
        <v>130</v>
      </c>
      <c r="B122" s="34"/>
      <c r="C122" s="34"/>
      <c r="D122" s="34"/>
      <c r="E122" s="38"/>
      <c r="F122" s="110">
        <v>2</v>
      </c>
      <c r="G122" s="38"/>
      <c r="H122" s="30">
        <f t="shared" si="18"/>
        <v>13.585999999999999</v>
      </c>
      <c r="I122" s="30">
        <f t="shared" si="19"/>
        <v>146.58600000000001</v>
      </c>
      <c r="J122" s="30">
        <f t="shared" si="20"/>
        <v>160.17200000000003</v>
      </c>
    </row>
    <row r="123" spans="1:10" s="23" customFormat="1" ht="14.25" customHeight="1">
      <c r="A123" s="34" t="s">
        <v>131</v>
      </c>
      <c r="B123" s="34">
        <v>1.25</v>
      </c>
      <c r="C123" s="34">
        <v>1.25</v>
      </c>
      <c r="D123" s="34"/>
      <c r="E123" s="38"/>
      <c r="F123" s="110"/>
      <c r="G123" s="38"/>
      <c r="H123" s="30">
        <f t="shared" si="18"/>
        <v>14.835999999999999</v>
      </c>
      <c r="I123" s="30">
        <f t="shared" si="19"/>
        <v>147.83600000000001</v>
      </c>
      <c r="J123" s="30">
        <f t="shared" si="20"/>
        <v>162.67200000000003</v>
      </c>
    </row>
    <row r="124" spans="1:10" s="23" customFormat="1" ht="14.25" customHeight="1">
      <c r="A124" s="34" t="s">
        <v>132</v>
      </c>
      <c r="B124" s="34"/>
      <c r="C124" s="34"/>
      <c r="D124" s="34"/>
      <c r="E124" s="38">
        <v>1</v>
      </c>
      <c r="F124" s="110"/>
      <c r="G124" s="38"/>
      <c r="H124" s="30">
        <f t="shared" si="18"/>
        <v>14.835999999999999</v>
      </c>
      <c r="I124" s="30">
        <f t="shared" si="19"/>
        <v>146.83600000000001</v>
      </c>
      <c r="J124" s="30">
        <f t="shared" si="20"/>
        <v>161.67200000000003</v>
      </c>
    </row>
    <row r="125" spans="1:10" s="23" customFormat="1" ht="14.25" customHeight="1">
      <c r="A125" s="34" t="s">
        <v>133</v>
      </c>
      <c r="B125" s="34"/>
      <c r="C125" s="34"/>
      <c r="D125" s="34"/>
      <c r="E125" s="38">
        <v>1</v>
      </c>
      <c r="F125" s="110"/>
      <c r="G125" s="38"/>
      <c r="H125" s="30">
        <f t="shared" si="18"/>
        <v>14.835999999999999</v>
      </c>
      <c r="I125" s="30">
        <f t="shared" si="19"/>
        <v>145.83600000000001</v>
      </c>
      <c r="J125" s="30">
        <f t="shared" si="20"/>
        <v>160.67200000000003</v>
      </c>
    </row>
    <row r="126" spans="1:10" s="23" customFormat="1" ht="14.25" customHeight="1">
      <c r="A126" s="34" t="s">
        <v>134</v>
      </c>
      <c r="B126" s="34"/>
      <c r="C126" s="34"/>
      <c r="D126" s="34"/>
      <c r="E126" s="38">
        <v>3</v>
      </c>
      <c r="F126" s="110"/>
      <c r="G126" s="38"/>
      <c r="H126" s="30">
        <f t="shared" si="18"/>
        <v>14.835999999999999</v>
      </c>
      <c r="I126" s="30">
        <f t="shared" si="19"/>
        <v>142.83600000000001</v>
      </c>
      <c r="J126" s="30">
        <f t="shared" si="20"/>
        <v>157.67200000000003</v>
      </c>
    </row>
    <row r="127" spans="1:10" s="23" customFormat="1" ht="14.25" customHeight="1">
      <c r="A127" s="34" t="s">
        <v>135</v>
      </c>
      <c r="B127" s="34"/>
      <c r="C127" s="34"/>
      <c r="D127" s="34"/>
      <c r="E127" s="38">
        <v>2</v>
      </c>
      <c r="F127" s="110"/>
      <c r="G127" s="38"/>
      <c r="H127" s="30">
        <f t="shared" ref="H127" si="21">H126-F127-D127+B127</f>
        <v>14.835999999999999</v>
      </c>
      <c r="I127" s="30">
        <f t="shared" ref="I127" si="22">I126-E127+C127</f>
        <v>140.83600000000001</v>
      </c>
      <c r="J127" s="30">
        <f t="shared" ref="J127" si="23">SUM(H127:I127)</f>
        <v>155.67200000000003</v>
      </c>
    </row>
    <row r="128" spans="1:10" s="23" customFormat="1" ht="14.25" customHeight="1">
      <c r="A128" s="34" t="s">
        <v>136</v>
      </c>
      <c r="B128" s="34">
        <v>1.25</v>
      </c>
      <c r="C128" s="34">
        <v>1.25</v>
      </c>
      <c r="D128" s="34"/>
      <c r="E128" s="38"/>
      <c r="F128" s="110"/>
      <c r="G128" s="38"/>
      <c r="H128" s="30">
        <f t="shared" ref="H128:H129" si="24">H127-F128-D128+B128</f>
        <v>16.085999999999999</v>
      </c>
      <c r="I128" s="30">
        <f t="shared" ref="I128:I129" si="25">I127-E128+C128</f>
        <v>142.08600000000001</v>
      </c>
      <c r="J128" s="30">
        <f t="shared" ref="J128:J129" si="26">SUM(H128:I128)</f>
        <v>158.17200000000003</v>
      </c>
    </row>
    <row r="129" spans="1:10" s="23" customFormat="1" ht="14.25" customHeight="1">
      <c r="A129" s="34" t="s">
        <v>137</v>
      </c>
      <c r="B129" s="34"/>
      <c r="C129" s="34"/>
      <c r="D129" s="34"/>
      <c r="E129" s="38"/>
      <c r="F129" s="110">
        <v>1</v>
      </c>
      <c r="G129" s="38"/>
      <c r="H129" s="30">
        <f t="shared" si="24"/>
        <v>15.085999999999999</v>
      </c>
      <c r="I129" s="30">
        <f t="shared" si="25"/>
        <v>142.08600000000001</v>
      </c>
      <c r="J129" s="30">
        <f t="shared" si="26"/>
        <v>157.17200000000003</v>
      </c>
    </row>
    <row r="130" spans="1:10" s="23" customFormat="1" ht="14.25" customHeight="1">
      <c r="A130" s="34" t="s">
        <v>138</v>
      </c>
      <c r="B130" s="34">
        <v>2.5</v>
      </c>
      <c r="C130" s="34">
        <v>2.5</v>
      </c>
      <c r="D130" s="34"/>
      <c r="E130" s="38"/>
      <c r="F130" s="110"/>
      <c r="G130" s="38"/>
      <c r="H130" s="30">
        <f t="shared" ref="H130:H131" si="27">H129-F130-D130+B130</f>
        <v>17.585999999999999</v>
      </c>
      <c r="I130" s="30">
        <f t="shared" ref="I130:I131" si="28">I129-E130+C130</f>
        <v>144.58600000000001</v>
      </c>
      <c r="J130" s="30">
        <f t="shared" ref="J130:J131" si="29">SUM(H130:I130)</f>
        <v>162.17200000000003</v>
      </c>
    </row>
    <row r="131" spans="1:10" s="23" customFormat="1" ht="14.25" customHeight="1">
      <c r="A131" s="34" t="s">
        <v>139</v>
      </c>
      <c r="B131" s="34"/>
      <c r="C131" s="34"/>
      <c r="D131" s="34"/>
      <c r="E131" s="38">
        <v>2</v>
      </c>
      <c r="F131" s="110"/>
      <c r="G131" s="38"/>
      <c r="H131" s="30">
        <f t="shared" si="27"/>
        <v>17.585999999999999</v>
      </c>
      <c r="I131" s="30">
        <f t="shared" si="28"/>
        <v>142.58600000000001</v>
      </c>
      <c r="J131" s="30">
        <f t="shared" si="29"/>
        <v>160.17200000000003</v>
      </c>
    </row>
    <row r="132" spans="1:10" s="23" customFormat="1" ht="14.25" customHeight="1">
      <c r="A132" s="34" t="s">
        <v>140</v>
      </c>
      <c r="B132" s="34">
        <v>1.25</v>
      </c>
      <c r="C132" s="34">
        <v>1.25</v>
      </c>
      <c r="D132" s="34"/>
      <c r="E132" s="38"/>
      <c r="F132" s="110"/>
      <c r="G132" s="38"/>
      <c r="H132" s="30">
        <f t="shared" ref="H132:H133" si="30">H131-F132-D132+B132</f>
        <v>18.835999999999999</v>
      </c>
      <c r="I132" s="30">
        <f t="shared" ref="I132:I133" si="31">I131-E132+C132</f>
        <v>143.83600000000001</v>
      </c>
      <c r="J132" s="30">
        <f t="shared" ref="J132:J133" si="32">SUM(H132:I132)</f>
        <v>162.67200000000003</v>
      </c>
    </row>
    <row r="133" spans="1:10" s="67" customFormat="1" ht="14.25" customHeight="1">
      <c r="A133" s="34" t="s">
        <v>141</v>
      </c>
      <c r="B133" s="34"/>
      <c r="C133" s="34"/>
      <c r="D133" s="34"/>
      <c r="E133" s="38">
        <v>3</v>
      </c>
      <c r="F133" s="110"/>
      <c r="G133" s="38"/>
      <c r="H133" s="30">
        <f t="shared" si="30"/>
        <v>18.835999999999999</v>
      </c>
      <c r="I133" s="30">
        <f t="shared" si="31"/>
        <v>140.83600000000001</v>
      </c>
      <c r="J133" s="30">
        <f t="shared" si="32"/>
        <v>159.67200000000003</v>
      </c>
    </row>
    <row r="134" spans="1:10" s="23" customFormat="1" ht="14.25" customHeight="1">
      <c r="A134" s="34" t="s">
        <v>142</v>
      </c>
      <c r="B134" s="34"/>
      <c r="C134" s="34"/>
      <c r="D134" s="34"/>
      <c r="E134" s="38"/>
      <c r="F134" s="110">
        <v>2</v>
      </c>
      <c r="G134" s="38"/>
      <c r="H134" s="30">
        <f t="shared" ref="H134" si="33">H133-F134-D134+B134</f>
        <v>16.835999999999999</v>
      </c>
      <c r="I134" s="30">
        <f t="shared" ref="I134" si="34">I133-E134+C134</f>
        <v>140.83600000000001</v>
      </c>
      <c r="J134" s="30">
        <f t="shared" ref="J134" si="35">SUM(H134:I134)</f>
        <v>157.67200000000003</v>
      </c>
    </row>
    <row r="135" spans="1:10" s="23" customFormat="1" ht="14.25" customHeight="1">
      <c r="A135" s="34" t="s">
        <v>143</v>
      </c>
      <c r="B135" s="34">
        <v>2.5</v>
      </c>
      <c r="C135" s="34">
        <v>2.5</v>
      </c>
      <c r="D135" s="34"/>
      <c r="E135" s="38"/>
      <c r="F135" s="38"/>
      <c r="G135" s="38"/>
      <c r="H135" s="30">
        <f t="shared" ref="H135:H136" si="36">H134-F135-D135+B135</f>
        <v>19.335999999999999</v>
      </c>
      <c r="I135" s="30">
        <f t="shared" ref="I135:I136" si="37">I134-E135+C135</f>
        <v>143.33600000000001</v>
      </c>
      <c r="J135" s="30">
        <f t="shared" ref="J135:J136" si="38">SUM(H135:I135)</f>
        <v>162.67200000000003</v>
      </c>
    </row>
    <row r="136" spans="1:10" s="23" customFormat="1" ht="14.25" customHeight="1">
      <c r="A136" s="34" t="s">
        <v>144</v>
      </c>
      <c r="B136" s="34"/>
      <c r="C136" s="34"/>
      <c r="D136" s="34"/>
      <c r="E136" s="38">
        <v>1</v>
      </c>
      <c r="F136" s="38"/>
      <c r="G136" s="38"/>
      <c r="H136" s="30">
        <f t="shared" si="36"/>
        <v>19.335999999999999</v>
      </c>
      <c r="I136" s="30">
        <f t="shared" si="37"/>
        <v>142.33600000000001</v>
      </c>
      <c r="J136" s="30">
        <f t="shared" si="38"/>
        <v>161.67200000000003</v>
      </c>
    </row>
    <row r="137" spans="1:10" s="23" customFormat="1" ht="14.25" customHeight="1">
      <c r="A137" s="34" t="s">
        <v>145</v>
      </c>
      <c r="B137" s="34"/>
      <c r="C137" s="34"/>
      <c r="D137" s="34"/>
      <c r="E137" s="38"/>
      <c r="F137" s="38"/>
      <c r="G137" s="110">
        <v>2</v>
      </c>
      <c r="H137" s="30">
        <f t="shared" ref="H137" si="39">H136-F137-D137+B137</f>
        <v>19.335999999999999</v>
      </c>
      <c r="I137" s="30">
        <f t="shared" ref="I137" si="40">I136-E137+C137</f>
        <v>142.33600000000001</v>
      </c>
      <c r="J137" s="30">
        <f t="shared" ref="J137" si="41">SUM(H137:I137)</f>
        <v>161.67200000000003</v>
      </c>
    </row>
    <row r="138" spans="1:10" s="23" customFormat="1" ht="14.25" customHeight="1">
      <c r="A138" s="34" t="s">
        <v>146</v>
      </c>
      <c r="B138" s="34">
        <v>1.25</v>
      </c>
      <c r="C138" s="34">
        <v>1.25</v>
      </c>
      <c r="D138" s="34"/>
      <c r="E138" s="38"/>
      <c r="F138" s="38"/>
      <c r="G138" s="38"/>
      <c r="H138" s="30">
        <f>H137-F138-D138+B138</f>
        <v>20.585999999999999</v>
      </c>
      <c r="I138" s="30">
        <f>I137-E138+C138</f>
        <v>143.58600000000001</v>
      </c>
      <c r="J138" s="30">
        <f>SUM(H138:I138)</f>
        <v>164.17200000000003</v>
      </c>
    </row>
    <row r="139" spans="1:10" s="23" customFormat="1" ht="14.25" customHeight="1">
      <c r="A139" s="34" t="s">
        <v>147</v>
      </c>
      <c r="B139" s="34"/>
      <c r="C139" s="34"/>
      <c r="D139" s="34"/>
      <c r="E139" s="38">
        <v>1</v>
      </c>
      <c r="F139" s="38"/>
      <c r="G139" s="38"/>
      <c r="H139" s="30">
        <f>H138-F139-D139+B139</f>
        <v>20.585999999999999</v>
      </c>
      <c r="I139" s="30">
        <f>I138-E139+C139</f>
        <v>142.58600000000001</v>
      </c>
      <c r="J139" s="30">
        <f>SUM(H139:I139)</f>
        <v>163.17200000000003</v>
      </c>
    </row>
    <row r="140" spans="1:10" s="23" customFormat="1" ht="14.25" customHeight="1">
      <c r="A140" s="34" t="s">
        <v>182</v>
      </c>
      <c r="B140" s="34">
        <v>1.25</v>
      </c>
      <c r="C140" s="34">
        <v>1.25</v>
      </c>
      <c r="D140" s="34"/>
      <c r="E140" s="38"/>
      <c r="F140" s="38"/>
      <c r="G140" s="38"/>
      <c r="H140" s="30">
        <f t="shared" ref="H140:H142" si="42">H139-F140-D140+B140</f>
        <v>21.835999999999999</v>
      </c>
      <c r="I140" s="30">
        <f t="shared" ref="I140:I142" si="43">I139-E140+C140</f>
        <v>143.83600000000001</v>
      </c>
      <c r="J140" s="30">
        <f t="shared" ref="J140:J142" si="44">SUM(H140:I140)</f>
        <v>165.67200000000003</v>
      </c>
    </row>
    <row r="141" spans="1:10">
      <c r="A141" s="34" t="s">
        <v>184</v>
      </c>
      <c r="B141" s="34"/>
      <c r="C141" s="34"/>
      <c r="D141" s="34"/>
      <c r="E141" s="37"/>
      <c r="F141" s="36"/>
      <c r="G141" s="71">
        <v>3</v>
      </c>
      <c r="H141" s="30">
        <f t="shared" si="42"/>
        <v>21.835999999999999</v>
      </c>
      <c r="I141" s="30">
        <f t="shared" si="43"/>
        <v>143.83600000000001</v>
      </c>
      <c r="J141" s="30">
        <f t="shared" si="44"/>
        <v>165.67200000000003</v>
      </c>
    </row>
    <row r="142" spans="1:10">
      <c r="A142" s="34" t="s">
        <v>183</v>
      </c>
      <c r="B142" s="34"/>
      <c r="C142" s="34"/>
      <c r="D142" s="34"/>
      <c r="E142" s="37"/>
      <c r="F142" s="46">
        <v>5</v>
      </c>
      <c r="G142" s="36"/>
      <c r="H142" s="30">
        <f t="shared" si="42"/>
        <v>16.835999999999999</v>
      </c>
      <c r="I142" s="30">
        <f t="shared" si="43"/>
        <v>143.83600000000001</v>
      </c>
      <c r="J142" s="30">
        <f t="shared" si="44"/>
        <v>160.67200000000003</v>
      </c>
    </row>
    <row r="143" spans="1:10">
      <c r="A143" s="34" t="s">
        <v>185</v>
      </c>
      <c r="B143" s="34"/>
      <c r="C143" s="34"/>
      <c r="D143" s="34"/>
      <c r="E143" s="34">
        <v>3</v>
      </c>
      <c r="F143" s="36"/>
      <c r="G143" s="36"/>
      <c r="H143" s="30">
        <f t="shared" ref="H143" si="45">H142-F143-D143+B143</f>
        <v>16.835999999999999</v>
      </c>
      <c r="I143" s="30">
        <f t="shared" ref="I143" si="46">I142-E143+C143</f>
        <v>140.83600000000001</v>
      </c>
      <c r="J143" s="30">
        <f t="shared" ref="J143" si="47">SUM(H143:I143)</f>
        <v>157.67200000000003</v>
      </c>
    </row>
    <row r="144" spans="1:10" s="23" customFormat="1">
      <c r="A144"/>
      <c r="B144"/>
      <c r="C144"/>
      <c r="D144"/>
      <c r="E144"/>
      <c r="F144" s="47"/>
      <c r="G144" s="47"/>
      <c r="H144"/>
      <c r="I144"/>
      <c r="J144"/>
    </row>
  </sheetData>
  <mergeCells count="13">
    <mergeCell ref="K11:K12"/>
    <mergeCell ref="B9:D9"/>
    <mergeCell ref="A10:J10"/>
    <mergeCell ref="B11:C11"/>
    <mergeCell ref="D11:G11"/>
    <mergeCell ref="H11:I11"/>
    <mergeCell ref="A11:A12"/>
    <mergeCell ref="J11:J12"/>
    <mergeCell ref="A2:J2"/>
    <mergeCell ref="A3:J3"/>
    <mergeCell ref="A4:J4"/>
    <mergeCell ref="A5:J5"/>
    <mergeCell ref="B7:D7"/>
  </mergeCells>
  <printOptions horizontalCentered="1"/>
  <pageMargins left="0.196850393700787" right="0.196850393700787" top="0.70866141732283505" bottom="0.511811023622047" header="0.31496062992126" footer="0.31496062992126"/>
  <pageSetup paperSize="9" scale="71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31"/>
  <sheetViews>
    <sheetView view="pageBreakPreview" topLeftCell="A102" zoomScale="106" zoomScaleNormal="100" workbookViewId="0">
      <selection activeCell="C81" sqref="C81"/>
    </sheetView>
  </sheetViews>
  <sheetFormatPr defaultColWidth="9" defaultRowHeight="15"/>
  <cols>
    <col min="1" max="1" width="38.5703125" customWidth="1"/>
    <col min="2" max="5" width="11.5703125" customWidth="1"/>
    <col min="6" max="7" width="11.5703125" style="47" customWidth="1"/>
    <col min="8" max="10" width="11.5703125" customWidth="1"/>
    <col min="11" max="11" width="26.42578125" style="23" customWidth="1"/>
  </cols>
  <sheetData>
    <row r="1" spans="1:11" s="21" customFormat="1" ht="52.5" customHeight="1"/>
    <row r="2" spans="1:11" s="21" customFormat="1" ht="10.5" customHeight="1">
      <c r="A2" s="72" t="s">
        <v>0</v>
      </c>
      <c r="B2" s="72"/>
      <c r="C2" s="72"/>
      <c r="D2" s="72"/>
      <c r="E2" s="72"/>
      <c r="F2" s="72"/>
      <c r="G2" s="72"/>
      <c r="H2" s="72"/>
      <c r="I2" s="72"/>
      <c r="J2" s="72"/>
    </row>
    <row r="3" spans="1:11" s="21" customFormat="1" ht="15.95" customHeight="1">
      <c r="A3" s="72" t="s">
        <v>1</v>
      </c>
      <c r="B3" s="72"/>
      <c r="C3" s="72"/>
      <c r="D3" s="72"/>
      <c r="E3" s="72"/>
      <c r="F3" s="72"/>
      <c r="G3" s="72"/>
      <c r="H3" s="72"/>
      <c r="I3" s="72"/>
      <c r="J3" s="72"/>
    </row>
    <row r="4" spans="1:11" s="21" customFormat="1" ht="15.95" customHeight="1">
      <c r="A4" s="72" t="s">
        <v>148</v>
      </c>
      <c r="B4" s="72"/>
      <c r="C4" s="72"/>
      <c r="D4" s="72"/>
      <c r="E4" s="72"/>
      <c r="F4" s="72"/>
      <c r="G4" s="72"/>
      <c r="H4" s="72"/>
      <c r="I4" s="72"/>
      <c r="J4" s="72"/>
    </row>
    <row r="5" spans="1:11" s="21" customFormat="1" ht="15.95" customHeight="1">
      <c r="A5" s="72" t="s">
        <v>3</v>
      </c>
      <c r="B5" s="72"/>
      <c r="C5" s="72"/>
      <c r="D5" s="72"/>
      <c r="E5" s="72"/>
      <c r="F5" s="72"/>
      <c r="G5" s="72"/>
      <c r="H5" s="72"/>
      <c r="I5" s="72"/>
      <c r="J5" s="72"/>
    </row>
    <row r="6" spans="1:11" s="21" customFormat="1" ht="8.25" customHeight="1"/>
    <row r="7" spans="1:11" s="21" customFormat="1" ht="12" customHeight="1">
      <c r="A7" s="21" t="s">
        <v>4</v>
      </c>
      <c r="B7" s="73" t="s">
        <v>5</v>
      </c>
      <c r="C7" s="73"/>
      <c r="D7" s="73"/>
      <c r="H7" s="25" t="s">
        <v>6</v>
      </c>
      <c r="I7" s="39"/>
      <c r="J7" s="25"/>
    </row>
    <row r="8" spans="1:11" s="21" customFormat="1" ht="12" customHeight="1">
      <c r="B8" s="26"/>
      <c r="C8" s="26"/>
      <c r="H8" s="26"/>
      <c r="I8" s="26"/>
      <c r="J8" s="26"/>
    </row>
    <row r="9" spans="1:11" s="21" customFormat="1" ht="12" customHeight="1">
      <c r="A9" s="21" t="s">
        <v>7</v>
      </c>
      <c r="B9" s="73" t="s">
        <v>8</v>
      </c>
      <c r="C9" s="73"/>
      <c r="D9" s="73"/>
      <c r="H9" s="25" t="s">
        <v>9</v>
      </c>
      <c r="I9" s="40"/>
      <c r="J9" s="25"/>
    </row>
    <row r="10" spans="1:11" ht="23.25" customHeight="1">
      <c r="A10" s="74" t="s">
        <v>10</v>
      </c>
      <c r="B10" s="74"/>
      <c r="C10" s="74"/>
      <c r="D10" s="74"/>
      <c r="E10" s="74"/>
      <c r="F10" s="74"/>
      <c r="G10" s="74"/>
      <c r="H10" s="74"/>
      <c r="I10" s="74"/>
      <c r="J10" s="74"/>
      <c r="K10"/>
    </row>
    <row r="11" spans="1:11" ht="18.75" customHeight="1">
      <c r="A11" s="82" t="s">
        <v>11</v>
      </c>
      <c r="B11" s="75" t="s">
        <v>12</v>
      </c>
      <c r="C11" s="76"/>
      <c r="D11" s="77" t="s">
        <v>13</v>
      </c>
      <c r="E11" s="78"/>
      <c r="F11" s="78"/>
      <c r="G11" s="79"/>
      <c r="H11" s="80" t="s">
        <v>14</v>
      </c>
      <c r="I11" s="81"/>
      <c r="J11" s="84" t="s">
        <v>15</v>
      </c>
      <c r="K11" s="86" t="s">
        <v>16</v>
      </c>
    </row>
    <row r="12" spans="1:11" ht="18.75" customHeight="1">
      <c r="A12" s="83"/>
      <c r="B12" s="51" t="s">
        <v>17</v>
      </c>
      <c r="C12" s="51" t="s">
        <v>18</v>
      </c>
      <c r="D12" s="51" t="s">
        <v>17</v>
      </c>
      <c r="E12" s="51" t="s">
        <v>18</v>
      </c>
      <c r="F12" s="51" t="s">
        <v>19</v>
      </c>
      <c r="G12" s="51" t="s">
        <v>20</v>
      </c>
      <c r="H12" s="51" t="s">
        <v>17</v>
      </c>
      <c r="I12" s="51" t="s">
        <v>18</v>
      </c>
      <c r="J12" s="85"/>
      <c r="K12" s="86"/>
    </row>
    <row r="13" spans="1:11" ht="30.75" customHeight="1">
      <c r="A13" s="52" t="s">
        <v>21</v>
      </c>
      <c r="B13" s="53">
        <v>7.5</v>
      </c>
      <c r="C13" s="53">
        <v>7.5</v>
      </c>
      <c r="D13" s="53"/>
      <c r="E13" s="53"/>
      <c r="F13" s="53"/>
      <c r="G13" s="53"/>
      <c r="H13" s="54">
        <f>B13</f>
        <v>7.5</v>
      </c>
      <c r="I13" s="54">
        <f>C13</f>
        <v>7.5</v>
      </c>
      <c r="J13" s="60">
        <f>SUM(H13:I13)</f>
        <v>15</v>
      </c>
    </row>
    <row r="14" spans="1:11" ht="18" customHeight="1">
      <c r="A14" s="29" t="s">
        <v>22</v>
      </c>
      <c r="B14" s="38">
        <v>15</v>
      </c>
      <c r="C14" s="38">
        <v>15</v>
      </c>
      <c r="D14" s="38"/>
      <c r="E14" s="38"/>
      <c r="F14" s="38"/>
      <c r="G14" s="38"/>
      <c r="H14" s="30">
        <f>H13-F14-D14+B14</f>
        <v>22.5</v>
      </c>
      <c r="I14" s="30">
        <f>I13-E14+C14</f>
        <v>22.5</v>
      </c>
      <c r="J14" s="41">
        <f>SUM(H14:I14)</f>
        <v>45</v>
      </c>
    </row>
    <row r="15" spans="1:11" ht="15.75" customHeight="1">
      <c r="A15" s="29" t="s">
        <v>23</v>
      </c>
      <c r="B15" s="38"/>
      <c r="C15" s="38"/>
      <c r="D15" s="38">
        <v>11</v>
      </c>
      <c r="E15" s="38">
        <v>11</v>
      </c>
      <c r="F15" s="38"/>
      <c r="G15" s="38"/>
      <c r="H15" s="30">
        <f t="shared" ref="H15:H44" si="0">H14-F15-D15+B15</f>
        <v>11.5</v>
      </c>
      <c r="I15" s="30">
        <f t="shared" ref="I15:I44" si="1">I14-E15+C15</f>
        <v>11.5</v>
      </c>
      <c r="J15" s="41">
        <f t="shared" ref="J15:J44" si="2">SUM(H15:I15)</f>
        <v>23</v>
      </c>
    </row>
    <row r="16" spans="1:11" ht="12.75" customHeight="1">
      <c r="A16" s="29" t="s">
        <v>24</v>
      </c>
      <c r="B16" s="38"/>
      <c r="C16" s="38"/>
      <c r="D16" s="38"/>
      <c r="E16" s="38"/>
      <c r="F16" s="38">
        <v>5</v>
      </c>
      <c r="G16" s="38"/>
      <c r="H16" s="30">
        <f t="shared" si="0"/>
        <v>6.5</v>
      </c>
      <c r="I16" s="30">
        <f t="shared" si="1"/>
        <v>11.5</v>
      </c>
      <c r="J16" s="41">
        <f t="shared" si="2"/>
        <v>18</v>
      </c>
    </row>
    <row r="17" spans="1:10" ht="12.75" customHeight="1">
      <c r="A17" s="29" t="s">
        <v>25</v>
      </c>
      <c r="B17" s="38">
        <v>15</v>
      </c>
      <c r="C17" s="38">
        <v>15</v>
      </c>
      <c r="D17" s="38"/>
      <c r="E17" s="38"/>
      <c r="F17" s="38"/>
      <c r="G17" s="38"/>
      <c r="H17" s="30">
        <f t="shared" si="0"/>
        <v>21.5</v>
      </c>
      <c r="I17" s="30">
        <f t="shared" si="1"/>
        <v>26.5</v>
      </c>
      <c r="J17" s="41">
        <f t="shared" si="2"/>
        <v>48</v>
      </c>
    </row>
    <row r="18" spans="1:10" ht="12" customHeight="1">
      <c r="A18" s="29" t="s">
        <v>26</v>
      </c>
      <c r="B18" s="38"/>
      <c r="C18" s="38"/>
      <c r="D18" s="38">
        <v>12</v>
      </c>
      <c r="E18" s="38"/>
      <c r="F18" s="38"/>
      <c r="G18" s="38"/>
      <c r="H18" s="30">
        <f t="shared" si="0"/>
        <v>9.5</v>
      </c>
      <c r="I18" s="30">
        <f t="shared" si="1"/>
        <v>26.5</v>
      </c>
      <c r="J18" s="41">
        <f t="shared" si="2"/>
        <v>36</v>
      </c>
    </row>
    <row r="19" spans="1:10" ht="12" customHeight="1">
      <c r="A19" s="29" t="s">
        <v>27</v>
      </c>
      <c r="B19" s="38"/>
      <c r="C19" s="38"/>
      <c r="D19" s="38"/>
      <c r="E19" s="38"/>
      <c r="F19" s="38">
        <v>5</v>
      </c>
      <c r="G19" s="38"/>
      <c r="H19" s="30">
        <f t="shared" si="0"/>
        <v>4.5</v>
      </c>
      <c r="I19" s="30">
        <f t="shared" si="1"/>
        <v>26.5</v>
      </c>
      <c r="J19" s="41">
        <f t="shared" si="2"/>
        <v>31</v>
      </c>
    </row>
    <row r="20" spans="1:10" ht="12" customHeight="1">
      <c r="A20" s="29" t="s">
        <v>28</v>
      </c>
      <c r="B20" s="38">
        <v>15</v>
      </c>
      <c r="C20" s="38">
        <v>15</v>
      </c>
      <c r="D20" s="38"/>
      <c r="E20" s="38"/>
      <c r="F20" s="38"/>
      <c r="G20" s="38"/>
      <c r="H20" s="30">
        <f t="shared" si="0"/>
        <v>19.5</v>
      </c>
      <c r="I20" s="30">
        <f t="shared" si="1"/>
        <v>41.5</v>
      </c>
      <c r="J20" s="41">
        <f t="shared" si="2"/>
        <v>61</v>
      </c>
    </row>
    <row r="21" spans="1:10" ht="12" customHeight="1">
      <c r="A21" s="29" t="s">
        <v>29</v>
      </c>
      <c r="B21" s="38"/>
      <c r="C21" s="38"/>
      <c r="D21" s="38">
        <v>10</v>
      </c>
      <c r="E21" s="38">
        <v>20</v>
      </c>
      <c r="F21" s="38"/>
      <c r="G21" s="38"/>
      <c r="H21" s="30">
        <f t="shared" si="0"/>
        <v>9.5</v>
      </c>
      <c r="I21" s="30">
        <f t="shared" si="1"/>
        <v>21.5</v>
      </c>
      <c r="J21" s="41">
        <f t="shared" si="2"/>
        <v>31</v>
      </c>
    </row>
    <row r="22" spans="1:10" ht="12" customHeight="1">
      <c r="A22" s="29" t="s">
        <v>30</v>
      </c>
      <c r="B22" s="38"/>
      <c r="C22" s="38"/>
      <c r="D22" s="38"/>
      <c r="E22" s="38"/>
      <c r="F22" s="38">
        <v>5</v>
      </c>
      <c r="G22" s="38"/>
      <c r="H22" s="30">
        <f t="shared" si="0"/>
        <v>4.5</v>
      </c>
      <c r="I22" s="30">
        <f t="shared" si="1"/>
        <v>21.5</v>
      </c>
      <c r="J22" s="41">
        <f t="shared" si="2"/>
        <v>26</v>
      </c>
    </row>
    <row r="23" spans="1:10" ht="33" customHeight="1">
      <c r="A23" s="55" t="s">
        <v>31</v>
      </c>
      <c r="B23" s="38">
        <v>1.0860000000000001</v>
      </c>
      <c r="C23" s="38">
        <v>1.0860000000000001</v>
      </c>
      <c r="D23" s="38"/>
      <c r="E23" s="38"/>
      <c r="F23" s="38"/>
      <c r="G23" s="38"/>
      <c r="H23" s="30">
        <f t="shared" si="0"/>
        <v>5.5860000000000003</v>
      </c>
      <c r="I23" s="30">
        <f t="shared" si="1"/>
        <v>22.585999999999999</v>
      </c>
      <c r="J23" s="41">
        <f t="shared" si="2"/>
        <v>28.172000000000001</v>
      </c>
    </row>
    <row r="24" spans="1:10" ht="13.5" customHeight="1">
      <c r="A24" s="29" t="s">
        <v>149</v>
      </c>
      <c r="B24" s="38">
        <v>6.25</v>
      </c>
      <c r="C24" s="38">
        <v>6.25</v>
      </c>
      <c r="D24" s="38"/>
      <c r="E24" s="38"/>
      <c r="F24" s="38"/>
      <c r="G24" s="38"/>
      <c r="H24" s="30">
        <f t="shared" si="0"/>
        <v>11.836</v>
      </c>
      <c r="I24" s="30">
        <f t="shared" si="1"/>
        <v>28.835999999999999</v>
      </c>
      <c r="J24" s="41">
        <f t="shared" si="2"/>
        <v>40.671999999999997</v>
      </c>
    </row>
    <row r="25" spans="1:10" ht="12.75" customHeight="1">
      <c r="A25" s="29" t="s">
        <v>33</v>
      </c>
      <c r="B25" s="38"/>
      <c r="C25" s="38"/>
      <c r="D25" s="38"/>
      <c r="E25" s="38">
        <v>2</v>
      </c>
      <c r="F25" s="38"/>
      <c r="G25" s="38"/>
      <c r="H25" s="30">
        <f t="shared" si="0"/>
        <v>11.836</v>
      </c>
      <c r="I25" s="30">
        <f t="shared" si="1"/>
        <v>26.835999999999999</v>
      </c>
      <c r="J25" s="41">
        <f t="shared" si="2"/>
        <v>38.671999999999997</v>
      </c>
    </row>
    <row r="26" spans="1:10" ht="12" customHeight="1">
      <c r="A26" s="29" t="s">
        <v>34</v>
      </c>
      <c r="B26" s="38">
        <v>8.75</v>
      </c>
      <c r="C26" s="38">
        <v>8.75</v>
      </c>
      <c r="D26" s="38"/>
      <c r="E26" s="38"/>
      <c r="F26" s="38"/>
      <c r="G26" s="38"/>
      <c r="H26" s="30">
        <f t="shared" si="0"/>
        <v>20.585999999999999</v>
      </c>
      <c r="I26" s="30">
        <f t="shared" si="1"/>
        <v>35.585999999999999</v>
      </c>
      <c r="J26" s="41">
        <f t="shared" si="2"/>
        <v>56.171999999999997</v>
      </c>
    </row>
    <row r="27" spans="1:10" ht="12" customHeight="1">
      <c r="A27" s="29" t="s">
        <v>35</v>
      </c>
      <c r="B27" s="38"/>
      <c r="C27" s="38"/>
      <c r="D27" s="38">
        <v>10</v>
      </c>
      <c r="E27" s="38">
        <v>5</v>
      </c>
      <c r="F27" s="38"/>
      <c r="G27" s="38"/>
      <c r="H27" s="30">
        <f t="shared" si="0"/>
        <v>10.586</v>
      </c>
      <c r="I27" s="30">
        <f t="shared" si="1"/>
        <v>30.585999999999999</v>
      </c>
      <c r="J27" s="41">
        <f t="shared" si="2"/>
        <v>41.171999999999997</v>
      </c>
    </row>
    <row r="28" spans="1:10" ht="12" customHeight="1">
      <c r="A28" s="29" t="s">
        <v>36</v>
      </c>
      <c r="B28" s="38"/>
      <c r="C28" s="38"/>
      <c r="D28" s="38"/>
      <c r="E28" s="38">
        <v>15</v>
      </c>
      <c r="F28" s="38"/>
      <c r="G28" s="38"/>
      <c r="H28" s="30">
        <f t="shared" si="0"/>
        <v>10.586</v>
      </c>
      <c r="I28" s="30">
        <f t="shared" si="1"/>
        <v>15.586</v>
      </c>
      <c r="J28" s="41">
        <f t="shared" si="2"/>
        <v>26.172000000000001</v>
      </c>
    </row>
    <row r="29" spans="1:10" ht="12" customHeight="1">
      <c r="A29" s="29" t="s">
        <v>37</v>
      </c>
      <c r="B29" s="38"/>
      <c r="C29" s="38"/>
      <c r="D29" s="38"/>
      <c r="E29" s="38"/>
      <c r="F29" s="38">
        <v>5</v>
      </c>
      <c r="G29" s="38"/>
      <c r="H29" s="30">
        <f t="shared" si="0"/>
        <v>5.5860000000000003</v>
      </c>
      <c r="I29" s="30">
        <f t="shared" si="1"/>
        <v>15.586</v>
      </c>
      <c r="J29" s="41">
        <f t="shared" si="2"/>
        <v>21.172000000000001</v>
      </c>
    </row>
    <row r="30" spans="1:10" ht="16.5" customHeight="1">
      <c r="A30" s="55" t="s">
        <v>38</v>
      </c>
      <c r="B30" s="38">
        <v>11.25</v>
      </c>
      <c r="C30" s="38">
        <v>11.25</v>
      </c>
      <c r="D30" s="38"/>
      <c r="E30" s="38"/>
      <c r="F30" s="38"/>
      <c r="G30" s="38"/>
      <c r="H30" s="30">
        <f t="shared" si="0"/>
        <v>16.835999999999999</v>
      </c>
      <c r="I30" s="30">
        <f t="shared" si="1"/>
        <v>26.835999999999999</v>
      </c>
      <c r="J30" s="41">
        <f t="shared" si="2"/>
        <v>43.671999999999997</v>
      </c>
    </row>
    <row r="31" spans="1:10" ht="18" customHeight="1">
      <c r="A31" s="31" t="s">
        <v>39</v>
      </c>
      <c r="B31" s="38"/>
      <c r="C31" s="38"/>
      <c r="D31" s="38">
        <v>10</v>
      </c>
      <c r="E31" s="38">
        <v>20</v>
      </c>
      <c r="F31" s="38"/>
      <c r="G31" s="38"/>
      <c r="H31" s="30">
        <f t="shared" si="0"/>
        <v>6.8360000000000003</v>
      </c>
      <c r="I31" s="30">
        <f t="shared" si="1"/>
        <v>6.8360000000000003</v>
      </c>
      <c r="J31" s="41">
        <f t="shared" si="2"/>
        <v>13.672000000000001</v>
      </c>
    </row>
    <row r="32" spans="1:10" ht="13.5" customHeight="1">
      <c r="A32" s="31" t="s">
        <v>40</v>
      </c>
      <c r="B32" s="38">
        <v>3.75</v>
      </c>
      <c r="C32" s="38">
        <v>3.75</v>
      </c>
      <c r="D32" s="38"/>
      <c r="E32" s="38"/>
      <c r="F32" s="38"/>
      <c r="G32" s="38"/>
      <c r="H32" s="30">
        <f t="shared" si="0"/>
        <v>10.586</v>
      </c>
      <c r="I32" s="30">
        <f t="shared" si="1"/>
        <v>10.586</v>
      </c>
      <c r="J32" s="41">
        <f t="shared" si="2"/>
        <v>21.172000000000001</v>
      </c>
    </row>
    <row r="33" spans="1:11" ht="16.5" customHeight="1">
      <c r="A33" s="29" t="s">
        <v>41</v>
      </c>
      <c r="B33" s="38"/>
      <c r="C33" s="38"/>
      <c r="D33" s="38"/>
      <c r="E33" s="38"/>
      <c r="F33" s="38">
        <v>5</v>
      </c>
      <c r="G33" s="38"/>
      <c r="H33" s="30">
        <f t="shared" si="0"/>
        <v>5.5860000000000003</v>
      </c>
      <c r="I33" s="30">
        <f t="shared" si="1"/>
        <v>10.586</v>
      </c>
      <c r="J33" s="41">
        <f t="shared" si="2"/>
        <v>16.172000000000001</v>
      </c>
    </row>
    <row r="34" spans="1:11" ht="15.75" customHeight="1">
      <c r="A34" s="29" t="s">
        <v>42</v>
      </c>
      <c r="B34" s="38">
        <v>15</v>
      </c>
      <c r="C34" s="38">
        <v>15</v>
      </c>
      <c r="D34" s="38"/>
      <c r="E34" s="38"/>
      <c r="F34" s="38"/>
      <c r="G34" s="38"/>
      <c r="H34" s="30">
        <f t="shared" si="0"/>
        <v>20.585999999999999</v>
      </c>
      <c r="I34" s="30">
        <f t="shared" si="1"/>
        <v>25.585999999999999</v>
      </c>
      <c r="J34" s="41">
        <f t="shared" si="2"/>
        <v>46.171999999999997</v>
      </c>
    </row>
    <row r="35" spans="1:11" ht="14.25" customHeight="1">
      <c r="A35" s="29" t="s">
        <v>43</v>
      </c>
      <c r="B35" s="38"/>
      <c r="C35" s="38"/>
      <c r="D35" s="38">
        <v>10</v>
      </c>
      <c r="E35" s="38">
        <v>20</v>
      </c>
      <c r="F35" s="38"/>
      <c r="G35" s="38"/>
      <c r="H35" s="30">
        <f t="shared" si="0"/>
        <v>10.586</v>
      </c>
      <c r="I35" s="30">
        <f t="shared" si="1"/>
        <v>5.5860000000000003</v>
      </c>
      <c r="J35" s="41">
        <f t="shared" si="2"/>
        <v>16.172000000000001</v>
      </c>
    </row>
    <row r="36" spans="1:11" ht="15" customHeight="1">
      <c r="A36" s="29" t="s">
        <v>44</v>
      </c>
      <c r="B36" s="38"/>
      <c r="C36" s="38"/>
      <c r="D36" s="38"/>
      <c r="E36" s="38"/>
      <c r="F36" s="38">
        <v>5</v>
      </c>
      <c r="G36" s="38"/>
      <c r="H36" s="30">
        <f t="shared" si="0"/>
        <v>5.5860000000000003</v>
      </c>
      <c r="I36" s="30">
        <f t="shared" si="1"/>
        <v>5.5860000000000003</v>
      </c>
      <c r="J36" s="41">
        <f t="shared" si="2"/>
        <v>11.172000000000001</v>
      </c>
    </row>
    <row r="37" spans="1:11" ht="18" customHeight="1">
      <c r="A37" s="29" t="s">
        <v>45</v>
      </c>
      <c r="B37" s="38">
        <v>7.5</v>
      </c>
      <c r="C37" s="38">
        <v>7.5</v>
      </c>
      <c r="D37" s="38"/>
      <c r="E37" s="38"/>
      <c r="F37" s="38"/>
      <c r="G37" s="38"/>
      <c r="H37" s="30">
        <f t="shared" si="0"/>
        <v>13.086</v>
      </c>
      <c r="I37" s="30">
        <f t="shared" si="1"/>
        <v>13.086</v>
      </c>
      <c r="J37" s="41">
        <f t="shared" si="2"/>
        <v>26.172000000000001</v>
      </c>
    </row>
    <row r="38" spans="1:11" ht="15" customHeight="1">
      <c r="A38" s="29" t="s">
        <v>46</v>
      </c>
      <c r="B38" s="38"/>
      <c r="C38" s="38"/>
      <c r="D38" s="38"/>
      <c r="E38" s="38"/>
      <c r="F38" s="38">
        <v>2.5</v>
      </c>
      <c r="G38" s="38"/>
      <c r="H38" s="30">
        <f t="shared" si="0"/>
        <v>10.586</v>
      </c>
      <c r="I38" s="30">
        <f t="shared" si="1"/>
        <v>13.086</v>
      </c>
      <c r="J38" s="41">
        <f t="shared" si="2"/>
        <v>23.672000000000001</v>
      </c>
    </row>
    <row r="39" spans="1:11" s="50" customFormat="1" ht="13.5" customHeight="1">
      <c r="A39" s="29" t="s">
        <v>47</v>
      </c>
      <c r="B39" s="38">
        <v>7.5</v>
      </c>
      <c r="C39" s="38">
        <v>7.5</v>
      </c>
      <c r="D39" s="38"/>
      <c r="E39" s="38"/>
      <c r="F39" s="38"/>
      <c r="G39" s="38"/>
      <c r="H39" s="30">
        <f t="shared" si="0"/>
        <v>18.085999999999999</v>
      </c>
      <c r="I39" s="30">
        <f t="shared" si="1"/>
        <v>20.585999999999999</v>
      </c>
      <c r="J39" s="41">
        <f t="shared" si="2"/>
        <v>38.671999999999997</v>
      </c>
      <c r="K39" s="61"/>
    </row>
    <row r="40" spans="1:11" s="50" customFormat="1" ht="12" customHeight="1">
      <c r="A40" s="29" t="s">
        <v>48</v>
      </c>
      <c r="B40" s="38"/>
      <c r="C40" s="38"/>
      <c r="D40" s="38"/>
      <c r="E40" s="38"/>
      <c r="F40" s="38">
        <v>2.5</v>
      </c>
      <c r="G40" s="38"/>
      <c r="H40" s="30">
        <f t="shared" si="0"/>
        <v>15.586</v>
      </c>
      <c r="I40" s="30">
        <f t="shared" si="1"/>
        <v>20.585999999999999</v>
      </c>
      <c r="J40" s="41">
        <f t="shared" si="2"/>
        <v>36.171999999999997</v>
      </c>
      <c r="K40" s="61"/>
    </row>
    <row r="41" spans="1:11" s="50" customFormat="1" ht="12.75" customHeight="1">
      <c r="A41" s="29" t="s">
        <v>49</v>
      </c>
      <c r="B41" s="38">
        <v>45</v>
      </c>
      <c r="C41" s="38">
        <v>45</v>
      </c>
      <c r="D41" s="38"/>
      <c r="E41" s="38"/>
      <c r="F41" s="38"/>
      <c r="G41" s="38"/>
      <c r="H41" s="30">
        <f t="shared" si="0"/>
        <v>60.585999999999999</v>
      </c>
      <c r="I41" s="30">
        <f t="shared" si="1"/>
        <v>65.585999999999999</v>
      </c>
      <c r="J41" s="41">
        <f t="shared" si="2"/>
        <v>126.172</v>
      </c>
      <c r="K41" s="61"/>
    </row>
    <row r="42" spans="1:11" ht="15.75" customHeight="1">
      <c r="A42" s="29" t="s">
        <v>50</v>
      </c>
      <c r="B42" s="38"/>
      <c r="C42" s="38"/>
      <c r="D42" s="38"/>
      <c r="E42" s="38"/>
      <c r="F42" s="38">
        <v>15</v>
      </c>
      <c r="G42" s="38"/>
      <c r="H42" s="30">
        <f t="shared" si="0"/>
        <v>45.585999999999999</v>
      </c>
      <c r="I42" s="30">
        <f t="shared" si="1"/>
        <v>65.585999999999999</v>
      </c>
      <c r="J42" s="41">
        <f t="shared" si="2"/>
        <v>111.172</v>
      </c>
    </row>
    <row r="43" spans="1:11" ht="15.75" customHeight="1">
      <c r="A43" s="29" t="s">
        <v>51</v>
      </c>
      <c r="B43" s="38"/>
      <c r="C43" s="38"/>
      <c r="D43" s="38">
        <v>10</v>
      </c>
      <c r="E43" s="38"/>
      <c r="F43" s="38"/>
      <c r="G43" s="38"/>
      <c r="H43" s="30">
        <f t="shared" si="0"/>
        <v>35.585999999999999</v>
      </c>
      <c r="I43" s="30">
        <f t="shared" si="1"/>
        <v>65.585999999999999</v>
      </c>
      <c r="J43" s="41">
        <f t="shared" si="2"/>
        <v>101.172</v>
      </c>
    </row>
    <row r="44" spans="1:11" s="50" customFormat="1" ht="16.5" customHeight="1">
      <c r="A44" s="29" t="s">
        <v>52</v>
      </c>
      <c r="B44" s="38">
        <v>15</v>
      </c>
      <c r="C44" s="38">
        <v>15</v>
      </c>
      <c r="D44" s="38"/>
      <c r="E44" s="38"/>
      <c r="F44" s="38"/>
      <c r="G44" s="38"/>
      <c r="H44" s="30">
        <f t="shared" si="0"/>
        <v>50.585999999999999</v>
      </c>
      <c r="I44" s="30">
        <f t="shared" si="1"/>
        <v>80.585999999999999</v>
      </c>
      <c r="J44" s="41">
        <f t="shared" si="2"/>
        <v>131.172</v>
      </c>
      <c r="K44" s="61"/>
    </row>
    <row r="45" spans="1:11" s="50" customFormat="1" ht="14.25" customHeight="1">
      <c r="A45" s="29" t="s">
        <v>53</v>
      </c>
      <c r="B45" s="38"/>
      <c r="C45" s="38"/>
      <c r="D45" s="38">
        <v>10</v>
      </c>
      <c r="E45" s="38"/>
      <c r="F45" s="38"/>
      <c r="G45" s="38"/>
      <c r="H45" s="30">
        <f t="shared" ref="H45:H108" si="3">H44-F45-D45+B45</f>
        <v>40.585999999999999</v>
      </c>
      <c r="I45" s="30">
        <f t="shared" ref="I45:I108" si="4">I44-E45+C45</f>
        <v>80.585999999999999</v>
      </c>
      <c r="J45" s="41">
        <f t="shared" ref="J45:J108" si="5">SUM(H45:I45)</f>
        <v>121.172</v>
      </c>
      <c r="K45" s="61"/>
    </row>
    <row r="46" spans="1:11" ht="15.75" customHeight="1">
      <c r="A46" s="29" t="s">
        <v>54</v>
      </c>
      <c r="B46" s="38"/>
      <c r="C46" s="38"/>
      <c r="D46" s="38"/>
      <c r="E46" s="38"/>
      <c r="F46" s="38">
        <v>5</v>
      </c>
      <c r="G46" s="38"/>
      <c r="H46" s="30">
        <f t="shared" si="3"/>
        <v>35.585999999999999</v>
      </c>
      <c r="I46" s="30">
        <f t="shared" si="4"/>
        <v>80.585999999999999</v>
      </c>
      <c r="J46" s="41">
        <f t="shared" si="5"/>
        <v>116.172</v>
      </c>
    </row>
    <row r="47" spans="1:11" ht="16.5" customHeight="1">
      <c r="A47" s="29" t="s">
        <v>55</v>
      </c>
      <c r="B47" s="38">
        <v>15</v>
      </c>
      <c r="C47" s="38">
        <v>15</v>
      </c>
      <c r="D47" s="38"/>
      <c r="E47" s="38"/>
      <c r="F47" s="38"/>
      <c r="G47" s="38"/>
      <c r="H47" s="30">
        <f t="shared" si="3"/>
        <v>50.585999999999999</v>
      </c>
      <c r="I47" s="30">
        <f t="shared" si="4"/>
        <v>95.585999999999999</v>
      </c>
      <c r="J47" s="41">
        <f t="shared" si="5"/>
        <v>146.172</v>
      </c>
    </row>
    <row r="48" spans="1:11" ht="17.25" customHeight="1">
      <c r="A48" s="29" t="s">
        <v>56</v>
      </c>
      <c r="B48" s="38"/>
      <c r="C48" s="38"/>
      <c r="D48" s="38"/>
      <c r="E48" s="38"/>
      <c r="F48" s="38">
        <v>5</v>
      </c>
      <c r="G48" s="38"/>
      <c r="H48" s="30">
        <f t="shared" si="3"/>
        <v>45.585999999999999</v>
      </c>
      <c r="I48" s="30">
        <f t="shared" si="4"/>
        <v>95.585999999999999</v>
      </c>
      <c r="J48" s="41">
        <f t="shared" si="5"/>
        <v>141.172</v>
      </c>
    </row>
    <row r="49" spans="1:10" ht="14.25" customHeight="1">
      <c r="A49" s="29" t="s">
        <v>57</v>
      </c>
      <c r="B49" s="38">
        <v>13.75</v>
      </c>
      <c r="C49" s="38">
        <v>13.75</v>
      </c>
      <c r="D49" s="38"/>
      <c r="E49" s="38"/>
      <c r="F49" s="38"/>
      <c r="G49" s="56"/>
      <c r="H49" s="30">
        <f t="shared" si="3"/>
        <v>59.335999999999999</v>
      </c>
      <c r="I49" s="30">
        <f t="shared" si="4"/>
        <v>109.336</v>
      </c>
      <c r="J49" s="41">
        <f t="shared" si="5"/>
        <v>168.672</v>
      </c>
    </row>
    <row r="50" spans="1:10" ht="16.5" customHeight="1">
      <c r="A50" s="29" t="s">
        <v>58</v>
      </c>
      <c r="B50" s="38"/>
      <c r="C50" s="38"/>
      <c r="D50" s="38">
        <v>15</v>
      </c>
      <c r="E50" s="38"/>
      <c r="F50" s="38"/>
      <c r="G50" s="56"/>
      <c r="H50" s="30">
        <f t="shared" si="3"/>
        <v>44.335999999999999</v>
      </c>
      <c r="I50" s="30">
        <f t="shared" si="4"/>
        <v>109.336</v>
      </c>
      <c r="J50" s="41">
        <f t="shared" si="5"/>
        <v>153.672</v>
      </c>
    </row>
    <row r="51" spans="1:10" ht="12" customHeight="1">
      <c r="A51" s="57" t="s">
        <v>59</v>
      </c>
      <c r="B51" s="56">
        <v>1.25</v>
      </c>
      <c r="C51" s="56">
        <v>1.25</v>
      </c>
      <c r="D51" s="56"/>
      <c r="E51" s="56"/>
      <c r="F51" s="56"/>
      <c r="G51" s="56"/>
      <c r="H51" s="30">
        <f t="shared" si="3"/>
        <v>45.585999999999999</v>
      </c>
      <c r="I51" s="30">
        <f t="shared" si="4"/>
        <v>110.586</v>
      </c>
      <c r="J51" s="41">
        <f t="shared" si="5"/>
        <v>156.172</v>
      </c>
    </row>
    <row r="52" spans="1:10" ht="16.5" customHeight="1">
      <c r="A52" s="29" t="s">
        <v>60</v>
      </c>
      <c r="B52" s="56"/>
      <c r="C52" s="56"/>
      <c r="D52" s="56"/>
      <c r="E52" s="56"/>
      <c r="F52" s="56">
        <v>5</v>
      </c>
      <c r="G52" s="56"/>
      <c r="H52" s="30">
        <f t="shared" si="3"/>
        <v>40.585999999999999</v>
      </c>
      <c r="I52" s="30">
        <f t="shared" si="4"/>
        <v>110.586</v>
      </c>
      <c r="J52" s="41">
        <f t="shared" si="5"/>
        <v>151.172</v>
      </c>
    </row>
    <row r="53" spans="1:10" ht="14.25" customHeight="1">
      <c r="A53" s="58" t="s">
        <v>61</v>
      </c>
      <c r="B53" s="56">
        <v>7.5</v>
      </c>
      <c r="C53" s="56">
        <v>7.5</v>
      </c>
      <c r="D53" s="56"/>
      <c r="E53" s="56"/>
      <c r="F53" s="56"/>
      <c r="G53" s="56"/>
      <c r="H53" s="30">
        <f t="shared" si="3"/>
        <v>48.085999999999999</v>
      </c>
      <c r="I53" s="30">
        <f t="shared" si="4"/>
        <v>118.086</v>
      </c>
      <c r="J53" s="41">
        <f t="shared" si="5"/>
        <v>166.172</v>
      </c>
    </row>
    <row r="54" spans="1:10" ht="16.5" customHeight="1">
      <c r="A54" s="59" t="s">
        <v>62</v>
      </c>
      <c r="B54" s="38"/>
      <c r="C54" s="38"/>
      <c r="D54" s="38">
        <v>29</v>
      </c>
      <c r="E54" s="38"/>
      <c r="F54" s="38"/>
      <c r="G54" s="38"/>
      <c r="H54" s="30">
        <f t="shared" si="3"/>
        <v>19.085999999999999</v>
      </c>
      <c r="I54" s="30">
        <f t="shared" si="4"/>
        <v>118.086</v>
      </c>
      <c r="J54" s="41">
        <f t="shared" si="5"/>
        <v>137.172</v>
      </c>
    </row>
    <row r="55" spans="1:10" ht="15.75" customHeight="1">
      <c r="A55" s="59" t="s">
        <v>63</v>
      </c>
      <c r="B55" s="38">
        <v>2.5</v>
      </c>
      <c r="C55" s="38">
        <v>2.5</v>
      </c>
      <c r="D55" s="38"/>
      <c r="E55" s="38"/>
      <c r="F55" s="38"/>
      <c r="G55" s="38"/>
      <c r="H55" s="30">
        <f t="shared" si="3"/>
        <v>21.585999999999999</v>
      </c>
      <c r="I55" s="30">
        <f t="shared" si="4"/>
        <v>120.586</v>
      </c>
      <c r="J55" s="41">
        <f t="shared" si="5"/>
        <v>142.172</v>
      </c>
    </row>
    <row r="56" spans="1:10" ht="16.5" customHeight="1">
      <c r="A56" s="59" t="s">
        <v>64</v>
      </c>
      <c r="B56" s="38"/>
      <c r="C56" s="38"/>
      <c r="D56" s="38"/>
      <c r="E56" s="38"/>
      <c r="F56" s="38">
        <v>5</v>
      </c>
      <c r="G56" s="38"/>
      <c r="H56" s="30">
        <f t="shared" si="3"/>
        <v>16.585999999999999</v>
      </c>
      <c r="I56" s="30">
        <f t="shared" si="4"/>
        <v>120.586</v>
      </c>
      <c r="J56" s="41">
        <f t="shared" si="5"/>
        <v>137.172</v>
      </c>
    </row>
    <row r="57" spans="1:10" ht="14.25" customHeight="1">
      <c r="A57" s="59" t="s">
        <v>65</v>
      </c>
      <c r="B57" s="38">
        <v>5</v>
      </c>
      <c r="C57" s="38">
        <v>5</v>
      </c>
      <c r="D57" s="38"/>
      <c r="E57" s="38"/>
      <c r="F57" s="38"/>
      <c r="G57" s="38"/>
      <c r="H57" s="30">
        <f t="shared" si="3"/>
        <v>21.585999999999999</v>
      </c>
      <c r="I57" s="30">
        <f t="shared" si="4"/>
        <v>125.586</v>
      </c>
      <c r="J57" s="41">
        <f t="shared" si="5"/>
        <v>147.172</v>
      </c>
    </row>
    <row r="58" spans="1:10" ht="15" customHeight="1">
      <c r="A58" s="58" t="s">
        <v>66</v>
      </c>
      <c r="B58" s="38">
        <v>1.25</v>
      </c>
      <c r="C58" s="38">
        <v>1.25</v>
      </c>
      <c r="D58" s="38"/>
      <c r="E58" s="38"/>
      <c r="F58" s="38"/>
      <c r="G58" s="38"/>
      <c r="H58" s="30">
        <f t="shared" si="3"/>
        <v>22.835999999999999</v>
      </c>
      <c r="I58" s="30">
        <f t="shared" si="4"/>
        <v>126.836</v>
      </c>
      <c r="J58" s="41">
        <f t="shared" si="5"/>
        <v>149.672</v>
      </c>
    </row>
    <row r="59" spans="1:10" ht="17.25" customHeight="1">
      <c r="A59" s="29" t="s">
        <v>67</v>
      </c>
      <c r="B59" s="56"/>
      <c r="C59" s="56"/>
      <c r="D59" s="38"/>
      <c r="E59" s="38">
        <v>1</v>
      </c>
      <c r="F59" s="38"/>
      <c r="G59" s="38"/>
      <c r="H59" s="30">
        <f t="shared" si="3"/>
        <v>22.835999999999999</v>
      </c>
      <c r="I59" s="30">
        <f t="shared" si="4"/>
        <v>125.836</v>
      </c>
      <c r="J59" s="41">
        <f t="shared" si="5"/>
        <v>148.672</v>
      </c>
    </row>
    <row r="60" spans="1:10" ht="12.75" customHeight="1">
      <c r="A60" s="59" t="s">
        <v>68</v>
      </c>
      <c r="B60" s="38">
        <v>11.25</v>
      </c>
      <c r="C60" s="38">
        <v>11.25</v>
      </c>
      <c r="D60" s="38"/>
      <c r="E60" s="38"/>
      <c r="F60" s="38"/>
      <c r="G60" s="38"/>
      <c r="H60" s="30">
        <f t="shared" si="3"/>
        <v>34.085999999999999</v>
      </c>
      <c r="I60" s="30">
        <f t="shared" si="4"/>
        <v>137.08600000000001</v>
      </c>
      <c r="J60" s="41">
        <f t="shared" si="5"/>
        <v>171.172</v>
      </c>
    </row>
    <row r="61" spans="1:10" ht="17.25" customHeight="1">
      <c r="A61" s="29" t="s">
        <v>69</v>
      </c>
      <c r="B61" s="38"/>
      <c r="C61" s="38"/>
      <c r="D61" s="38">
        <v>29</v>
      </c>
      <c r="E61" s="38"/>
      <c r="F61" s="38"/>
      <c r="G61" s="38"/>
      <c r="H61" s="30">
        <f t="shared" si="3"/>
        <v>5.0860000000000003</v>
      </c>
      <c r="I61" s="30">
        <f t="shared" si="4"/>
        <v>137.08600000000001</v>
      </c>
      <c r="J61" s="41">
        <f t="shared" si="5"/>
        <v>142.172</v>
      </c>
    </row>
    <row r="62" spans="1:10" ht="15.75" customHeight="1">
      <c r="A62" s="58" t="s">
        <v>70</v>
      </c>
      <c r="B62" s="38"/>
      <c r="C62" s="38"/>
      <c r="D62" s="38"/>
      <c r="E62" s="38">
        <v>2</v>
      </c>
      <c r="F62" s="38"/>
      <c r="G62" s="38"/>
      <c r="H62" s="30">
        <f t="shared" si="3"/>
        <v>5.0860000000000003</v>
      </c>
      <c r="I62" s="30">
        <f t="shared" si="4"/>
        <v>135.08600000000001</v>
      </c>
      <c r="J62" s="41">
        <f t="shared" si="5"/>
        <v>140.172</v>
      </c>
    </row>
    <row r="63" spans="1:10" ht="15.75" customHeight="1">
      <c r="A63" s="58" t="s">
        <v>71</v>
      </c>
      <c r="B63" s="38">
        <v>3.75</v>
      </c>
      <c r="C63" s="38">
        <v>3.75</v>
      </c>
      <c r="D63" s="38"/>
      <c r="E63" s="38"/>
      <c r="F63" s="38"/>
      <c r="G63" s="38"/>
      <c r="H63" s="30">
        <f t="shared" si="3"/>
        <v>8.8360000000000003</v>
      </c>
      <c r="I63" s="30">
        <f t="shared" si="4"/>
        <v>138.83600000000001</v>
      </c>
      <c r="J63" s="41">
        <f t="shared" si="5"/>
        <v>147.672</v>
      </c>
    </row>
    <row r="64" spans="1:10" ht="15.75" customHeight="1">
      <c r="A64" s="58" t="s">
        <v>72</v>
      </c>
      <c r="B64" s="38"/>
      <c r="C64" s="38"/>
      <c r="D64" s="38"/>
      <c r="E64" s="38"/>
      <c r="F64" s="38">
        <v>5</v>
      </c>
      <c r="G64" s="38"/>
      <c r="H64" s="30">
        <f t="shared" si="3"/>
        <v>3.8359999999999999</v>
      </c>
      <c r="I64" s="30">
        <f t="shared" si="4"/>
        <v>138.83600000000001</v>
      </c>
      <c r="J64" s="41">
        <f t="shared" si="5"/>
        <v>142.672</v>
      </c>
    </row>
    <row r="65" spans="1:10" ht="13.5" customHeight="1">
      <c r="A65" s="59" t="s">
        <v>73</v>
      </c>
      <c r="B65" s="38">
        <v>13.75</v>
      </c>
      <c r="C65" s="38">
        <v>13.75</v>
      </c>
      <c r="D65" s="38"/>
      <c r="E65" s="38"/>
      <c r="F65" s="38"/>
      <c r="G65" s="38"/>
      <c r="H65" s="30">
        <f t="shared" si="3"/>
        <v>17.585999999999999</v>
      </c>
      <c r="I65" s="30">
        <f t="shared" si="4"/>
        <v>152.58600000000001</v>
      </c>
      <c r="J65" s="41">
        <f t="shared" si="5"/>
        <v>170.172</v>
      </c>
    </row>
    <row r="66" spans="1:10" ht="12" customHeight="1">
      <c r="A66" s="57" t="s">
        <v>74</v>
      </c>
      <c r="B66" s="56"/>
      <c r="C66" s="56"/>
      <c r="D66" s="38">
        <v>2</v>
      </c>
      <c r="E66" s="38"/>
      <c r="F66" s="38">
        <v>5</v>
      </c>
      <c r="G66" s="38"/>
      <c r="H66" s="30">
        <f t="shared" si="3"/>
        <v>10.586</v>
      </c>
      <c r="I66" s="30">
        <f t="shared" si="4"/>
        <v>152.58600000000001</v>
      </c>
      <c r="J66" s="41">
        <f t="shared" si="5"/>
        <v>163.172</v>
      </c>
    </row>
    <row r="67" spans="1:10" ht="12" customHeight="1">
      <c r="A67" s="57" t="s">
        <v>75</v>
      </c>
      <c r="B67" s="56">
        <v>1.25</v>
      </c>
      <c r="C67" s="56">
        <v>1.25</v>
      </c>
      <c r="D67" s="38"/>
      <c r="E67" s="38"/>
      <c r="F67" s="38"/>
      <c r="G67" s="38"/>
      <c r="H67" s="30">
        <f t="shared" si="3"/>
        <v>11.836</v>
      </c>
      <c r="I67" s="30">
        <f t="shared" si="4"/>
        <v>153.83600000000001</v>
      </c>
      <c r="J67" s="41">
        <f t="shared" si="5"/>
        <v>165.672</v>
      </c>
    </row>
    <row r="68" spans="1:10" ht="12" customHeight="1">
      <c r="A68" s="57" t="s">
        <v>76</v>
      </c>
      <c r="B68" s="56">
        <v>3.75</v>
      </c>
      <c r="C68" s="56">
        <v>3.75</v>
      </c>
      <c r="D68" s="38"/>
      <c r="E68" s="38"/>
      <c r="F68" s="38"/>
      <c r="G68" s="38"/>
      <c r="H68" s="30">
        <f t="shared" si="3"/>
        <v>15.586</v>
      </c>
      <c r="I68" s="30">
        <f t="shared" si="4"/>
        <v>157.58600000000001</v>
      </c>
      <c r="J68" s="41">
        <f t="shared" si="5"/>
        <v>173.172</v>
      </c>
    </row>
    <row r="69" spans="1:10" ht="12" customHeight="1">
      <c r="A69" s="57" t="s">
        <v>77</v>
      </c>
      <c r="B69" s="56"/>
      <c r="C69" s="56"/>
      <c r="D69" s="38"/>
      <c r="E69" s="38"/>
      <c r="F69" s="38">
        <v>3</v>
      </c>
      <c r="G69" s="38"/>
      <c r="H69" s="30">
        <f t="shared" si="3"/>
        <v>12.586</v>
      </c>
      <c r="I69" s="30">
        <f t="shared" si="4"/>
        <v>157.58600000000001</v>
      </c>
      <c r="J69" s="41">
        <f t="shared" si="5"/>
        <v>170.172</v>
      </c>
    </row>
    <row r="70" spans="1:10" ht="12" customHeight="1">
      <c r="A70" s="57" t="s">
        <v>78</v>
      </c>
      <c r="B70" s="56">
        <v>1.25</v>
      </c>
      <c r="C70" s="56">
        <v>1.25</v>
      </c>
      <c r="D70" s="38"/>
      <c r="E70" s="38"/>
      <c r="F70" s="38"/>
      <c r="G70" s="38"/>
      <c r="H70" s="30">
        <f t="shared" si="3"/>
        <v>13.836</v>
      </c>
      <c r="I70" s="30">
        <f t="shared" si="4"/>
        <v>158.83600000000001</v>
      </c>
      <c r="J70" s="41">
        <f t="shared" si="5"/>
        <v>172.672</v>
      </c>
    </row>
    <row r="71" spans="1:10" ht="15.75" customHeight="1">
      <c r="A71" s="29" t="s">
        <v>79</v>
      </c>
      <c r="B71" s="38"/>
      <c r="C71" s="38"/>
      <c r="D71" s="38"/>
      <c r="E71" s="38"/>
      <c r="F71" s="38">
        <v>1</v>
      </c>
      <c r="G71" s="38"/>
      <c r="H71" s="30">
        <f t="shared" si="3"/>
        <v>12.836</v>
      </c>
      <c r="I71" s="30">
        <f t="shared" si="4"/>
        <v>158.83600000000001</v>
      </c>
      <c r="J71" s="41">
        <f t="shared" si="5"/>
        <v>171.672</v>
      </c>
    </row>
    <row r="72" spans="1:10" ht="15.75" customHeight="1">
      <c r="A72" s="36" t="s">
        <v>80</v>
      </c>
      <c r="B72" s="56">
        <v>7.5</v>
      </c>
      <c r="C72" s="56">
        <v>7.5</v>
      </c>
      <c r="D72" s="56"/>
      <c r="E72" s="56"/>
      <c r="F72" s="56"/>
      <c r="G72" s="56"/>
      <c r="H72" s="30">
        <f t="shared" si="3"/>
        <v>20.335999999999999</v>
      </c>
      <c r="I72" s="30">
        <f t="shared" si="4"/>
        <v>166.33600000000001</v>
      </c>
      <c r="J72" s="41">
        <f t="shared" si="5"/>
        <v>186.672</v>
      </c>
    </row>
    <row r="73" spans="1:10" ht="12" customHeight="1">
      <c r="A73" s="36" t="s">
        <v>81</v>
      </c>
      <c r="B73" s="56"/>
      <c r="C73" s="56"/>
      <c r="D73" s="56"/>
      <c r="E73" s="56"/>
      <c r="F73" s="56">
        <v>1</v>
      </c>
      <c r="G73" s="56"/>
      <c r="H73" s="30">
        <f t="shared" si="3"/>
        <v>19.335999999999999</v>
      </c>
      <c r="I73" s="30">
        <f t="shared" si="4"/>
        <v>166.33600000000001</v>
      </c>
      <c r="J73" s="41">
        <f t="shared" si="5"/>
        <v>185.672</v>
      </c>
    </row>
    <row r="74" spans="1:10" ht="12" customHeight="1">
      <c r="A74" s="36" t="s">
        <v>82</v>
      </c>
      <c r="B74" s="56">
        <v>1.25</v>
      </c>
      <c r="C74" s="56">
        <v>1.25</v>
      </c>
      <c r="D74" s="56"/>
      <c r="E74" s="56"/>
      <c r="F74" s="56"/>
      <c r="G74" s="56"/>
      <c r="H74" s="30">
        <f t="shared" si="3"/>
        <v>20.585999999999999</v>
      </c>
      <c r="I74" s="30">
        <f t="shared" si="4"/>
        <v>167.58600000000001</v>
      </c>
      <c r="J74" s="41">
        <f t="shared" si="5"/>
        <v>188.172</v>
      </c>
    </row>
    <row r="75" spans="1:10" ht="12" customHeight="1">
      <c r="A75" s="36" t="s">
        <v>83</v>
      </c>
      <c r="B75" s="38"/>
      <c r="C75" s="38"/>
      <c r="D75" s="38">
        <v>1</v>
      </c>
      <c r="E75" s="38"/>
      <c r="F75" s="38"/>
      <c r="G75" s="38"/>
      <c r="H75" s="30">
        <f t="shared" si="3"/>
        <v>19.585999999999999</v>
      </c>
      <c r="I75" s="30">
        <f t="shared" si="4"/>
        <v>167.58600000000001</v>
      </c>
      <c r="J75" s="41">
        <f t="shared" si="5"/>
        <v>187.172</v>
      </c>
    </row>
    <row r="76" spans="1:10" ht="12" customHeight="1">
      <c r="A76" s="36" t="s">
        <v>84</v>
      </c>
      <c r="B76" s="38">
        <v>1.25</v>
      </c>
      <c r="C76" s="38">
        <v>1.25</v>
      </c>
      <c r="D76" s="38"/>
      <c r="E76" s="38"/>
      <c r="F76" s="38"/>
      <c r="G76" s="38"/>
      <c r="H76" s="30">
        <f t="shared" si="3"/>
        <v>20.835999999999999</v>
      </c>
      <c r="I76" s="30">
        <f t="shared" si="4"/>
        <v>168.83600000000001</v>
      </c>
      <c r="J76" s="41">
        <f t="shared" si="5"/>
        <v>189.672</v>
      </c>
    </row>
    <row r="77" spans="1:10" ht="12" customHeight="1">
      <c r="A77" s="62" t="s">
        <v>85</v>
      </c>
      <c r="B77" s="63"/>
      <c r="C77" s="63"/>
      <c r="D77" s="63">
        <v>26</v>
      </c>
      <c r="E77" s="63">
        <v>3</v>
      </c>
      <c r="F77" s="38"/>
      <c r="G77" s="38"/>
      <c r="H77" s="30">
        <f t="shared" si="3"/>
        <v>-5.1639999999999997</v>
      </c>
      <c r="I77" s="30">
        <f t="shared" si="4"/>
        <v>165.83600000000001</v>
      </c>
      <c r="J77" s="41">
        <f t="shared" si="5"/>
        <v>160.672</v>
      </c>
    </row>
    <row r="78" spans="1:10" ht="12" customHeight="1">
      <c r="A78" s="36" t="s">
        <v>86</v>
      </c>
      <c r="B78" s="38">
        <v>1.25</v>
      </c>
      <c r="C78" s="38">
        <v>1.25</v>
      </c>
      <c r="D78" s="38"/>
      <c r="E78" s="38"/>
      <c r="F78" s="38"/>
      <c r="G78" s="38"/>
      <c r="H78" s="30">
        <f t="shared" si="3"/>
        <v>-3.9140000000000001</v>
      </c>
      <c r="I78" s="30">
        <f t="shared" si="4"/>
        <v>167.08600000000001</v>
      </c>
      <c r="J78" s="41">
        <f t="shared" si="5"/>
        <v>163.172</v>
      </c>
    </row>
    <row r="79" spans="1:10" ht="12" customHeight="1">
      <c r="A79" s="36" t="s">
        <v>87</v>
      </c>
      <c r="B79" s="38"/>
      <c r="C79" s="38"/>
      <c r="D79" s="38"/>
      <c r="E79" s="38"/>
      <c r="F79" s="38">
        <v>1</v>
      </c>
      <c r="G79" s="38"/>
      <c r="H79" s="30">
        <f t="shared" si="3"/>
        <v>-4.9139999999999997</v>
      </c>
      <c r="I79" s="30">
        <f t="shared" si="4"/>
        <v>167.08600000000001</v>
      </c>
      <c r="J79" s="41">
        <f t="shared" si="5"/>
        <v>162.172</v>
      </c>
    </row>
    <row r="80" spans="1:10" ht="12" customHeight="1">
      <c r="A80" s="36" t="s">
        <v>88</v>
      </c>
      <c r="B80" s="56">
        <v>1.25</v>
      </c>
      <c r="C80" s="56">
        <v>1.25</v>
      </c>
      <c r="D80" s="38"/>
      <c r="E80" s="38"/>
      <c r="F80" s="38"/>
      <c r="G80" s="38"/>
      <c r="H80" s="30">
        <f t="shared" si="3"/>
        <v>-3.6640000000000001</v>
      </c>
      <c r="I80" s="30">
        <f t="shared" si="4"/>
        <v>168.33600000000001</v>
      </c>
      <c r="J80" s="41">
        <f t="shared" si="5"/>
        <v>164.672</v>
      </c>
    </row>
    <row r="81" spans="1:10" ht="12" customHeight="1">
      <c r="A81" s="36" t="s">
        <v>89</v>
      </c>
      <c r="B81" s="38"/>
      <c r="C81" s="38"/>
      <c r="D81" s="38"/>
      <c r="E81" s="38"/>
      <c r="F81" s="38">
        <v>1</v>
      </c>
      <c r="G81" s="38"/>
      <c r="H81" s="30">
        <f t="shared" si="3"/>
        <v>-4.6639999999999997</v>
      </c>
      <c r="I81" s="30">
        <f t="shared" si="4"/>
        <v>168.33600000000001</v>
      </c>
      <c r="J81" s="41">
        <f t="shared" si="5"/>
        <v>163.672</v>
      </c>
    </row>
    <row r="82" spans="1:10" s="23" customFormat="1" ht="12" customHeight="1">
      <c r="A82" s="29" t="s">
        <v>90</v>
      </c>
      <c r="B82" s="38">
        <v>1.25</v>
      </c>
      <c r="C82" s="38">
        <v>1.25</v>
      </c>
      <c r="D82" s="38"/>
      <c r="E82" s="38"/>
      <c r="F82" s="38"/>
      <c r="G82" s="38"/>
      <c r="H82" s="30">
        <f t="shared" si="3"/>
        <v>-3.4140000000000001</v>
      </c>
      <c r="I82" s="30">
        <f t="shared" si="4"/>
        <v>169.58600000000001</v>
      </c>
      <c r="J82" s="41">
        <f t="shared" si="5"/>
        <v>166.172</v>
      </c>
    </row>
    <row r="83" spans="1:10" s="23" customFormat="1" ht="12" customHeight="1">
      <c r="A83" s="58" t="s">
        <v>91</v>
      </c>
      <c r="B83" s="38"/>
      <c r="C83" s="38"/>
      <c r="D83" s="38"/>
      <c r="E83" s="38"/>
      <c r="F83" s="38">
        <v>1</v>
      </c>
      <c r="G83" s="38"/>
      <c r="H83" s="30">
        <f t="shared" si="3"/>
        <v>-4.4139999999999997</v>
      </c>
      <c r="I83" s="30">
        <f t="shared" si="4"/>
        <v>169.58600000000001</v>
      </c>
      <c r="J83" s="41">
        <f t="shared" si="5"/>
        <v>165.172</v>
      </c>
    </row>
    <row r="84" spans="1:10" s="23" customFormat="1" ht="12" customHeight="1">
      <c r="A84" s="58" t="s">
        <v>92</v>
      </c>
      <c r="B84" s="38">
        <v>5</v>
      </c>
      <c r="C84" s="38">
        <v>5</v>
      </c>
      <c r="D84" s="38"/>
      <c r="E84" s="38"/>
      <c r="F84" s="38"/>
      <c r="G84" s="38"/>
      <c r="H84" s="30">
        <f t="shared" si="3"/>
        <v>0.58599999999999897</v>
      </c>
      <c r="I84" s="30">
        <f t="shared" si="4"/>
        <v>174.58600000000001</v>
      </c>
      <c r="J84" s="41">
        <f t="shared" si="5"/>
        <v>175.172</v>
      </c>
    </row>
    <row r="85" spans="1:10" s="23" customFormat="1" ht="12" customHeight="1">
      <c r="A85" s="58" t="s">
        <v>93</v>
      </c>
      <c r="B85" s="38"/>
      <c r="C85" s="38"/>
      <c r="D85" s="38"/>
      <c r="E85" s="38"/>
      <c r="F85" s="38">
        <v>1</v>
      </c>
      <c r="G85" s="38"/>
      <c r="H85" s="30">
        <f t="shared" si="3"/>
        <v>-0.41400000000000098</v>
      </c>
      <c r="I85" s="30">
        <f t="shared" si="4"/>
        <v>174.58600000000001</v>
      </c>
      <c r="J85" s="41">
        <f t="shared" si="5"/>
        <v>174.172</v>
      </c>
    </row>
    <row r="86" spans="1:10" s="23" customFormat="1" ht="12" customHeight="1">
      <c r="A86" s="58" t="s">
        <v>94</v>
      </c>
      <c r="B86" s="38">
        <v>1.25</v>
      </c>
      <c r="C86" s="38">
        <v>1.25</v>
      </c>
      <c r="D86" s="38"/>
      <c r="E86" s="38"/>
      <c r="F86" s="38"/>
      <c r="G86" s="38"/>
      <c r="H86" s="30">
        <f t="shared" si="3"/>
        <v>0.83599999999999897</v>
      </c>
      <c r="I86" s="30">
        <f t="shared" si="4"/>
        <v>175.83600000000001</v>
      </c>
      <c r="J86" s="41">
        <f t="shared" si="5"/>
        <v>176.672</v>
      </c>
    </row>
    <row r="87" spans="1:10" s="23" customFormat="1" ht="12" customHeight="1">
      <c r="A87" s="58" t="s">
        <v>95</v>
      </c>
      <c r="B87" s="38"/>
      <c r="C87" s="38"/>
      <c r="D87" s="38"/>
      <c r="E87" s="38"/>
      <c r="F87" s="38"/>
      <c r="G87" s="38">
        <v>3</v>
      </c>
      <c r="H87" s="30">
        <f t="shared" si="3"/>
        <v>0.83599999999999897</v>
      </c>
      <c r="I87" s="30">
        <f t="shared" si="4"/>
        <v>175.83600000000001</v>
      </c>
      <c r="J87" s="41">
        <f t="shared" si="5"/>
        <v>176.672</v>
      </c>
    </row>
    <row r="88" spans="1:10" s="23" customFormat="1" ht="12" customHeight="1">
      <c r="A88" s="58" t="s">
        <v>96</v>
      </c>
      <c r="B88" s="38"/>
      <c r="C88" s="38"/>
      <c r="D88" s="38">
        <v>5</v>
      </c>
      <c r="E88" s="38">
        <v>24</v>
      </c>
      <c r="F88" s="38"/>
      <c r="G88" s="38"/>
      <c r="H88" s="30">
        <f t="shared" si="3"/>
        <v>-4.1639999999999997</v>
      </c>
      <c r="I88" s="30">
        <f t="shared" si="4"/>
        <v>151.83600000000001</v>
      </c>
      <c r="J88" s="41">
        <f t="shared" si="5"/>
        <v>147.672</v>
      </c>
    </row>
    <row r="89" spans="1:10" s="23" customFormat="1" ht="12" customHeight="1">
      <c r="A89" s="58" t="s">
        <v>97</v>
      </c>
      <c r="B89" s="38">
        <v>1.25</v>
      </c>
      <c r="C89" s="38">
        <v>1.25</v>
      </c>
      <c r="D89" s="38"/>
      <c r="E89" s="38"/>
      <c r="F89" s="38"/>
      <c r="G89" s="38"/>
      <c r="H89" s="30">
        <f t="shared" si="3"/>
        <v>-2.9140000000000001</v>
      </c>
      <c r="I89" s="30">
        <f t="shared" si="4"/>
        <v>153.08600000000001</v>
      </c>
      <c r="J89" s="41">
        <f t="shared" si="5"/>
        <v>150.172</v>
      </c>
    </row>
    <row r="90" spans="1:10" s="23" customFormat="1" ht="12" customHeight="1">
      <c r="A90" s="58" t="s">
        <v>98</v>
      </c>
      <c r="B90" s="38"/>
      <c r="C90" s="38"/>
      <c r="D90" s="38"/>
      <c r="E90" s="38"/>
      <c r="F90" s="38">
        <v>1</v>
      </c>
      <c r="G90" s="38"/>
      <c r="H90" s="30">
        <f t="shared" si="3"/>
        <v>-3.9140000000000001</v>
      </c>
      <c r="I90" s="30">
        <f t="shared" si="4"/>
        <v>153.08600000000001</v>
      </c>
      <c r="J90" s="41">
        <f t="shared" si="5"/>
        <v>149.172</v>
      </c>
    </row>
    <row r="91" spans="1:10" s="23" customFormat="1" ht="12" customHeight="1">
      <c r="A91" s="58" t="s">
        <v>99</v>
      </c>
      <c r="B91" s="38">
        <v>2.5</v>
      </c>
      <c r="C91" s="38">
        <v>2.5</v>
      </c>
      <c r="D91" s="38"/>
      <c r="E91" s="38"/>
      <c r="F91" s="38"/>
      <c r="G91" s="38"/>
      <c r="H91" s="30">
        <f t="shared" si="3"/>
        <v>-1.4139999999999999</v>
      </c>
      <c r="I91" s="30">
        <f t="shared" si="4"/>
        <v>155.58600000000001</v>
      </c>
      <c r="J91" s="41">
        <f t="shared" si="5"/>
        <v>154.172</v>
      </c>
    </row>
    <row r="92" spans="1:10" s="23" customFormat="1" ht="12" customHeight="1">
      <c r="A92" s="58" t="s">
        <v>100</v>
      </c>
      <c r="B92" s="38"/>
      <c r="C92" s="38"/>
      <c r="D92" s="38"/>
      <c r="E92" s="38">
        <v>2</v>
      </c>
      <c r="F92" s="38"/>
      <c r="G92" s="38"/>
      <c r="H92" s="30">
        <f t="shared" si="3"/>
        <v>-1.4139999999999999</v>
      </c>
      <c r="I92" s="30">
        <f t="shared" si="4"/>
        <v>153.58600000000001</v>
      </c>
      <c r="J92" s="41">
        <f t="shared" si="5"/>
        <v>152.172</v>
      </c>
    </row>
    <row r="93" spans="1:10" s="23" customFormat="1" ht="12" customHeight="1">
      <c r="A93" s="58" t="s">
        <v>101</v>
      </c>
      <c r="B93" s="38">
        <v>1.25</v>
      </c>
      <c r="C93" s="38">
        <v>1.25</v>
      </c>
      <c r="D93" s="38"/>
      <c r="E93" s="38"/>
      <c r="F93" s="38"/>
      <c r="G93" s="38"/>
      <c r="H93" s="30">
        <f t="shared" si="3"/>
        <v>-0.16400000000000101</v>
      </c>
      <c r="I93" s="30">
        <f t="shared" si="4"/>
        <v>154.83600000000001</v>
      </c>
      <c r="J93" s="41">
        <f t="shared" si="5"/>
        <v>154.672</v>
      </c>
    </row>
    <row r="94" spans="1:10" s="23" customFormat="1" ht="12" customHeight="1">
      <c r="A94" s="58" t="s">
        <v>102</v>
      </c>
      <c r="B94" s="38"/>
      <c r="C94" s="38"/>
      <c r="D94" s="38">
        <v>3</v>
      </c>
      <c r="E94" s="38"/>
      <c r="F94" s="38"/>
      <c r="G94" s="38"/>
      <c r="H94" s="30">
        <f t="shared" si="3"/>
        <v>-3.1640000000000001</v>
      </c>
      <c r="I94" s="30">
        <f t="shared" si="4"/>
        <v>154.83600000000001</v>
      </c>
      <c r="J94" s="41">
        <f t="shared" si="5"/>
        <v>151.672</v>
      </c>
    </row>
    <row r="95" spans="1:10" s="23" customFormat="1" ht="12" customHeight="1">
      <c r="A95" s="58" t="s">
        <v>103</v>
      </c>
      <c r="B95" s="38">
        <v>8.75</v>
      </c>
      <c r="C95" s="38">
        <v>8.75</v>
      </c>
      <c r="D95" s="38"/>
      <c r="E95" s="38"/>
      <c r="F95" s="38"/>
      <c r="G95" s="38"/>
      <c r="H95" s="30">
        <f t="shared" si="3"/>
        <v>5.5860000000000003</v>
      </c>
      <c r="I95" s="30">
        <f t="shared" si="4"/>
        <v>163.58600000000001</v>
      </c>
      <c r="J95" s="41">
        <f t="shared" si="5"/>
        <v>169.172</v>
      </c>
    </row>
    <row r="96" spans="1:10" s="23" customFormat="1" ht="12" customHeight="1">
      <c r="A96" s="58" t="s">
        <v>104</v>
      </c>
      <c r="B96" s="38"/>
      <c r="C96" s="38"/>
      <c r="D96" s="38"/>
      <c r="E96" s="38">
        <v>2</v>
      </c>
      <c r="F96" s="38"/>
      <c r="G96" s="38"/>
      <c r="H96" s="30">
        <f t="shared" si="3"/>
        <v>5.5860000000000003</v>
      </c>
      <c r="I96" s="30">
        <f t="shared" si="4"/>
        <v>161.58600000000001</v>
      </c>
      <c r="J96" s="41">
        <f t="shared" si="5"/>
        <v>167.172</v>
      </c>
    </row>
    <row r="97" spans="1:10" s="23" customFormat="1" ht="12" customHeight="1">
      <c r="A97" s="58" t="s">
        <v>105</v>
      </c>
      <c r="B97" s="38">
        <v>1.25</v>
      </c>
      <c r="C97" s="38">
        <v>1.25</v>
      </c>
      <c r="D97" s="38"/>
      <c r="E97" s="38"/>
      <c r="F97" s="38"/>
      <c r="G97" s="38"/>
      <c r="H97" s="30">
        <f t="shared" si="3"/>
        <v>6.8360000000000003</v>
      </c>
      <c r="I97" s="30">
        <f t="shared" si="4"/>
        <v>162.83600000000001</v>
      </c>
      <c r="J97" s="41">
        <f t="shared" si="5"/>
        <v>169.672</v>
      </c>
    </row>
    <row r="98" spans="1:10" s="23" customFormat="1" ht="12" customHeight="1">
      <c r="A98" s="58" t="s">
        <v>106</v>
      </c>
      <c r="B98" s="38"/>
      <c r="C98" s="38"/>
      <c r="D98" s="38">
        <v>9</v>
      </c>
      <c r="E98" s="38">
        <v>20</v>
      </c>
      <c r="F98" s="38"/>
      <c r="G98" s="38"/>
      <c r="H98" s="30">
        <f t="shared" si="3"/>
        <v>-2.1640000000000001</v>
      </c>
      <c r="I98" s="30">
        <f t="shared" si="4"/>
        <v>142.83600000000001</v>
      </c>
      <c r="J98" s="41">
        <f t="shared" si="5"/>
        <v>140.672</v>
      </c>
    </row>
    <row r="99" spans="1:10" s="23" customFormat="1" ht="12" customHeight="1">
      <c r="A99" s="58" t="s">
        <v>107</v>
      </c>
      <c r="B99" s="38"/>
      <c r="C99" s="38"/>
      <c r="D99" s="38"/>
      <c r="E99" s="38"/>
      <c r="F99" s="38">
        <v>1</v>
      </c>
      <c r="G99" s="38"/>
      <c r="H99" s="30">
        <f t="shared" si="3"/>
        <v>-3.1640000000000001</v>
      </c>
      <c r="I99" s="30">
        <f t="shared" si="4"/>
        <v>142.83600000000001</v>
      </c>
      <c r="J99" s="41">
        <f t="shared" si="5"/>
        <v>139.672</v>
      </c>
    </row>
    <row r="100" spans="1:10" s="23" customFormat="1" ht="12" customHeight="1">
      <c r="A100" s="58" t="s">
        <v>108</v>
      </c>
      <c r="B100" s="38">
        <v>3.75</v>
      </c>
      <c r="C100" s="38">
        <v>3.75</v>
      </c>
      <c r="D100" s="38"/>
      <c r="E100" s="38"/>
      <c r="F100" s="38"/>
      <c r="G100" s="38"/>
      <c r="H100" s="30">
        <f t="shared" si="3"/>
        <v>0.58599999999999897</v>
      </c>
      <c r="I100" s="30">
        <f t="shared" si="4"/>
        <v>146.58600000000001</v>
      </c>
      <c r="J100" s="41">
        <f t="shared" si="5"/>
        <v>147.172</v>
      </c>
    </row>
    <row r="101" spans="1:10" s="23" customFormat="1" ht="12" customHeight="1">
      <c r="A101" s="58" t="s">
        <v>109</v>
      </c>
      <c r="B101" s="38"/>
      <c r="C101" s="38"/>
      <c r="D101" s="38"/>
      <c r="E101" s="38"/>
      <c r="F101" s="38">
        <v>3</v>
      </c>
      <c r="G101" s="38"/>
      <c r="H101" s="30">
        <f t="shared" si="3"/>
        <v>-2.4140000000000001</v>
      </c>
      <c r="I101" s="30">
        <f t="shared" si="4"/>
        <v>146.58600000000001</v>
      </c>
      <c r="J101" s="41">
        <f t="shared" si="5"/>
        <v>144.172</v>
      </c>
    </row>
    <row r="102" spans="1:10" s="23" customFormat="1" ht="12" customHeight="1">
      <c r="A102" s="58" t="s">
        <v>110</v>
      </c>
      <c r="B102" s="38">
        <v>1.25</v>
      </c>
      <c r="C102" s="38">
        <v>1.25</v>
      </c>
      <c r="D102" s="38"/>
      <c r="E102" s="38"/>
      <c r="F102" s="38"/>
      <c r="G102" s="38"/>
      <c r="H102" s="30">
        <f t="shared" si="3"/>
        <v>-1.1639999999999999</v>
      </c>
      <c r="I102" s="30">
        <f t="shared" si="4"/>
        <v>147.83600000000001</v>
      </c>
      <c r="J102" s="41">
        <f t="shared" si="5"/>
        <v>146.672</v>
      </c>
    </row>
    <row r="103" spans="1:10" s="23" customFormat="1" ht="12" customHeight="1">
      <c r="A103" s="58" t="s">
        <v>111</v>
      </c>
      <c r="B103" s="38"/>
      <c r="C103" s="38"/>
      <c r="D103" s="38"/>
      <c r="E103" s="38"/>
      <c r="F103" s="38">
        <v>1</v>
      </c>
      <c r="G103" s="38"/>
      <c r="H103" s="30">
        <f t="shared" si="3"/>
        <v>-2.1640000000000001</v>
      </c>
      <c r="I103" s="30">
        <f t="shared" si="4"/>
        <v>147.83600000000001</v>
      </c>
      <c r="J103" s="41">
        <f t="shared" si="5"/>
        <v>145.672</v>
      </c>
    </row>
    <row r="104" spans="1:10" s="23" customFormat="1" ht="12" customHeight="1">
      <c r="A104" s="58" t="s">
        <v>112</v>
      </c>
      <c r="B104" s="38">
        <v>1.25</v>
      </c>
      <c r="C104" s="38">
        <v>1.25</v>
      </c>
      <c r="D104" s="38"/>
      <c r="E104" s="38"/>
      <c r="F104" s="38"/>
      <c r="G104" s="38"/>
      <c r="H104" s="30">
        <f t="shared" si="3"/>
        <v>-0.91400000000000103</v>
      </c>
      <c r="I104" s="30">
        <f t="shared" si="4"/>
        <v>149.08600000000001</v>
      </c>
      <c r="J104" s="41">
        <f t="shared" si="5"/>
        <v>148.172</v>
      </c>
    </row>
    <row r="105" spans="1:10" s="23" customFormat="1" ht="12" customHeight="1">
      <c r="A105" s="58" t="s">
        <v>113</v>
      </c>
      <c r="B105" s="38">
        <v>1.25</v>
      </c>
      <c r="C105" s="38">
        <v>1.25</v>
      </c>
      <c r="D105" s="38"/>
      <c r="E105" s="38"/>
      <c r="F105" s="38"/>
      <c r="G105" s="38"/>
      <c r="H105" s="30">
        <f t="shared" si="3"/>
        <v>0.33599999999999902</v>
      </c>
      <c r="I105" s="30">
        <f t="shared" si="4"/>
        <v>150.33600000000001</v>
      </c>
      <c r="J105" s="41">
        <f t="shared" si="5"/>
        <v>150.672</v>
      </c>
    </row>
    <row r="106" spans="1:10" s="23" customFormat="1" ht="12" customHeight="1">
      <c r="A106" s="58" t="s">
        <v>114</v>
      </c>
      <c r="B106" s="38"/>
      <c r="C106" s="38"/>
      <c r="D106" s="38"/>
      <c r="E106" s="38">
        <v>1</v>
      </c>
      <c r="F106" s="38"/>
      <c r="G106" s="38"/>
      <c r="H106" s="30">
        <f t="shared" si="3"/>
        <v>0.33599999999999902</v>
      </c>
      <c r="I106" s="30">
        <f t="shared" si="4"/>
        <v>149.33600000000001</v>
      </c>
      <c r="J106" s="41">
        <f t="shared" si="5"/>
        <v>149.672</v>
      </c>
    </row>
    <row r="107" spans="1:10" s="23" customFormat="1" ht="12" customHeight="1">
      <c r="A107" s="58" t="s">
        <v>115</v>
      </c>
      <c r="B107" s="38"/>
      <c r="C107" s="38"/>
      <c r="D107" s="38"/>
      <c r="E107" s="38"/>
      <c r="F107" s="38">
        <v>1</v>
      </c>
      <c r="G107" s="38"/>
      <c r="H107" s="30">
        <f t="shared" si="3"/>
        <v>-0.66400000000000103</v>
      </c>
      <c r="I107" s="30">
        <f t="shared" si="4"/>
        <v>149.33600000000001</v>
      </c>
      <c r="J107" s="41">
        <f t="shared" si="5"/>
        <v>148.672</v>
      </c>
    </row>
    <row r="108" spans="1:10" s="23" customFormat="1" ht="12" customHeight="1">
      <c r="A108" s="58" t="s">
        <v>116</v>
      </c>
      <c r="B108" s="38">
        <v>5</v>
      </c>
      <c r="C108" s="38">
        <v>5</v>
      </c>
      <c r="D108" s="38"/>
      <c r="E108" s="38"/>
      <c r="F108" s="38"/>
      <c r="G108" s="38"/>
      <c r="H108" s="30">
        <f t="shared" si="3"/>
        <v>4.3360000000000003</v>
      </c>
      <c r="I108" s="30">
        <f t="shared" si="4"/>
        <v>154.33600000000001</v>
      </c>
      <c r="J108" s="41">
        <f t="shared" si="5"/>
        <v>158.672</v>
      </c>
    </row>
    <row r="109" spans="1:10" s="23" customFormat="1" ht="12" customHeight="1">
      <c r="A109" s="36" t="s">
        <v>117</v>
      </c>
      <c r="B109" s="38"/>
      <c r="C109" s="38"/>
      <c r="D109" s="38"/>
      <c r="E109" s="38"/>
      <c r="F109" s="38">
        <v>1</v>
      </c>
      <c r="G109" s="38"/>
      <c r="H109" s="30">
        <f t="shared" ref="H109:H126" si="6">H108-F109-D109+B109</f>
        <v>3.3359999999999999</v>
      </c>
      <c r="I109" s="30">
        <f t="shared" ref="I109:I126" si="7">I108-E109+C109</f>
        <v>154.33600000000001</v>
      </c>
      <c r="J109" s="41">
        <f t="shared" ref="J109:J126" si="8">SUM(H109:I109)</f>
        <v>157.672</v>
      </c>
    </row>
    <row r="110" spans="1:10" s="23" customFormat="1" ht="12" customHeight="1">
      <c r="A110" s="36" t="s">
        <v>118</v>
      </c>
      <c r="B110" s="38">
        <v>1.25</v>
      </c>
      <c r="C110" s="38">
        <v>1.25</v>
      </c>
      <c r="D110" s="38"/>
      <c r="E110" s="38"/>
      <c r="F110" s="38"/>
      <c r="G110" s="38"/>
      <c r="H110" s="30">
        <f t="shared" si="6"/>
        <v>4.5860000000000003</v>
      </c>
      <c r="I110" s="30">
        <f t="shared" si="7"/>
        <v>155.58600000000001</v>
      </c>
      <c r="J110" s="41">
        <f t="shared" si="8"/>
        <v>160.172</v>
      </c>
    </row>
    <row r="111" spans="1:10" s="23" customFormat="1" ht="13.5" customHeight="1">
      <c r="A111" s="64" t="s">
        <v>119</v>
      </c>
      <c r="B111" s="56"/>
      <c r="C111" s="56"/>
      <c r="D111" s="56">
        <v>12</v>
      </c>
      <c r="E111" s="56"/>
      <c r="F111" s="56"/>
      <c r="G111" s="56"/>
      <c r="H111" s="30">
        <f t="shared" si="6"/>
        <v>-7.4139999999999997</v>
      </c>
      <c r="I111" s="30">
        <f t="shared" si="7"/>
        <v>155.58600000000001</v>
      </c>
      <c r="J111" s="41">
        <f t="shared" si="8"/>
        <v>148.172</v>
      </c>
    </row>
    <row r="112" spans="1:10" s="23" customFormat="1" ht="12" customHeight="1">
      <c r="A112" s="64" t="s">
        <v>120</v>
      </c>
      <c r="B112" s="56">
        <v>1.25</v>
      </c>
      <c r="C112" s="56">
        <v>1.25</v>
      </c>
      <c r="D112" s="56"/>
      <c r="E112" s="56"/>
      <c r="F112" s="56"/>
      <c r="G112" s="56"/>
      <c r="H112" s="30">
        <f t="shared" si="6"/>
        <v>-6.1639999999999997</v>
      </c>
      <c r="I112" s="30">
        <f t="shared" si="7"/>
        <v>156.83600000000001</v>
      </c>
      <c r="J112" s="41">
        <f t="shared" si="8"/>
        <v>150.672</v>
      </c>
    </row>
    <row r="113" spans="1:10" s="23" customFormat="1" ht="12" customHeight="1">
      <c r="A113" s="36" t="s">
        <v>121</v>
      </c>
      <c r="B113" s="38"/>
      <c r="C113" s="38"/>
      <c r="D113" s="38"/>
      <c r="E113" s="38"/>
      <c r="F113" s="38">
        <v>1</v>
      </c>
      <c r="G113" s="38"/>
      <c r="H113" s="30">
        <f t="shared" si="6"/>
        <v>-7.1639999999999997</v>
      </c>
      <c r="I113" s="30">
        <f t="shared" si="7"/>
        <v>156.83600000000001</v>
      </c>
      <c r="J113" s="41">
        <f t="shared" si="8"/>
        <v>149.672</v>
      </c>
    </row>
    <row r="114" spans="1:10" s="23" customFormat="1" ht="14.25" customHeight="1">
      <c r="A114" s="34" t="s">
        <v>122</v>
      </c>
      <c r="B114" s="37"/>
      <c r="C114" s="37"/>
      <c r="D114" s="34"/>
      <c r="E114" s="38"/>
      <c r="F114" s="38"/>
      <c r="G114" s="38">
        <v>1</v>
      </c>
      <c r="H114" s="30">
        <f t="shared" si="6"/>
        <v>-7.1639999999999997</v>
      </c>
      <c r="I114" s="30">
        <f t="shared" si="7"/>
        <v>156.83600000000001</v>
      </c>
      <c r="J114" s="41">
        <f t="shared" si="8"/>
        <v>149.672</v>
      </c>
    </row>
    <row r="115" spans="1:10" s="23" customFormat="1" ht="14.25" customHeight="1">
      <c r="A115" s="34" t="s">
        <v>123</v>
      </c>
      <c r="B115" s="34">
        <v>1.25</v>
      </c>
      <c r="C115" s="34">
        <v>1.25</v>
      </c>
      <c r="D115" s="34"/>
      <c r="E115" s="38"/>
      <c r="F115" s="38"/>
      <c r="G115" s="38"/>
      <c r="H115" s="30">
        <f t="shared" si="6"/>
        <v>-5.9139999999999997</v>
      </c>
      <c r="I115" s="30">
        <f t="shared" si="7"/>
        <v>158.08600000000001</v>
      </c>
      <c r="J115" s="41">
        <f t="shared" si="8"/>
        <v>152.172</v>
      </c>
    </row>
    <row r="116" spans="1:10" s="23" customFormat="1" ht="14.25" customHeight="1">
      <c r="A116" s="34" t="s">
        <v>124</v>
      </c>
      <c r="B116" s="34"/>
      <c r="C116" s="34"/>
      <c r="D116" s="34"/>
      <c r="E116" s="38"/>
      <c r="F116" s="38"/>
      <c r="G116" s="38">
        <v>2</v>
      </c>
      <c r="H116" s="30">
        <f t="shared" si="6"/>
        <v>-5.9139999999999997</v>
      </c>
      <c r="I116" s="30">
        <f t="shared" si="7"/>
        <v>158.08600000000001</v>
      </c>
      <c r="J116" s="41">
        <f t="shared" si="8"/>
        <v>152.172</v>
      </c>
    </row>
    <row r="117" spans="1:10" s="23" customFormat="1" ht="14.25" customHeight="1">
      <c r="A117" s="34" t="s">
        <v>125</v>
      </c>
      <c r="B117" s="34"/>
      <c r="C117" s="34"/>
      <c r="D117" s="34"/>
      <c r="E117" s="38"/>
      <c r="F117" s="38">
        <v>2</v>
      </c>
      <c r="G117" s="38"/>
      <c r="H117" s="30">
        <f t="shared" si="6"/>
        <v>-7.9139999999999997</v>
      </c>
      <c r="I117" s="30">
        <f t="shared" si="7"/>
        <v>158.08600000000001</v>
      </c>
      <c r="J117" s="41">
        <f t="shared" si="8"/>
        <v>150.172</v>
      </c>
    </row>
    <row r="118" spans="1:10" s="23" customFormat="1" ht="14.25" customHeight="1">
      <c r="A118" s="34" t="s">
        <v>126</v>
      </c>
      <c r="B118" s="34">
        <v>3.75</v>
      </c>
      <c r="C118" s="34">
        <v>3.75</v>
      </c>
      <c r="D118" s="34"/>
      <c r="E118" s="38"/>
      <c r="F118" s="38"/>
      <c r="G118" s="38"/>
      <c r="H118" s="30">
        <f t="shared" si="6"/>
        <v>-4.1639999999999997</v>
      </c>
      <c r="I118" s="30">
        <f t="shared" si="7"/>
        <v>161.83600000000001</v>
      </c>
      <c r="J118" s="41">
        <f t="shared" si="8"/>
        <v>157.672</v>
      </c>
    </row>
    <row r="119" spans="1:10" s="23" customFormat="1" ht="14.25" customHeight="1">
      <c r="A119" s="34" t="s">
        <v>127</v>
      </c>
      <c r="B119" s="34"/>
      <c r="C119" s="34"/>
      <c r="D119" s="34"/>
      <c r="E119" s="38">
        <v>1</v>
      </c>
      <c r="F119" s="38"/>
      <c r="G119" s="38"/>
      <c r="H119" s="30">
        <f t="shared" si="6"/>
        <v>-4.1639999999999997</v>
      </c>
      <c r="I119" s="30">
        <f t="shared" si="7"/>
        <v>160.83600000000001</v>
      </c>
      <c r="J119" s="41">
        <f t="shared" si="8"/>
        <v>156.672</v>
      </c>
    </row>
    <row r="120" spans="1:10" s="23" customFormat="1" ht="14.25" customHeight="1">
      <c r="A120" s="34" t="s">
        <v>128</v>
      </c>
      <c r="B120" s="34">
        <v>3.75</v>
      </c>
      <c r="C120" s="34">
        <v>3.75</v>
      </c>
      <c r="D120" s="34"/>
      <c r="E120" s="38"/>
      <c r="F120" s="38"/>
      <c r="G120" s="38"/>
      <c r="H120" s="30">
        <f t="shared" si="6"/>
        <v>-0.41400000000000098</v>
      </c>
      <c r="I120" s="30">
        <f t="shared" si="7"/>
        <v>164.58600000000001</v>
      </c>
      <c r="J120" s="41">
        <f t="shared" si="8"/>
        <v>164.172</v>
      </c>
    </row>
    <row r="121" spans="1:10" s="23" customFormat="1" ht="14.25" customHeight="1">
      <c r="A121" s="34" t="s">
        <v>129</v>
      </c>
      <c r="B121" s="34"/>
      <c r="C121" s="34"/>
      <c r="D121" s="34"/>
      <c r="E121" s="38">
        <v>2</v>
      </c>
      <c r="F121" s="38"/>
      <c r="G121" s="38"/>
      <c r="H121" s="30">
        <f t="shared" si="6"/>
        <v>-0.41400000000000098</v>
      </c>
      <c r="I121" s="30">
        <f t="shared" si="7"/>
        <v>162.58600000000001</v>
      </c>
      <c r="J121" s="41">
        <f t="shared" si="8"/>
        <v>162.172</v>
      </c>
    </row>
    <row r="122" spans="1:10" s="23" customFormat="1" ht="14.25" customHeight="1">
      <c r="A122" s="34" t="s">
        <v>130</v>
      </c>
      <c r="B122" s="34"/>
      <c r="C122" s="34"/>
      <c r="D122" s="34"/>
      <c r="E122" s="38"/>
      <c r="F122" s="38">
        <v>2</v>
      </c>
      <c r="G122" s="38"/>
      <c r="H122" s="30">
        <f t="shared" si="6"/>
        <v>-2.4140000000000001</v>
      </c>
      <c r="I122" s="30">
        <f t="shared" si="7"/>
        <v>162.58600000000001</v>
      </c>
      <c r="J122" s="41">
        <f t="shared" si="8"/>
        <v>160.172</v>
      </c>
    </row>
    <row r="123" spans="1:10" s="23" customFormat="1" ht="14.25" customHeight="1">
      <c r="A123" s="34" t="s">
        <v>131</v>
      </c>
      <c r="B123" s="34">
        <v>1.25</v>
      </c>
      <c r="C123" s="34">
        <v>1.25</v>
      </c>
      <c r="D123" s="34"/>
      <c r="E123" s="38"/>
      <c r="F123" s="38"/>
      <c r="G123" s="38"/>
      <c r="H123" s="30">
        <f t="shared" si="6"/>
        <v>-1.1639999999999999</v>
      </c>
      <c r="I123" s="30">
        <f t="shared" si="7"/>
        <v>163.83600000000001</v>
      </c>
      <c r="J123" s="41">
        <f t="shared" si="8"/>
        <v>162.672</v>
      </c>
    </row>
    <row r="124" spans="1:10" s="23" customFormat="1" ht="14.25" customHeight="1">
      <c r="A124" s="34" t="s">
        <v>132</v>
      </c>
      <c r="B124" s="34"/>
      <c r="C124" s="34"/>
      <c r="D124" s="34"/>
      <c r="E124" s="38">
        <v>1</v>
      </c>
      <c r="F124" s="38"/>
      <c r="G124" s="38"/>
      <c r="H124" s="30">
        <f t="shared" si="6"/>
        <v>-1.1639999999999999</v>
      </c>
      <c r="I124" s="30">
        <f t="shared" si="7"/>
        <v>162.83600000000001</v>
      </c>
      <c r="J124" s="41">
        <f t="shared" si="8"/>
        <v>161.672</v>
      </c>
    </row>
    <row r="125" spans="1:10" s="23" customFormat="1" ht="14.25" customHeight="1">
      <c r="A125" s="34" t="s">
        <v>133</v>
      </c>
      <c r="B125" s="34"/>
      <c r="C125" s="34"/>
      <c r="D125" s="34"/>
      <c r="E125" s="38">
        <v>1</v>
      </c>
      <c r="F125" s="38"/>
      <c r="G125" s="38"/>
      <c r="H125" s="30">
        <f t="shared" si="6"/>
        <v>-1.1639999999999999</v>
      </c>
      <c r="I125" s="30">
        <f t="shared" si="7"/>
        <v>161.83600000000001</v>
      </c>
      <c r="J125" s="41">
        <f t="shared" si="8"/>
        <v>160.672</v>
      </c>
    </row>
    <row r="126" spans="1:10" s="23" customFormat="1" ht="14.25" customHeight="1">
      <c r="A126" s="34" t="s">
        <v>134</v>
      </c>
      <c r="B126" s="34"/>
      <c r="C126" s="34"/>
      <c r="D126" s="34"/>
      <c r="E126" s="38">
        <v>3</v>
      </c>
      <c r="F126" s="38"/>
      <c r="G126" s="38"/>
      <c r="H126" s="30">
        <f t="shared" si="6"/>
        <v>-1.1639999999999999</v>
      </c>
      <c r="I126" s="30">
        <f t="shared" si="7"/>
        <v>158.83600000000001</v>
      </c>
      <c r="J126" s="41">
        <f t="shared" si="8"/>
        <v>157.672</v>
      </c>
    </row>
    <row r="127" spans="1:10" s="23" customFormat="1" ht="14.25" customHeight="1">
      <c r="A127" s="65"/>
      <c r="B127" s="65"/>
      <c r="C127" s="65"/>
      <c r="D127" s="65"/>
      <c r="E127" s="66"/>
      <c r="F127" s="66"/>
      <c r="G127" s="66"/>
      <c r="H127" s="48"/>
      <c r="I127" s="48"/>
      <c r="J127" s="48"/>
    </row>
    <row r="128" spans="1:10">
      <c r="F128" s="47">
        <v>2</v>
      </c>
    </row>
    <row r="131" spans="1:10" s="23" customFormat="1">
      <c r="A131"/>
      <c r="B131"/>
      <c r="C131"/>
      <c r="D131"/>
      <c r="E131"/>
      <c r="F131" s="47"/>
      <c r="G131" s="47"/>
      <c r="H131"/>
      <c r="I131"/>
      <c r="J131"/>
    </row>
  </sheetData>
  <mergeCells count="13">
    <mergeCell ref="K11:K12"/>
    <mergeCell ref="B9:D9"/>
    <mergeCell ref="A10:J10"/>
    <mergeCell ref="B11:C11"/>
    <mergeCell ref="D11:G11"/>
    <mergeCell ref="H11:I11"/>
    <mergeCell ref="A11:A12"/>
    <mergeCell ref="J11:J12"/>
    <mergeCell ref="A2:J2"/>
    <mergeCell ref="A3:J3"/>
    <mergeCell ref="A4:J4"/>
    <mergeCell ref="A5:J5"/>
    <mergeCell ref="B7:D7"/>
  </mergeCells>
  <printOptions horizontalCentered="1"/>
  <pageMargins left="0.23622047244094499" right="0.23622047244094499" top="0.118110236220472" bottom="0.118110236220472" header="0.31496062992126" footer="0.31496062992126"/>
  <pageSetup paperSize="9" scale="44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80"/>
  <sheetViews>
    <sheetView view="pageBreakPreview" topLeftCell="A47" zoomScaleNormal="100" workbookViewId="0">
      <selection activeCell="D67" sqref="D67"/>
    </sheetView>
  </sheetViews>
  <sheetFormatPr defaultColWidth="9" defaultRowHeight="15"/>
  <cols>
    <col min="1" max="1" width="39.7109375" customWidth="1"/>
    <col min="2" max="7" width="11.5703125" customWidth="1"/>
    <col min="8" max="9" width="10.42578125" customWidth="1"/>
    <col min="10" max="10" width="9.140625" customWidth="1"/>
    <col min="11" max="11" width="26.42578125" style="23" customWidth="1"/>
  </cols>
  <sheetData>
    <row r="1" spans="1:11" s="21" customFormat="1" ht="52.5" customHeight="1"/>
    <row r="2" spans="1:11" s="21" customFormat="1" ht="10.5" customHeight="1">
      <c r="A2" s="72" t="s">
        <v>0</v>
      </c>
      <c r="B2" s="72"/>
      <c r="C2" s="72"/>
      <c r="D2" s="72"/>
      <c r="E2" s="72"/>
      <c r="F2" s="72"/>
      <c r="G2" s="72"/>
      <c r="H2" s="72"/>
      <c r="I2" s="72"/>
      <c r="J2" s="72"/>
    </row>
    <row r="3" spans="1:11" s="21" customFormat="1" ht="15.95" customHeight="1">
      <c r="A3" s="72" t="s">
        <v>1</v>
      </c>
      <c r="B3" s="72"/>
      <c r="C3" s="72"/>
      <c r="D3" s="72"/>
      <c r="E3" s="72"/>
      <c r="F3" s="72"/>
      <c r="G3" s="72"/>
      <c r="H3" s="72"/>
      <c r="I3" s="72"/>
      <c r="J3" s="72"/>
    </row>
    <row r="4" spans="1:11" s="21" customFormat="1" ht="15.95" customHeight="1">
      <c r="A4" s="72" t="s">
        <v>148</v>
      </c>
      <c r="B4" s="72"/>
      <c r="C4" s="72"/>
      <c r="D4" s="72"/>
      <c r="E4" s="72"/>
      <c r="F4" s="72"/>
      <c r="G4" s="72"/>
      <c r="H4" s="72"/>
      <c r="I4" s="72"/>
      <c r="J4" s="72"/>
    </row>
    <row r="5" spans="1:11" s="21" customFormat="1" ht="15.95" customHeight="1">
      <c r="A5" s="72" t="s">
        <v>3</v>
      </c>
      <c r="B5" s="72"/>
      <c r="C5" s="72"/>
      <c r="D5" s="72"/>
      <c r="E5" s="72"/>
      <c r="F5" s="72"/>
      <c r="G5" s="72"/>
      <c r="H5" s="72"/>
      <c r="I5" s="72"/>
      <c r="J5" s="72"/>
    </row>
    <row r="6" spans="1:11" s="21" customFormat="1" ht="8.25" customHeight="1"/>
    <row r="7" spans="1:11" s="21" customFormat="1" ht="12" customHeight="1">
      <c r="A7" s="21" t="s">
        <v>4</v>
      </c>
      <c r="B7" s="73" t="s">
        <v>5</v>
      </c>
      <c r="C7" s="73"/>
      <c r="D7" s="73"/>
      <c r="H7" s="25" t="s">
        <v>6</v>
      </c>
      <c r="I7" s="39"/>
      <c r="J7" s="25"/>
    </row>
    <row r="8" spans="1:11" s="21" customFormat="1" ht="12" customHeight="1">
      <c r="B8" s="26"/>
      <c r="C8" s="26"/>
      <c r="H8" s="26"/>
      <c r="I8" s="26"/>
      <c r="J8" s="26"/>
    </row>
    <row r="9" spans="1:11" s="21" customFormat="1" ht="12" customHeight="1">
      <c r="A9" s="21" t="s">
        <v>7</v>
      </c>
      <c r="B9" s="73" t="s">
        <v>8</v>
      </c>
      <c r="C9" s="73"/>
      <c r="D9" s="73"/>
      <c r="H9" s="25" t="s">
        <v>9</v>
      </c>
      <c r="I9" s="40"/>
      <c r="J9" s="25"/>
    </row>
    <row r="10" spans="1:11" ht="16.5" customHeight="1">
      <c r="A10" s="74" t="s">
        <v>10</v>
      </c>
      <c r="B10" s="74"/>
      <c r="C10" s="74"/>
      <c r="D10" s="74"/>
      <c r="E10" s="74"/>
      <c r="F10" s="74"/>
      <c r="G10" s="74"/>
      <c r="H10" s="74"/>
      <c r="I10" s="74"/>
      <c r="J10" s="74"/>
      <c r="K10"/>
    </row>
    <row r="11" spans="1:11" ht="18.75" customHeight="1">
      <c r="A11" s="82" t="s">
        <v>11</v>
      </c>
      <c r="B11" s="87" t="s">
        <v>12</v>
      </c>
      <c r="C11" s="87"/>
      <c r="D11" s="77" t="s">
        <v>13</v>
      </c>
      <c r="E11" s="78"/>
      <c r="F11" s="78"/>
      <c r="G11" s="79"/>
      <c r="H11" s="88" t="s">
        <v>14</v>
      </c>
      <c r="I11" s="88"/>
      <c r="J11" s="84" t="s">
        <v>15</v>
      </c>
      <c r="K11" s="86" t="s">
        <v>16</v>
      </c>
    </row>
    <row r="12" spans="1:11" ht="36.75" customHeight="1">
      <c r="A12" s="89"/>
      <c r="B12" s="27" t="s">
        <v>17</v>
      </c>
      <c r="C12" s="27" t="s">
        <v>18</v>
      </c>
      <c r="D12" s="27" t="s">
        <v>17</v>
      </c>
      <c r="E12" s="27" t="s">
        <v>18</v>
      </c>
      <c r="F12" s="27" t="s">
        <v>19</v>
      </c>
      <c r="G12" s="28" t="s">
        <v>150</v>
      </c>
      <c r="H12" s="27" t="s">
        <v>17</v>
      </c>
      <c r="I12" s="27" t="s">
        <v>18</v>
      </c>
      <c r="J12" s="90"/>
      <c r="K12" s="86"/>
    </row>
    <row r="13" spans="1:11" ht="18.75" customHeight="1">
      <c r="A13" s="29" t="s">
        <v>151</v>
      </c>
      <c r="B13" s="30">
        <v>38.582999999999998</v>
      </c>
      <c r="C13" s="30">
        <v>133.25299999999999</v>
      </c>
      <c r="D13" s="30"/>
      <c r="E13" s="30"/>
      <c r="F13" s="30"/>
      <c r="G13" s="30"/>
      <c r="H13" s="30">
        <f>B13</f>
        <v>38.582999999999998</v>
      </c>
      <c r="I13" s="30">
        <f>C13</f>
        <v>133.25299999999999</v>
      </c>
      <c r="J13" s="41">
        <f>SUM(H13:I13)</f>
        <v>171.83600000000001</v>
      </c>
    </row>
    <row r="14" spans="1:11" ht="18.75" customHeight="1">
      <c r="A14" s="29" t="s">
        <v>152</v>
      </c>
      <c r="B14" s="30">
        <v>0.66700000000000004</v>
      </c>
      <c r="C14" s="30">
        <v>0.66700000000000004</v>
      </c>
      <c r="D14" s="30"/>
      <c r="E14" s="30"/>
      <c r="F14" s="30"/>
      <c r="G14" s="30"/>
      <c r="H14" s="30">
        <f>H13-F14-D14+B14</f>
        <v>39.25</v>
      </c>
      <c r="I14" s="30">
        <f>I13-E14+C14</f>
        <v>133.91999999999999</v>
      </c>
      <c r="J14" s="41">
        <f>SUM(H14:I14)</f>
        <v>173.17</v>
      </c>
    </row>
    <row r="15" spans="1:11" ht="18.75" customHeight="1">
      <c r="A15" s="29" t="s">
        <v>153</v>
      </c>
      <c r="B15" s="30">
        <f>5*1.25</f>
        <v>6.25</v>
      </c>
      <c r="C15" s="30">
        <v>6.25</v>
      </c>
      <c r="D15" s="30"/>
      <c r="E15" s="30"/>
      <c r="F15" s="30"/>
      <c r="G15" s="30"/>
      <c r="H15" s="30">
        <f t="shared" ref="H15:H50" si="0">H14-F15-D15+B15</f>
        <v>45.5</v>
      </c>
      <c r="I15" s="30">
        <f t="shared" ref="I15:I50" si="1">I14-E15+C15</f>
        <v>140.16999999999999</v>
      </c>
      <c r="J15" s="41">
        <f t="shared" ref="J15:J50" si="2">SUM(H15:I15)</f>
        <v>185.67</v>
      </c>
    </row>
    <row r="16" spans="1:11" ht="18.75" customHeight="1">
      <c r="A16" s="29" t="s">
        <v>69</v>
      </c>
      <c r="B16" s="30"/>
      <c r="C16" s="30"/>
      <c r="D16" s="30">
        <v>29</v>
      </c>
      <c r="E16" s="30"/>
      <c r="F16" s="30"/>
      <c r="G16" s="30"/>
      <c r="H16" s="30">
        <f t="shared" si="0"/>
        <v>16.5</v>
      </c>
      <c r="I16" s="30">
        <f t="shared" si="1"/>
        <v>140.16999999999999</v>
      </c>
      <c r="J16" s="41">
        <f t="shared" si="2"/>
        <v>156.66999999999999</v>
      </c>
    </row>
    <row r="17" spans="1:10" ht="18.75" customHeight="1">
      <c r="A17" s="29" t="s">
        <v>70</v>
      </c>
      <c r="B17" s="30"/>
      <c r="C17" s="30"/>
      <c r="D17" s="30"/>
      <c r="E17" s="30">
        <v>2</v>
      </c>
      <c r="F17" s="30"/>
      <c r="G17" s="30"/>
      <c r="H17" s="30">
        <f t="shared" si="0"/>
        <v>16.5</v>
      </c>
      <c r="I17" s="30">
        <f t="shared" si="1"/>
        <v>138.16999999999999</v>
      </c>
      <c r="J17" s="41">
        <f t="shared" si="2"/>
        <v>154.66999999999999</v>
      </c>
    </row>
    <row r="18" spans="1:10" ht="18.75" customHeight="1">
      <c r="A18" s="29" t="s">
        <v>154</v>
      </c>
      <c r="B18" s="30">
        <v>15</v>
      </c>
      <c r="C18" s="30">
        <v>15</v>
      </c>
      <c r="D18" s="30"/>
      <c r="E18" s="30"/>
      <c r="F18" s="30"/>
      <c r="G18" s="30"/>
      <c r="H18" s="30">
        <f t="shared" si="0"/>
        <v>31.5</v>
      </c>
      <c r="I18" s="30">
        <f t="shared" si="1"/>
        <v>153.16999999999999</v>
      </c>
      <c r="J18" s="41">
        <f t="shared" si="2"/>
        <v>184.67</v>
      </c>
    </row>
    <row r="19" spans="1:10" ht="18.75" customHeight="1">
      <c r="A19" s="29" t="s">
        <v>74</v>
      </c>
      <c r="B19" s="30"/>
      <c r="C19" s="30"/>
      <c r="D19" s="30">
        <v>2</v>
      </c>
      <c r="E19" s="30"/>
      <c r="F19" s="30">
        <v>5</v>
      </c>
      <c r="G19" s="30"/>
      <c r="H19" s="30">
        <f t="shared" si="0"/>
        <v>24.5</v>
      </c>
      <c r="I19" s="30">
        <f t="shared" si="1"/>
        <v>153.16999999999999</v>
      </c>
      <c r="J19" s="41">
        <f t="shared" si="2"/>
        <v>177.67</v>
      </c>
    </row>
    <row r="20" spans="1:10" ht="18.75" customHeight="1">
      <c r="A20" s="29" t="s">
        <v>155</v>
      </c>
      <c r="B20" s="30">
        <v>15</v>
      </c>
      <c r="C20" s="30">
        <v>15</v>
      </c>
      <c r="D20" s="30"/>
      <c r="E20" s="30"/>
      <c r="F20" s="30"/>
      <c r="G20" s="30"/>
      <c r="H20" s="30">
        <f t="shared" si="0"/>
        <v>39.5</v>
      </c>
      <c r="I20" s="30">
        <f t="shared" si="1"/>
        <v>168.17</v>
      </c>
      <c r="J20" s="41">
        <f t="shared" si="2"/>
        <v>207.67</v>
      </c>
    </row>
    <row r="21" spans="1:10" ht="18.75" customHeight="1">
      <c r="A21" s="29" t="s">
        <v>77</v>
      </c>
      <c r="B21" s="30"/>
      <c r="C21" s="30"/>
      <c r="D21" s="30"/>
      <c r="E21" s="30"/>
      <c r="F21" s="30">
        <v>3</v>
      </c>
      <c r="G21" s="30"/>
      <c r="H21" s="30">
        <f t="shared" si="0"/>
        <v>36.5</v>
      </c>
      <c r="I21" s="30">
        <f t="shared" si="1"/>
        <v>168.17</v>
      </c>
      <c r="J21" s="41">
        <f t="shared" si="2"/>
        <v>204.67</v>
      </c>
    </row>
    <row r="22" spans="1:10" ht="18.75" customHeight="1">
      <c r="A22" s="29" t="s">
        <v>79</v>
      </c>
      <c r="B22" s="30"/>
      <c r="C22" s="30"/>
      <c r="D22" s="30"/>
      <c r="E22" s="30"/>
      <c r="F22" s="30">
        <v>1</v>
      </c>
      <c r="G22" s="30"/>
      <c r="H22" s="30">
        <f t="shared" si="0"/>
        <v>35.5</v>
      </c>
      <c r="I22" s="30">
        <f t="shared" si="1"/>
        <v>168.17</v>
      </c>
      <c r="J22" s="41">
        <f t="shared" si="2"/>
        <v>203.67</v>
      </c>
    </row>
    <row r="23" spans="1:10" ht="18.75" customHeight="1">
      <c r="A23" s="29" t="s">
        <v>81</v>
      </c>
      <c r="B23" s="30"/>
      <c r="C23" s="30"/>
      <c r="D23" s="30"/>
      <c r="E23" s="30"/>
      <c r="F23" s="30">
        <v>1</v>
      </c>
      <c r="G23" s="30"/>
      <c r="H23" s="30">
        <f t="shared" si="0"/>
        <v>34.5</v>
      </c>
      <c r="I23" s="30">
        <f t="shared" si="1"/>
        <v>168.17</v>
      </c>
      <c r="J23" s="41">
        <f t="shared" si="2"/>
        <v>202.67</v>
      </c>
    </row>
    <row r="24" spans="1:10" ht="18.75" customHeight="1">
      <c r="A24" s="29" t="s">
        <v>83</v>
      </c>
      <c r="B24" s="30"/>
      <c r="C24" s="30"/>
      <c r="D24" s="30">
        <v>1</v>
      </c>
      <c r="E24" s="30"/>
      <c r="F24" s="30"/>
      <c r="G24" s="30"/>
      <c r="H24" s="30">
        <f t="shared" si="0"/>
        <v>33.5</v>
      </c>
      <c r="I24" s="30">
        <f t="shared" si="1"/>
        <v>168.17</v>
      </c>
      <c r="J24" s="41">
        <f t="shared" si="2"/>
        <v>201.67</v>
      </c>
    </row>
    <row r="25" spans="1:10" ht="18.75" customHeight="1">
      <c r="A25" s="29" t="s">
        <v>85</v>
      </c>
      <c r="B25" s="30"/>
      <c r="C25" s="30"/>
      <c r="D25" s="30">
        <v>26</v>
      </c>
      <c r="E25" s="30">
        <v>3</v>
      </c>
      <c r="F25" s="30"/>
      <c r="G25" s="30"/>
      <c r="H25" s="30">
        <f t="shared" si="0"/>
        <v>7.5</v>
      </c>
      <c r="I25" s="30">
        <f t="shared" si="1"/>
        <v>165.17</v>
      </c>
      <c r="J25" s="41">
        <f t="shared" si="2"/>
        <v>172.67</v>
      </c>
    </row>
    <row r="26" spans="1:10" ht="18.75" customHeight="1">
      <c r="A26" s="31" t="s">
        <v>86</v>
      </c>
      <c r="B26" s="30">
        <v>1.25</v>
      </c>
      <c r="C26" s="30">
        <v>1.25</v>
      </c>
      <c r="D26" s="30"/>
      <c r="E26" s="30"/>
      <c r="F26" s="30"/>
      <c r="G26" s="30"/>
      <c r="H26" s="30">
        <f t="shared" si="0"/>
        <v>8.75</v>
      </c>
      <c r="I26" s="30">
        <f t="shared" si="1"/>
        <v>166.42</v>
      </c>
      <c r="J26" s="41">
        <f t="shared" si="2"/>
        <v>175.17</v>
      </c>
    </row>
    <row r="27" spans="1:10" ht="18.75" customHeight="1">
      <c r="A27" s="29" t="s">
        <v>87</v>
      </c>
      <c r="B27" s="30"/>
      <c r="C27" s="30"/>
      <c r="D27" s="30"/>
      <c r="E27" s="30"/>
      <c r="F27" s="30">
        <v>1</v>
      </c>
      <c r="G27" s="30"/>
      <c r="H27" s="30">
        <f t="shared" si="0"/>
        <v>7.75</v>
      </c>
      <c r="I27" s="30">
        <f t="shared" si="1"/>
        <v>166.42</v>
      </c>
      <c r="J27" s="41">
        <f t="shared" si="2"/>
        <v>174.17</v>
      </c>
    </row>
    <row r="28" spans="1:10" ht="18.75" customHeight="1">
      <c r="A28" s="29" t="s">
        <v>88</v>
      </c>
      <c r="B28" s="30">
        <v>1.25</v>
      </c>
      <c r="C28" s="30">
        <v>1.25</v>
      </c>
      <c r="D28" s="30"/>
      <c r="E28" s="30"/>
      <c r="F28" s="30"/>
      <c r="G28" s="30"/>
      <c r="H28" s="30">
        <f t="shared" si="0"/>
        <v>9</v>
      </c>
      <c r="I28" s="30">
        <f t="shared" si="1"/>
        <v>167.67</v>
      </c>
      <c r="J28" s="41">
        <f t="shared" si="2"/>
        <v>176.67</v>
      </c>
    </row>
    <row r="29" spans="1:10" ht="18.75" customHeight="1">
      <c r="A29" s="29" t="s">
        <v>89</v>
      </c>
      <c r="B29" s="30"/>
      <c r="C29" s="30"/>
      <c r="D29" s="30"/>
      <c r="E29" s="30"/>
      <c r="F29" s="30">
        <v>1</v>
      </c>
      <c r="G29" s="30"/>
      <c r="H29" s="30">
        <f t="shared" si="0"/>
        <v>8</v>
      </c>
      <c r="I29" s="30">
        <f t="shared" si="1"/>
        <v>167.67</v>
      </c>
      <c r="J29" s="41">
        <f t="shared" si="2"/>
        <v>175.67</v>
      </c>
    </row>
    <row r="30" spans="1:10" ht="18.75" customHeight="1">
      <c r="A30" s="29" t="s">
        <v>90</v>
      </c>
      <c r="B30" s="30">
        <v>1.25</v>
      </c>
      <c r="C30" s="30">
        <v>1.25</v>
      </c>
      <c r="D30" s="30"/>
      <c r="E30" s="30"/>
      <c r="F30" s="30"/>
      <c r="G30" s="30"/>
      <c r="H30" s="30">
        <f t="shared" si="0"/>
        <v>9.25</v>
      </c>
      <c r="I30" s="30">
        <f t="shared" si="1"/>
        <v>168.92</v>
      </c>
      <c r="J30" s="41">
        <f t="shared" si="2"/>
        <v>178.17</v>
      </c>
    </row>
    <row r="31" spans="1:10" ht="18.75" customHeight="1">
      <c r="A31" s="29" t="s">
        <v>91</v>
      </c>
      <c r="B31" s="30"/>
      <c r="C31" s="30"/>
      <c r="D31" s="30"/>
      <c r="E31" s="30"/>
      <c r="F31" s="30">
        <v>1</v>
      </c>
      <c r="G31" s="30"/>
      <c r="H31" s="30">
        <f t="shared" si="0"/>
        <v>8.25</v>
      </c>
      <c r="I31" s="30">
        <f t="shared" si="1"/>
        <v>168.92</v>
      </c>
      <c r="J31" s="41">
        <f t="shared" si="2"/>
        <v>177.17</v>
      </c>
    </row>
    <row r="32" spans="1:10" ht="18.75" customHeight="1">
      <c r="A32" s="29" t="s">
        <v>92</v>
      </c>
      <c r="B32" s="30">
        <v>5</v>
      </c>
      <c r="C32" s="30">
        <v>5</v>
      </c>
      <c r="D32" s="30"/>
      <c r="E32" s="30"/>
      <c r="F32" s="30"/>
      <c r="G32" s="30"/>
      <c r="H32" s="30">
        <f t="shared" si="0"/>
        <v>13.25</v>
      </c>
      <c r="I32" s="30">
        <f t="shared" si="1"/>
        <v>173.92</v>
      </c>
      <c r="J32" s="41">
        <f t="shared" si="2"/>
        <v>187.17</v>
      </c>
    </row>
    <row r="33" spans="1:10" ht="18.75" customHeight="1">
      <c r="A33" s="29" t="s">
        <v>93</v>
      </c>
      <c r="B33" s="30"/>
      <c r="C33" s="30"/>
      <c r="D33" s="30"/>
      <c r="E33" s="30"/>
      <c r="F33" s="30">
        <v>1</v>
      </c>
      <c r="G33" s="30"/>
      <c r="H33" s="30">
        <f t="shared" si="0"/>
        <v>12.25</v>
      </c>
      <c r="I33" s="30">
        <f t="shared" si="1"/>
        <v>173.92</v>
      </c>
      <c r="J33" s="41">
        <f t="shared" si="2"/>
        <v>186.17</v>
      </c>
    </row>
    <row r="34" spans="1:10" ht="18.75" customHeight="1">
      <c r="A34" s="29" t="s">
        <v>94</v>
      </c>
      <c r="B34" s="30">
        <v>1.25</v>
      </c>
      <c r="C34" s="30">
        <v>1.25</v>
      </c>
      <c r="D34" s="30"/>
      <c r="E34" s="30"/>
      <c r="F34" s="30"/>
      <c r="G34" s="30"/>
      <c r="H34" s="30">
        <f t="shared" si="0"/>
        <v>13.5</v>
      </c>
      <c r="I34" s="30">
        <f t="shared" si="1"/>
        <v>175.17</v>
      </c>
      <c r="J34" s="41">
        <f t="shared" si="2"/>
        <v>188.67</v>
      </c>
    </row>
    <row r="35" spans="1:10" ht="18.75" customHeight="1">
      <c r="A35" s="29" t="s">
        <v>95</v>
      </c>
      <c r="B35" s="30"/>
      <c r="C35" s="30"/>
      <c r="D35" s="30"/>
      <c r="E35" s="30"/>
      <c r="F35" s="30"/>
      <c r="G35" s="32">
        <v>3</v>
      </c>
      <c r="H35" s="30">
        <f t="shared" si="0"/>
        <v>13.5</v>
      </c>
      <c r="I35" s="30">
        <f t="shared" si="1"/>
        <v>175.17</v>
      </c>
      <c r="J35" s="41">
        <f t="shared" si="2"/>
        <v>188.67</v>
      </c>
    </row>
    <row r="36" spans="1:10" ht="18.75" customHeight="1">
      <c r="A36" s="33" t="s">
        <v>96</v>
      </c>
      <c r="B36" s="30"/>
      <c r="C36" s="30"/>
      <c r="D36" s="30">
        <v>5</v>
      </c>
      <c r="E36" s="30">
        <v>24</v>
      </c>
      <c r="F36" s="30"/>
      <c r="G36" s="30"/>
      <c r="H36" s="30">
        <f t="shared" si="0"/>
        <v>8.5</v>
      </c>
      <c r="I36" s="30">
        <f t="shared" si="1"/>
        <v>151.16999999999999</v>
      </c>
      <c r="J36" s="41">
        <f t="shared" si="2"/>
        <v>159.66999999999999</v>
      </c>
    </row>
    <row r="37" spans="1:10" ht="18.75" customHeight="1">
      <c r="A37" s="29" t="s">
        <v>97</v>
      </c>
      <c r="B37" s="30">
        <v>1.25</v>
      </c>
      <c r="C37" s="30">
        <v>1.25</v>
      </c>
      <c r="D37" s="30"/>
      <c r="E37" s="30"/>
      <c r="F37" s="30"/>
      <c r="G37" s="30"/>
      <c r="H37" s="30">
        <f t="shared" si="0"/>
        <v>9.75</v>
      </c>
      <c r="I37" s="30">
        <f t="shared" si="1"/>
        <v>152.41999999999999</v>
      </c>
      <c r="J37" s="41">
        <f t="shared" si="2"/>
        <v>162.16999999999999</v>
      </c>
    </row>
    <row r="38" spans="1:10" ht="18.75" customHeight="1">
      <c r="A38" s="29" t="s">
        <v>98</v>
      </c>
      <c r="B38" s="30"/>
      <c r="C38" s="30"/>
      <c r="D38" s="30"/>
      <c r="E38" s="30"/>
      <c r="F38" s="30">
        <v>1</v>
      </c>
      <c r="G38" s="30"/>
      <c r="H38" s="30">
        <f t="shared" si="0"/>
        <v>8.75</v>
      </c>
      <c r="I38" s="30">
        <f t="shared" si="1"/>
        <v>152.41999999999999</v>
      </c>
      <c r="J38" s="41">
        <f t="shared" si="2"/>
        <v>161.16999999999999</v>
      </c>
    </row>
    <row r="39" spans="1:10" ht="18.75" customHeight="1">
      <c r="A39" s="29" t="s">
        <v>99</v>
      </c>
      <c r="B39" s="30">
        <v>2.5</v>
      </c>
      <c r="C39" s="30">
        <v>2.5</v>
      </c>
      <c r="D39" s="30"/>
      <c r="E39" s="30"/>
      <c r="F39" s="30"/>
      <c r="G39" s="30"/>
      <c r="H39" s="30">
        <f t="shared" si="0"/>
        <v>11.25</v>
      </c>
      <c r="I39" s="30">
        <f t="shared" si="1"/>
        <v>154.91999999999999</v>
      </c>
      <c r="J39" s="41">
        <f t="shared" si="2"/>
        <v>166.17</v>
      </c>
    </row>
    <row r="40" spans="1:10" ht="18.75" customHeight="1">
      <c r="A40" s="33" t="s">
        <v>100</v>
      </c>
      <c r="B40" s="30"/>
      <c r="C40" s="30"/>
      <c r="D40" s="30"/>
      <c r="E40" s="30">
        <v>2</v>
      </c>
      <c r="F40" s="30"/>
      <c r="G40" s="30"/>
      <c r="H40" s="30">
        <f t="shared" si="0"/>
        <v>11.25</v>
      </c>
      <c r="I40" s="30">
        <f t="shared" si="1"/>
        <v>152.91999999999999</v>
      </c>
      <c r="J40" s="41">
        <f t="shared" si="2"/>
        <v>164.17</v>
      </c>
    </row>
    <row r="41" spans="1:10" ht="18.75" customHeight="1">
      <c r="A41" s="29" t="s">
        <v>101</v>
      </c>
      <c r="B41" s="30">
        <v>1.25</v>
      </c>
      <c r="C41" s="30">
        <v>1.25</v>
      </c>
      <c r="D41" s="30"/>
      <c r="E41" s="30"/>
      <c r="F41" s="30"/>
      <c r="G41" s="30"/>
      <c r="H41" s="30">
        <f t="shared" si="0"/>
        <v>12.5</v>
      </c>
      <c r="I41" s="30">
        <f t="shared" si="1"/>
        <v>154.16999999999999</v>
      </c>
      <c r="J41" s="41">
        <f t="shared" si="2"/>
        <v>166.67</v>
      </c>
    </row>
    <row r="42" spans="1:10" ht="18.75" customHeight="1">
      <c r="A42" s="33" t="s">
        <v>102</v>
      </c>
      <c r="B42" s="30"/>
      <c r="C42" s="30"/>
      <c r="D42" s="30">
        <v>3</v>
      </c>
      <c r="E42" s="30"/>
      <c r="F42" s="30"/>
      <c r="G42" s="30"/>
      <c r="H42" s="30">
        <f t="shared" si="0"/>
        <v>9.5</v>
      </c>
      <c r="I42" s="30">
        <f t="shared" si="1"/>
        <v>154.16999999999999</v>
      </c>
      <c r="J42" s="41">
        <f t="shared" si="2"/>
        <v>163.66999999999999</v>
      </c>
    </row>
    <row r="43" spans="1:10" ht="18.75" customHeight="1">
      <c r="A43" s="33" t="s">
        <v>156</v>
      </c>
      <c r="B43" s="30">
        <v>5</v>
      </c>
      <c r="C43" s="30">
        <v>5</v>
      </c>
      <c r="D43" s="30"/>
      <c r="E43" s="30"/>
      <c r="F43" s="30"/>
      <c r="G43" s="30"/>
      <c r="H43" s="30">
        <f t="shared" si="0"/>
        <v>14.5</v>
      </c>
      <c r="I43" s="30">
        <f t="shared" si="1"/>
        <v>159.16999999999999</v>
      </c>
      <c r="J43" s="41">
        <f t="shared" si="2"/>
        <v>173.67</v>
      </c>
    </row>
    <row r="44" spans="1:10" ht="18.75" customHeight="1">
      <c r="A44" s="34" t="s">
        <v>157</v>
      </c>
      <c r="B44" s="35">
        <v>5</v>
      </c>
      <c r="C44" s="35">
        <v>5</v>
      </c>
      <c r="D44" s="35"/>
      <c r="E44" s="35"/>
      <c r="F44" s="35"/>
      <c r="G44" s="35"/>
      <c r="H44" s="30">
        <f t="shared" si="0"/>
        <v>19.5</v>
      </c>
      <c r="I44" s="30">
        <f t="shared" si="1"/>
        <v>164.17</v>
      </c>
      <c r="J44" s="41">
        <f t="shared" si="2"/>
        <v>183.67</v>
      </c>
    </row>
    <row r="45" spans="1:10">
      <c r="A45" s="36" t="s">
        <v>104</v>
      </c>
      <c r="B45" s="37"/>
      <c r="C45" s="37"/>
      <c r="D45" s="37"/>
      <c r="E45" s="38">
        <v>2</v>
      </c>
      <c r="F45" s="37"/>
      <c r="G45" s="37"/>
      <c r="H45" s="30">
        <f t="shared" si="0"/>
        <v>19.5</v>
      </c>
      <c r="I45" s="30">
        <f t="shared" si="1"/>
        <v>162.16999999999999</v>
      </c>
      <c r="J45" s="41">
        <f t="shared" si="2"/>
        <v>181.67</v>
      </c>
    </row>
    <row r="46" spans="1:10">
      <c r="A46" s="36" t="s">
        <v>106</v>
      </c>
      <c r="B46" s="37"/>
      <c r="C46" s="37"/>
      <c r="D46" s="38">
        <v>9</v>
      </c>
      <c r="E46" s="38">
        <v>20</v>
      </c>
      <c r="F46" s="37"/>
      <c r="G46" s="37"/>
      <c r="H46" s="30">
        <f t="shared" si="0"/>
        <v>10.5</v>
      </c>
      <c r="I46" s="30">
        <f t="shared" si="1"/>
        <v>142.16999999999999</v>
      </c>
      <c r="J46" s="41">
        <f t="shared" si="2"/>
        <v>152.66999999999999</v>
      </c>
    </row>
    <row r="47" spans="1:10">
      <c r="A47" s="36" t="s">
        <v>107</v>
      </c>
      <c r="B47" s="36"/>
      <c r="C47" s="36"/>
      <c r="D47" s="36"/>
      <c r="E47" s="36"/>
      <c r="F47" s="36">
        <v>1</v>
      </c>
      <c r="G47" s="36"/>
      <c r="H47" s="30">
        <f t="shared" si="0"/>
        <v>9.5</v>
      </c>
      <c r="I47" s="30">
        <f t="shared" si="1"/>
        <v>142.16999999999999</v>
      </c>
      <c r="J47" s="41">
        <f t="shared" si="2"/>
        <v>151.66999999999999</v>
      </c>
    </row>
    <row r="48" spans="1:10">
      <c r="A48" s="36" t="s">
        <v>108</v>
      </c>
      <c r="B48" s="36">
        <f>1.25*3</f>
        <v>3.75</v>
      </c>
      <c r="C48" s="36">
        <v>3.75</v>
      </c>
      <c r="D48" s="36"/>
      <c r="E48" s="36"/>
      <c r="F48" s="36"/>
      <c r="G48" s="36"/>
      <c r="H48" s="30">
        <f t="shared" si="0"/>
        <v>13.25</v>
      </c>
      <c r="I48" s="30">
        <f t="shared" si="1"/>
        <v>145.91999999999999</v>
      </c>
      <c r="J48" s="41">
        <f t="shared" si="2"/>
        <v>159.16999999999999</v>
      </c>
    </row>
    <row r="49" spans="1:10">
      <c r="A49" s="36" t="s">
        <v>109</v>
      </c>
      <c r="B49" s="36"/>
      <c r="C49" s="36"/>
      <c r="D49" s="36"/>
      <c r="E49" s="36"/>
      <c r="F49" s="36">
        <v>3</v>
      </c>
      <c r="G49" s="36"/>
      <c r="H49" s="30">
        <f t="shared" si="0"/>
        <v>10.25</v>
      </c>
      <c r="I49" s="30">
        <f t="shared" si="1"/>
        <v>145.91999999999999</v>
      </c>
      <c r="J49" s="41">
        <f t="shared" si="2"/>
        <v>156.16999999999999</v>
      </c>
    </row>
    <row r="50" spans="1:10">
      <c r="A50" s="36" t="s">
        <v>110</v>
      </c>
      <c r="B50" s="36">
        <v>1.25</v>
      </c>
      <c r="C50" s="36">
        <v>1.25</v>
      </c>
      <c r="D50" s="36"/>
      <c r="E50" s="36"/>
      <c r="F50" s="36"/>
      <c r="G50" s="36"/>
      <c r="H50" s="30">
        <f t="shared" si="0"/>
        <v>11.5</v>
      </c>
      <c r="I50" s="30">
        <f t="shared" si="1"/>
        <v>147.16999999999999</v>
      </c>
      <c r="J50" s="41">
        <f t="shared" si="2"/>
        <v>158.66999999999999</v>
      </c>
    </row>
    <row r="51" spans="1:10">
      <c r="A51" s="36" t="s">
        <v>111</v>
      </c>
      <c r="B51" s="36"/>
      <c r="C51" s="36"/>
      <c r="D51" s="36"/>
      <c r="E51" s="36"/>
      <c r="F51" s="36">
        <v>1</v>
      </c>
      <c r="G51" s="36"/>
      <c r="H51" s="30">
        <f t="shared" ref="H51:H57" si="3">H50-F51-D51+B51</f>
        <v>10.5</v>
      </c>
      <c r="I51" s="30">
        <f t="shared" ref="I51:I57" si="4">I50-E51+C51</f>
        <v>147.16999999999999</v>
      </c>
      <c r="J51" s="41">
        <f t="shared" ref="J51:J57" si="5">SUM(H51:I51)</f>
        <v>157.66999999999999</v>
      </c>
    </row>
    <row r="52" spans="1:10">
      <c r="A52" s="36" t="s">
        <v>112</v>
      </c>
      <c r="B52" s="36">
        <v>1.25</v>
      </c>
      <c r="C52" s="36">
        <v>1.25</v>
      </c>
      <c r="D52" s="36"/>
      <c r="E52" s="36"/>
      <c r="F52" s="36"/>
      <c r="G52" s="36"/>
      <c r="H52" s="30">
        <f t="shared" si="3"/>
        <v>11.75</v>
      </c>
      <c r="I52" s="30">
        <f t="shared" si="4"/>
        <v>148.41999999999999</v>
      </c>
      <c r="J52" s="41">
        <f t="shared" si="5"/>
        <v>160.16999999999999</v>
      </c>
    </row>
    <row r="53" spans="1:10">
      <c r="A53" s="36" t="s">
        <v>113</v>
      </c>
      <c r="B53" s="36">
        <v>1.25</v>
      </c>
      <c r="C53" s="36">
        <v>1.25</v>
      </c>
      <c r="D53" s="36"/>
      <c r="E53" s="36"/>
      <c r="F53" s="36"/>
      <c r="G53" s="36"/>
      <c r="H53" s="30">
        <f t="shared" si="3"/>
        <v>13</v>
      </c>
      <c r="I53" s="30">
        <f t="shared" si="4"/>
        <v>149.66999999999999</v>
      </c>
      <c r="J53" s="41">
        <f t="shared" si="5"/>
        <v>162.66999999999999</v>
      </c>
    </row>
    <row r="54" spans="1:10">
      <c r="A54" s="36" t="s">
        <v>114</v>
      </c>
      <c r="B54" s="36"/>
      <c r="C54" s="36"/>
      <c r="D54" s="36"/>
      <c r="E54" s="36">
        <v>1</v>
      </c>
      <c r="F54" s="36"/>
      <c r="G54" s="36"/>
      <c r="H54" s="30">
        <f t="shared" si="3"/>
        <v>13</v>
      </c>
      <c r="I54" s="30">
        <f t="shared" si="4"/>
        <v>148.66999999999999</v>
      </c>
      <c r="J54" s="41">
        <f t="shared" si="5"/>
        <v>161.66999999999999</v>
      </c>
    </row>
    <row r="55" spans="1:10">
      <c r="A55" s="36" t="s">
        <v>115</v>
      </c>
      <c r="B55" s="36"/>
      <c r="C55" s="36"/>
      <c r="D55" s="36"/>
      <c r="E55" s="36"/>
      <c r="F55" s="36">
        <v>1</v>
      </c>
      <c r="G55" s="36"/>
      <c r="H55" s="30">
        <f t="shared" si="3"/>
        <v>12</v>
      </c>
      <c r="I55" s="30">
        <f t="shared" si="4"/>
        <v>148.66999999999999</v>
      </c>
      <c r="J55" s="41">
        <f t="shared" si="5"/>
        <v>160.66999999999999</v>
      </c>
    </row>
    <row r="56" spans="1:10">
      <c r="A56" s="36" t="s">
        <v>116</v>
      </c>
      <c r="B56" s="36">
        <v>5</v>
      </c>
      <c r="C56" s="36">
        <v>5</v>
      </c>
      <c r="D56" s="36"/>
      <c r="E56" s="36"/>
      <c r="F56" s="36"/>
      <c r="G56" s="36"/>
      <c r="H56" s="30">
        <f t="shared" si="3"/>
        <v>17</v>
      </c>
      <c r="I56" s="30">
        <f t="shared" si="4"/>
        <v>153.66999999999999</v>
      </c>
      <c r="J56" s="41">
        <f t="shared" si="5"/>
        <v>170.67</v>
      </c>
    </row>
    <row r="57" spans="1:10">
      <c r="A57" s="36" t="s">
        <v>117</v>
      </c>
      <c r="B57" s="36"/>
      <c r="C57" s="36"/>
      <c r="D57" s="36"/>
      <c r="E57" s="36"/>
      <c r="F57" s="36">
        <v>1</v>
      </c>
      <c r="G57" s="36"/>
      <c r="H57" s="30">
        <f t="shared" si="3"/>
        <v>16</v>
      </c>
      <c r="I57" s="30">
        <f t="shared" si="4"/>
        <v>153.66999999999999</v>
      </c>
      <c r="J57" s="41">
        <f t="shared" si="5"/>
        <v>169.67</v>
      </c>
    </row>
    <row r="58" spans="1:10">
      <c r="A58" s="36" t="s">
        <v>118</v>
      </c>
      <c r="B58" s="36">
        <v>1.25</v>
      </c>
      <c r="C58" s="36">
        <v>1.25</v>
      </c>
      <c r="D58" s="36"/>
      <c r="E58" s="36"/>
      <c r="F58" s="36"/>
      <c r="G58" s="36"/>
      <c r="H58" s="30">
        <f t="shared" ref="H58" si="6">H57-F58-D58+B58</f>
        <v>17.25</v>
      </c>
      <c r="I58" s="30">
        <f t="shared" ref="I58" si="7">I57-E58+C58</f>
        <v>154.91999999999999</v>
      </c>
      <c r="J58" s="41">
        <f t="shared" ref="J58" si="8">SUM(H58:I58)</f>
        <v>172.17</v>
      </c>
    </row>
    <row r="59" spans="1:10">
      <c r="A59" s="36" t="s">
        <v>119</v>
      </c>
      <c r="B59" s="36"/>
      <c r="C59" s="36"/>
      <c r="D59" s="36">
        <v>12</v>
      </c>
      <c r="E59" s="36"/>
      <c r="F59" s="36"/>
      <c r="G59" s="36"/>
      <c r="H59" s="38">
        <f t="shared" ref="H59" si="9">H58-F59-D59+B59</f>
        <v>5.25</v>
      </c>
      <c r="I59" s="38">
        <f t="shared" ref="I59" si="10">I58-E59+C59</f>
        <v>154.91999999999999</v>
      </c>
      <c r="J59" s="42">
        <f t="shared" ref="J59" si="11">SUM(H59:I59)</f>
        <v>160.16999999999999</v>
      </c>
    </row>
    <row r="60" spans="1:10">
      <c r="A60" s="36" t="s">
        <v>120</v>
      </c>
      <c r="B60" s="36">
        <v>1.25</v>
      </c>
      <c r="C60" s="36">
        <v>1.25</v>
      </c>
      <c r="D60" s="36"/>
      <c r="E60" s="36"/>
      <c r="F60" s="36"/>
      <c r="G60" s="36"/>
      <c r="H60" s="38">
        <f t="shared" ref="H60" si="12">H59-F60-D60+B60</f>
        <v>6.5</v>
      </c>
      <c r="I60" s="38">
        <f t="shared" ref="I60" si="13">I59-E60+C60</f>
        <v>156.16999999999999</v>
      </c>
      <c r="J60" s="42">
        <f t="shared" ref="J60" si="14">SUM(H60:I60)</f>
        <v>162.66999999999999</v>
      </c>
    </row>
    <row r="61" spans="1:10">
      <c r="A61" s="36" t="s">
        <v>121</v>
      </c>
      <c r="B61" s="36"/>
      <c r="C61" s="36"/>
      <c r="D61" s="36"/>
      <c r="E61" s="36"/>
      <c r="F61" s="36">
        <v>1</v>
      </c>
      <c r="G61" s="36"/>
      <c r="H61" s="38">
        <f t="shared" ref="H61" si="15">H60-F61-D61+B61</f>
        <v>5.5</v>
      </c>
      <c r="I61" s="38">
        <f t="shared" ref="I61" si="16">I60-E61+C61</f>
        <v>156.16999999999999</v>
      </c>
      <c r="J61" s="43">
        <f t="shared" ref="J61" si="17">SUM(H61:I61)</f>
        <v>161.66999999999999</v>
      </c>
    </row>
    <row r="62" spans="1:10">
      <c r="A62" s="36" t="s">
        <v>122</v>
      </c>
      <c r="B62" s="36"/>
      <c r="C62" s="36"/>
      <c r="D62" s="36"/>
      <c r="E62" s="36"/>
      <c r="F62" s="36"/>
      <c r="G62" s="36">
        <v>1</v>
      </c>
      <c r="H62" s="38">
        <f t="shared" ref="H62" si="18">H61-F62-D62+B62</f>
        <v>5.5</v>
      </c>
      <c r="I62" s="38">
        <f t="shared" ref="I62" si="19">I61-E62+C62</f>
        <v>156.16999999999999</v>
      </c>
      <c r="J62" s="43">
        <f t="shared" ref="J62" si="20">SUM(H62:I62)</f>
        <v>161.66999999999999</v>
      </c>
    </row>
    <row r="63" spans="1:10">
      <c r="A63" s="36" t="s">
        <v>123</v>
      </c>
      <c r="B63" s="36">
        <v>1.25</v>
      </c>
      <c r="C63" s="36">
        <v>1.25</v>
      </c>
      <c r="D63" s="36"/>
      <c r="E63" s="36"/>
      <c r="F63" s="36"/>
      <c r="G63" s="36"/>
      <c r="H63" s="38">
        <f t="shared" ref="H63:H65" si="21">H62-F63-D63+B63</f>
        <v>6.75</v>
      </c>
      <c r="I63" s="38">
        <f t="shared" ref="I63:I65" si="22">I62-E63+C63</f>
        <v>157.41999999999999</v>
      </c>
      <c r="J63" s="43">
        <f t="shared" ref="J63:J65" si="23">SUM(H63:I63)</f>
        <v>164.17</v>
      </c>
    </row>
    <row r="64" spans="1:10">
      <c r="A64" s="36" t="s">
        <v>124</v>
      </c>
      <c r="B64" s="36"/>
      <c r="C64" s="36"/>
      <c r="D64" s="36"/>
      <c r="E64" s="36"/>
      <c r="F64" s="36"/>
      <c r="G64" s="36">
        <v>2</v>
      </c>
      <c r="H64" s="38">
        <f t="shared" si="21"/>
        <v>6.75</v>
      </c>
      <c r="I64" s="38">
        <f t="shared" si="22"/>
        <v>157.41999999999999</v>
      </c>
      <c r="J64" s="43">
        <f t="shared" si="23"/>
        <v>164.17</v>
      </c>
    </row>
    <row r="65" spans="1:11">
      <c r="A65" s="36" t="s">
        <v>125</v>
      </c>
      <c r="B65" s="36"/>
      <c r="C65" s="36"/>
      <c r="D65" s="36"/>
      <c r="E65" s="36"/>
      <c r="F65" s="36">
        <v>2</v>
      </c>
      <c r="G65" s="36"/>
      <c r="H65" s="38">
        <f t="shared" si="21"/>
        <v>4.75</v>
      </c>
      <c r="I65" s="38">
        <f t="shared" si="22"/>
        <v>157.41999999999999</v>
      </c>
      <c r="J65" s="43">
        <f t="shared" si="23"/>
        <v>162.16999999999999</v>
      </c>
    </row>
    <row r="66" spans="1:11">
      <c r="A66" s="36" t="s">
        <v>126</v>
      </c>
      <c r="B66" s="36">
        <v>3.75</v>
      </c>
      <c r="C66" s="36">
        <v>3.75</v>
      </c>
      <c r="D66" s="36"/>
      <c r="E66" s="36"/>
      <c r="F66" s="36"/>
      <c r="G66" s="36"/>
      <c r="H66" s="38">
        <f t="shared" ref="H66" si="24">H65-F66-D66+B66</f>
        <v>8.5</v>
      </c>
      <c r="I66" s="38">
        <f t="shared" ref="I66" si="25">I65-E66+C66</f>
        <v>161.16999999999999</v>
      </c>
      <c r="J66" s="43">
        <f t="shared" ref="J66" si="26">SUM(H66:I66)</f>
        <v>169.67</v>
      </c>
    </row>
    <row r="67" spans="1:11">
      <c r="A67" s="36" t="s">
        <v>127</v>
      </c>
      <c r="B67" s="44"/>
      <c r="C67" s="44"/>
      <c r="D67" s="36"/>
      <c r="E67" s="36">
        <v>1</v>
      </c>
      <c r="F67" s="36"/>
      <c r="G67" s="36"/>
      <c r="H67" s="38">
        <f t="shared" ref="H67" si="27">H66-F67-D67+B67</f>
        <v>8.5</v>
      </c>
      <c r="I67" s="38">
        <f t="shared" ref="I67" si="28">I66-E67+C67</f>
        <v>160.16999999999999</v>
      </c>
      <c r="J67" s="43">
        <f t="shared" ref="J67" si="29">SUM(H67:I67)</f>
        <v>168.67</v>
      </c>
    </row>
    <row r="68" spans="1:11">
      <c r="A68" s="36" t="s">
        <v>128</v>
      </c>
      <c r="B68" s="36">
        <v>3.75</v>
      </c>
      <c r="C68" s="36">
        <v>3.75</v>
      </c>
      <c r="D68" s="36"/>
      <c r="E68" s="36"/>
      <c r="F68" s="45"/>
      <c r="G68" s="45"/>
      <c r="H68" s="38">
        <f t="shared" ref="H68:H72" si="30">H67-F68-D68+B68</f>
        <v>12.25</v>
      </c>
      <c r="I68" s="38">
        <f t="shared" ref="I68:I72" si="31">I67-E68+C68</f>
        <v>163.92</v>
      </c>
      <c r="J68" s="43">
        <f t="shared" ref="J68:J72" si="32">SUM(H68:I68)</f>
        <v>176.17</v>
      </c>
    </row>
    <row r="69" spans="1:11">
      <c r="A69" s="36" t="s">
        <v>129</v>
      </c>
      <c r="B69" s="36"/>
      <c r="C69" s="36"/>
      <c r="D69" s="36"/>
      <c r="E69" s="36">
        <v>2</v>
      </c>
      <c r="F69" s="45"/>
      <c r="G69" s="45"/>
      <c r="H69" s="38">
        <f t="shared" si="30"/>
        <v>12.25</v>
      </c>
      <c r="I69" s="38">
        <f t="shared" si="31"/>
        <v>161.91999999999999</v>
      </c>
      <c r="J69" s="43">
        <f t="shared" si="32"/>
        <v>174.17</v>
      </c>
    </row>
    <row r="70" spans="1:11">
      <c r="A70" s="36" t="s">
        <v>130</v>
      </c>
      <c r="B70" s="36"/>
      <c r="C70" s="36"/>
      <c r="D70" s="36"/>
      <c r="E70" s="36"/>
      <c r="F70" s="46">
        <v>2</v>
      </c>
      <c r="G70" s="45"/>
      <c r="H70" s="38">
        <f t="shared" si="30"/>
        <v>10.25</v>
      </c>
      <c r="I70" s="38">
        <f t="shared" si="31"/>
        <v>161.91999999999999</v>
      </c>
      <c r="J70" s="43">
        <f t="shared" si="32"/>
        <v>172.17</v>
      </c>
    </row>
    <row r="71" spans="1:11">
      <c r="A71" s="36" t="s">
        <v>131</v>
      </c>
      <c r="B71" s="36">
        <v>1.25</v>
      </c>
      <c r="C71" s="36">
        <v>1.25</v>
      </c>
      <c r="D71" s="36"/>
      <c r="E71" s="36"/>
      <c r="F71" s="36"/>
      <c r="G71" s="45"/>
      <c r="H71" s="38">
        <f t="shared" si="30"/>
        <v>11.5</v>
      </c>
      <c r="I71" s="38">
        <f t="shared" si="31"/>
        <v>163.16999999999999</v>
      </c>
      <c r="J71" s="43">
        <f t="shared" si="32"/>
        <v>174.67</v>
      </c>
    </row>
    <row r="72" spans="1:11">
      <c r="A72" s="36" t="s">
        <v>132</v>
      </c>
      <c r="B72" s="36"/>
      <c r="C72" s="36"/>
      <c r="D72" s="36"/>
      <c r="E72" s="36">
        <v>1</v>
      </c>
      <c r="F72" s="45"/>
      <c r="G72" s="45"/>
      <c r="H72" s="38">
        <f t="shared" si="30"/>
        <v>11.5</v>
      </c>
      <c r="I72" s="38">
        <f t="shared" si="31"/>
        <v>162.16999999999999</v>
      </c>
      <c r="J72" s="43">
        <f t="shared" si="32"/>
        <v>173.67</v>
      </c>
    </row>
    <row r="73" spans="1:11">
      <c r="A73" s="36" t="s">
        <v>133</v>
      </c>
      <c r="B73" s="36"/>
      <c r="C73" s="36"/>
      <c r="D73" s="36"/>
      <c r="E73" s="36">
        <v>1</v>
      </c>
      <c r="F73" s="45"/>
      <c r="G73" s="45"/>
      <c r="H73" s="38">
        <f t="shared" ref="H73:H74" si="33">H72-F73-D73+B73</f>
        <v>11.5</v>
      </c>
      <c r="I73" s="38">
        <f t="shared" ref="I73:I74" si="34">I72-E73+C73</f>
        <v>161.16999999999999</v>
      </c>
      <c r="J73" s="43">
        <f t="shared" ref="J73:J74" si="35">SUM(H73:I73)</f>
        <v>172.67</v>
      </c>
    </row>
    <row r="74" spans="1:11">
      <c r="A74" s="36" t="s">
        <v>134</v>
      </c>
      <c r="B74" s="36"/>
      <c r="C74" s="36"/>
      <c r="D74" s="36"/>
      <c r="E74" s="36">
        <v>3</v>
      </c>
      <c r="F74" s="45"/>
      <c r="G74" s="45"/>
      <c r="H74" s="38">
        <f t="shared" si="33"/>
        <v>11.5</v>
      </c>
      <c r="I74" s="38">
        <f t="shared" si="34"/>
        <v>158.16999999999999</v>
      </c>
      <c r="J74" s="43">
        <f t="shared" si="35"/>
        <v>169.67</v>
      </c>
    </row>
    <row r="75" spans="1:11">
      <c r="A75" s="47"/>
      <c r="B75" s="47"/>
      <c r="C75" s="47"/>
      <c r="D75" s="47"/>
      <c r="E75" s="47"/>
      <c r="F75" s="47"/>
      <c r="G75" s="47"/>
      <c r="H75" s="48"/>
      <c r="I75" s="48"/>
      <c r="J75" s="48"/>
    </row>
    <row r="76" spans="1:11" s="22" customFormat="1" ht="15" customHeight="1">
      <c r="F76" s="22" t="s">
        <v>158</v>
      </c>
    </row>
    <row r="77" spans="1:11" s="22" customFormat="1" ht="15" customHeight="1"/>
    <row r="78" spans="1:11" s="22" customFormat="1" ht="15" customHeight="1">
      <c r="H78" s="49" t="s">
        <v>159</v>
      </c>
    </row>
    <row r="79" spans="1:11" s="22" customFormat="1" ht="15" customHeight="1">
      <c r="H79" s="24" t="s">
        <v>160</v>
      </c>
    </row>
    <row r="80" spans="1:11" ht="15" customHeight="1">
      <c r="B80" s="21"/>
      <c r="C80" s="21"/>
      <c r="D80" s="21"/>
      <c r="E80" s="21"/>
      <c r="F80" s="21"/>
      <c r="H80" s="24" t="s">
        <v>161</v>
      </c>
      <c r="I80" s="21"/>
      <c r="J80" s="21"/>
      <c r="K80" s="21"/>
    </row>
  </sheetData>
  <mergeCells count="13">
    <mergeCell ref="K11:K12"/>
    <mergeCell ref="B9:D9"/>
    <mergeCell ref="A10:J10"/>
    <mergeCell ref="B11:C11"/>
    <mergeCell ref="D11:G11"/>
    <mergeCell ref="H11:I11"/>
    <mergeCell ref="A11:A12"/>
    <mergeCell ref="J11:J12"/>
    <mergeCell ref="A2:J2"/>
    <mergeCell ref="A3:J3"/>
    <mergeCell ref="A4:J4"/>
    <mergeCell ref="A5:J5"/>
    <mergeCell ref="B7:D7"/>
  </mergeCells>
  <printOptions horizontalCentered="1"/>
  <pageMargins left="0.25" right="0.25" top="0.25" bottom="0.25" header="0.3" footer="0.3"/>
  <pageSetup paperSize="9" scale="6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30"/>
  <sheetViews>
    <sheetView view="pageBreakPreview" topLeftCell="A3" zoomScale="112" zoomScaleNormal="100" workbookViewId="0">
      <selection activeCell="A17" sqref="A17:XFD17"/>
    </sheetView>
  </sheetViews>
  <sheetFormatPr defaultColWidth="8.7109375" defaultRowHeight="15"/>
  <cols>
    <col min="1" max="1" width="33.5703125" style="4" customWidth="1"/>
    <col min="2" max="16384" width="8.7109375" style="4"/>
  </cols>
  <sheetData>
    <row r="1" spans="1:12" s="1" customFormat="1" ht="52.5" customHeight="1"/>
    <row r="2" spans="1:12" s="1" customFormat="1" ht="10.5" customHeight="1">
      <c r="A2" s="91" t="s">
        <v>0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</row>
    <row r="3" spans="1:12" s="1" customFormat="1" ht="15.95" customHeight="1">
      <c r="A3" s="91" t="s">
        <v>1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</row>
    <row r="4" spans="1:12" s="1" customFormat="1" ht="15.95" customHeight="1">
      <c r="A4" s="91" t="s">
        <v>148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</row>
    <row r="5" spans="1:12" s="1" customFormat="1" ht="15.95" customHeight="1">
      <c r="A5" s="91" t="s">
        <v>3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</row>
    <row r="6" spans="1:12" s="1" customFormat="1" ht="8.25" customHeight="1"/>
    <row r="7" spans="1:12" s="1" customFormat="1" ht="12" customHeight="1">
      <c r="A7" s="1" t="s">
        <v>4</v>
      </c>
      <c r="C7" s="5" t="s">
        <v>5</v>
      </c>
      <c r="D7" s="5"/>
      <c r="G7" s="5" t="s">
        <v>6</v>
      </c>
      <c r="H7" s="6"/>
    </row>
    <row r="8" spans="1:12" s="1" customFormat="1" ht="12" customHeight="1">
      <c r="C8" s="7"/>
      <c r="G8" s="7"/>
      <c r="H8" s="7"/>
    </row>
    <row r="9" spans="1:12" s="1" customFormat="1" ht="12" customHeight="1">
      <c r="A9" s="1" t="s">
        <v>7</v>
      </c>
      <c r="C9" s="5" t="s">
        <v>8</v>
      </c>
      <c r="D9" s="5"/>
      <c r="G9" s="5" t="s">
        <v>9</v>
      </c>
      <c r="H9" s="8"/>
    </row>
    <row r="10" spans="1:12" ht="16.5" customHeight="1">
      <c r="A10" s="92" t="s">
        <v>162</v>
      </c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</row>
    <row r="11" spans="1:12" s="2" customFormat="1" ht="18.75" customHeight="1">
      <c r="A11" s="106" t="s">
        <v>11</v>
      </c>
      <c r="B11" s="93" t="s">
        <v>12</v>
      </c>
      <c r="C11" s="94"/>
      <c r="D11" s="94"/>
      <c r="E11" s="94"/>
      <c r="F11" s="94"/>
      <c r="G11" s="94"/>
      <c r="H11" s="94"/>
      <c r="I11" s="94"/>
      <c r="J11" s="94"/>
      <c r="K11" s="94"/>
      <c r="L11" s="108" t="s">
        <v>15</v>
      </c>
    </row>
    <row r="12" spans="1:12" s="2" customFormat="1" ht="24" customHeight="1">
      <c r="A12" s="107"/>
      <c r="B12" s="95" t="s">
        <v>163</v>
      </c>
      <c r="C12" s="96"/>
      <c r="D12" s="96"/>
      <c r="E12" s="97"/>
      <c r="F12" s="95" t="s">
        <v>164</v>
      </c>
      <c r="G12" s="97"/>
      <c r="H12" s="95" t="s">
        <v>165</v>
      </c>
      <c r="I12" s="97"/>
      <c r="J12" s="95" t="s">
        <v>166</v>
      </c>
      <c r="K12" s="97"/>
      <c r="L12" s="109"/>
    </row>
    <row r="13" spans="1:12" s="2" customFormat="1" ht="24.95" customHeight="1">
      <c r="A13" s="9" t="s">
        <v>167</v>
      </c>
      <c r="B13" s="98" t="s">
        <v>168</v>
      </c>
      <c r="C13" s="99"/>
      <c r="D13" s="99"/>
      <c r="E13" s="100"/>
      <c r="F13" s="98">
        <v>3</v>
      </c>
      <c r="G13" s="100"/>
      <c r="H13" s="98">
        <v>0</v>
      </c>
      <c r="I13" s="100"/>
      <c r="J13" s="98">
        <v>3</v>
      </c>
      <c r="K13" s="100"/>
      <c r="L13" s="15">
        <v>3</v>
      </c>
    </row>
    <row r="14" spans="1:12" s="3" customFormat="1" ht="25.5" customHeight="1">
      <c r="A14" s="10" t="s">
        <v>169</v>
      </c>
      <c r="B14" s="98"/>
      <c r="C14" s="99"/>
      <c r="D14" s="99"/>
      <c r="E14" s="100"/>
      <c r="F14" s="101"/>
      <c r="G14" s="102"/>
      <c r="H14" s="101">
        <v>1</v>
      </c>
      <c r="I14" s="102"/>
      <c r="J14" s="101">
        <v>2</v>
      </c>
      <c r="K14" s="102"/>
      <c r="L14" s="16">
        <v>2</v>
      </c>
    </row>
    <row r="15" spans="1:12" s="3" customFormat="1" ht="25.5" customHeight="1">
      <c r="A15" s="10" t="s">
        <v>170</v>
      </c>
      <c r="B15" s="101" t="s">
        <v>171</v>
      </c>
      <c r="C15" s="103"/>
      <c r="D15" s="103"/>
      <c r="E15" s="102"/>
      <c r="F15" s="101">
        <v>3</v>
      </c>
      <c r="G15" s="102"/>
      <c r="H15" s="101">
        <v>0</v>
      </c>
      <c r="I15" s="102"/>
      <c r="J15" s="101">
        <v>3</v>
      </c>
      <c r="K15" s="102"/>
      <c r="L15" s="17">
        <v>3</v>
      </c>
    </row>
    <row r="16" spans="1:12" s="3" customFormat="1" ht="25.5" customHeight="1">
      <c r="A16" s="10" t="s">
        <v>172</v>
      </c>
      <c r="B16" s="101"/>
      <c r="C16" s="103"/>
      <c r="D16" s="103"/>
      <c r="E16" s="102"/>
      <c r="F16" s="101"/>
      <c r="G16" s="102"/>
      <c r="H16" s="101">
        <v>1</v>
      </c>
      <c r="I16" s="102"/>
      <c r="J16" s="101">
        <v>2</v>
      </c>
      <c r="K16" s="102"/>
      <c r="L16" s="17">
        <v>2</v>
      </c>
    </row>
    <row r="17" spans="1:12" s="3" customFormat="1" ht="26.25" customHeight="1">
      <c r="A17" s="10" t="s">
        <v>173</v>
      </c>
      <c r="B17" s="101"/>
      <c r="C17" s="103"/>
      <c r="D17" s="103"/>
      <c r="E17" s="102"/>
      <c r="F17" s="101"/>
      <c r="G17" s="102"/>
      <c r="H17" s="101">
        <v>1</v>
      </c>
      <c r="I17" s="102"/>
      <c r="J17" s="101">
        <v>1</v>
      </c>
      <c r="K17" s="102"/>
      <c r="L17" s="17">
        <v>1</v>
      </c>
    </row>
    <row r="18" spans="1:12" s="3" customFormat="1" ht="26.25" customHeight="1">
      <c r="A18" s="10" t="s">
        <v>174</v>
      </c>
      <c r="B18" s="101"/>
      <c r="C18" s="103"/>
      <c r="D18" s="103"/>
      <c r="E18" s="102"/>
      <c r="F18" s="101"/>
      <c r="G18" s="102"/>
      <c r="H18" s="101">
        <v>1</v>
      </c>
      <c r="I18" s="102"/>
      <c r="J18" s="101">
        <v>0</v>
      </c>
      <c r="K18" s="102"/>
      <c r="L18" s="16">
        <v>0</v>
      </c>
    </row>
    <row r="19" spans="1:12" s="3" customFormat="1" ht="26.25" customHeight="1">
      <c r="A19" s="9" t="s">
        <v>175</v>
      </c>
      <c r="B19" s="98" t="s">
        <v>176</v>
      </c>
      <c r="C19" s="99"/>
      <c r="D19" s="99"/>
      <c r="E19" s="100"/>
      <c r="F19" s="98">
        <v>1</v>
      </c>
      <c r="G19" s="100"/>
      <c r="H19" s="98">
        <v>0</v>
      </c>
      <c r="I19" s="100"/>
      <c r="J19" s="98">
        <v>1</v>
      </c>
      <c r="K19" s="100"/>
      <c r="L19" s="15">
        <v>1</v>
      </c>
    </row>
    <row r="20" spans="1:12" s="3" customFormat="1" ht="26.25" customHeight="1">
      <c r="A20" s="10" t="s">
        <v>177</v>
      </c>
      <c r="B20" s="101"/>
      <c r="C20" s="103"/>
      <c r="D20" s="103"/>
      <c r="E20" s="102"/>
      <c r="F20" s="101"/>
      <c r="G20" s="102"/>
      <c r="H20" s="101">
        <v>1</v>
      </c>
      <c r="I20" s="102"/>
      <c r="J20" s="101">
        <v>0</v>
      </c>
      <c r="K20" s="102"/>
      <c r="L20" s="16">
        <v>0</v>
      </c>
    </row>
    <row r="21" spans="1:12" s="3" customFormat="1" ht="26.25" customHeight="1">
      <c r="A21" s="10" t="s">
        <v>178</v>
      </c>
      <c r="B21" s="98" t="s">
        <v>179</v>
      </c>
      <c r="C21" s="99"/>
      <c r="D21" s="99"/>
      <c r="E21" s="100"/>
      <c r="F21" s="98">
        <v>1</v>
      </c>
      <c r="G21" s="100"/>
      <c r="H21" s="101">
        <v>0</v>
      </c>
      <c r="I21" s="102"/>
      <c r="J21" s="101">
        <v>3</v>
      </c>
      <c r="K21" s="102"/>
      <c r="L21" s="17">
        <v>3</v>
      </c>
    </row>
    <row r="22" spans="1:12" s="3" customFormat="1" ht="26.25" customHeight="1">
      <c r="A22" s="10" t="s">
        <v>180</v>
      </c>
      <c r="B22" s="101"/>
      <c r="C22" s="103"/>
      <c r="D22" s="103"/>
      <c r="E22" s="102"/>
      <c r="F22" s="101"/>
      <c r="G22" s="102"/>
      <c r="H22" s="101">
        <v>1</v>
      </c>
      <c r="I22" s="102"/>
      <c r="J22" s="101">
        <v>0</v>
      </c>
      <c r="K22" s="102"/>
      <c r="L22" s="16">
        <v>0</v>
      </c>
    </row>
    <row r="23" spans="1:12" s="3" customFormat="1" ht="25.5" customHeight="1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8"/>
    </row>
    <row r="24" spans="1:12" s="3" customFormat="1">
      <c r="A24" s="13" t="s">
        <v>181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1"/>
    </row>
    <row r="25" spans="1:12" ht="18.95" customHeight="1">
      <c r="A25" s="104"/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</row>
    <row r="26" spans="1:12" s="1" customFormat="1">
      <c r="C26" s="14"/>
      <c r="I26" s="1" t="s">
        <v>158</v>
      </c>
    </row>
    <row r="27" spans="1:12" s="1" customFormat="1">
      <c r="C27" s="14"/>
    </row>
    <row r="28" spans="1:12">
      <c r="I28" s="19" t="s">
        <v>159</v>
      </c>
      <c r="J28" s="20"/>
    </row>
    <row r="29" spans="1:12">
      <c r="I29" s="4" t="s">
        <v>160</v>
      </c>
    </row>
    <row r="30" spans="1:12">
      <c r="I30" s="105" t="s">
        <v>161</v>
      </c>
      <c r="J30" s="105"/>
    </row>
  </sheetData>
  <mergeCells count="54">
    <mergeCell ref="A25:L25"/>
    <mergeCell ref="I30:J30"/>
    <mergeCell ref="A11:A12"/>
    <mergeCell ref="L11:L12"/>
    <mergeCell ref="B21:E21"/>
    <mergeCell ref="F21:G21"/>
    <mergeCell ref="H21:I21"/>
    <mergeCell ref="J21:K21"/>
    <mergeCell ref="B22:E22"/>
    <mergeCell ref="F22:G22"/>
    <mergeCell ref="H22:I22"/>
    <mergeCell ref="J22:K22"/>
    <mergeCell ref="B19:E19"/>
    <mergeCell ref="F19:G19"/>
    <mergeCell ref="H19:I19"/>
    <mergeCell ref="J19:K19"/>
    <mergeCell ref="B20:E20"/>
    <mergeCell ref="F20:G20"/>
    <mergeCell ref="H20:I20"/>
    <mergeCell ref="J20:K20"/>
    <mergeCell ref="B17:E17"/>
    <mergeCell ref="F17:G17"/>
    <mergeCell ref="H17:I17"/>
    <mergeCell ref="J17:K17"/>
    <mergeCell ref="B18:E18"/>
    <mergeCell ref="F18:G18"/>
    <mergeCell ref="H18:I18"/>
    <mergeCell ref="J18:K18"/>
    <mergeCell ref="B15:E15"/>
    <mergeCell ref="F15:G15"/>
    <mergeCell ref="H15:I15"/>
    <mergeCell ref="J15:K15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F14:G14"/>
    <mergeCell ref="H14:I14"/>
    <mergeCell ref="J14:K14"/>
    <mergeCell ref="B11:K11"/>
    <mergeCell ref="B12:E12"/>
    <mergeCell ref="F12:G12"/>
    <mergeCell ref="H12:I12"/>
    <mergeCell ref="J12:K12"/>
    <mergeCell ref="A2:L2"/>
    <mergeCell ref="A3:L3"/>
    <mergeCell ref="A4:L4"/>
    <mergeCell ref="A5:L5"/>
    <mergeCell ref="A10:L10"/>
  </mergeCells>
  <pageMargins left="0.7" right="0.7" top="0.75" bottom="0.75" header="0.3" footer="0.3"/>
  <pageSetup paperSize="9" scale="6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CORRECTED</vt:lpstr>
      <vt:lpstr>NEGATIVE</vt:lpstr>
      <vt:lpstr>BALANCE FORWARDED</vt:lpstr>
      <vt:lpstr>CTO</vt:lpstr>
      <vt:lpstr>'BALANCE FORWARDED'!Print_Area</vt:lpstr>
      <vt:lpstr>CORRECTED!Print_Area</vt:lpstr>
      <vt:lpstr>NEGATIVE!Print_Area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2026-01-14T07:20:23Z</cp:lastPrinted>
  <dcterms:created xsi:type="dcterms:W3CDTF">2021-10-07T06:10:00Z</dcterms:created>
  <dcterms:modified xsi:type="dcterms:W3CDTF">2026-01-14T07:21:16Z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45A709A6D4DD43D9811F33EF91479127_12</vt:lpwstr>
  </property>
  <property fmtid="{D5CDD505-2E9C-101B-9397-08002B2CF9AE}" pid="3" name="KSOProductBuildVer">
    <vt:lpwstr>1033-12.2.0.23196</vt:lpwstr>
  </property>
</Properties>
</file>