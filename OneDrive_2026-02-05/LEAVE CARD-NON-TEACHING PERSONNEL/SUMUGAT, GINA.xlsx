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AB1DDD0F-954F-4B52-8703-7A2BD16026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(NE)" sheetId="6" r:id="rId1"/>
    <sheet name="CTO" sheetId="10" r:id="rId2"/>
    <sheet name="Other types of leave" sheetId="9" r:id="rId3"/>
  </sheets>
  <definedNames>
    <definedName name="_xlnm.Print_Area" localSheetId="0">'Leave Card (NE)'!$A$1:$J$45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9" i="6" l="1"/>
  <c r="I39" i="6"/>
  <c r="J39" i="6"/>
  <c r="J38" i="6"/>
  <c r="I38" i="6"/>
  <c r="H38" i="6"/>
  <c r="J37" i="6"/>
  <c r="I37" i="6"/>
  <c r="H37" i="6"/>
  <c r="J36" i="6"/>
  <c r="I36" i="6"/>
  <c r="H36" i="6"/>
  <c r="J35" i="6"/>
  <c r="I35" i="6"/>
  <c r="H35" i="6"/>
  <c r="J34" i="6"/>
  <c r="I34" i="6"/>
  <c r="H34" i="6"/>
  <c r="J33" i="6"/>
  <c r="I33" i="6"/>
  <c r="H33" i="6"/>
  <c r="J32" i="6"/>
  <c r="I32" i="6"/>
  <c r="H32" i="6"/>
  <c r="J31" i="6"/>
  <c r="I31" i="6"/>
  <c r="H31" i="6"/>
  <c r="J30" i="6"/>
  <c r="I30" i="6"/>
  <c r="H30" i="6"/>
  <c r="J29" i="6"/>
  <c r="I29" i="6"/>
  <c r="H29" i="6"/>
  <c r="J28" i="6"/>
  <c r="I28" i="6"/>
  <c r="H28" i="6"/>
  <c r="J27" i="6"/>
  <c r="I27" i="6"/>
  <c r="H27" i="6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J20" i="6"/>
  <c r="I20" i="6"/>
  <c r="H20" i="6"/>
  <c r="J19" i="6"/>
  <c r="I19" i="6"/>
  <c r="H19" i="6"/>
  <c r="J18" i="6"/>
  <c r="I18" i="6"/>
  <c r="H18" i="6"/>
  <c r="J17" i="6"/>
  <c r="I17" i="6"/>
  <c r="H17" i="6"/>
  <c r="J16" i="6"/>
  <c r="I16" i="6"/>
  <c r="H16" i="6"/>
  <c r="J15" i="6"/>
  <c r="I15" i="6"/>
  <c r="H15" i="6"/>
</calcChain>
</file>

<file path=xl/sharedStrings.xml><?xml version="1.0" encoding="utf-8"?>
<sst xmlns="http://schemas.openxmlformats.org/spreadsheetml/2006/main" count="114" uniqueCount="86">
  <si>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</si>
  <si>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</si>
  <si>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</si>
  <si>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</si>
  <si>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</si>
  <si>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</si>
  <si>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</si>
  <si>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</si>
  <si>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</si>
  <si>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</si>
  <si>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</si>
  <si>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</si>
  <si>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</si>
  <si>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</si>
  <si>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</si>
  <si>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</si>
  <si>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</si>
  <si>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</si>
  <si>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</si>
  <si>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</si>
  <si>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DATE OF APPOINTMENT AS ASST P2: SEPTEMBER 1, 2022</t>
  </si>
  <si>
    <t>PROMOTED TO P-II: JANUARY 6, 2025</t>
  </si>
  <si>
    <t>ADD: 9/01/2022 - 12/31/2022</t>
  </si>
  <si>
    <t>LESS: 11/09/2022</t>
  </si>
  <si>
    <t>ADD: 1/01/2023 - 8/31/2023</t>
  </si>
  <si>
    <t>LESS: MONETIZATION 2023</t>
  </si>
  <si>
    <t>ADD: 09/01/2023-12/31/2023</t>
  </si>
  <si>
    <t>LESS: MANDATORY FL 2023</t>
  </si>
  <si>
    <t>ADD: 01/01/2024-02/29/2024</t>
  </si>
  <si>
    <t>LESS: 03/01/2024</t>
  </si>
  <si>
    <t>ADD: 03/1/2024-05/31/2024</t>
  </si>
  <si>
    <t>LESS: 06/11/2024</t>
  </si>
  <si>
    <t>ADD: JUNE-JULY 31, 2024</t>
  </si>
  <si>
    <t>LESS: MONETIZATION 2024</t>
  </si>
  <si>
    <t>ADD: 08/1/2024-11/30/2024</t>
  </si>
  <si>
    <t>LESS: 12/13/2024</t>
  </si>
  <si>
    <t>LESS: 12/23/2024</t>
  </si>
  <si>
    <t>ADD: 12/1-31/2024</t>
  </si>
  <si>
    <t>LESS: MANDATORY FL 2024</t>
  </si>
  <si>
    <t>ADD: 01/1/2025-03/31/2025</t>
  </si>
  <si>
    <t>LESS: 05/5/2025</t>
  </si>
  <si>
    <t>ADD: 04/1/2025-06/30/2025</t>
  </si>
  <si>
    <t>LESS: MONETIZATION 2025</t>
  </si>
  <si>
    <t>ADD: 07/1/2025-10/31/2025</t>
  </si>
  <si>
    <t>LESS: 12/9/2025</t>
  </si>
  <si>
    <t>ADD: 11/1-30/2025</t>
  </si>
  <si>
    <t>Certified Correct:</t>
  </si>
  <si>
    <t>MA. LUISA B. CATIGAN</t>
  </si>
  <si>
    <t>Administrative Officer IV</t>
  </si>
  <si>
    <t xml:space="preserve">                HRMO</t>
  </si>
  <si>
    <t>COMPENSATORY TIME OFF (CTO)</t>
  </si>
  <si>
    <t>Special Order No. and Date Issued</t>
  </si>
  <si>
    <t>No. of Days Granted</t>
  </si>
  <si>
    <t>No. of Days Used</t>
  </si>
  <si>
    <t>Balance</t>
  </si>
  <si>
    <t>ADD: 02/5/2025</t>
  </si>
  <si>
    <t>SO # 002, S. 2025 RIZAL DAY 2024 CELEBRATION</t>
  </si>
  <si>
    <t>LESS: 05/26/2025</t>
  </si>
  <si>
    <t>ADD: 07/01/2025</t>
  </si>
  <si>
    <t>SO # 044, S. 2025 127th PHIL. INDEPENCE DAY</t>
  </si>
  <si>
    <t>HRMO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</si>
  <si>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</si>
  <si>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</si>
  <si>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</si>
  <si>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</si>
  <si>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</si>
  <si>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</si>
  <si>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</si>
  <si>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</si>
  <si>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</si>
  <si>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</si>
  <si>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</si>
  <si>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</si>
  <si>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</si>
  <si>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</si>
  <si>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</si>
  <si>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</si>
  <si>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</si>
  <si>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</si>
  <si>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12/16/2021</t>
  </si>
  <si>
    <t>LESS: 01/05-06/22</t>
  </si>
  <si>
    <t>LESS: 05/27/2022</t>
  </si>
  <si>
    <t>LESS: 09/14/2022</t>
  </si>
  <si>
    <t>LESS: 12/23/2022</t>
  </si>
  <si>
    <t>LESS: 12/10,11, 26/2025</t>
  </si>
  <si>
    <t>LESS: 01/09/2026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</si>
</sst>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4" fontId="0" fillId="2" borderId="3" xfId="0" applyNumberForma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6" fillId="0" borderId="12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5" fillId="12" borderId="1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14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 wrapText="1"/>
    </xf>
    <xf numFmtId="0" fontId="7" fillId="10" borderId="13" xfId="0" applyFont="1" applyFill="1" applyBorder="1" applyAlignment="1">
      <alignment horizontal="center" vertical="center"/>
    </xf>
    <xf numFmtId="164" fontId="0" fillId="2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horizontal="center" vertical="center"/>
    </xf>
    <xf numFmtId="164" fontId="0" fillId="14" borderId="3" xfId="0" applyNumberFormat="1" applyFill="1" applyBorder="1" applyAlignment="1">
      <alignment horizontal="center" vertical="center"/>
    </xf>
    <xf numFmtId="0" fontId="8" fillId="2" borderId="0" xfId="0" applyFont="1" applyFill="1"/>
    <xf numFmtId="164" fontId="0" fillId="2" borderId="3" xfId="0" applyNumberFormat="1" applyFill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 wrapText="1"/>
    </xf>
    <xf numFmtId="0" fontId="7" fillId="10" borderId="5" xfId="0" applyFont="1" applyFill="1" applyBorder="1" applyAlignment="1">
      <alignment horizontal="left" vertical="center"/>
    </xf>
    <xf numFmtId="0" fontId="7" fillId="10" borderId="13" xfId="0" applyFont="1" applyFill="1" applyBorder="1" applyAlignment="1">
      <alignment horizontal="left" vertical="center"/>
    </xf>
    <xf numFmtId="0" fontId="7" fillId="10" borderId="16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5" fillId="10" borderId="1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/>
    </xf>
    <xf numFmtId="0" fontId="5" fillId="12" borderId="11" xfId="0" applyFont="1" applyFill="1" applyBorder="1" applyAlignment="1">
      <alignment horizontal="center" vertical="center"/>
    </xf>
    <xf numFmtId="0" fontId="5" fillId="13" borderId="10" xfId="0" applyFont="1" applyFill="1" applyBorder="1" applyAlignment="1">
      <alignment horizontal="center" vertical="center"/>
    </xf>
    <xf numFmtId="0" fontId="5" fillId="13" borderId="1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412138</xdr:colOff>
      <xdr:row>0</xdr:row>
      <xdr:rowOff>19049</xdr:rowOff>
    </xdr:from>
    <xdr:to>
      <xdr:col>4</xdr:col>
      <xdr:colOff>299182</xdr:colOff>
      <xdr:row>0</xdr:row>
      <xdr:rowOff>659422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66285" y="18415"/>
          <a:ext cx="680720" cy="64071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73405" y="1376045"/>
          <a:ext cx="199326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SUMUGAT, GINA P.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16585" y="1725930"/>
          <a:ext cx="195008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PRINCIPAL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377507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NABULAO NHS-JHS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74159</xdr:colOff>
      <xdr:row>0</xdr:row>
      <xdr:rowOff>46039</xdr:rowOff>
    </xdr:from>
    <xdr:to>
      <xdr:col>6</xdr:col>
      <xdr:colOff>69850</xdr:colOff>
      <xdr:row>0</xdr:row>
      <xdr:rowOff>635001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2880" y="45720"/>
          <a:ext cx="765810" cy="58928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73405" y="1376045"/>
          <a:ext cx="1852295" cy="225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altLang="en-US" sz="1100"/>
            <a:t>SUMOGAT, GINA</a:t>
          </a: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654050" y="1684020"/>
          <a:ext cx="8255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altLang="en-US" sz="1100"/>
            <a:t>P-II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10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828415" y="1706880"/>
          <a:ext cx="706120" cy="42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altLang="en-US" sz="1100"/>
            <a:t>NNHS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385" y="28575"/>
          <a:ext cx="683895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749165"/>
          <a:ext cx="29749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777240" y="1485265"/>
          <a:ext cx="1498600" cy="248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ACUHIDO, ELIZA B.</a:t>
          </a: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751205" y="1808480"/>
          <a:ext cx="1323340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3672840" y="1714500"/>
          <a:ext cx="148082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5"/>
  <sheetViews>
    <sheetView tabSelected="1" view="pageBreakPreview" topLeftCell="A16" zoomScale="104" zoomScaleNormal="100" workbookViewId="0">
      <selection activeCell="C42" sqref="C42"/>
    </sheetView>
  </sheetViews>
  <sheetFormatPr defaultColWidth="9" defaultRowHeight="15"/>
  <cols>
    <col min="1" max="1" width="37.42578125" customWidth="1"/>
    <col min="2" max="2" width="11.5703125" style="29" customWidth="1"/>
    <col min="3" max="3" width="11.5703125" style="30" customWidth="1"/>
    <col min="4" max="4" width="11.5703125" style="29" customWidth="1"/>
    <col min="5" max="5" width="11.5703125" style="30" customWidth="1"/>
    <col min="6" max="7" width="11.5703125" style="31" customWidth="1"/>
    <col min="8" max="8" width="11.5703125" style="29" customWidth="1"/>
    <col min="9" max="9" width="11.5703125" style="30" customWidth="1"/>
    <col min="10" max="10" width="11.5703125" customWidth="1"/>
  </cols>
  <sheetData>
    <row r="1" spans="1:10" s="1" customFormat="1" ht="52.5" customHeight="1"/>
    <row r="2" spans="1:10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</row>
    <row r="3" spans="1:10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</row>
    <row r="4" spans="1:10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</row>
    <row r="5" spans="1:10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</row>
    <row r="6" spans="1:10" s="1" customFormat="1" ht="8.25" customHeight="1"/>
    <row r="7" spans="1:10" s="1" customFormat="1" ht="12" customHeight="1">
      <c r="A7" s="1" t="s">
        <v>4</v>
      </c>
      <c r="B7" s="52" t="s">
        <v>5</v>
      </c>
      <c r="C7" s="52"/>
      <c r="D7" s="52"/>
      <c r="H7" s="7" t="s">
        <v>6</v>
      </c>
      <c r="I7" s="21"/>
      <c r="J7" s="7"/>
    </row>
    <row r="8" spans="1:10" s="1" customFormat="1" ht="12" customHeight="1">
      <c r="B8" s="8"/>
      <c r="C8" s="8"/>
      <c r="H8" s="8"/>
      <c r="I8" s="8"/>
      <c r="J8" s="8"/>
    </row>
    <row r="9" spans="1:10" s="1" customFormat="1" ht="12" customHeight="1">
      <c r="A9" s="1" t="s">
        <v>7</v>
      </c>
      <c r="B9" s="52" t="s">
        <v>8</v>
      </c>
      <c r="C9" s="52"/>
      <c r="D9" s="52"/>
      <c r="H9" s="7" t="s">
        <v>9</v>
      </c>
      <c r="I9" s="22"/>
      <c r="J9" s="7"/>
    </row>
    <row r="10" spans="1:10" ht="16.5" customHeight="1">
      <c r="A10" s="53" t="s">
        <v>10</v>
      </c>
      <c r="B10" s="53"/>
      <c r="C10" s="53"/>
      <c r="D10" s="53"/>
      <c r="E10" s="53"/>
      <c r="F10" s="53"/>
      <c r="G10" s="53"/>
      <c r="H10" s="53"/>
      <c r="I10" s="53"/>
      <c r="J10" s="53"/>
    </row>
    <row r="11" spans="1:10" s="2" customFormat="1" ht="18.75" customHeight="1">
      <c r="A11" s="48" t="s">
        <v>11</v>
      </c>
      <c r="B11" s="54" t="s">
        <v>12</v>
      </c>
      <c r="C11" s="55"/>
      <c r="D11" s="56" t="s">
        <v>13</v>
      </c>
      <c r="E11" s="57"/>
      <c r="F11" s="57"/>
      <c r="G11" s="32"/>
      <c r="H11" s="58" t="s">
        <v>14</v>
      </c>
      <c r="I11" s="59"/>
      <c r="J11" s="50" t="s">
        <v>15</v>
      </c>
    </row>
    <row r="12" spans="1:10" s="2" customFormat="1" ht="51" customHeight="1">
      <c r="A12" s="49"/>
      <c r="B12" s="33" t="s">
        <v>16</v>
      </c>
      <c r="C12" s="34" t="s">
        <v>17</v>
      </c>
      <c r="D12" s="33" t="s">
        <v>16</v>
      </c>
      <c r="E12" s="34" t="s">
        <v>17</v>
      </c>
      <c r="F12" s="35" t="s">
        <v>18</v>
      </c>
      <c r="G12" s="36" t="s">
        <v>19</v>
      </c>
      <c r="H12" s="33" t="s">
        <v>16</v>
      </c>
      <c r="I12" s="34" t="s">
        <v>17</v>
      </c>
      <c r="J12" s="51"/>
    </row>
    <row r="13" spans="1:10" s="2" customFormat="1" ht="18.75" customHeight="1">
      <c r="A13" s="44" t="s">
        <v>20</v>
      </c>
      <c r="B13" s="45"/>
      <c r="C13" s="45"/>
      <c r="D13" s="45"/>
      <c r="E13" s="45"/>
      <c r="F13" s="45"/>
      <c r="G13" s="45"/>
      <c r="H13" s="45"/>
      <c r="I13" s="45"/>
      <c r="J13" s="46"/>
    </row>
    <row r="14" spans="1:10" s="2" customFormat="1" ht="18.75" customHeight="1">
      <c r="A14" s="37" t="s">
        <v>21</v>
      </c>
      <c r="B14" s="37"/>
      <c r="C14" s="37"/>
      <c r="D14" s="37"/>
      <c r="E14" s="37"/>
      <c r="F14" s="37"/>
      <c r="G14" s="37"/>
      <c r="H14" s="37"/>
      <c r="I14" s="37"/>
      <c r="J14" s="37"/>
    </row>
    <row r="15" spans="1:10" s="3" customFormat="1" ht="15.95" customHeight="1">
      <c r="A15" s="14" t="s">
        <v>22</v>
      </c>
      <c r="B15" s="20">
        <v>5</v>
      </c>
      <c r="C15" s="20">
        <v>5</v>
      </c>
      <c r="D15" s="20"/>
      <c r="E15" s="20"/>
      <c r="F15" s="20"/>
      <c r="G15" s="20"/>
      <c r="H15" s="20">
        <f>B15</f>
        <v>5</v>
      </c>
      <c r="I15" s="20">
        <f>C15</f>
        <v>5</v>
      </c>
      <c r="J15" s="42">
        <f t="shared" ref="J15:J16" si="0">H15+I15</f>
        <v>10</v>
      </c>
    </row>
    <row r="16" spans="1:10" s="3" customFormat="1" ht="15.95" customHeight="1">
      <c r="A16" s="14" t="s">
        <v>23</v>
      </c>
      <c r="B16" s="20"/>
      <c r="C16" s="20"/>
      <c r="D16" s="20"/>
      <c r="E16" s="20"/>
      <c r="F16" s="20">
        <v>1</v>
      </c>
      <c r="G16" s="20"/>
      <c r="H16" s="20">
        <f t="shared" ref="H16" si="1">H15-F16-D16+B16</f>
        <v>4</v>
      </c>
      <c r="I16" s="20">
        <f t="shared" ref="I16" si="2">I15-E16+C16</f>
        <v>5</v>
      </c>
      <c r="J16" s="42">
        <f t="shared" si="0"/>
        <v>9</v>
      </c>
    </row>
    <row r="17" spans="1:10" s="3" customFormat="1" ht="15.95" customHeight="1">
      <c r="A17" s="14" t="s">
        <v>24</v>
      </c>
      <c r="B17" s="20">
        <v>10</v>
      </c>
      <c r="C17" s="20">
        <v>10</v>
      </c>
      <c r="D17" s="20"/>
      <c r="E17" s="20"/>
      <c r="F17" s="20"/>
      <c r="G17" s="20"/>
      <c r="H17" s="20">
        <f t="shared" ref="H17:H22" si="3">H16-F17-D17+B17</f>
        <v>14</v>
      </c>
      <c r="I17" s="20">
        <f t="shared" ref="I17:I22" si="4">I16-E17+C17</f>
        <v>15</v>
      </c>
      <c r="J17" s="42">
        <f t="shared" ref="J17:J22" si="5">H17+I17</f>
        <v>29</v>
      </c>
    </row>
    <row r="18" spans="1:10" s="3" customFormat="1" ht="15.95" customHeight="1">
      <c r="A18" s="14" t="s">
        <v>25</v>
      </c>
      <c r="B18" s="20"/>
      <c r="C18" s="20"/>
      <c r="D18" s="20">
        <v>5</v>
      </c>
      <c r="E18" s="20">
        <v>10</v>
      </c>
      <c r="F18" s="20"/>
      <c r="G18" s="20"/>
      <c r="H18" s="20">
        <f t="shared" si="3"/>
        <v>9</v>
      </c>
      <c r="I18" s="20">
        <f t="shared" si="4"/>
        <v>5</v>
      </c>
      <c r="J18" s="42">
        <f t="shared" si="5"/>
        <v>14</v>
      </c>
    </row>
    <row r="19" spans="1:10" s="3" customFormat="1" ht="15.95" customHeight="1">
      <c r="A19" s="14" t="s">
        <v>26</v>
      </c>
      <c r="B19" s="20">
        <v>5</v>
      </c>
      <c r="C19" s="20">
        <v>5</v>
      </c>
      <c r="D19" s="20"/>
      <c r="E19" s="20"/>
      <c r="F19" s="20"/>
      <c r="G19" s="20"/>
      <c r="H19" s="20">
        <f t="shared" si="3"/>
        <v>14</v>
      </c>
      <c r="I19" s="20">
        <f t="shared" si="4"/>
        <v>10</v>
      </c>
      <c r="J19" s="43">
        <f t="shared" si="5"/>
        <v>24</v>
      </c>
    </row>
    <row r="20" spans="1:10" s="3" customFormat="1" ht="15.95" customHeight="1">
      <c r="A20" s="14" t="s">
        <v>27</v>
      </c>
      <c r="B20" s="20"/>
      <c r="C20" s="20"/>
      <c r="D20" s="20"/>
      <c r="E20" s="20"/>
      <c r="F20" s="20">
        <v>5</v>
      </c>
      <c r="G20" s="20"/>
      <c r="H20" s="20">
        <f t="shared" si="3"/>
        <v>9</v>
      </c>
      <c r="I20" s="20">
        <f t="shared" si="4"/>
        <v>10</v>
      </c>
      <c r="J20" s="43">
        <f t="shared" si="5"/>
        <v>19</v>
      </c>
    </row>
    <row r="21" spans="1:10" s="3" customFormat="1" ht="15.95" customHeight="1">
      <c r="A21" s="13" t="s">
        <v>28</v>
      </c>
      <c r="B21" s="20">
        <v>2.5</v>
      </c>
      <c r="C21" s="20">
        <v>2.5</v>
      </c>
      <c r="D21" s="20"/>
      <c r="E21" s="20"/>
      <c r="F21" s="20"/>
      <c r="G21" s="20"/>
      <c r="H21" s="20">
        <f t="shared" si="3"/>
        <v>11.5</v>
      </c>
      <c r="I21" s="20">
        <f t="shared" si="4"/>
        <v>12.5</v>
      </c>
      <c r="J21" s="43">
        <f t="shared" si="5"/>
        <v>24</v>
      </c>
    </row>
    <row r="22" spans="1:10" s="3" customFormat="1" ht="15.95" customHeight="1">
      <c r="A22" s="13" t="s">
        <v>29</v>
      </c>
      <c r="B22" s="38"/>
      <c r="C22" s="20"/>
      <c r="D22" s="20"/>
      <c r="E22" s="20"/>
      <c r="F22" s="39">
        <v>1</v>
      </c>
      <c r="G22" s="20"/>
      <c r="H22" s="20">
        <f t="shared" si="3"/>
        <v>10.5</v>
      </c>
      <c r="I22" s="20">
        <f t="shared" si="4"/>
        <v>12.5</v>
      </c>
      <c r="J22" s="43">
        <f t="shared" si="5"/>
        <v>23</v>
      </c>
    </row>
    <row r="23" spans="1:10" ht="15.95" customHeight="1">
      <c r="A23" s="13" t="s">
        <v>30</v>
      </c>
      <c r="B23" s="20">
        <v>3.75</v>
      </c>
      <c r="C23" s="20">
        <v>3.75</v>
      </c>
      <c r="D23" s="20"/>
      <c r="E23" s="20"/>
      <c r="F23" s="39"/>
      <c r="G23" s="20"/>
      <c r="H23" s="20">
        <f t="shared" ref="H23:H24" si="6">H22-F23-D23+B23</f>
        <v>14.25</v>
      </c>
      <c r="I23" s="20">
        <f t="shared" ref="I23:I24" si="7">I22-E23+C23</f>
        <v>16.25</v>
      </c>
      <c r="J23" s="43">
        <f t="shared" ref="J23:J24" si="8">H23+I23</f>
        <v>30.5</v>
      </c>
    </row>
    <row r="24" spans="1:10" ht="15.95" customHeight="1">
      <c r="A24" s="13" t="s">
        <v>31</v>
      </c>
      <c r="B24" s="20"/>
      <c r="C24" s="20"/>
      <c r="D24" s="20"/>
      <c r="E24" s="20"/>
      <c r="F24" s="39">
        <v>1</v>
      </c>
      <c r="G24" s="20"/>
      <c r="H24" s="20">
        <f t="shared" si="6"/>
        <v>13.25</v>
      </c>
      <c r="I24" s="20">
        <f t="shared" si="7"/>
        <v>16.25</v>
      </c>
      <c r="J24" s="43">
        <f t="shared" si="8"/>
        <v>29.5</v>
      </c>
    </row>
    <row r="25" spans="1:10" ht="15.95" customHeight="1">
      <c r="A25" s="13" t="s">
        <v>32</v>
      </c>
      <c r="B25" s="20">
        <v>2.5</v>
      </c>
      <c r="C25" s="20">
        <v>2.5</v>
      </c>
      <c r="D25" s="20"/>
      <c r="E25" s="20"/>
      <c r="F25" s="39"/>
      <c r="G25" s="20"/>
      <c r="H25" s="20">
        <f t="shared" ref="H25" si="9">H24-F25-D25+B25</f>
        <v>15.75</v>
      </c>
      <c r="I25" s="20">
        <f t="shared" ref="I25" si="10">I24-E25+C25</f>
        <v>18.75</v>
      </c>
      <c r="J25" s="43">
        <f t="shared" ref="J25" si="11">H25+I25</f>
        <v>34.5</v>
      </c>
    </row>
    <row r="26" spans="1:10" ht="15.95" customHeight="1">
      <c r="A26" s="16" t="s">
        <v>33</v>
      </c>
      <c r="B26" s="39"/>
      <c r="C26" s="39"/>
      <c r="D26" s="39">
        <v>10</v>
      </c>
      <c r="E26" s="39"/>
      <c r="F26" s="39"/>
      <c r="G26" s="39"/>
      <c r="H26" s="39">
        <f t="shared" ref="H26" si="12">H25-F26-D26+B26</f>
        <v>5.75</v>
      </c>
      <c r="I26" s="39">
        <f t="shared" ref="I26" si="13">I25-E26+C26</f>
        <v>18.75</v>
      </c>
      <c r="J26" s="43">
        <f t="shared" ref="J26" si="14">H26+I26</f>
        <v>24.5</v>
      </c>
    </row>
    <row r="27" spans="1:10" ht="15.95" customHeight="1">
      <c r="A27" s="16" t="s">
        <v>34</v>
      </c>
      <c r="B27" s="39">
        <v>5</v>
      </c>
      <c r="C27" s="39">
        <v>5</v>
      </c>
      <c r="D27" s="39"/>
      <c r="E27" s="39"/>
      <c r="F27" s="39"/>
      <c r="G27" s="39"/>
      <c r="H27" s="39">
        <f t="shared" ref="H27:H28" si="15">H26-F27-D27+B27</f>
        <v>10.75</v>
      </c>
      <c r="I27" s="39">
        <f t="shared" ref="I27:I28" si="16">I26-E27+C27</f>
        <v>23.75</v>
      </c>
      <c r="J27" s="43">
        <f t="shared" ref="J27:J28" si="17">H27+I27</f>
        <v>34.5</v>
      </c>
    </row>
    <row r="28" spans="1:10" ht="15.95" customHeight="1">
      <c r="A28" s="16" t="s">
        <v>35</v>
      </c>
      <c r="B28" s="39"/>
      <c r="C28" s="39"/>
      <c r="D28" s="39"/>
      <c r="E28" s="39"/>
      <c r="F28" s="39">
        <v>1</v>
      </c>
      <c r="G28" s="39"/>
      <c r="H28" s="39">
        <f t="shared" si="15"/>
        <v>9.75</v>
      </c>
      <c r="I28" s="39">
        <f t="shared" si="16"/>
        <v>23.75</v>
      </c>
      <c r="J28" s="43">
        <f t="shared" si="17"/>
        <v>33.5</v>
      </c>
    </row>
    <row r="29" spans="1:10" ht="15.95" customHeight="1">
      <c r="A29" s="16" t="s">
        <v>36</v>
      </c>
      <c r="B29" s="39"/>
      <c r="C29" s="39"/>
      <c r="D29" s="39"/>
      <c r="E29" s="39"/>
      <c r="F29" s="39">
        <v>1</v>
      </c>
      <c r="G29" s="39"/>
      <c r="H29" s="39">
        <f t="shared" ref="H29" si="18">H28-F29-D29+B29</f>
        <v>8.75</v>
      </c>
      <c r="I29" s="39">
        <f t="shared" ref="I29" si="19">I28-E29+C29</f>
        <v>23.75</v>
      </c>
      <c r="J29" s="43">
        <f t="shared" ref="J29" si="20">H29+I29</f>
        <v>32.5</v>
      </c>
    </row>
    <row r="30" spans="1:10" ht="15.95" customHeight="1">
      <c r="A30" s="16" t="s">
        <v>37</v>
      </c>
      <c r="B30" s="39">
        <v>1.25</v>
      </c>
      <c r="C30" s="39">
        <v>1.25</v>
      </c>
      <c r="D30" s="39"/>
      <c r="E30" s="39"/>
      <c r="F30" s="39"/>
      <c r="G30" s="39"/>
      <c r="H30" s="39">
        <f t="shared" ref="H30:H33" si="21">H29-F30-D30+B30</f>
        <v>10</v>
      </c>
      <c r="I30" s="39">
        <f t="shared" ref="I30:I33" si="22">I29-E30+C30</f>
        <v>25</v>
      </c>
      <c r="J30" s="43">
        <f t="shared" ref="J30:J33" si="23">H30+I30</f>
        <v>35</v>
      </c>
    </row>
    <row r="31" spans="1:10" ht="15.95" customHeight="1">
      <c r="A31" s="16" t="s">
        <v>38</v>
      </c>
      <c r="B31" s="39"/>
      <c r="C31" s="39"/>
      <c r="D31" s="39"/>
      <c r="E31" s="39"/>
      <c r="F31" s="39">
        <v>1</v>
      </c>
      <c r="G31" s="39"/>
      <c r="H31" s="39">
        <f t="shared" si="21"/>
        <v>9</v>
      </c>
      <c r="I31" s="39">
        <f t="shared" si="22"/>
        <v>25</v>
      </c>
      <c r="J31" s="43">
        <f t="shared" si="23"/>
        <v>34</v>
      </c>
    </row>
    <row r="32" spans="1:10" ht="15.95" customHeight="1">
      <c r="A32" s="16" t="s">
        <v>39</v>
      </c>
      <c r="B32" s="39">
        <v>3.75</v>
      </c>
      <c r="C32" s="39">
        <v>3.75</v>
      </c>
      <c r="D32" s="39"/>
      <c r="E32" s="39"/>
      <c r="F32" s="39"/>
      <c r="G32" s="39"/>
      <c r="H32" s="39">
        <f t="shared" si="21"/>
        <v>12.75</v>
      </c>
      <c r="I32" s="39">
        <f t="shared" si="22"/>
        <v>28.75</v>
      </c>
      <c r="J32" s="43">
        <f t="shared" si="23"/>
        <v>41.5</v>
      </c>
    </row>
    <row r="33" spans="1:10" ht="15.95" customHeight="1">
      <c r="A33" s="16" t="s">
        <v>40</v>
      </c>
      <c r="B33" s="39"/>
      <c r="C33" s="39"/>
      <c r="D33" s="39"/>
      <c r="E33" s="39"/>
      <c r="F33" s="40">
        <v>1</v>
      </c>
      <c r="G33" s="39"/>
      <c r="H33" s="39">
        <f t="shared" si="21"/>
        <v>11.75</v>
      </c>
      <c r="I33" s="39">
        <f t="shared" si="22"/>
        <v>28.75</v>
      </c>
      <c r="J33" s="43">
        <f t="shared" si="23"/>
        <v>40.5</v>
      </c>
    </row>
    <row r="34" spans="1:10" ht="15.95" customHeight="1">
      <c r="A34" s="16" t="s">
        <v>41</v>
      </c>
      <c r="B34" s="39">
        <v>3.75</v>
      </c>
      <c r="C34" s="39">
        <v>3.75</v>
      </c>
      <c r="D34" s="39"/>
      <c r="E34" s="39"/>
      <c r="F34" s="39"/>
      <c r="G34" s="39"/>
      <c r="H34" s="39">
        <f t="shared" ref="H34" si="24">H33-F34-D34+B34</f>
        <v>15.5</v>
      </c>
      <c r="I34" s="39">
        <f t="shared" ref="I34" si="25">I33-E34+C34</f>
        <v>32.5</v>
      </c>
      <c r="J34" s="43">
        <f t="shared" ref="J34" si="26">H34+I34</f>
        <v>48</v>
      </c>
    </row>
    <row r="35" spans="1:10" ht="15.95" customHeight="1">
      <c r="A35" s="16" t="s">
        <v>42</v>
      </c>
      <c r="B35" s="39"/>
      <c r="C35" s="39"/>
      <c r="D35" s="39">
        <v>10</v>
      </c>
      <c r="E35" s="39"/>
      <c r="F35" s="39"/>
      <c r="G35" s="39"/>
      <c r="H35" s="39">
        <f t="shared" ref="H35" si="27">H34-F35-D35+B35</f>
        <v>5.5</v>
      </c>
      <c r="I35" s="39">
        <f t="shared" ref="I35" si="28">I34-E35+C35</f>
        <v>32.5</v>
      </c>
      <c r="J35" s="43">
        <f t="shared" ref="J35" si="29">H35+I35</f>
        <v>38</v>
      </c>
    </row>
    <row r="36" spans="1:10" ht="15.95" customHeight="1">
      <c r="A36" s="16" t="s">
        <v>43</v>
      </c>
      <c r="B36" s="39">
        <v>5</v>
      </c>
      <c r="C36" s="39">
        <v>5</v>
      </c>
      <c r="D36" s="39"/>
      <c r="E36" s="39"/>
      <c r="F36" s="39"/>
      <c r="G36" s="39"/>
      <c r="H36" s="39">
        <f t="shared" ref="H36:H37" si="30">H35-F36-D36+B36</f>
        <v>10.5</v>
      </c>
      <c r="I36" s="39">
        <f t="shared" ref="I36:I37" si="31">I35-E36+C36</f>
        <v>37.5</v>
      </c>
      <c r="J36" s="43">
        <f t="shared" ref="J36:J37" si="32">H36+I36</f>
        <v>48</v>
      </c>
    </row>
    <row r="37" spans="1:10" ht="15.95" customHeight="1">
      <c r="A37" s="16" t="s">
        <v>44</v>
      </c>
      <c r="B37" s="39"/>
      <c r="C37" s="39"/>
      <c r="D37" s="39"/>
      <c r="E37" s="39"/>
      <c r="F37" s="40">
        <v>1</v>
      </c>
      <c r="G37" s="39"/>
      <c r="H37" s="39">
        <f t="shared" si="30"/>
        <v>9.5</v>
      </c>
      <c r="I37" s="39">
        <f t="shared" si="31"/>
        <v>37.5</v>
      </c>
      <c r="J37" s="43">
        <f t="shared" si="32"/>
        <v>47</v>
      </c>
    </row>
    <row r="38" spans="1:10" ht="15.95" customHeight="1">
      <c r="A38" s="16" t="s">
        <v>45</v>
      </c>
      <c r="B38" s="39">
        <v>1.25</v>
      </c>
      <c r="C38" s="39">
        <v>1.25</v>
      </c>
      <c r="D38" s="39"/>
      <c r="E38" s="39"/>
      <c r="F38" s="39"/>
      <c r="G38" s="39"/>
      <c r="H38" s="39">
        <f>H37-F38-D38+B38</f>
        <v>10.75</v>
      </c>
      <c r="I38" s="39">
        <f>I37-E38+C38</f>
        <v>38.75</v>
      </c>
      <c r="J38" s="43">
        <f>H38+I38</f>
        <v>49.5</v>
      </c>
    </row>
    <row r="39" spans="1:10" ht="15.95" customHeight="1">
      <c r="A39" s="16" t="s">
        <v>84</v>
      </c>
      <c r="B39" s="39"/>
      <c r="C39" s="39"/>
      <c r="D39" s="39"/>
      <c r="E39" s="39"/>
      <c r="F39" s="40">
        <v>3</v>
      </c>
      <c r="G39" s="39"/>
      <c r="H39" s="39">
        <f>H38-F39-D39+B39</f>
        <v>7.75</v>
      </c>
      <c r="I39" s="39">
        <f>I38-E39+C39</f>
        <v>38.75</v>
      </c>
      <c r="J39" s="43">
        <f>H39+I39</f>
        <v>46.5</v>
      </c>
    </row>
    <row r="40" spans="1:10" ht="18.95" customHeight="1">
      <c r="A40" s="47"/>
      <c r="B40" s="47"/>
      <c r="C40" s="47"/>
      <c r="D40" s="47"/>
      <c r="E40" s="47"/>
      <c r="F40" s="47"/>
      <c r="G40" s="47"/>
      <c r="H40" s="47"/>
      <c r="I40" s="47"/>
      <c r="J40" s="47"/>
    </row>
    <row r="41" spans="1:10" s="1" customFormat="1">
      <c r="H41" s="1" t="s">
        <v>46</v>
      </c>
    </row>
    <row r="42" spans="1:10" s="1" customFormat="1"/>
    <row r="43" spans="1:10" s="1" customFormat="1">
      <c r="H43" s="41" t="s">
        <v>47</v>
      </c>
    </row>
    <row r="44" spans="1:10" s="1" customFormat="1">
      <c r="H44" s="1" t="s">
        <v>48</v>
      </c>
    </row>
    <row r="45" spans="1:10" s="1" customFormat="1">
      <c r="H45" s="1" t="s">
        <v>49</v>
      </c>
    </row>
  </sheetData>
  <mergeCells count="14">
    <mergeCell ref="A2:J2"/>
    <mergeCell ref="A3:J3"/>
    <mergeCell ref="A4:J4"/>
    <mergeCell ref="A5:J5"/>
    <mergeCell ref="B7:D7"/>
    <mergeCell ref="A13:J13"/>
    <mergeCell ref="A40:J40"/>
    <mergeCell ref="A11:A12"/>
    <mergeCell ref="J11:J12"/>
    <mergeCell ref="B9:D9"/>
    <mergeCell ref="A10:J10"/>
    <mergeCell ref="B11:C11"/>
    <mergeCell ref="D11:F11"/>
    <mergeCell ref="H11:I11"/>
  </mergeCells>
  <printOptions horizontalCentered="1"/>
  <pageMargins left="0.5" right="0.5" top="0.5" bottom="0.5" header="0.31496062992126" footer="0.31496062992126"/>
  <pageSetup paperSize="9" scale="6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opLeftCell="A4" workbookViewId="0">
      <selection activeCell="B22" sqref="B22"/>
    </sheetView>
  </sheetViews>
  <sheetFormatPr defaultColWidth="9" defaultRowHeight="15"/>
  <cols>
    <col min="1" max="1" width="21.5703125" customWidth="1"/>
    <col min="2" max="2" width="17.5703125" customWidth="1"/>
    <col min="5" max="5" width="2.28515625" customWidth="1"/>
    <col min="7" max="7" width="6.85546875" customWidth="1"/>
  </cols>
  <sheetData>
    <row r="1" spans="1:12" s="1" customFormat="1" ht="52.5" customHeight="1"/>
    <row r="2" spans="1:12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2" s="1" customFormat="1" ht="8.25" customHeight="1"/>
    <row r="7" spans="1:12" s="1" customFormat="1" ht="12" customHeight="1">
      <c r="A7" s="1" t="s">
        <v>4</v>
      </c>
      <c r="C7" s="7" t="s">
        <v>5</v>
      </c>
      <c r="D7" s="7"/>
      <c r="G7" s="7" t="s">
        <v>6</v>
      </c>
      <c r="H7" s="21"/>
    </row>
    <row r="8" spans="1:12" s="1" customFormat="1" ht="12" customHeight="1">
      <c r="C8" s="8"/>
      <c r="G8" s="8"/>
      <c r="H8" s="8"/>
    </row>
    <row r="9" spans="1:12" s="1" customFormat="1" ht="12" customHeight="1">
      <c r="A9" s="1" t="s">
        <v>7</v>
      </c>
      <c r="C9" s="7" t="s">
        <v>8</v>
      </c>
      <c r="D9" s="7"/>
      <c r="G9" s="7" t="s">
        <v>9</v>
      </c>
      <c r="H9" s="22"/>
    </row>
    <row r="10" spans="1:12" s="1" customFormat="1" ht="12" customHeight="1">
      <c r="C10" s="7"/>
      <c r="D10" s="7"/>
      <c r="G10" s="7"/>
      <c r="H10" s="7"/>
    </row>
    <row r="11" spans="1:12" ht="16.5" customHeight="1">
      <c r="A11" s="53" t="s">
        <v>50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s="2" customFormat="1" ht="18.75" customHeight="1">
      <c r="A12" s="62" t="s">
        <v>11</v>
      </c>
      <c r="B12" s="69" t="s">
        <v>12</v>
      </c>
      <c r="C12" s="70"/>
      <c r="D12" s="70"/>
      <c r="E12" s="70"/>
      <c r="F12" s="70"/>
      <c r="G12" s="70"/>
      <c r="H12" s="70"/>
      <c r="I12" s="70"/>
      <c r="J12" s="70"/>
      <c r="K12" s="70"/>
      <c r="L12" s="64" t="s">
        <v>15</v>
      </c>
    </row>
    <row r="13" spans="1:12" s="2" customFormat="1" ht="24" customHeight="1">
      <c r="A13" s="63"/>
      <c r="B13" s="71" t="s">
        <v>51</v>
      </c>
      <c r="C13" s="72"/>
      <c r="D13" s="72"/>
      <c r="E13" s="73"/>
      <c r="F13" s="71" t="s">
        <v>52</v>
      </c>
      <c r="G13" s="73"/>
      <c r="H13" s="71" t="s">
        <v>53</v>
      </c>
      <c r="I13" s="73"/>
      <c r="J13" s="71" t="s">
        <v>54</v>
      </c>
      <c r="K13" s="73"/>
      <c r="L13" s="65"/>
    </row>
    <row r="14" spans="1:12" s="2" customFormat="1" ht="19.5" customHeight="1">
      <c r="A14" s="23" t="s">
        <v>55</v>
      </c>
      <c r="B14" s="66" t="s">
        <v>56</v>
      </c>
      <c r="C14" s="67"/>
      <c r="D14" s="67"/>
      <c r="E14" s="68"/>
      <c r="F14" s="24">
        <v>1</v>
      </c>
      <c r="G14" s="25"/>
      <c r="H14" s="66">
        <v>0</v>
      </c>
      <c r="I14" s="68"/>
      <c r="J14" s="66">
        <v>1</v>
      </c>
      <c r="K14" s="68"/>
      <c r="L14" s="27">
        <v>1</v>
      </c>
    </row>
    <row r="15" spans="1:12" s="2" customFormat="1" ht="19.5" customHeight="1">
      <c r="A15" s="23" t="s">
        <v>57</v>
      </c>
      <c r="B15" s="66" t="s">
        <v>56</v>
      </c>
      <c r="C15" s="67"/>
      <c r="D15" s="67"/>
      <c r="E15" s="68"/>
      <c r="F15" s="24"/>
      <c r="G15" s="25"/>
      <c r="H15" s="66">
        <v>1</v>
      </c>
      <c r="I15" s="68"/>
      <c r="J15" s="66">
        <v>0</v>
      </c>
      <c r="K15" s="68"/>
      <c r="L15" s="28">
        <v>0</v>
      </c>
    </row>
    <row r="16" spans="1:12" s="2" customFormat="1" ht="19.5" customHeight="1">
      <c r="A16" s="23" t="s">
        <v>58</v>
      </c>
      <c r="B16" s="66" t="s">
        <v>59</v>
      </c>
      <c r="C16" s="67"/>
      <c r="D16" s="67"/>
      <c r="E16" s="68"/>
      <c r="F16" s="24">
        <v>1</v>
      </c>
      <c r="G16" s="25"/>
      <c r="H16" s="66">
        <v>0</v>
      </c>
      <c r="I16" s="68"/>
      <c r="J16" s="66">
        <v>1</v>
      </c>
      <c r="K16" s="68"/>
      <c r="L16" s="27">
        <v>1</v>
      </c>
    </row>
    <row r="17" spans="1:12" s="2" customFormat="1" ht="19.5" customHeight="1">
      <c r="A17" s="23" t="s">
        <v>85</v>
      </c>
      <c r="B17" s="66" t="s">
        <v>59</v>
      </c>
      <c r="C17" s="67"/>
      <c r="D17" s="67"/>
      <c r="E17" s="68"/>
      <c r="F17" s="24"/>
      <c r="G17" s="25"/>
      <c r="H17" s="66">
        <v>1</v>
      </c>
      <c r="I17" s="68"/>
      <c r="J17" s="66">
        <v>0</v>
      </c>
      <c r="K17" s="68"/>
      <c r="L17" s="28">
        <v>0</v>
      </c>
    </row>
    <row r="18" spans="1:12" s="1" customFormat="1">
      <c r="C18" s="6"/>
    </row>
    <row r="19" spans="1:12" s="1" customFormat="1">
      <c r="C19" s="6"/>
    </row>
    <row r="20" spans="1:12">
      <c r="G20" s="1" t="s">
        <v>46</v>
      </c>
      <c r="H20" s="1"/>
      <c r="I20" s="1"/>
    </row>
    <row r="21" spans="1:12">
      <c r="H21" s="1"/>
      <c r="I21" s="1"/>
    </row>
    <row r="22" spans="1:12">
      <c r="H22" s="26" t="s">
        <v>47</v>
      </c>
      <c r="I22" s="26"/>
    </row>
    <row r="23" spans="1:12">
      <c r="H23" t="s">
        <v>48</v>
      </c>
    </row>
    <row r="24" spans="1:12">
      <c r="H24" s="61" t="s">
        <v>60</v>
      </c>
      <c r="I24" s="61"/>
    </row>
  </sheetData>
  <mergeCells count="25">
    <mergeCell ref="B13:E13"/>
    <mergeCell ref="F13:G13"/>
    <mergeCell ref="H13:I13"/>
    <mergeCell ref="J13:K13"/>
    <mergeCell ref="A2:L2"/>
    <mergeCell ref="A3:L3"/>
    <mergeCell ref="A4:L4"/>
    <mergeCell ref="A5:L5"/>
    <mergeCell ref="A11:L11"/>
    <mergeCell ref="H24:I24"/>
    <mergeCell ref="A12:A13"/>
    <mergeCell ref="L12:L13"/>
    <mergeCell ref="B16:E16"/>
    <mergeCell ref="H16:I16"/>
    <mergeCell ref="J16:K16"/>
    <mergeCell ref="B17:E17"/>
    <mergeCell ref="H17:I17"/>
    <mergeCell ref="J17:K17"/>
    <mergeCell ref="B14:E14"/>
    <mergeCell ref="H14:I14"/>
    <mergeCell ref="J14:K14"/>
    <mergeCell ref="B15:E15"/>
    <mergeCell ref="H15:I15"/>
    <mergeCell ref="J15:K15"/>
    <mergeCell ref="B12:K12"/>
  </mergeCells>
  <printOptions horizontalCentered="1"/>
  <pageMargins left="0.70866141732283505" right="0.70866141732283505" top="0.74803149606299202" bottom="0.74803149606299202" header="0.31496062992126" footer="0.31496062992126"/>
  <pageSetup paperSize="9" scale="70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10" zoomScale="98" zoomScaleNormal="100" workbookViewId="0">
      <selection activeCell="J20" sqref="J20"/>
    </sheetView>
  </sheetViews>
  <sheetFormatPr defaultColWidth="9" defaultRowHeight="1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>
      <c r="C1" s="4"/>
      <c r="D1" s="5"/>
      <c r="H1" s="6"/>
    </row>
    <row r="2" spans="1:12" s="1" customFormat="1" ht="10.5" customHeight="1">
      <c r="A2" s="60" t="s">
        <v>0</v>
      </c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</row>
    <row r="3" spans="1:12" s="1" customFormat="1" ht="15.95" customHeight="1">
      <c r="A3" s="60" t="s">
        <v>1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</row>
    <row r="4" spans="1:12" s="1" customFormat="1" ht="15.95" customHeight="1">
      <c r="A4" s="60" t="s">
        <v>2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</row>
    <row r="5" spans="1:12" s="1" customFormat="1" ht="15.95" customHeight="1">
      <c r="A5" s="60" t="s">
        <v>3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</row>
    <row r="6" spans="1:12" s="1" customFormat="1" ht="8.25" customHeight="1">
      <c r="C6" s="6"/>
      <c r="H6" s="6"/>
    </row>
    <row r="7" spans="1:12" s="1" customFormat="1" ht="8.25" customHeight="1">
      <c r="C7" s="6"/>
      <c r="H7" s="6"/>
    </row>
    <row r="8" spans="1:12" s="1" customFormat="1" ht="12" customHeight="1">
      <c r="A8" s="7" t="s">
        <v>61</v>
      </c>
      <c r="B8" s="7"/>
      <c r="C8" s="52" t="s">
        <v>62</v>
      </c>
      <c r="D8" s="52"/>
      <c r="E8" s="52"/>
      <c r="F8" s="52"/>
      <c r="G8" s="52"/>
      <c r="I8" s="52" t="s">
        <v>63</v>
      </c>
      <c r="J8" s="52"/>
      <c r="K8" s="52"/>
      <c r="L8" s="7"/>
    </row>
    <row r="9" spans="1:12" s="1" customFormat="1" ht="12" customHeight="1">
      <c r="B9" s="8"/>
      <c r="C9" s="52" t="s">
        <v>64</v>
      </c>
      <c r="D9" s="52"/>
      <c r="E9" s="52"/>
      <c r="F9" s="52"/>
      <c r="G9" s="52"/>
      <c r="I9" s="74" t="s">
        <v>65</v>
      </c>
      <c r="J9" s="74"/>
      <c r="K9" s="74"/>
      <c r="L9" s="8"/>
    </row>
    <row r="10" spans="1:12" s="1" customFormat="1" ht="12" customHeight="1">
      <c r="A10" s="7" t="s">
        <v>66</v>
      </c>
      <c r="B10" s="7"/>
      <c r="C10" s="9"/>
      <c r="D10" s="8"/>
      <c r="E10" s="8"/>
      <c r="I10" s="52" t="s">
        <v>67</v>
      </c>
      <c r="J10" s="52"/>
      <c r="K10" s="52"/>
      <c r="L10" s="7"/>
    </row>
    <row r="11" spans="1:12" ht="16.5" customHeight="1">
      <c r="A11" s="53" t="s">
        <v>68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</row>
    <row r="12" spans="1:12" s="2" customFormat="1" ht="48">
      <c r="A12" s="10" t="s">
        <v>11</v>
      </c>
      <c r="B12" s="11" t="s">
        <v>69</v>
      </c>
      <c r="C12" s="11" t="s">
        <v>70</v>
      </c>
      <c r="D12" s="11" t="s">
        <v>71</v>
      </c>
      <c r="E12" s="11" t="s">
        <v>72</v>
      </c>
      <c r="F12" s="11" t="s">
        <v>73</v>
      </c>
      <c r="G12" s="11" t="s">
        <v>74</v>
      </c>
      <c r="H12" s="11" t="s">
        <v>75</v>
      </c>
      <c r="I12" s="11" t="s">
        <v>76</v>
      </c>
      <c r="J12" s="11" t="s">
        <v>77</v>
      </c>
      <c r="K12" s="11" t="s">
        <v>78</v>
      </c>
      <c r="L12" s="18" t="s">
        <v>15</v>
      </c>
    </row>
    <row r="13" spans="1:12" s="2" customFormat="1">
      <c r="A13" s="12" t="s">
        <v>79</v>
      </c>
      <c r="B13" s="13"/>
      <c r="C13" s="14"/>
      <c r="D13" s="14">
        <v>1</v>
      </c>
      <c r="E13" s="13"/>
      <c r="F13" s="13"/>
      <c r="G13" s="13"/>
      <c r="H13" s="14"/>
      <c r="I13" s="13"/>
      <c r="J13" s="13"/>
      <c r="K13" s="13"/>
      <c r="L13" s="19">
        <v>1</v>
      </c>
    </row>
    <row r="14" spans="1:12" s="2" customFormat="1">
      <c r="A14" s="12" t="s">
        <v>80</v>
      </c>
      <c r="B14" s="13"/>
      <c r="C14" s="14"/>
      <c r="D14" s="14"/>
      <c r="E14" s="13"/>
      <c r="F14" s="13"/>
      <c r="G14" s="13"/>
      <c r="H14" s="14"/>
      <c r="I14" s="13"/>
      <c r="J14" s="13">
        <v>2</v>
      </c>
      <c r="K14" s="13"/>
      <c r="L14" s="19">
        <v>2</v>
      </c>
    </row>
    <row r="15" spans="1:12" s="3" customFormat="1">
      <c r="A15" s="15" t="s">
        <v>81</v>
      </c>
      <c r="B15" s="13"/>
      <c r="C15" s="14"/>
      <c r="D15" s="14">
        <v>1</v>
      </c>
      <c r="E15" s="13"/>
      <c r="F15" s="13"/>
      <c r="G15" s="13"/>
      <c r="H15" s="14"/>
      <c r="I15" s="13"/>
      <c r="J15" s="13"/>
      <c r="K15" s="13"/>
      <c r="L15" s="19">
        <v>1</v>
      </c>
    </row>
    <row r="16" spans="1:12" s="3" customFormat="1">
      <c r="A16" s="16" t="s">
        <v>82</v>
      </c>
      <c r="B16" s="13"/>
      <c r="C16" s="14"/>
      <c r="D16" s="14">
        <v>1</v>
      </c>
      <c r="E16" s="13"/>
      <c r="F16" s="13"/>
      <c r="G16" s="13"/>
      <c r="H16" s="14"/>
      <c r="I16" s="13"/>
      <c r="J16" s="13"/>
      <c r="K16" s="13"/>
      <c r="L16" s="19">
        <v>1</v>
      </c>
    </row>
    <row r="17" spans="1:12" s="3" customFormat="1">
      <c r="A17" s="14" t="s">
        <v>83</v>
      </c>
      <c r="B17" s="13"/>
      <c r="C17" s="14"/>
      <c r="D17" s="14">
        <v>1</v>
      </c>
      <c r="E17" s="13"/>
      <c r="F17" s="13"/>
      <c r="G17" s="13"/>
      <c r="H17" s="14"/>
      <c r="I17" s="13"/>
      <c r="J17" s="13"/>
      <c r="K17" s="13"/>
      <c r="L17" s="19">
        <v>1</v>
      </c>
    </row>
    <row r="18" spans="1:12" s="3" customFormat="1">
      <c r="A18" s="12"/>
      <c r="B18" s="13"/>
      <c r="C18" s="14"/>
      <c r="D18" s="14"/>
      <c r="E18" s="13"/>
      <c r="F18" s="13"/>
      <c r="G18" s="13"/>
      <c r="H18" s="14"/>
      <c r="I18" s="13"/>
      <c r="J18" s="13"/>
      <c r="K18" s="13"/>
      <c r="L18" s="19"/>
    </row>
    <row r="19" spans="1:12" s="3" customFormat="1">
      <c r="A19" s="12"/>
      <c r="B19" s="13"/>
      <c r="C19" s="14"/>
      <c r="D19" s="14"/>
      <c r="E19" s="13"/>
      <c r="F19" s="13"/>
      <c r="G19" s="13"/>
      <c r="H19" s="14"/>
      <c r="I19" s="13"/>
      <c r="J19" s="13"/>
      <c r="K19" s="13"/>
      <c r="L19" s="19"/>
    </row>
    <row r="20" spans="1:12" s="3" customFormat="1">
      <c r="A20" s="12"/>
      <c r="B20" s="13"/>
      <c r="C20" s="14"/>
      <c r="D20" s="14"/>
      <c r="E20" s="13"/>
      <c r="F20" s="13"/>
      <c r="G20" s="13"/>
      <c r="H20" s="14"/>
      <c r="I20" s="13"/>
      <c r="J20" s="13"/>
      <c r="K20" s="13"/>
      <c r="L20" s="19"/>
    </row>
    <row r="21" spans="1:12" s="3" customFormat="1">
      <c r="A21" s="17"/>
      <c r="B21" s="13"/>
      <c r="C21" s="14"/>
      <c r="D21" s="14"/>
      <c r="E21" s="13"/>
      <c r="F21" s="13"/>
      <c r="G21" s="13"/>
      <c r="H21" s="14"/>
      <c r="I21" s="13"/>
      <c r="J21" s="13"/>
      <c r="K21" s="20"/>
      <c r="L21" s="19"/>
    </row>
    <row r="22" spans="1:12" ht="75.75" customHeight="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1:12" s="1" customFormat="1">
      <c r="C23" s="6"/>
    </row>
    <row r="24" spans="1:12" s="1" customFormat="1">
      <c r="C24" s="6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Other types of leave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2026-01-08T06:01:24Z</cp:lastPrinted>
  <dcterms:created xsi:type="dcterms:W3CDTF">2021-10-07T06:10:00Z</dcterms:created>
  <dcterms:modified xsi:type="dcterms:W3CDTF">2026-01-08T06:05:52Z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D3295F9CC0564FCEBD2B5CEB54B5022A_12</vt:lpwstr>
  </property>
  <property fmtid="{D5CDD505-2E9C-101B-9397-08002B2CF9AE}" pid="3" name="KSOProductBuildVer">
    <vt:lpwstr>1033-12.2.0.23196</vt:lpwstr>
  </property>
</Properties>
</file>