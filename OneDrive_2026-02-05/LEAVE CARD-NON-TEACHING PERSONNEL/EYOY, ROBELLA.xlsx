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16" documentId="13_ncr:1_{EBEF0921-F8F6-43E1-B08A-9B0A8383014B}" xr6:coauthVersionLast="47" xr6:coauthVersionMax="47" xr10:uidLastSave="{610F2DAC-EFED-475C-BB15-F48953A32315}"/>
  <bookViews>
    <workbookView xWindow="0" yWindow="0" windowWidth="28800" windowHeight="15480" firstSheet="1" activeTab="1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B13" i="6"/>
  <c r="H13" i="6" s="1"/>
  <c r="H14" i="6" s="1"/>
  <c r="H15" i="6" s="1"/>
  <c r="J15" i="6" l="1"/>
  <c r="H16" i="6"/>
  <c r="J14" i="6"/>
  <c r="J16" i="6" l="1"/>
  <c r="H17" i="6"/>
  <c r="J13" i="6"/>
  <c r="J17" i="6" l="1"/>
  <c r="H18" i="6"/>
  <c r="H19" i="6" l="1"/>
  <c r="J18" i="6"/>
  <c r="J19" i="6" l="1"/>
  <c r="H20" i="6"/>
  <c r="J20" i="6" l="1"/>
  <c r="H21" i="6"/>
  <c r="J21" i="6" l="1"/>
  <c r="H22" i="6"/>
  <c r="J22" i="6" l="1"/>
  <c r="H23" i="6"/>
  <c r="J23" i="6" l="1"/>
  <c r="H24" i="6"/>
  <c r="J24" i="6" l="1"/>
  <c r="H25" i="6"/>
  <c r="J25" i="6" l="1"/>
  <c r="H26" i="6"/>
  <c r="H27" i="6" l="1"/>
  <c r="J26" i="6"/>
  <c r="H28" i="6" l="1"/>
  <c r="J27" i="6"/>
  <c r="J28" i="6" l="1"/>
  <c r="H29" i="6"/>
  <c r="J29" i="6" l="1"/>
  <c r="H30" i="6"/>
  <c r="J30" i="6" l="1"/>
  <c r="H31" i="6"/>
  <c r="J31" i="6" l="1"/>
  <c r="H32" i="6"/>
  <c r="J32" i="6" l="1"/>
  <c r="H33" i="6"/>
  <c r="H34" i="6" l="1"/>
  <c r="J33" i="6"/>
  <c r="J34" i="6" l="1"/>
  <c r="H35" i="6"/>
  <c r="J35" i="6" l="1"/>
  <c r="H36" i="6"/>
  <c r="J36" i="6" l="1"/>
  <c r="H37" i="6"/>
  <c r="H38" i="6" l="1"/>
  <c r="J37" i="6"/>
  <c r="H39" i="6" l="1"/>
  <c r="J38" i="6"/>
  <c r="H40" i="6" l="1"/>
  <c r="J39" i="6"/>
  <c r="J40" i="6" l="1"/>
  <c r="H41" i="6"/>
  <c r="J41" i="6" l="1"/>
  <c r="H42" i="6"/>
  <c r="H43" i="6" l="1"/>
  <c r="J42" i="6"/>
  <c r="J43" i="6" l="1"/>
  <c r="H44" i="6"/>
  <c r="H45" i="6" s="1"/>
  <c r="J45" i="6" l="1"/>
  <c r="H46" i="6"/>
  <c r="J44" i="6"/>
  <c r="J46" i="6" l="1"/>
  <c r="H47" i="6"/>
  <c r="J47" i="6" l="1"/>
  <c r="H48" i="6"/>
  <c r="H49" i="6" l="1"/>
  <c r="J48" i="6"/>
  <c r="H50" i="6" l="1"/>
  <c r="J49" i="6"/>
  <c r="H51" i="6" l="1"/>
  <c r="J50" i="6"/>
  <c r="J51" i="6" l="1"/>
  <c r="H52" i="6"/>
  <c r="J52" i="6" l="1"/>
  <c r="H53" i="6"/>
  <c r="J53" i="6" l="1"/>
  <c r="H54" i="6"/>
  <c r="J54" i="6" l="1"/>
  <c r="H55" i="6"/>
  <c r="J55" i="6" l="1"/>
  <c r="H56" i="6"/>
  <c r="H57" i="6" l="1"/>
  <c r="J56" i="6"/>
  <c r="J57" i="6" l="1"/>
  <c r="H58" i="6"/>
  <c r="J58" i="6" l="1"/>
  <c r="H59" i="6"/>
  <c r="J59" i="6" l="1"/>
  <c r="H60" i="6"/>
  <c r="J60" i="6" l="1"/>
  <c r="H61" i="6"/>
  <c r="J61" i="6" l="1"/>
  <c r="H62" i="6"/>
  <c r="J62" i="6" l="1"/>
  <c r="H63" i="6"/>
  <c r="J63" i="6" l="1"/>
  <c r="H64" i="6"/>
  <c r="H65" i="6" l="1"/>
  <c r="J64" i="6"/>
  <c r="J65" i="6" l="1"/>
  <c r="H66" i="6"/>
  <c r="J66" i="6" l="1"/>
  <c r="H67" i="6"/>
  <c r="J67" i="6" l="1"/>
  <c r="H68" i="6"/>
  <c r="H69" i="6" l="1"/>
  <c r="J68" i="6"/>
  <c r="J69" i="6" l="1"/>
  <c r="H70" i="6"/>
  <c r="H71" i="6" l="1"/>
  <c r="J70" i="6"/>
  <c r="J71" i="6" l="1"/>
  <c r="H72" i="6"/>
  <c r="H73" i="6" l="1"/>
  <c r="J73" i="6" s="1"/>
  <c r="J72" i="6"/>
</calcChain>
</file>

<file path=xl/sharedStrings.xml><?xml version="1.0" encoding="utf-8"?>
<sst xmlns="http://schemas.openxmlformats.org/spreadsheetml/2006/main" count="116" uniqueCount="96">
  <si>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</si>
  <si>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</si>
  <si>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</si>
  <si>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</si>
  <si>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</si>
  <si>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</si>
  <si>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</si>
  <si>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</si>
  <si>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</si>
  <si>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</si>
  <si>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</si>
  <si>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</si>
  <si>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</si>
  <si>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</si>
  <si>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</si>
  <si>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</si>
  <si>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</si>
  <si>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</si>
  <si>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</si>
  <si>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</si>
  <si>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07/01/2020 - 12/31/2020</t>
  </si>
  <si>
    <t>ADD: 01/01/2021 - 04/30/2021</t>
  </si>
  <si>
    <t>LESS: 05/19/2021</t>
  </si>
  <si>
    <t>ADD: 05/01/2021 - 08/31/2021</t>
  </si>
  <si>
    <t>LESS: 09/03/2021</t>
  </si>
  <si>
    <t>LESS: 09/23/2021</t>
  </si>
  <si>
    <t>ADD: 09/01/2021 - 09/30/2021</t>
  </si>
  <si>
    <t>LESS: MONETIZATION 2021</t>
  </si>
  <si>
    <t>ADD: 10/01/2021 - 12/31/2021</t>
  </si>
  <si>
    <t>LESS: 12/03/2021</t>
  </si>
  <si>
    <t>LESS: FL 2021</t>
  </si>
  <si>
    <t>LESS: 02/08/22</t>
  </si>
  <si>
    <t>ADD: 01/01/22 - 03/31/22</t>
  </si>
  <si>
    <t>LESS: 03/10/22</t>
  </si>
  <si>
    <t>LESS: 03/14, 15 &amp; 16/22</t>
  </si>
  <si>
    <t>LESS: 4/12/2022</t>
  </si>
  <si>
    <t>ADD: 04/01/22 - 05/31/22</t>
  </si>
  <si>
    <t>LESS: 05/30/22</t>
  </si>
  <si>
    <t>ADD: 06/01/22 - 06/30/22</t>
  </si>
  <si>
    <t>LESS: 07/11/22</t>
  </si>
  <si>
    <t>ADD: 07/01/22 - 08/31/22</t>
  </si>
  <si>
    <t>LESS: 09/20/2022</t>
  </si>
  <si>
    <t>ADD: 09/01/22 - 09/30/22</t>
  </si>
  <si>
    <t>LESS: 10/07/2022</t>
  </si>
  <si>
    <t>LESS: MONETIZATION 2022</t>
  </si>
  <si>
    <t>ADD: 10/01/22 - 11/30/22</t>
  </si>
  <si>
    <t>LESS: 12/19/2022</t>
  </si>
  <si>
    <t>LESS: 12/23, 26 &amp;29/2022</t>
  </si>
  <si>
    <t>ADD: 12/01/22 - 12/31/22</t>
  </si>
  <si>
    <t>LESS: 01/4-5/23</t>
  </si>
  <si>
    <t>ADD: 01/01/2023 - 04/30/2023</t>
  </si>
  <si>
    <t>ADD: 05/01/2023 - 08/31/2023</t>
  </si>
  <si>
    <t>LESS: 06/01/2023</t>
  </si>
  <si>
    <t>LESS: MONETIZATION 2023</t>
  </si>
  <si>
    <t>ADD: 09/01/2023-09/30/2023</t>
  </si>
  <si>
    <t>LESS: 10/23-24/2023</t>
  </si>
  <si>
    <t>ADD: 10/01-12/31/2023</t>
  </si>
  <si>
    <t>LESS: FL 2023</t>
  </si>
  <si>
    <t>ADD: 01/1/2024-05/31/2024</t>
  </si>
  <si>
    <t>LESS: 05/24/2024</t>
  </si>
  <si>
    <t>ADD: JUNE-JULY 31, 2024</t>
  </si>
  <si>
    <t>LESS: MONETIZATION 2024</t>
  </si>
  <si>
    <t>ADD: 08/1/2024-11/30/2024</t>
  </si>
  <si>
    <t>LESS: 12/23, 26, 27/2024</t>
  </si>
  <si>
    <t>LESS: 01/02/2025</t>
  </si>
  <si>
    <t>ADD: 12/1-31/2024</t>
  </si>
  <si>
    <t>LESS: MANDATORY FL 2024</t>
  </si>
  <si>
    <t>ADD: 01/1-31/2025</t>
  </si>
  <si>
    <t>LESS: 02/21/2025</t>
  </si>
  <si>
    <t>ADD: 02/1-28/2025</t>
  </si>
  <si>
    <t>LESS: 03/10-12/2025</t>
  </si>
  <si>
    <t>ADD: 03/1-31/2025</t>
  </si>
  <si>
    <t>LESS: 04/28-29/2025</t>
  </si>
  <si>
    <t>ADD: 04/1-30/2025</t>
  </si>
  <si>
    <t>LESS: 05/21-22/2025</t>
  </si>
  <si>
    <t>ADD: 05/1/2025-06/30/2025</t>
  </si>
  <si>
    <t>LESS: MONETIZATION 2025</t>
  </si>
  <si>
    <t>LESS: 06/25/2025</t>
  </si>
  <si>
    <t>ADD: 07/1/2025-12/31/2025</t>
  </si>
  <si>
    <t>LESS: FL 2025</t>
  </si>
  <si>
    <t>ADD: 01/1-31/2026</t>
  </si>
  <si>
    <t>Certified Correct:</t>
  </si>
  <si>
    <t xml:space="preserve">  MA. LUISA B. CATIGAN</t>
  </si>
  <si>
    <t>Administrative Officer IV</t>
  </si>
  <si>
    <t xml:space="preserve"> 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</si>
  <si>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</si>
  <si>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</si>
  <si>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</si>
  <si>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</si>
  <si>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</si>
  <si>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06/05/2025</t>
  </si>
  <si>
    <t>SO # 024, S.2025 A&amp; E TEST 2025</t>
  </si>
  <si>
    <t>LESS: 12/01/2025</t>
  </si>
  <si>
    <t>NOTE:  Valid for one (1) year only</t>
  </si>
  <si>
    <t>MA. LUISA B. CATIGAN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</si>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</sst>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5" fillId="0" borderId="0" xfId="0" applyFont="1"/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2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7" fillId="2" borderId="0" xfId="0" applyFont="1" applyFill="1"/>
    <xf numFmtId="164" fontId="8" fillId="0" borderId="1" xfId="0" applyNumberFormat="1" applyFont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 wrapText="1"/>
    </xf>
    <xf numFmtId="164" fontId="0" fillId="2" borderId="20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2" borderId="21" xfId="0" applyNumberFormat="1" applyFill="1" applyBorder="1" applyAlignment="1">
      <alignment horizontal="center" vertical="center"/>
    </xf>
    <xf numFmtId="164" fontId="0" fillId="9" borderId="20" xfId="0" applyNumberFormat="1" applyFill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466724</xdr:colOff>
      <xdr:row>0</xdr:row>
      <xdr:rowOff>76200</xdr:rowOff>
    </xdr:from>
    <xdr:to>
      <xdr:col>4</xdr:col>
      <xdr:colOff>403354</xdr:colOff>
      <xdr:row>0</xdr:row>
      <xdr:rowOff>606425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4" y="76200"/>
          <a:ext cx="70815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5FBBED-97D6-4FBA-83E9-79C325E8945A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EYOY, ROBELLA.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DFFB81-A555-4FD3-8924-CF95CB263209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78F1BF-C82A-4CE6-9F52-C0B00FF7BB38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5A273-8BE0-4A07-B7A0-8F2DF264FF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3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20FD12-A672-4063-B798-4B740A8A671F}"/>
            </a:ext>
          </a:extLst>
        </xdr:cNvPr>
        <xdr:cNvSpPr txBox="1"/>
      </xdr:nvSpPr>
      <xdr:spPr>
        <a:xfrm>
          <a:off x="654051" y="1676401"/>
          <a:ext cx="7810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A4EC0-31FF-4DBC-AFEC-8477FD98D8EE}"/>
            </a:ext>
          </a:extLst>
        </xdr:cNvPr>
        <xdr:cNvSpPr txBox="1"/>
      </xdr:nvSpPr>
      <xdr:spPr>
        <a:xfrm>
          <a:off x="37462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67BA49-B260-4CC6-BCEE-8B0E925145A5}"/>
            </a:ext>
          </a:extLst>
        </xdr:cNvPr>
        <xdr:cNvSpPr txBox="1"/>
      </xdr:nvSpPr>
      <xdr:spPr>
        <a:xfrm>
          <a:off x="562183" y="1348768"/>
          <a:ext cx="19418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EYOY,</a:t>
          </a:r>
          <a:r>
            <a:rPr lang="en-US" sz="1100" baseline="0"/>
            <a:t> ROBELLA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view="pageBreakPreview" topLeftCell="A47" zoomScaleNormal="100" zoomScaleSheetLayoutView="100" workbookViewId="0">
      <selection activeCell="D66" sqref="D66"/>
    </sheetView>
  </sheetViews>
  <sheetFormatPr defaultRowHeight="15"/>
  <cols>
    <col min="1" max="1" width="35.140625" customWidth="1"/>
    <col min="2" max="10" width="11.5703125" customWidth="1"/>
  </cols>
  <sheetData>
    <row r="1" spans="1:10" s="1" customFormat="1" ht="52.5" customHeight="1"/>
    <row r="2" spans="1:10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s="1" customFormat="1" ht="8.25" customHeight="1"/>
    <row r="7" spans="1:10" s="1" customFormat="1" ht="12" customHeight="1">
      <c r="A7" s="1" t="s">
        <v>4</v>
      </c>
      <c r="B7" s="42" t="s">
        <v>5</v>
      </c>
      <c r="C7" s="42"/>
      <c r="D7" s="42"/>
      <c r="H7" s="3" t="s">
        <v>6</v>
      </c>
      <c r="I7" s="7"/>
      <c r="J7" s="3"/>
    </row>
    <row r="8" spans="1:10" s="1" customFormat="1" ht="12" customHeight="1">
      <c r="B8" s="2"/>
      <c r="C8" s="2"/>
      <c r="H8" s="2"/>
      <c r="I8" s="2"/>
      <c r="J8" s="2"/>
    </row>
    <row r="9" spans="1:10" s="1" customFormat="1" ht="12" customHeight="1">
      <c r="A9" s="1" t="s">
        <v>7</v>
      </c>
      <c r="B9" s="42" t="s">
        <v>8</v>
      </c>
      <c r="C9" s="42"/>
      <c r="D9" s="42"/>
      <c r="H9" s="3" t="s">
        <v>9</v>
      </c>
      <c r="I9" s="4"/>
      <c r="J9" s="3"/>
    </row>
    <row r="10" spans="1:10" ht="16.5" customHeight="1" thickBot="1">
      <c r="A10" s="43" t="s">
        <v>10</v>
      </c>
      <c r="B10" s="43"/>
      <c r="C10" s="43"/>
      <c r="D10" s="43"/>
      <c r="E10" s="43"/>
      <c r="F10" s="43"/>
      <c r="G10" s="43"/>
      <c r="H10" s="43"/>
      <c r="I10" s="43"/>
      <c r="J10" s="43"/>
    </row>
    <row r="11" spans="1:10" ht="15.95" customHeight="1">
      <c r="A11" s="49" t="s">
        <v>11</v>
      </c>
      <c r="B11" s="45" t="s">
        <v>12</v>
      </c>
      <c r="C11" s="45"/>
      <c r="D11" s="46" t="s">
        <v>13</v>
      </c>
      <c r="E11" s="47"/>
      <c r="F11" s="47"/>
      <c r="G11" s="48"/>
      <c r="H11" s="44" t="s">
        <v>14</v>
      </c>
      <c r="I11" s="44"/>
      <c r="J11" s="51" t="s">
        <v>15</v>
      </c>
    </row>
    <row r="12" spans="1:10" ht="15.95" customHeight="1" thickBot="1">
      <c r="A12" s="50"/>
      <c r="B12" s="5" t="s">
        <v>16</v>
      </c>
      <c r="C12" s="5" t="s">
        <v>17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16</v>
      </c>
      <c r="I12" s="5" t="s">
        <v>17</v>
      </c>
      <c r="J12" s="52"/>
    </row>
    <row r="13" spans="1:10" ht="15.95" customHeight="1">
      <c r="A13" s="27" t="s">
        <v>20</v>
      </c>
      <c r="B13" s="14">
        <f>6*1.25</f>
        <v>7.5</v>
      </c>
      <c r="C13" s="14">
        <v>7.5</v>
      </c>
      <c r="D13" s="14"/>
      <c r="E13" s="14"/>
      <c r="F13" s="14"/>
      <c r="G13" s="14"/>
      <c r="H13" s="14">
        <f>B13</f>
        <v>7.5</v>
      </c>
      <c r="I13" s="14">
        <f>C13</f>
        <v>7.5</v>
      </c>
      <c r="J13" s="14">
        <f>SUM(H13:I13)</f>
        <v>15</v>
      </c>
    </row>
    <row r="14" spans="1:10" ht="15.95" customHeight="1">
      <c r="A14" s="12" t="s">
        <v>21</v>
      </c>
      <c r="B14" s="13">
        <v>5</v>
      </c>
      <c r="C14" s="13">
        <v>5</v>
      </c>
      <c r="D14" s="13"/>
      <c r="E14" s="13"/>
      <c r="F14" s="13"/>
      <c r="G14" s="13"/>
      <c r="H14" s="13">
        <f>H13-F14-D14+B14</f>
        <v>12.5</v>
      </c>
      <c r="I14" s="13">
        <f>I13-E14+C14</f>
        <v>12.5</v>
      </c>
      <c r="J14" s="13">
        <f t="shared" ref="J14" si="0">SUM(H14:I14)</f>
        <v>25</v>
      </c>
    </row>
    <row r="15" spans="1:10" ht="15.95" customHeight="1">
      <c r="A15" s="12" t="s">
        <v>22</v>
      </c>
      <c r="B15" s="13"/>
      <c r="C15" s="13"/>
      <c r="D15" s="13"/>
      <c r="E15" s="13"/>
      <c r="F15" s="13">
        <v>1</v>
      </c>
      <c r="G15" s="13"/>
      <c r="H15" s="13">
        <f t="shared" ref="H15:H44" si="1">H14-F15-D15+B15</f>
        <v>11.5</v>
      </c>
      <c r="I15" s="13">
        <f t="shared" ref="I15:I44" si="2">I14-E15+C15</f>
        <v>12.5</v>
      </c>
      <c r="J15" s="13">
        <f t="shared" ref="J15:J47" si="3">SUM(H15:I15)</f>
        <v>24</v>
      </c>
    </row>
    <row r="16" spans="1:10" ht="15.95" customHeight="1">
      <c r="A16" s="12" t="s">
        <v>23</v>
      </c>
      <c r="B16" s="13">
        <v>5</v>
      </c>
      <c r="C16" s="13">
        <v>5</v>
      </c>
      <c r="D16" s="13"/>
      <c r="E16" s="13"/>
      <c r="F16" s="13"/>
      <c r="G16" s="13"/>
      <c r="H16" s="13">
        <f t="shared" si="1"/>
        <v>16.5</v>
      </c>
      <c r="I16" s="13">
        <f t="shared" si="2"/>
        <v>17.5</v>
      </c>
      <c r="J16" s="13">
        <f t="shared" si="3"/>
        <v>34</v>
      </c>
    </row>
    <row r="17" spans="1:10" ht="15.95" customHeight="1">
      <c r="A17" s="12" t="s">
        <v>24</v>
      </c>
      <c r="B17" s="13"/>
      <c r="C17" s="13"/>
      <c r="D17" s="13"/>
      <c r="E17" s="13"/>
      <c r="F17" s="13">
        <v>1</v>
      </c>
      <c r="G17" s="13"/>
      <c r="H17" s="13">
        <f t="shared" si="1"/>
        <v>15.5</v>
      </c>
      <c r="I17" s="13">
        <f t="shared" si="2"/>
        <v>17.5</v>
      </c>
      <c r="J17" s="13">
        <f t="shared" si="3"/>
        <v>33</v>
      </c>
    </row>
    <row r="18" spans="1:10" ht="15.95" customHeight="1">
      <c r="A18" s="12" t="s">
        <v>25</v>
      </c>
      <c r="B18" s="13"/>
      <c r="C18" s="13"/>
      <c r="D18" s="13"/>
      <c r="E18" s="13"/>
      <c r="F18" s="13">
        <v>1</v>
      </c>
      <c r="G18" s="13"/>
      <c r="H18" s="13">
        <f t="shared" si="1"/>
        <v>14.5</v>
      </c>
      <c r="I18" s="13">
        <f t="shared" si="2"/>
        <v>17.5</v>
      </c>
      <c r="J18" s="13">
        <f t="shared" si="3"/>
        <v>32</v>
      </c>
    </row>
    <row r="19" spans="1:10" ht="15.95" customHeight="1">
      <c r="A19" s="12" t="s">
        <v>26</v>
      </c>
      <c r="B19" s="13">
        <v>1.25</v>
      </c>
      <c r="C19" s="13">
        <v>1.25</v>
      </c>
      <c r="D19" s="13"/>
      <c r="E19" s="13"/>
      <c r="F19" s="13"/>
      <c r="G19" s="13"/>
      <c r="H19" s="13">
        <f t="shared" si="1"/>
        <v>15.75</v>
      </c>
      <c r="I19" s="13">
        <f t="shared" si="2"/>
        <v>18.75</v>
      </c>
      <c r="J19" s="13">
        <f t="shared" si="3"/>
        <v>34.5</v>
      </c>
    </row>
    <row r="20" spans="1:10" ht="15.95" customHeight="1">
      <c r="A20" s="12" t="s">
        <v>27</v>
      </c>
      <c r="B20" s="13"/>
      <c r="C20" s="13"/>
      <c r="D20" s="13">
        <v>12</v>
      </c>
      <c r="E20" s="13">
        <v>13</v>
      </c>
      <c r="F20" s="13"/>
      <c r="G20" s="13"/>
      <c r="H20" s="13">
        <f t="shared" si="1"/>
        <v>3.75</v>
      </c>
      <c r="I20" s="13">
        <f t="shared" si="2"/>
        <v>5.75</v>
      </c>
      <c r="J20" s="13">
        <f t="shared" si="3"/>
        <v>9.5</v>
      </c>
    </row>
    <row r="21" spans="1:10" ht="15.95" customHeight="1">
      <c r="A21" s="12" t="s">
        <v>28</v>
      </c>
      <c r="B21" s="13">
        <v>3.75</v>
      </c>
      <c r="C21" s="13">
        <v>3.75</v>
      </c>
      <c r="D21" s="13"/>
      <c r="E21" s="13"/>
      <c r="F21" s="13"/>
      <c r="G21" s="13"/>
      <c r="H21" s="13">
        <f t="shared" si="1"/>
        <v>7.5</v>
      </c>
      <c r="I21" s="13">
        <f t="shared" si="2"/>
        <v>9.5</v>
      </c>
      <c r="J21" s="13">
        <f t="shared" si="3"/>
        <v>17</v>
      </c>
    </row>
    <row r="22" spans="1:10" ht="15.95" customHeight="1">
      <c r="A22" s="12" t="s">
        <v>29</v>
      </c>
      <c r="B22" s="13"/>
      <c r="C22" s="13"/>
      <c r="D22" s="13"/>
      <c r="E22" s="13"/>
      <c r="F22" s="13">
        <v>1</v>
      </c>
      <c r="G22" s="13"/>
      <c r="H22" s="13">
        <f t="shared" si="1"/>
        <v>6.5</v>
      </c>
      <c r="I22" s="13">
        <f t="shared" si="2"/>
        <v>9.5</v>
      </c>
      <c r="J22" s="13">
        <f t="shared" si="3"/>
        <v>16</v>
      </c>
    </row>
    <row r="23" spans="1:10" ht="15.95" customHeight="1">
      <c r="A23" s="12" t="s">
        <v>30</v>
      </c>
      <c r="B23" s="13"/>
      <c r="C23" s="13"/>
      <c r="D23" s="13"/>
      <c r="E23" s="13"/>
      <c r="F23" s="13">
        <v>1</v>
      </c>
      <c r="G23" s="13"/>
      <c r="H23" s="13">
        <f t="shared" si="1"/>
        <v>5.5</v>
      </c>
      <c r="I23" s="13">
        <f t="shared" si="2"/>
        <v>9.5</v>
      </c>
      <c r="J23" s="13">
        <f t="shared" si="3"/>
        <v>15</v>
      </c>
    </row>
    <row r="24" spans="1:10" ht="15.95" customHeight="1">
      <c r="A24" s="12" t="s">
        <v>31</v>
      </c>
      <c r="B24" s="13"/>
      <c r="C24" s="13"/>
      <c r="D24" s="13"/>
      <c r="E24" s="13"/>
      <c r="F24" s="13">
        <v>1</v>
      </c>
      <c r="G24" s="13"/>
      <c r="H24" s="13">
        <f t="shared" si="1"/>
        <v>4.5</v>
      </c>
      <c r="I24" s="13">
        <f t="shared" si="2"/>
        <v>9.5</v>
      </c>
      <c r="J24" s="13">
        <f t="shared" si="3"/>
        <v>14</v>
      </c>
    </row>
    <row r="25" spans="1:10" ht="15.95" customHeight="1">
      <c r="A25" s="12" t="s">
        <v>32</v>
      </c>
      <c r="B25" s="13">
        <v>3.75</v>
      </c>
      <c r="C25" s="13">
        <v>3.75</v>
      </c>
      <c r="D25" s="13"/>
      <c r="E25" s="13"/>
      <c r="F25" s="13"/>
      <c r="G25" s="13"/>
      <c r="H25" s="13">
        <f t="shared" si="1"/>
        <v>8.25</v>
      </c>
      <c r="I25" s="13">
        <f t="shared" si="2"/>
        <v>13.25</v>
      </c>
      <c r="J25" s="13">
        <f t="shared" si="3"/>
        <v>21.5</v>
      </c>
    </row>
    <row r="26" spans="1:10" ht="15.95" customHeight="1">
      <c r="A26" s="12" t="s">
        <v>33</v>
      </c>
      <c r="B26" s="13"/>
      <c r="C26" s="13"/>
      <c r="D26" s="13"/>
      <c r="E26" s="13">
        <v>1</v>
      </c>
      <c r="F26" s="13"/>
      <c r="G26" s="13"/>
      <c r="H26" s="13">
        <f t="shared" si="1"/>
        <v>8.25</v>
      </c>
      <c r="I26" s="13">
        <f t="shared" si="2"/>
        <v>12.25</v>
      </c>
      <c r="J26" s="13">
        <f t="shared" si="3"/>
        <v>20.5</v>
      </c>
    </row>
    <row r="27" spans="1:10" ht="15.95" customHeight="1">
      <c r="A27" s="12" t="s">
        <v>34</v>
      </c>
      <c r="B27" s="13"/>
      <c r="C27" s="13"/>
      <c r="D27" s="13"/>
      <c r="E27" s="13">
        <v>3</v>
      </c>
      <c r="F27" s="13"/>
      <c r="G27" s="13"/>
      <c r="H27" s="13">
        <f t="shared" si="1"/>
        <v>8.25</v>
      </c>
      <c r="I27" s="13">
        <f t="shared" si="2"/>
        <v>9.25</v>
      </c>
      <c r="J27" s="13">
        <f t="shared" si="3"/>
        <v>17.5</v>
      </c>
    </row>
    <row r="28" spans="1:10" ht="15.95" customHeight="1">
      <c r="A28" s="26" t="s">
        <v>35</v>
      </c>
      <c r="B28" s="13"/>
      <c r="C28" s="13"/>
      <c r="D28" s="13"/>
      <c r="E28" s="13"/>
      <c r="F28" s="13"/>
      <c r="G28" s="13">
        <v>1</v>
      </c>
      <c r="H28" s="13">
        <f t="shared" si="1"/>
        <v>8.25</v>
      </c>
      <c r="I28" s="13">
        <f t="shared" si="2"/>
        <v>9.25</v>
      </c>
      <c r="J28" s="13">
        <f t="shared" si="3"/>
        <v>17.5</v>
      </c>
    </row>
    <row r="29" spans="1:10" ht="15.95" customHeight="1">
      <c r="A29" s="12" t="s">
        <v>36</v>
      </c>
      <c r="B29" s="13">
        <v>2.5</v>
      </c>
      <c r="C29" s="13">
        <v>2.5</v>
      </c>
      <c r="D29" s="13"/>
      <c r="E29" s="13"/>
      <c r="F29" s="13"/>
      <c r="G29" s="13"/>
      <c r="H29" s="13">
        <f t="shared" si="1"/>
        <v>10.75</v>
      </c>
      <c r="I29" s="13">
        <f t="shared" si="2"/>
        <v>11.75</v>
      </c>
      <c r="J29" s="13">
        <f t="shared" si="3"/>
        <v>22.5</v>
      </c>
    </row>
    <row r="30" spans="1:10" ht="15.95" customHeight="1">
      <c r="A30" s="12" t="s">
        <v>37</v>
      </c>
      <c r="B30" s="13"/>
      <c r="C30" s="13"/>
      <c r="D30" s="13"/>
      <c r="E30" s="13"/>
      <c r="F30" s="13"/>
      <c r="G30" s="13">
        <v>1</v>
      </c>
      <c r="H30" s="13">
        <f t="shared" si="1"/>
        <v>10.75</v>
      </c>
      <c r="I30" s="13">
        <f t="shared" si="2"/>
        <v>11.75</v>
      </c>
      <c r="J30" s="13">
        <f t="shared" si="3"/>
        <v>22.5</v>
      </c>
    </row>
    <row r="31" spans="1:10" ht="15.95" customHeight="1">
      <c r="A31" s="12" t="s">
        <v>38</v>
      </c>
      <c r="B31" s="13">
        <v>1.25</v>
      </c>
      <c r="C31" s="13">
        <v>1.25</v>
      </c>
      <c r="D31" s="13"/>
      <c r="E31" s="13"/>
      <c r="F31" s="13"/>
      <c r="G31" s="13"/>
      <c r="H31" s="13">
        <f t="shared" si="1"/>
        <v>12</v>
      </c>
      <c r="I31" s="13">
        <f t="shared" si="2"/>
        <v>13</v>
      </c>
      <c r="J31" s="13">
        <f t="shared" si="3"/>
        <v>25</v>
      </c>
    </row>
    <row r="32" spans="1:10" ht="15.95" customHeight="1">
      <c r="A32" s="12" t="s">
        <v>39</v>
      </c>
      <c r="B32" s="13"/>
      <c r="C32" s="13"/>
      <c r="D32" s="13"/>
      <c r="E32" s="13">
        <v>1</v>
      </c>
      <c r="F32" s="13"/>
      <c r="G32" s="13"/>
      <c r="H32" s="13">
        <f t="shared" si="1"/>
        <v>12</v>
      </c>
      <c r="I32" s="13">
        <f t="shared" si="2"/>
        <v>12</v>
      </c>
      <c r="J32" s="13">
        <f t="shared" si="3"/>
        <v>24</v>
      </c>
    </row>
    <row r="33" spans="1:10" ht="15.95" customHeight="1">
      <c r="A33" s="12" t="s">
        <v>40</v>
      </c>
      <c r="B33" s="13">
        <v>2.5</v>
      </c>
      <c r="C33" s="13">
        <v>2.5</v>
      </c>
      <c r="D33" s="13"/>
      <c r="E33" s="13"/>
      <c r="F33" s="13"/>
      <c r="G33" s="13"/>
      <c r="H33" s="13">
        <f t="shared" si="1"/>
        <v>14.5</v>
      </c>
      <c r="I33" s="13">
        <f t="shared" si="2"/>
        <v>14.5</v>
      </c>
      <c r="J33" s="13">
        <f t="shared" si="3"/>
        <v>29</v>
      </c>
    </row>
    <row r="34" spans="1:10" ht="15.95" customHeight="1">
      <c r="A34" s="12" t="s">
        <v>41</v>
      </c>
      <c r="B34" s="13"/>
      <c r="C34" s="13"/>
      <c r="D34" s="13"/>
      <c r="E34" s="13">
        <v>1</v>
      </c>
      <c r="F34" s="13"/>
      <c r="G34" s="13"/>
      <c r="H34" s="13">
        <f t="shared" si="1"/>
        <v>14.5</v>
      </c>
      <c r="I34" s="13">
        <f t="shared" si="2"/>
        <v>13.5</v>
      </c>
      <c r="J34" s="13">
        <f t="shared" si="3"/>
        <v>28</v>
      </c>
    </row>
    <row r="35" spans="1:10" ht="15.95" customHeight="1">
      <c r="A35" s="12" t="s">
        <v>42</v>
      </c>
      <c r="B35" s="13">
        <v>1.25</v>
      </c>
      <c r="C35" s="13">
        <v>1.25</v>
      </c>
      <c r="D35" s="13"/>
      <c r="E35" s="13"/>
      <c r="F35" s="13"/>
      <c r="G35" s="13"/>
      <c r="H35" s="13">
        <f t="shared" si="1"/>
        <v>15.75</v>
      </c>
      <c r="I35" s="13">
        <f t="shared" si="2"/>
        <v>14.75</v>
      </c>
      <c r="J35" s="13">
        <f t="shared" si="3"/>
        <v>30.5</v>
      </c>
    </row>
    <row r="36" spans="1:10" ht="15.95" customHeight="1">
      <c r="A36" s="12" t="s">
        <v>43</v>
      </c>
      <c r="B36" s="13"/>
      <c r="C36" s="13"/>
      <c r="D36" s="13"/>
      <c r="E36" s="13"/>
      <c r="F36" s="13">
        <v>1</v>
      </c>
      <c r="G36" s="13"/>
      <c r="H36" s="13">
        <f t="shared" si="1"/>
        <v>14.75</v>
      </c>
      <c r="I36" s="13">
        <f t="shared" si="2"/>
        <v>14.75</v>
      </c>
      <c r="J36" s="13">
        <f t="shared" si="3"/>
        <v>29.5</v>
      </c>
    </row>
    <row r="37" spans="1:10" ht="15.95" customHeight="1">
      <c r="A37" s="12" t="s">
        <v>44</v>
      </c>
      <c r="B37" s="13"/>
      <c r="C37" s="13"/>
      <c r="D37" s="13">
        <v>12.5</v>
      </c>
      <c r="E37" s="13">
        <v>9.5</v>
      </c>
      <c r="F37" s="13"/>
      <c r="G37" s="13"/>
      <c r="H37" s="13">
        <f t="shared" si="1"/>
        <v>2.25</v>
      </c>
      <c r="I37" s="13">
        <f t="shared" si="2"/>
        <v>5.25</v>
      </c>
      <c r="J37" s="13">
        <f t="shared" si="3"/>
        <v>7.5</v>
      </c>
    </row>
    <row r="38" spans="1:10" ht="15.95" customHeight="1">
      <c r="A38" s="12" t="s">
        <v>45</v>
      </c>
      <c r="B38" s="13">
        <v>2.5</v>
      </c>
      <c r="C38" s="13">
        <v>2.5</v>
      </c>
      <c r="D38" s="13"/>
      <c r="E38" s="13"/>
      <c r="F38" s="13"/>
      <c r="G38" s="13"/>
      <c r="H38" s="13">
        <f t="shared" si="1"/>
        <v>4.75</v>
      </c>
      <c r="I38" s="13">
        <f t="shared" si="2"/>
        <v>7.75</v>
      </c>
      <c r="J38" s="13">
        <f t="shared" si="3"/>
        <v>12.5</v>
      </c>
    </row>
    <row r="39" spans="1:10" ht="15.95" customHeight="1">
      <c r="A39" s="12" t="s">
        <v>46</v>
      </c>
      <c r="B39" s="13"/>
      <c r="C39" s="13"/>
      <c r="D39" s="13"/>
      <c r="E39" s="13"/>
      <c r="F39" s="13"/>
      <c r="G39" s="13">
        <v>1</v>
      </c>
      <c r="H39" s="13">
        <f t="shared" si="1"/>
        <v>4.75</v>
      </c>
      <c r="I39" s="13">
        <f t="shared" si="2"/>
        <v>7.75</v>
      </c>
      <c r="J39" s="13">
        <f t="shared" si="3"/>
        <v>12.5</v>
      </c>
    </row>
    <row r="40" spans="1:10" ht="15.95" customHeight="1">
      <c r="A40" s="12" t="s">
        <v>47</v>
      </c>
      <c r="B40" s="13"/>
      <c r="C40" s="13"/>
      <c r="D40" s="13"/>
      <c r="E40" s="13"/>
      <c r="F40" s="13">
        <v>3</v>
      </c>
      <c r="G40" s="13"/>
      <c r="H40" s="13">
        <f t="shared" si="1"/>
        <v>1.75</v>
      </c>
      <c r="I40" s="13">
        <f t="shared" si="2"/>
        <v>7.75</v>
      </c>
      <c r="J40" s="13">
        <f t="shared" si="3"/>
        <v>9.5</v>
      </c>
    </row>
    <row r="41" spans="1:10" ht="15.95" customHeight="1">
      <c r="A41" s="12" t="s">
        <v>48</v>
      </c>
      <c r="B41" s="13">
        <v>1.25</v>
      </c>
      <c r="C41" s="13">
        <v>1.25</v>
      </c>
      <c r="D41" s="13"/>
      <c r="E41" s="13"/>
      <c r="F41" s="13"/>
      <c r="G41" s="13"/>
      <c r="H41" s="13">
        <f t="shared" si="1"/>
        <v>3</v>
      </c>
      <c r="I41" s="13">
        <f t="shared" si="2"/>
        <v>9</v>
      </c>
      <c r="J41" s="13">
        <f t="shared" si="3"/>
        <v>12</v>
      </c>
    </row>
    <row r="42" spans="1:10" ht="15.95" customHeight="1">
      <c r="A42" s="12" t="s">
        <v>49</v>
      </c>
      <c r="B42" s="13"/>
      <c r="C42" s="13"/>
      <c r="D42" s="13"/>
      <c r="E42" s="13"/>
      <c r="F42" s="13">
        <v>2</v>
      </c>
      <c r="G42" s="13"/>
      <c r="H42" s="13">
        <f t="shared" si="1"/>
        <v>1</v>
      </c>
      <c r="I42" s="13">
        <f t="shared" si="2"/>
        <v>9</v>
      </c>
      <c r="J42" s="13">
        <f t="shared" si="3"/>
        <v>10</v>
      </c>
    </row>
    <row r="43" spans="1:10" ht="15.95" customHeight="1">
      <c r="A43" s="12" t="s">
        <v>50</v>
      </c>
      <c r="B43" s="13">
        <v>5</v>
      </c>
      <c r="C43" s="13">
        <v>5</v>
      </c>
      <c r="D43" s="13"/>
      <c r="E43" s="13"/>
      <c r="F43" s="13"/>
      <c r="G43" s="13"/>
      <c r="H43" s="13">
        <f t="shared" si="1"/>
        <v>6</v>
      </c>
      <c r="I43" s="13">
        <f t="shared" si="2"/>
        <v>14</v>
      </c>
      <c r="J43" s="13">
        <f t="shared" si="3"/>
        <v>20</v>
      </c>
    </row>
    <row r="44" spans="1:10" ht="15.95" customHeight="1">
      <c r="A44" s="12" t="s">
        <v>51</v>
      </c>
      <c r="B44" s="13">
        <v>5</v>
      </c>
      <c r="C44" s="13">
        <v>5</v>
      </c>
      <c r="D44" s="13"/>
      <c r="E44" s="13"/>
      <c r="F44" s="13"/>
      <c r="G44" s="13"/>
      <c r="H44" s="13">
        <f t="shared" si="1"/>
        <v>11</v>
      </c>
      <c r="I44" s="13">
        <f t="shared" si="2"/>
        <v>19</v>
      </c>
      <c r="J44" s="13">
        <f t="shared" si="3"/>
        <v>30</v>
      </c>
    </row>
    <row r="45" spans="1:10" ht="15.95" customHeight="1">
      <c r="A45" s="12" t="s">
        <v>52</v>
      </c>
      <c r="B45" s="13"/>
      <c r="C45" s="13"/>
      <c r="D45" s="13"/>
      <c r="E45" s="13"/>
      <c r="F45" s="13"/>
      <c r="G45" s="13">
        <v>1</v>
      </c>
      <c r="H45" s="13">
        <f t="shared" ref="H45:H56" si="4">H44-F45-D45+B45</f>
        <v>11</v>
      </c>
      <c r="I45" s="13">
        <f t="shared" ref="I45:I56" si="5">I44-E45+C45</f>
        <v>19</v>
      </c>
      <c r="J45" s="13">
        <f t="shared" ref="J45:J56" si="6">SUM(H45:I45)</f>
        <v>30</v>
      </c>
    </row>
    <row r="46" spans="1:10" ht="15.95" customHeight="1">
      <c r="A46" s="12" t="s">
        <v>53</v>
      </c>
      <c r="B46" s="18"/>
      <c r="C46" s="18"/>
      <c r="D46" s="18">
        <v>3</v>
      </c>
      <c r="E46" s="18">
        <v>14</v>
      </c>
      <c r="F46" s="18"/>
      <c r="G46" s="18"/>
      <c r="H46" s="13">
        <f t="shared" si="4"/>
        <v>8</v>
      </c>
      <c r="I46" s="13">
        <f t="shared" si="5"/>
        <v>5</v>
      </c>
      <c r="J46" s="13">
        <f t="shared" si="6"/>
        <v>13</v>
      </c>
    </row>
    <row r="47" spans="1:10" ht="15.95" customHeight="1">
      <c r="A47" s="12" t="s">
        <v>54</v>
      </c>
      <c r="B47" s="18">
        <v>1.25</v>
      </c>
      <c r="C47" s="18">
        <v>1.25</v>
      </c>
      <c r="D47" s="18"/>
      <c r="E47" s="18"/>
      <c r="F47" s="18"/>
      <c r="G47" s="18"/>
      <c r="H47" s="13">
        <f t="shared" si="4"/>
        <v>9.25</v>
      </c>
      <c r="I47" s="13">
        <f t="shared" si="5"/>
        <v>6.25</v>
      </c>
      <c r="J47" s="13">
        <f t="shared" si="6"/>
        <v>15.5</v>
      </c>
    </row>
    <row r="48" spans="1:10" ht="15.95" customHeight="1">
      <c r="A48" s="12" t="s">
        <v>55</v>
      </c>
      <c r="B48" s="18"/>
      <c r="C48" s="18"/>
      <c r="D48" s="18"/>
      <c r="E48" s="18">
        <v>2</v>
      </c>
      <c r="F48" s="18"/>
      <c r="G48" s="18"/>
      <c r="H48" s="13">
        <f t="shared" si="4"/>
        <v>9.25</v>
      </c>
      <c r="I48" s="13">
        <f t="shared" si="5"/>
        <v>4.25</v>
      </c>
      <c r="J48" s="13">
        <f t="shared" si="6"/>
        <v>13.5</v>
      </c>
    </row>
    <row r="49" spans="1:10" ht="15.95" customHeight="1">
      <c r="A49" s="12" t="s">
        <v>56</v>
      </c>
      <c r="B49" s="18">
        <v>3.75</v>
      </c>
      <c r="C49" s="18">
        <v>3.75</v>
      </c>
      <c r="D49" s="18"/>
      <c r="E49" s="18"/>
      <c r="F49" s="18"/>
      <c r="G49" s="18"/>
      <c r="H49" s="13">
        <f t="shared" si="4"/>
        <v>13</v>
      </c>
      <c r="I49" s="13">
        <f t="shared" si="5"/>
        <v>8</v>
      </c>
      <c r="J49" s="13">
        <f t="shared" si="6"/>
        <v>21</v>
      </c>
    </row>
    <row r="50" spans="1:10" ht="15.95" customHeight="1">
      <c r="A50" s="12" t="s">
        <v>57</v>
      </c>
      <c r="B50" s="20"/>
      <c r="C50" s="20"/>
      <c r="D50" s="20"/>
      <c r="E50" s="20"/>
      <c r="F50" s="20">
        <v>3</v>
      </c>
      <c r="G50" s="20"/>
      <c r="H50" s="13">
        <f t="shared" si="4"/>
        <v>10</v>
      </c>
      <c r="I50" s="13">
        <f t="shared" si="5"/>
        <v>8</v>
      </c>
      <c r="J50" s="13">
        <f t="shared" si="6"/>
        <v>18</v>
      </c>
    </row>
    <row r="51" spans="1:10" ht="15.95" customHeight="1">
      <c r="A51" s="12" t="s">
        <v>58</v>
      </c>
      <c r="B51" s="18">
        <v>6.25</v>
      </c>
      <c r="C51" s="18">
        <v>6.25</v>
      </c>
      <c r="D51" s="18"/>
      <c r="E51" s="18"/>
      <c r="F51" s="18"/>
      <c r="G51" s="18"/>
      <c r="H51" s="13">
        <f t="shared" si="4"/>
        <v>16.25</v>
      </c>
      <c r="I51" s="13">
        <f t="shared" si="5"/>
        <v>14.25</v>
      </c>
      <c r="J51" s="13">
        <f t="shared" si="6"/>
        <v>30.5</v>
      </c>
    </row>
    <row r="52" spans="1:10" ht="15.95" customHeight="1">
      <c r="A52" s="12" t="s">
        <v>59</v>
      </c>
      <c r="B52" s="18"/>
      <c r="C52" s="18"/>
      <c r="D52" s="18"/>
      <c r="E52" s="18"/>
      <c r="F52" s="24">
        <v>1</v>
      </c>
      <c r="G52" s="18"/>
      <c r="H52" s="13">
        <f t="shared" si="4"/>
        <v>15.25</v>
      </c>
      <c r="I52" s="13">
        <f t="shared" si="5"/>
        <v>14.25</v>
      </c>
      <c r="J52" s="13">
        <f t="shared" si="6"/>
        <v>29.5</v>
      </c>
    </row>
    <row r="53" spans="1:10" ht="15.95" customHeight="1">
      <c r="A53" s="12" t="s">
        <v>60</v>
      </c>
      <c r="B53" s="20">
        <v>2.5</v>
      </c>
      <c r="C53" s="20">
        <v>2.5</v>
      </c>
      <c r="D53" s="20"/>
      <c r="E53" s="20"/>
      <c r="F53" s="24"/>
      <c r="G53" s="20"/>
      <c r="H53" s="13">
        <f t="shared" si="4"/>
        <v>17.75</v>
      </c>
      <c r="I53" s="13">
        <f t="shared" si="5"/>
        <v>16.75</v>
      </c>
      <c r="J53" s="13">
        <f t="shared" si="6"/>
        <v>34.5</v>
      </c>
    </row>
    <row r="54" spans="1:10" ht="15.95" customHeight="1">
      <c r="A54" s="12" t="s">
        <v>61</v>
      </c>
      <c r="B54" s="20"/>
      <c r="C54" s="20"/>
      <c r="D54" s="20">
        <v>10</v>
      </c>
      <c r="E54" s="20"/>
      <c r="F54" s="24"/>
      <c r="G54" s="20"/>
      <c r="H54" s="13">
        <f t="shared" si="4"/>
        <v>7.75</v>
      </c>
      <c r="I54" s="13">
        <f t="shared" si="5"/>
        <v>16.75</v>
      </c>
      <c r="J54" s="13">
        <f t="shared" si="6"/>
        <v>24.5</v>
      </c>
    </row>
    <row r="55" spans="1:10" ht="15.95" customHeight="1">
      <c r="A55" s="12" t="s">
        <v>62</v>
      </c>
      <c r="B55" s="20">
        <v>5</v>
      </c>
      <c r="C55" s="20">
        <v>5</v>
      </c>
      <c r="D55" s="20"/>
      <c r="E55" s="20"/>
      <c r="F55" s="24"/>
      <c r="G55" s="20"/>
      <c r="H55" s="13">
        <f t="shared" si="4"/>
        <v>12.75</v>
      </c>
      <c r="I55" s="13">
        <f t="shared" si="5"/>
        <v>21.75</v>
      </c>
      <c r="J55" s="13">
        <f t="shared" si="6"/>
        <v>34.5</v>
      </c>
    </row>
    <row r="56" spans="1:10" ht="15.95" customHeight="1">
      <c r="A56" s="12" t="s">
        <v>63</v>
      </c>
      <c r="B56" s="20"/>
      <c r="C56" s="20"/>
      <c r="D56" s="20"/>
      <c r="E56" s="20"/>
      <c r="F56" s="24">
        <v>3</v>
      </c>
      <c r="G56" s="20"/>
      <c r="H56" s="13">
        <f t="shared" si="4"/>
        <v>9.75</v>
      </c>
      <c r="I56" s="13">
        <f t="shared" si="5"/>
        <v>21.75</v>
      </c>
      <c r="J56" s="13">
        <f t="shared" si="6"/>
        <v>31.5</v>
      </c>
    </row>
    <row r="57" spans="1:10" ht="15.95" customHeight="1">
      <c r="A57" s="12" t="s">
        <v>64</v>
      </c>
      <c r="B57" s="20"/>
      <c r="C57" s="20"/>
      <c r="D57" s="20"/>
      <c r="E57" s="20"/>
      <c r="F57" s="19">
        <v>1</v>
      </c>
      <c r="G57" s="20"/>
      <c r="H57" s="13">
        <f t="shared" ref="H57:H71" si="7">H56-F57-D57+B57</f>
        <v>8.75</v>
      </c>
      <c r="I57" s="13">
        <f t="shared" ref="I57:I71" si="8">I56-E57+C57</f>
        <v>21.75</v>
      </c>
      <c r="J57" s="13">
        <f t="shared" ref="J57:J71" si="9">SUM(H57:I57)</f>
        <v>30.5</v>
      </c>
    </row>
    <row r="58" spans="1:10" ht="15.95" customHeight="1">
      <c r="A58" s="12" t="s">
        <v>65</v>
      </c>
      <c r="B58" s="20">
        <v>1.25</v>
      </c>
      <c r="C58" s="20">
        <v>1.25</v>
      </c>
      <c r="D58" s="20"/>
      <c r="E58" s="20"/>
      <c r="F58" s="20"/>
      <c r="G58" s="20"/>
      <c r="H58" s="13">
        <f t="shared" si="7"/>
        <v>10</v>
      </c>
      <c r="I58" s="13">
        <f t="shared" si="8"/>
        <v>23</v>
      </c>
      <c r="J58" s="13">
        <f t="shared" si="9"/>
        <v>33</v>
      </c>
    </row>
    <row r="59" spans="1:10" ht="15.95" customHeight="1">
      <c r="A59" s="12" t="s">
        <v>66</v>
      </c>
      <c r="B59" s="20"/>
      <c r="C59" s="20"/>
      <c r="D59" s="20"/>
      <c r="E59" s="20"/>
      <c r="F59" s="20">
        <v>1</v>
      </c>
      <c r="G59" s="20"/>
      <c r="H59" s="13">
        <f t="shared" si="7"/>
        <v>9</v>
      </c>
      <c r="I59" s="13">
        <f t="shared" si="8"/>
        <v>23</v>
      </c>
      <c r="J59" s="13">
        <f t="shared" si="9"/>
        <v>32</v>
      </c>
    </row>
    <row r="60" spans="1:10" ht="15.95" customHeight="1">
      <c r="A60" s="12" t="s">
        <v>67</v>
      </c>
      <c r="B60" s="20">
        <v>1.25</v>
      </c>
      <c r="C60" s="20">
        <v>1.25</v>
      </c>
      <c r="D60" s="20"/>
      <c r="E60" s="20"/>
      <c r="F60" s="20"/>
      <c r="G60" s="20"/>
      <c r="H60" s="13">
        <f t="shared" si="7"/>
        <v>10.25</v>
      </c>
      <c r="I60" s="13">
        <f t="shared" si="8"/>
        <v>24.25</v>
      </c>
      <c r="J60" s="13">
        <f t="shared" si="9"/>
        <v>34.5</v>
      </c>
    </row>
    <row r="61" spans="1:10" ht="15.95" customHeight="1">
      <c r="A61" s="12" t="s">
        <v>68</v>
      </c>
      <c r="B61" s="20"/>
      <c r="C61" s="20"/>
      <c r="D61" s="20"/>
      <c r="E61" s="20">
        <v>1</v>
      </c>
      <c r="F61" s="20"/>
      <c r="G61" s="20"/>
      <c r="H61" s="13">
        <f t="shared" si="7"/>
        <v>10.25</v>
      </c>
      <c r="I61" s="13">
        <f t="shared" si="8"/>
        <v>23.25</v>
      </c>
      <c r="J61" s="13">
        <f t="shared" si="9"/>
        <v>33.5</v>
      </c>
    </row>
    <row r="62" spans="1:10" ht="15.95" customHeight="1">
      <c r="A62" s="12" t="s">
        <v>69</v>
      </c>
      <c r="B62" s="20">
        <v>1.25</v>
      </c>
      <c r="C62" s="20">
        <v>1.25</v>
      </c>
      <c r="D62" s="20"/>
      <c r="E62" s="20"/>
      <c r="F62" s="20"/>
      <c r="G62" s="20"/>
      <c r="H62" s="13">
        <f t="shared" si="7"/>
        <v>11.5</v>
      </c>
      <c r="I62" s="13">
        <f t="shared" si="8"/>
        <v>24.5</v>
      </c>
      <c r="J62" s="13">
        <f t="shared" si="9"/>
        <v>36</v>
      </c>
    </row>
    <row r="63" spans="1:10" ht="15.95" customHeight="1">
      <c r="A63" s="12" t="s">
        <v>70</v>
      </c>
      <c r="B63" s="20"/>
      <c r="C63" s="20"/>
      <c r="D63" s="20"/>
      <c r="E63" s="20">
        <v>3</v>
      </c>
      <c r="F63" s="20"/>
      <c r="G63" s="20"/>
      <c r="H63" s="13">
        <f t="shared" si="7"/>
        <v>11.5</v>
      </c>
      <c r="I63" s="13">
        <f t="shared" si="8"/>
        <v>21.5</v>
      </c>
      <c r="J63" s="13">
        <f t="shared" si="9"/>
        <v>33</v>
      </c>
    </row>
    <row r="64" spans="1:10" ht="15.95" customHeight="1">
      <c r="A64" s="12" t="s">
        <v>71</v>
      </c>
      <c r="B64" s="20">
        <v>1.25</v>
      </c>
      <c r="C64" s="20">
        <v>1.25</v>
      </c>
      <c r="D64" s="20"/>
      <c r="E64" s="20"/>
      <c r="F64" s="20"/>
      <c r="G64" s="20"/>
      <c r="H64" s="13">
        <f t="shared" si="7"/>
        <v>12.75</v>
      </c>
      <c r="I64" s="13">
        <f t="shared" si="8"/>
        <v>22.75</v>
      </c>
      <c r="J64" s="13">
        <f t="shared" si="9"/>
        <v>35.5</v>
      </c>
    </row>
    <row r="65" spans="1:10" ht="15.95" customHeight="1">
      <c r="A65" s="12" t="s">
        <v>72</v>
      </c>
      <c r="B65" s="20"/>
      <c r="C65" s="20"/>
      <c r="D65" s="20"/>
      <c r="E65" s="20">
        <v>2</v>
      </c>
      <c r="F65" s="20"/>
      <c r="G65" s="20"/>
      <c r="H65" s="13">
        <f t="shared" si="7"/>
        <v>12.75</v>
      </c>
      <c r="I65" s="13">
        <f t="shared" si="8"/>
        <v>20.75</v>
      </c>
      <c r="J65" s="13">
        <f t="shared" si="9"/>
        <v>33.5</v>
      </c>
    </row>
    <row r="66" spans="1:10" ht="15.95" customHeight="1">
      <c r="A66" s="12" t="s">
        <v>73</v>
      </c>
      <c r="B66" s="20">
        <v>1.25</v>
      </c>
      <c r="C66" s="20">
        <v>1.25</v>
      </c>
      <c r="D66" s="20"/>
      <c r="E66" s="20"/>
      <c r="F66" s="20"/>
      <c r="G66" s="20"/>
      <c r="H66" s="13">
        <f t="shared" si="7"/>
        <v>14</v>
      </c>
      <c r="I66" s="13">
        <f t="shared" si="8"/>
        <v>22</v>
      </c>
      <c r="J66" s="13">
        <f t="shared" si="9"/>
        <v>36</v>
      </c>
    </row>
    <row r="67" spans="1:10" ht="15.95" customHeight="1">
      <c r="A67" s="12" t="s">
        <v>74</v>
      </c>
      <c r="B67" s="20"/>
      <c r="C67" s="20"/>
      <c r="D67" s="20"/>
      <c r="E67" s="20"/>
      <c r="F67" s="20"/>
      <c r="G67" s="25">
        <v>2</v>
      </c>
      <c r="H67" s="13">
        <f t="shared" si="7"/>
        <v>14</v>
      </c>
      <c r="I67" s="13">
        <f t="shared" si="8"/>
        <v>22</v>
      </c>
      <c r="J67" s="13">
        <f t="shared" si="9"/>
        <v>36</v>
      </c>
    </row>
    <row r="68" spans="1:10" ht="15.95" customHeight="1">
      <c r="A68" s="12" t="s">
        <v>75</v>
      </c>
      <c r="B68" s="20">
        <v>2.5</v>
      </c>
      <c r="C68" s="20">
        <v>2.5</v>
      </c>
      <c r="D68" s="20"/>
      <c r="E68" s="20"/>
      <c r="F68" s="20"/>
      <c r="G68" s="20"/>
      <c r="H68" s="13">
        <f t="shared" si="7"/>
        <v>16.5</v>
      </c>
      <c r="I68" s="13">
        <f t="shared" si="8"/>
        <v>24.5</v>
      </c>
      <c r="J68" s="13">
        <f t="shared" si="9"/>
        <v>41</v>
      </c>
    </row>
    <row r="69" spans="1:10" ht="15.95" customHeight="1">
      <c r="A69" s="12" t="s">
        <v>76</v>
      </c>
      <c r="B69" s="20"/>
      <c r="C69" s="20"/>
      <c r="D69" s="20">
        <v>11</v>
      </c>
      <c r="E69" s="20"/>
      <c r="F69" s="20"/>
      <c r="G69" s="20"/>
      <c r="H69" s="13">
        <f t="shared" si="7"/>
        <v>5.5</v>
      </c>
      <c r="I69" s="13">
        <f t="shared" si="8"/>
        <v>24.5</v>
      </c>
      <c r="J69" s="13">
        <f t="shared" si="9"/>
        <v>30</v>
      </c>
    </row>
    <row r="70" spans="1:10" ht="15.95" customHeight="1">
      <c r="A70" s="12" t="s">
        <v>77</v>
      </c>
      <c r="B70" s="20"/>
      <c r="C70" s="20"/>
      <c r="D70" s="20"/>
      <c r="E70" s="20"/>
      <c r="F70" s="20"/>
      <c r="G70" s="25">
        <v>1</v>
      </c>
      <c r="H70" s="13">
        <f t="shared" si="7"/>
        <v>5.5</v>
      </c>
      <c r="I70" s="13">
        <f t="shared" si="8"/>
        <v>24.5</v>
      </c>
      <c r="J70" s="13">
        <f t="shared" si="9"/>
        <v>30</v>
      </c>
    </row>
    <row r="71" spans="1:10" ht="15.95" customHeight="1">
      <c r="A71" s="37" t="s">
        <v>78</v>
      </c>
      <c r="B71" s="38">
        <v>7.5</v>
      </c>
      <c r="C71" s="38">
        <v>7.5</v>
      </c>
      <c r="D71" s="38"/>
      <c r="E71" s="38"/>
      <c r="F71" s="38"/>
      <c r="G71" s="38"/>
      <c r="H71" s="39">
        <f t="shared" si="7"/>
        <v>13</v>
      </c>
      <c r="I71" s="39">
        <f t="shared" si="8"/>
        <v>32</v>
      </c>
      <c r="J71" s="39">
        <f t="shared" si="9"/>
        <v>45</v>
      </c>
    </row>
    <row r="72" spans="1:10" ht="15.95" customHeight="1">
      <c r="A72" s="34" t="s">
        <v>79</v>
      </c>
      <c r="B72" s="35"/>
      <c r="C72" s="35"/>
      <c r="D72" s="35"/>
      <c r="E72" s="35"/>
      <c r="F72" s="40">
        <v>4</v>
      </c>
      <c r="G72" s="35"/>
      <c r="H72" s="39">
        <f t="shared" ref="H72" si="10">H71-F72-D72+B72</f>
        <v>9</v>
      </c>
      <c r="I72" s="39">
        <f t="shared" ref="I72" si="11">I71-E72+C72</f>
        <v>32</v>
      </c>
      <c r="J72" s="39">
        <f t="shared" ref="J72" si="12">SUM(H72:I72)</f>
        <v>41</v>
      </c>
    </row>
    <row r="73" spans="1:10" ht="15.95" customHeight="1">
      <c r="A73" s="34" t="s">
        <v>80</v>
      </c>
      <c r="B73" s="35">
        <v>1.25</v>
      </c>
      <c r="C73" s="35">
        <v>1.25</v>
      </c>
      <c r="D73" s="35"/>
      <c r="E73" s="35"/>
      <c r="F73" s="35"/>
      <c r="G73" s="41"/>
      <c r="H73" s="36">
        <f t="shared" ref="H73" si="13">H72-F73-D73+B73</f>
        <v>10.25</v>
      </c>
      <c r="I73" s="36">
        <f t="shared" ref="I73" si="14">I72-E73+C73</f>
        <v>33.25</v>
      </c>
      <c r="J73" s="36">
        <f t="shared" ref="J73" si="15">SUM(H73:I73)</f>
        <v>43.5</v>
      </c>
    </row>
    <row r="74" spans="1:10" ht="15.95" customHeight="1">
      <c r="A74" s="15"/>
      <c r="B74" s="21"/>
      <c r="C74" s="21"/>
      <c r="D74" s="21"/>
      <c r="E74" s="21"/>
      <c r="F74" s="21"/>
      <c r="G74" s="21"/>
      <c r="H74" s="22"/>
      <c r="I74" s="22"/>
      <c r="J74" s="22"/>
    </row>
    <row r="75" spans="1:10" s="1" customFormat="1" ht="15.95" customHeight="1">
      <c r="G75" s="1" t="s">
        <v>81</v>
      </c>
    </row>
    <row r="76" spans="1:10" s="1" customFormat="1" ht="15.95" customHeight="1"/>
    <row r="77" spans="1:10" s="1" customFormat="1" ht="15.95" customHeight="1">
      <c r="G77" s="23" t="s">
        <v>82</v>
      </c>
    </row>
    <row r="78" spans="1:10" s="1" customFormat="1" ht="15.95" customHeight="1">
      <c r="G78" s="1" t="s">
        <v>83</v>
      </c>
    </row>
    <row r="79" spans="1:10" s="1" customFormat="1" ht="15.95" customHeight="1">
      <c r="G79" s="1" t="s">
        <v>84</v>
      </c>
    </row>
    <row r="80" spans="1:10" ht="15.95" customHeight="1">
      <c r="A80" s="15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5.95" customHeight="1">
      <c r="A81" s="15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5.95" customHeight="1">
      <c r="A82" s="15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95" customHeight="1">
      <c r="A83" s="15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95" customHeight="1">
      <c r="A84" s="15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95" customHeight="1">
      <c r="A85" s="15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95" customHeight="1">
      <c r="A86" s="15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5.95" customHeight="1">
      <c r="A87" s="15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.95" customHeight="1">
      <c r="A88" s="15"/>
      <c r="B88" s="16"/>
      <c r="C88" s="16"/>
      <c r="D88" s="16"/>
      <c r="E88" s="16"/>
      <c r="F88" s="16"/>
      <c r="G88" s="16"/>
      <c r="H88" s="16"/>
      <c r="I88" s="16"/>
      <c r="J88" s="16"/>
    </row>
    <row r="89" spans="1:10" ht="15.95" customHeight="1">
      <c r="A89" s="15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.95" customHeight="1">
      <c r="A90" s="15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5.95" customHeight="1">
      <c r="A91" s="15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5.95" customHeight="1">
      <c r="B92" s="17"/>
      <c r="C92" s="17"/>
      <c r="D92" s="17"/>
      <c r="E92" s="17"/>
      <c r="F92" s="17"/>
      <c r="G92" s="17"/>
      <c r="H92" s="17"/>
      <c r="I92" s="17"/>
      <c r="J92" s="17"/>
    </row>
    <row r="93" spans="1:10" ht="15.95" customHeight="1">
      <c r="B93" s="17"/>
      <c r="C93" s="17"/>
      <c r="D93" s="17"/>
      <c r="E93" s="17"/>
      <c r="F93" s="17"/>
      <c r="G93" s="17"/>
      <c r="H93" s="17"/>
      <c r="I93" s="17"/>
      <c r="J93" s="17"/>
    </row>
    <row r="94" spans="1:10" ht="15.95" customHeight="1">
      <c r="B94" s="17"/>
      <c r="C94" s="17"/>
      <c r="D94" s="17"/>
      <c r="E94" s="17"/>
      <c r="F94" s="17"/>
      <c r="G94" s="17"/>
      <c r="H94" s="17"/>
      <c r="I94" s="17"/>
      <c r="J94" s="17"/>
    </row>
    <row r="95" spans="1:10" ht="15.95" customHeight="1">
      <c r="B95" s="17"/>
      <c r="C95" s="17"/>
      <c r="D95" s="17"/>
      <c r="E95" s="17"/>
      <c r="F95" s="17"/>
      <c r="G95" s="17"/>
      <c r="H95" s="17"/>
      <c r="I95" s="17"/>
      <c r="J95" s="17"/>
    </row>
    <row r="96" spans="1:10" ht="15.95" customHeight="1">
      <c r="B96" s="17"/>
      <c r="C96" s="17"/>
      <c r="D96" s="17"/>
      <c r="E96" s="17"/>
      <c r="F96" s="17"/>
      <c r="G96" s="17"/>
      <c r="H96" s="17"/>
      <c r="I96" s="17"/>
      <c r="J96" s="17"/>
    </row>
    <row r="97" spans="2:10" ht="15.95" customHeight="1">
      <c r="B97" s="17"/>
      <c r="C97" s="17"/>
      <c r="D97" s="17"/>
      <c r="E97" s="17"/>
      <c r="F97" s="17"/>
      <c r="G97" s="17"/>
      <c r="H97" s="17"/>
      <c r="I97" s="17"/>
      <c r="J97" s="17"/>
    </row>
    <row r="98" spans="2:10" ht="15.95" customHeight="1">
      <c r="B98" s="17"/>
      <c r="C98" s="17"/>
      <c r="D98" s="17"/>
      <c r="E98" s="17"/>
      <c r="F98" s="17"/>
      <c r="G98" s="17"/>
      <c r="H98" s="17"/>
      <c r="I98" s="17"/>
      <c r="J98" s="17"/>
    </row>
    <row r="99" spans="2:10" ht="15.95" customHeight="1">
      <c r="B99" s="17"/>
      <c r="C99" s="17"/>
      <c r="D99" s="17"/>
      <c r="E99" s="17"/>
      <c r="F99" s="17"/>
      <c r="G99" s="17"/>
      <c r="H99" s="17"/>
      <c r="I99" s="17"/>
      <c r="J99" s="17"/>
    </row>
    <row r="100" spans="2:10" ht="15.95" customHeight="1"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2:10" ht="15.95" customHeight="1"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2:10" ht="15.95" customHeight="1"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2:10" ht="15.95" customHeight="1"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2:10" ht="15.95" customHeight="1"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2:10" ht="15.95" customHeight="1"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2:10" ht="15.95" customHeight="1"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2:10" ht="15.95" customHeight="1"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2:10" ht="15.95" customHeight="1"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2:10" ht="15.95" customHeight="1"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2:10" ht="15.95" customHeight="1"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2:10" ht="15.95" customHeight="1"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2:10" ht="15.95" customHeight="1"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2:10" ht="15.95" customHeight="1"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2:10" ht="15.95" customHeight="1"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2:10" ht="15.95" customHeight="1"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2:10" ht="15.95" customHeight="1"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2:10" ht="15.95" customHeight="1"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2:10" ht="15.95" customHeight="1"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2:10" ht="15.95" customHeight="1"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2:10" ht="15.95" customHeight="1"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2:10" ht="15.95" customHeight="1"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2:10" ht="15.95" customHeight="1"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2:10" ht="15.95" customHeight="1"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2:10" ht="15.95" customHeight="1"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2:10" ht="15.95" customHeight="1"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2:10" ht="15.95" customHeight="1"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2:10" ht="15.95" customHeight="1"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2:10" ht="15.95" customHeight="1"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2:10" ht="15.95" customHeight="1"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2:10"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2:10"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2:10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2:10"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2:10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2:10"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2:10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2:10"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2:10"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2:10"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2:10"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2:10"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2:10"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2:10"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2:10"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2:10"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2:10"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2:10"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2:10"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2:10"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2:10"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2:10"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2:10"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2:10"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2:10"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2:10"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2:10"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2:10"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2:10"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2:10"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2:10"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2:10"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2:10"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2:10">
      <c r="B163" s="17"/>
      <c r="C163" s="17"/>
      <c r="D163" s="17"/>
      <c r="E163" s="17"/>
      <c r="F163" s="17"/>
      <c r="G163" s="17"/>
      <c r="H163" s="17"/>
      <c r="I163" s="17"/>
      <c r="J163" s="17"/>
    </row>
  </sheetData>
  <mergeCells count="12">
    <mergeCell ref="A2:J2"/>
    <mergeCell ref="A3:J3"/>
    <mergeCell ref="A4:J4"/>
    <mergeCell ref="A5:J5"/>
    <mergeCell ref="B7:D7"/>
    <mergeCell ref="B9:D9"/>
    <mergeCell ref="A10:J10"/>
    <mergeCell ref="H11:I11"/>
    <mergeCell ref="B11:C11"/>
    <mergeCell ref="D11:G11"/>
    <mergeCell ref="A11:A12"/>
    <mergeCell ref="J11:J12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9E78-B86A-4A91-BEC2-D8AB3129F75A}">
  <dimension ref="A1:L21"/>
  <sheetViews>
    <sheetView tabSelected="1" view="pageBreakPreview" zoomScale="108" zoomScaleNormal="100" zoomScaleSheetLayoutView="108" workbookViewId="0">
      <selection activeCell="L17" sqref="L17"/>
    </sheetView>
  </sheetViews>
  <sheetFormatPr defaultRowHeight="15"/>
  <cols>
    <col min="1" max="1" width="21.5703125" customWidth="1"/>
    <col min="2" max="2" width="17.5703125" customWidth="1"/>
  </cols>
  <sheetData>
    <row r="1" spans="1:12" s="1" customFormat="1" ht="52.5" customHeight="1"/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/>
    <row r="7" spans="1:12" s="1" customFormat="1" ht="12" customHeight="1">
      <c r="A7" s="1" t="s">
        <v>4</v>
      </c>
      <c r="C7" s="3" t="s">
        <v>5</v>
      </c>
      <c r="D7" s="3"/>
      <c r="G7" s="3" t="s">
        <v>6</v>
      </c>
      <c r="H7" s="7"/>
    </row>
    <row r="8" spans="1:12" s="1" customFormat="1" ht="12" customHeight="1">
      <c r="C8" s="2"/>
      <c r="G8" s="2"/>
      <c r="H8" s="2"/>
    </row>
    <row r="9" spans="1:12" s="1" customFormat="1" ht="12" customHeight="1">
      <c r="A9" s="1" t="s">
        <v>7</v>
      </c>
      <c r="C9" s="3" t="s">
        <v>8</v>
      </c>
      <c r="D9" s="3"/>
      <c r="G9" s="3" t="s">
        <v>9</v>
      </c>
      <c r="H9" s="4"/>
    </row>
    <row r="10" spans="1:12" ht="16.5" customHeight="1" thickBot="1">
      <c r="A10" s="43" t="s">
        <v>85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s="8" customFormat="1" ht="18.75" customHeight="1">
      <c r="A11" s="54" t="s">
        <v>11</v>
      </c>
      <c r="B11" s="56" t="s">
        <v>12</v>
      </c>
      <c r="C11" s="57"/>
      <c r="D11" s="57"/>
      <c r="E11" s="57"/>
      <c r="F11" s="57"/>
      <c r="G11" s="57"/>
      <c r="H11" s="57"/>
      <c r="I11" s="57"/>
      <c r="J11" s="57"/>
      <c r="K11" s="57"/>
      <c r="L11" s="58" t="s">
        <v>15</v>
      </c>
    </row>
    <row r="12" spans="1:12" s="8" customFormat="1" ht="24" customHeight="1">
      <c r="A12" s="55"/>
      <c r="B12" s="60" t="s">
        <v>86</v>
      </c>
      <c r="C12" s="61"/>
      <c r="D12" s="61"/>
      <c r="E12" s="62"/>
      <c r="F12" s="60" t="s">
        <v>87</v>
      </c>
      <c r="G12" s="62"/>
      <c r="H12" s="60" t="s">
        <v>88</v>
      </c>
      <c r="I12" s="62"/>
      <c r="J12" s="60" t="s">
        <v>89</v>
      </c>
      <c r="K12" s="62"/>
      <c r="L12" s="59"/>
    </row>
    <row r="13" spans="1:12" s="8" customFormat="1" ht="24.95" customHeight="1">
      <c r="A13" s="9" t="s">
        <v>90</v>
      </c>
      <c r="B13" s="63" t="s">
        <v>91</v>
      </c>
      <c r="C13" s="64"/>
      <c r="D13" s="64"/>
      <c r="E13" s="65"/>
      <c r="F13" s="63">
        <v>1.5</v>
      </c>
      <c r="G13" s="65"/>
      <c r="H13" s="63">
        <v>0</v>
      </c>
      <c r="I13" s="65"/>
      <c r="J13" s="63">
        <v>1.5</v>
      </c>
      <c r="K13" s="65"/>
      <c r="L13" s="10">
        <v>1.5</v>
      </c>
    </row>
    <row r="14" spans="1:12" s="8" customFormat="1" ht="24.95" customHeight="1">
      <c r="A14" s="9" t="s">
        <v>92</v>
      </c>
      <c r="B14" s="63" t="s">
        <v>91</v>
      </c>
      <c r="C14" s="64"/>
      <c r="D14" s="64"/>
      <c r="E14" s="65"/>
      <c r="F14" s="63"/>
      <c r="G14" s="65"/>
      <c r="H14" s="63">
        <v>1</v>
      </c>
      <c r="I14" s="65"/>
      <c r="J14" s="63">
        <v>0.5</v>
      </c>
      <c r="K14" s="65"/>
      <c r="L14" s="28">
        <v>0.5</v>
      </c>
    </row>
    <row r="15" spans="1:12" s="11" customFormat="1">
      <c r="A15" s="29" t="s">
        <v>93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18.9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3:9" s="1" customFormat="1">
      <c r="C17" s="6"/>
      <c r="H17" s="1" t="s">
        <v>81</v>
      </c>
    </row>
    <row r="18" spans="3:9" s="1" customFormat="1">
      <c r="C18" s="6"/>
    </row>
    <row r="19" spans="3:9">
      <c r="H19" s="32" t="s">
        <v>94</v>
      </c>
      <c r="I19" s="33"/>
    </row>
    <row r="20" spans="3:9">
      <c r="H20" t="s">
        <v>83</v>
      </c>
    </row>
    <row r="21" spans="3:9">
      <c r="H21" s="67" t="s">
        <v>95</v>
      </c>
      <c r="I21" s="67"/>
    </row>
  </sheetData>
  <mergeCells count="22">
    <mergeCell ref="A16:L16"/>
    <mergeCell ref="H21:I21"/>
    <mergeCell ref="B14:E14"/>
    <mergeCell ref="F14:G14"/>
    <mergeCell ref="H14:I14"/>
    <mergeCell ref="J14:K14"/>
    <mergeCell ref="B13:E13"/>
    <mergeCell ref="F13:G13"/>
    <mergeCell ref="H13:I13"/>
    <mergeCell ref="J13:K13"/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2026-02-04T02:19:56Z</dcterms:modified>
  <cp:category/>
  <cp:contentStatus/>
</cp:coreProperties>
</file>