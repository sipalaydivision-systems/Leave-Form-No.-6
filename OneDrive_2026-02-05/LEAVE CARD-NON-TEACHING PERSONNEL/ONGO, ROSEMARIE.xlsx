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00DBEC15-E825-4A3B-9E4A-6786C8D37F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7" r:id="rId2"/>
  </sheets>
  <definedNames>
    <definedName name="_xlnm.Print_Area" localSheetId="0">'Leave Card (NE)'!$A$1:$J$63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6" l="1"/>
  <c r="I55" i="6"/>
  <c r="J55" i="6"/>
  <c r="H56" i="6"/>
  <c r="I56" i="6"/>
  <c r="J56" i="6" s="1"/>
  <c r="B41" i="6"/>
  <c r="I13" i="6" l="1"/>
  <c r="I14" i="6" s="1"/>
  <c r="I15" i="6" s="1"/>
  <c r="I16" i="6" s="1"/>
  <c r="I17" i="6" s="1"/>
  <c r="I18" i="6" s="1"/>
  <c r="H13" i="6"/>
  <c r="H14" i="6" s="1"/>
  <c r="H15" i="6" l="1"/>
  <c r="J14" i="6"/>
  <c r="I19" i="6"/>
  <c r="J13" i="6"/>
  <c r="J15" i="6" l="1"/>
  <c r="H16" i="6"/>
  <c r="I20" i="6"/>
  <c r="H17" i="6" l="1"/>
  <c r="J16" i="6"/>
  <c r="I21" i="6"/>
  <c r="I22" i="6" l="1"/>
  <c r="I23" i="6" s="1"/>
  <c r="I24" i="6" s="1"/>
  <c r="H18" i="6"/>
  <c r="J17" i="6"/>
  <c r="I25" i="6" l="1"/>
  <c r="H19" i="6"/>
  <c r="J18" i="6"/>
  <c r="I26" i="6" l="1"/>
  <c r="I27" i="6" s="1"/>
  <c r="H20" i="6"/>
  <c r="J19" i="6"/>
  <c r="I28" i="6" l="1"/>
  <c r="I29" i="6" s="1"/>
  <c r="I30" i="6" s="1"/>
  <c r="I31" i="6" s="1"/>
  <c r="I32" i="6" s="1"/>
  <c r="I33" i="6" s="1"/>
  <c r="I34" i="6" s="1"/>
  <c r="I35" i="6" s="1"/>
  <c r="H21" i="6"/>
  <c r="J20" i="6"/>
  <c r="I36" i="6" l="1"/>
  <c r="H22" i="6"/>
  <c r="J21" i="6"/>
  <c r="I37" i="6" l="1"/>
  <c r="H23" i="6"/>
  <c r="J22" i="6"/>
  <c r="I38" i="6" l="1"/>
  <c r="I39" i="6" s="1"/>
  <c r="I40" i="6" s="1"/>
  <c r="I41" i="6" s="1"/>
  <c r="I42" i="6" s="1"/>
  <c r="H24" i="6"/>
  <c r="J23" i="6"/>
  <c r="I43" i="6" l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H25" i="6"/>
  <c r="J24" i="6"/>
  <c r="H26" i="6" l="1"/>
  <c r="J25" i="6"/>
  <c r="J26" i="6" l="1"/>
  <c r="H27" i="6"/>
  <c r="H28" i="6" l="1"/>
  <c r="J27" i="6"/>
  <c r="H29" i="6" l="1"/>
  <c r="J28" i="6"/>
  <c r="H30" i="6" l="1"/>
  <c r="J29" i="6"/>
  <c r="H31" i="6" l="1"/>
  <c r="J30" i="6"/>
  <c r="H32" i="6" l="1"/>
  <c r="J31" i="6"/>
  <c r="H33" i="6" l="1"/>
  <c r="J32" i="6"/>
  <c r="H34" i="6" l="1"/>
  <c r="J33" i="6"/>
  <c r="H35" i="6" l="1"/>
  <c r="J34" i="6"/>
  <c r="H36" i="6" l="1"/>
  <c r="J35" i="6"/>
  <c r="H37" i="6" l="1"/>
  <c r="J36" i="6"/>
  <c r="H38" i="6" l="1"/>
  <c r="J37" i="6"/>
  <c r="H39" i="6" l="1"/>
  <c r="J38" i="6"/>
  <c r="H40" i="6" l="1"/>
  <c r="J39" i="6"/>
  <c r="H41" i="6" l="1"/>
  <c r="H42" i="6" s="1"/>
  <c r="J40" i="6"/>
  <c r="H43" i="6" l="1"/>
  <c r="J42" i="6"/>
  <c r="J41" i="6"/>
  <c r="H44" i="6" l="1"/>
  <c r="J43" i="6"/>
  <c r="J44" i="6" l="1"/>
  <c r="H45" i="6"/>
  <c r="H46" i="6" l="1"/>
  <c r="J45" i="6"/>
  <c r="J46" i="6" l="1"/>
  <c r="H47" i="6"/>
  <c r="J47" i="6" l="1"/>
  <c r="H48" i="6"/>
  <c r="J48" i="6" l="1"/>
  <c r="H49" i="6"/>
  <c r="J49" i="6" l="1"/>
  <c r="H50" i="6"/>
  <c r="J50" i="6" l="1"/>
  <c r="H51" i="6"/>
  <c r="J51" i="6" l="1"/>
  <c r="H52" i="6"/>
  <c r="J52" i="6" l="1"/>
  <c r="H53" i="6"/>
  <c r="J53" i="6" l="1"/>
  <c r="H54" i="6"/>
  <c r="J54" i="6" s="1"/>
</calcChain>
</file>

<file path=xl/sharedStrings.xml><?xml version="1.0" encoding="utf-8"?>
<sst xmlns="http://schemas.openxmlformats.org/spreadsheetml/2006/main" count="100" uniqueCount="79">
  <si>
    <t>EMP. NO  :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</si>
  <si>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</si>
  <si>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</si>
  <si>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</si>
  <si>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</si>
  <si>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</si>
  <si>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</si>
  <si>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</si>
  <si>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</si>
  <si>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</si>
  <si>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</si>
  <si>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</si>
  <si>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ADD: 01/01/22 - 08/31/22</t>
  </si>
  <si>
    <t>LESS: 08/04 &amp; 05/22</t>
  </si>
  <si>
    <t>LESS: MONETIZATION 2022</t>
  </si>
  <si>
    <t>ADD: 09/01/22 - 11/30/22</t>
  </si>
  <si>
    <t>LESS: 12/09,13 &amp; 28/22</t>
  </si>
  <si>
    <t>LESS: 12/23, 27 &amp;29/22</t>
  </si>
  <si>
    <t>ADD: 12/01/22 - 12/31/22</t>
  </si>
  <si>
    <t>ADD: 01/01/23 - 02/28/23</t>
  </si>
  <si>
    <t>LESS: 03/22/2023</t>
  </si>
  <si>
    <t>SPECIAL</t>
  </si>
  <si>
    <t>ADD: 03/01/23 - 04/30/23</t>
  </si>
  <si>
    <t>LESS: 05/12 &amp; 16/2023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</si>
  <si>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</si>
  <si>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</si>
  <si>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</si>
  <si>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</si>
  <si>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</si>
  <si>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</si>
  <si>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</si>
  <si>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</si>
  <si>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11/02/2016 - 11/30/2016</t>
  </si>
  <si>
    <t>ADD: 12/01/2016 - 12/31/2016</t>
  </si>
  <si>
    <t>ADD: 01/01/2017 - 12/31/2017</t>
  </si>
  <si>
    <t>LESS: FL 2017</t>
  </si>
  <si>
    <t>ADD: 01/01/2018 - 12/31/2018</t>
  </si>
  <si>
    <t>LESS: FL 2018</t>
  </si>
  <si>
    <t>ADD: 01/01/2019 - 12/31/2019</t>
  </si>
  <si>
    <t>LESS: FL 2019</t>
  </si>
  <si>
    <t>ADD: 01/01/2020 - 12/31/2020</t>
  </si>
  <si>
    <t>LESS: FL 2020</t>
  </si>
  <si>
    <t>LESS: MONETIZATION 2020</t>
  </si>
  <si>
    <t>ADD: 01/01/2021 - 12/31/2021</t>
  </si>
  <si>
    <t>LESS: FL 2021</t>
  </si>
  <si>
    <t>LESS: MONETIZATION 2021</t>
  </si>
  <si>
    <t>ADD: 05/01/23 - 06/30/23</t>
  </si>
  <si>
    <t>ADD: 07/01/23 - 08/31/23</t>
  </si>
  <si>
    <t>LESS: MONETIZATION 2023</t>
  </si>
  <si>
    <t>Certified Correct:</t>
  </si>
  <si>
    <t>MA. LUISA B. CATIGAN</t>
  </si>
  <si>
    <t>Administrative Officer IV</t>
  </si>
  <si>
    <t>ADD: 09/01/2023-12/31/2023</t>
  </si>
  <si>
    <t>LESS: 01/4-5/2024</t>
  </si>
  <si>
    <t>ADD: 01/1/2024-04/30/2024</t>
  </si>
  <si>
    <t>LESS: 05/16-17/2024</t>
  </si>
  <si>
    <t>LESS: 05/21/2024</t>
  </si>
  <si>
    <t>ADD: MAY-JULY 31, 2024</t>
  </si>
  <si>
    <t>LESS: MONETIZATION 2024</t>
  </si>
  <si>
    <t xml:space="preserve">              HRMO</t>
  </si>
  <si>
    <t>LESS: MANDATORY FL 2023</t>
  </si>
  <si>
    <t>ADD: 08/1/2024-11/30/2024</t>
  </si>
  <si>
    <t>LESS: 12/23, 26, 27/2024</t>
  </si>
  <si>
    <t>ADD: 12/1-31/2024</t>
  </si>
  <si>
    <t>Special Order No. and Date Issued</t>
  </si>
  <si>
    <t>No. of Days Granted</t>
  </si>
  <si>
    <t>No. of Days Used</t>
  </si>
  <si>
    <t>Balance</t>
  </si>
  <si>
    <t>NOTE:  Valid for one (1) year only</t>
  </si>
  <si>
    <t>HRMO</t>
  </si>
  <si>
    <t>ADD: 02/5/2025</t>
  </si>
  <si>
    <t>S.O # 002 S. 2025- RIZAL DAY 2024</t>
  </si>
  <si>
    <t>LESS: 02/28/2025</t>
  </si>
  <si>
    <t>COMPENSATORY TIME OFF (CTO)/LOCAL LEAVE CREDITS</t>
  </si>
  <si>
    <t>ADD: 01/1/2025-06/30/2025</t>
  </si>
  <si>
    <t>LESS: MONETIZATION 2025</t>
  </si>
  <si>
    <t>LESS: 07/1/2025</t>
  </si>
  <si>
    <t>ADD: 07/1/2025-09/30/2025</t>
  </si>
  <si>
    <t>LESS: 10/27/2025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</si>
</sst>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0" fillId="2" borderId="0" xfId="0" applyFill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/>
    <xf numFmtId="0" fontId="7" fillId="2" borderId="4" xfId="0" applyFont="1" applyFill="1" applyBorder="1" applyAlignment="1">
      <alignment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10" fillId="2" borderId="0" xfId="0" applyNumberFormat="1" applyFont="1" applyFill="1" applyAlignment="1">
      <alignment horizontal="center" vertical="center" wrapText="1"/>
    </xf>
    <xf numFmtId="164" fontId="9" fillId="2" borderId="0" xfId="0" applyNumberFormat="1" applyFont="1" applyFill="1" applyAlignment="1">
      <alignment horizontal="center" vertical="center"/>
    </xf>
    <xf numFmtId="164" fontId="9" fillId="0" borderId="0" xfId="0" applyNumberFormat="1" applyFont="1" applyAlignment="1">
      <alignment horizontal="center" vertical="center" wrapText="1"/>
    </xf>
    <xf numFmtId="0" fontId="9" fillId="0" borderId="14" xfId="0" applyFont="1" applyBorder="1" applyAlignment="1">
      <alignment horizontal="center"/>
    </xf>
    <xf numFmtId="164" fontId="10" fillId="2" borderId="15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164" fontId="9" fillId="2" borderId="15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Alignment="1">
      <alignment horizontal="center" vertical="center" wrapText="1"/>
    </xf>
    <xf numFmtId="0" fontId="3" fillId="0" borderId="0" xfId="0" applyFont="1"/>
    <xf numFmtId="164" fontId="9" fillId="0" borderId="1" xfId="0" applyNumberFormat="1" applyFont="1" applyBorder="1" applyAlignment="1">
      <alignment horizontal="center" vertical="center"/>
    </xf>
    <xf numFmtId="0" fontId="12" fillId="2" borderId="0" xfId="0" applyFont="1" applyFill="1"/>
    <xf numFmtId="0" fontId="2" fillId="2" borderId="0" xfId="0" applyFont="1" applyFill="1"/>
    <xf numFmtId="164" fontId="9" fillId="0" borderId="3" xfId="0" applyNumberFormat="1" applyFont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0" fontId="1" fillId="2" borderId="0" xfId="1" applyFill="1"/>
    <xf numFmtId="0" fontId="4" fillId="2" borderId="0" xfId="1" applyFont="1" applyFill="1" applyAlignment="1">
      <alignment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0" xfId="1" applyFont="1" applyFill="1"/>
    <xf numFmtId="0" fontId="4" fillId="2" borderId="4" xfId="1" applyFont="1" applyFill="1" applyBorder="1" applyAlignment="1">
      <alignment vertical="center"/>
    </xf>
    <xf numFmtId="0" fontId="1" fillId="0" borderId="0" xfId="1"/>
    <xf numFmtId="0" fontId="14" fillId="0" borderId="0" xfId="1" applyFont="1"/>
    <xf numFmtId="14" fontId="0" fillId="2" borderId="6" xfId="1" applyNumberFormat="1" applyFont="1" applyFill="1" applyBorder="1" applyAlignment="1">
      <alignment horizontal="center" vertical="center" wrapText="1"/>
    </xf>
    <xf numFmtId="0" fontId="1" fillId="2" borderId="3" xfId="1" applyFill="1" applyBorder="1" applyAlignment="1">
      <alignment horizontal="center" vertical="center" wrapText="1"/>
    </xf>
    <xf numFmtId="0" fontId="0" fillId="2" borderId="6" xfId="1" applyFont="1" applyFill="1" applyBorder="1" applyAlignment="1">
      <alignment horizontal="center" vertical="center" wrapText="1"/>
    </xf>
    <xf numFmtId="0" fontId="16" fillId="0" borderId="0" xfId="1" applyFont="1"/>
    <xf numFmtId="0" fontId="1" fillId="0" borderId="0" xfId="1" applyAlignment="1">
      <alignment vertical="center"/>
    </xf>
    <xf numFmtId="0" fontId="15" fillId="2" borderId="0" xfId="1" applyFont="1" applyFill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9" borderId="3" xfId="1" applyFill="1" applyBorder="1" applyAlignment="1">
      <alignment horizontal="center" vertical="center" wrapText="1"/>
    </xf>
    <xf numFmtId="164" fontId="9" fillId="10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15" fillId="2" borderId="16" xfId="1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 wrapText="1"/>
    </xf>
    <xf numFmtId="0" fontId="16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5" fillId="8" borderId="16" xfId="1" applyFont="1" applyFill="1" applyBorder="1" applyAlignment="1">
      <alignment horizontal="center" vertical="center" wrapText="1"/>
    </xf>
    <xf numFmtId="0" fontId="15" fillId="8" borderId="18" xfId="1" applyFont="1" applyFill="1" applyBorder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 wrapText="1"/>
    </xf>
    <xf numFmtId="0" fontId="13" fillId="3" borderId="5" xfId="1" applyFont="1" applyFill="1" applyBorder="1" applyAlignment="1">
      <alignment horizontal="center" vertical="center"/>
    </xf>
    <xf numFmtId="0" fontId="13" fillId="3" borderId="6" xfId="1" applyFont="1" applyFill="1" applyBorder="1" applyAlignment="1">
      <alignment horizontal="center" vertical="center"/>
    </xf>
    <xf numFmtId="0" fontId="13" fillId="7" borderId="10" xfId="1" applyFont="1" applyFill="1" applyBorder="1" applyAlignment="1">
      <alignment horizontal="center" vertical="center"/>
    </xf>
    <xf numFmtId="0" fontId="13" fillId="7" borderId="11" xfId="1" applyFont="1" applyFill="1" applyBorder="1" applyAlignment="1">
      <alignment horizontal="center" vertical="center"/>
    </xf>
    <xf numFmtId="0" fontId="13" fillId="3" borderId="8" xfId="1" applyFont="1" applyFill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15" fillId="8" borderId="17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 vertical="center" wrapText="1"/>
    </xf>
    <xf numFmtId="164" fontId="9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/>
    <xf numFmtId="0" fontId="0" fillId="0" borderId="0" xfId="0" applyFill="1"/>
    <xf numFmtId="0" fontId="9" fillId="0" borderId="1" xfId="0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 2" xfId="1" xr:uid="{ADDF224A-71D0-4DFD-A527-6395A7ED07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155576</xdr:colOff>
      <xdr:row>0</xdr:row>
      <xdr:rowOff>120650</xdr:rowOff>
    </xdr:from>
    <xdr:to>
      <xdr:col>4</xdr:col>
      <xdr:colOff>206505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87876" y="120650"/>
          <a:ext cx="863729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A2450CF-B330-4241-BE16-BB6BCF7AAE06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ONGO, ROSEMARIE E.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AF7D7B-64C1-48F3-A2A3-E91B7036CEEE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DC49FE-0EFC-4FB0-BD65-5A5C9C2D19D8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JACINTO MONTILLA NHS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5669</xdr:colOff>
      <xdr:row>0</xdr:row>
      <xdr:rowOff>57378</xdr:rowOff>
    </xdr:from>
    <xdr:to>
      <xdr:col>5</xdr:col>
      <xdr:colOff>68942</xdr:colOff>
      <xdr:row>3</xdr:row>
      <xdr:rowOff>100919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0F3FCB-F6F8-43AF-A5E0-2591FEFD527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7119" y="57378"/>
          <a:ext cx="644298" cy="1043666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1559CC-39C6-4749-A19E-7B218CBE8F4E}"/>
            </a:ext>
          </a:extLst>
        </xdr:cNvPr>
        <xdr:cNvSpPr txBox="1"/>
      </xdr:nvSpPr>
      <xdr:spPr>
        <a:xfrm>
          <a:off x="573942" y="1371111"/>
          <a:ext cx="2248633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ONGO,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ROSEMARIE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18DB9E-ECFB-43F3-A280-DDBAE0419639}"/>
            </a:ext>
          </a:extLst>
        </xdr:cNvPr>
        <xdr:cNvSpPr txBox="1"/>
      </xdr:nvSpPr>
      <xdr:spPr>
        <a:xfrm>
          <a:off x="654051" y="167640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B31CCE6-7C61-43CE-98D7-ED4C79D74A43}"/>
            </a:ext>
          </a:extLst>
        </xdr:cNvPr>
        <xdr:cNvSpPr txBox="1"/>
      </xdr:nvSpPr>
      <xdr:spPr>
        <a:xfrm>
          <a:off x="3927248" y="1699760"/>
          <a:ext cx="10985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JMMNHS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8"/>
  <sheetViews>
    <sheetView tabSelected="1" view="pageBreakPreview" topLeftCell="A40" zoomScaleNormal="100" workbookViewId="0">
      <selection activeCell="A55" sqref="A55:XFD55"/>
    </sheetView>
  </sheetViews>
  <sheetFormatPr defaultColWidth="9" defaultRowHeight="15"/>
  <cols>
    <col min="1" max="1" width="40.140625" customWidth="1"/>
    <col min="2" max="3" width="11.5703125" style="31" customWidth="1"/>
    <col min="4" max="10" width="11.5703125" customWidth="1"/>
    <col min="11" max="11" width="26.42578125" style="2" customWidth="1"/>
  </cols>
  <sheetData>
    <row r="1" spans="1:11" s="1" customFormat="1" ht="52.5" customHeight="1">
      <c r="B1" s="27"/>
      <c r="C1" s="27"/>
    </row>
    <row r="2" spans="1:11" s="1" customFormat="1" ht="10.5" customHeight="1">
      <c r="A2" s="55" t="s">
        <v>24</v>
      </c>
      <c r="B2" s="55"/>
      <c r="C2" s="55"/>
      <c r="D2" s="55"/>
      <c r="E2" s="55"/>
      <c r="F2" s="55"/>
      <c r="G2" s="55"/>
      <c r="H2" s="55"/>
      <c r="I2" s="55"/>
      <c r="J2" s="55"/>
    </row>
    <row r="3" spans="1:11" s="1" customFormat="1" ht="15.95" customHeight="1">
      <c r="A3" s="55" t="s">
        <v>25</v>
      </c>
      <c r="B3" s="55"/>
      <c r="C3" s="55"/>
      <c r="D3" s="55"/>
      <c r="E3" s="55"/>
      <c r="F3" s="55"/>
      <c r="G3" s="55"/>
      <c r="H3" s="55"/>
      <c r="I3" s="55"/>
      <c r="J3" s="55"/>
    </row>
    <row r="4" spans="1:11" s="1" customFormat="1" ht="15.95" customHeight="1">
      <c r="A4" s="55" t="s">
        <v>26</v>
      </c>
      <c r="B4" s="55"/>
      <c r="C4" s="55"/>
      <c r="D4" s="55"/>
      <c r="E4" s="55"/>
      <c r="F4" s="55"/>
      <c r="G4" s="55"/>
      <c r="H4" s="55"/>
      <c r="I4" s="55"/>
      <c r="J4" s="55"/>
    </row>
    <row r="5" spans="1:11" s="1" customFormat="1" ht="15.95" customHeight="1">
      <c r="A5" s="55" t="s">
        <v>27</v>
      </c>
      <c r="B5" s="55"/>
      <c r="C5" s="55"/>
      <c r="D5" s="55"/>
      <c r="E5" s="55"/>
      <c r="F5" s="55"/>
      <c r="G5" s="55"/>
      <c r="H5" s="55"/>
      <c r="I5" s="55"/>
      <c r="J5" s="55"/>
    </row>
    <row r="6" spans="1:11" s="1" customFormat="1" ht="8.25" customHeight="1">
      <c r="B6" s="27"/>
      <c r="C6" s="27"/>
    </row>
    <row r="7" spans="1:11" s="1" customFormat="1" ht="12" customHeight="1">
      <c r="A7" s="1" t="s">
        <v>28</v>
      </c>
      <c r="B7" s="56" t="s">
        <v>29</v>
      </c>
      <c r="C7" s="56"/>
      <c r="D7" s="56"/>
      <c r="H7" s="6" t="s">
        <v>0</v>
      </c>
      <c r="I7" s="7"/>
      <c r="J7" s="6"/>
    </row>
    <row r="8" spans="1:11" s="1" customFormat="1" ht="12" customHeight="1">
      <c r="B8" s="27"/>
      <c r="C8" s="27"/>
      <c r="H8" s="8"/>
      <c r="I8" s="8"/>
      <c r="J8" s="8"/>
    </row>
    <row r="9" spans="1:11" s="1" customFormat="1" ht="12" customHeight="1">
      <c r="A9" s="1" t="s">
        <v>30</v>
      </c>
      <c r="B9" s="56" t="s">
        <v>31</v>
      </c>
      <c r="C9" s="56"/>
      <c r="D9" s="56"/>
      <c r="H9" s="6" t="s">
        <v>1</v>
      </c>
      <c r="I9" s="9"/>
      <c r="J9" s="6"/>
    </row>
    <row r="10" spans="1:11" ht="16.5" customHeight="1" thickBot="1">
      <c r="A10" s="60" t="s">
        <v>2</v>
      </c>
      <c r="B10" s="60"/>
      <c r="C10" s="60"/>
      <c r="D10" s="60"/>
      <c r="E10" s="60"/>
      <c r="F10" s="60"/>
      <c r="G10" s="60"/>
      <c r="H10" s="60"/>
      <c r="I10" s="60"/>
      <c r="J10" s="60"/>
      <c r="K10"/>
    </row>
    <row r="11" spans="1:11" ht="18.75" customHeight="1">
      <c r="A11" s="17" t="s">
        <v>3</v>
      </c>
      <c r="B11" s="62" t="s">
        <v>4</v>
      </c>
      <c r="C11" s="63"/>
      <c r="D11" s="57" t="s">
        <v>5</v>
      </c>
      <c r="E11" s="58"/>
      <c r="F11" s="58"/>
      <c r="G11" s="59"/>
      <c r="H11" s="64" t="s">
        <v>6</v>
      </c>
      <c r="I11" s="65"/>
      <c r="J11" s="16" t="s">
        <v>7</v>
      </c>
      <c r="K11" s="61" t="s">
        <v>8</v>
      </c>
    </row>
    <row r="12" spans="1:11" ht="18.75" customHeight="1">
      <c r="A12" s="5"/>
      <c r="B12" s="28" t="s">
        <v>9</v>
      </c>
      <c r="C12" s="28" t="s">
        <v>10</v>
      </c>
      <c r="D12" s="3" t="s">
        <v>9</v>
      </c>
      <c r="E12" s="3" t="s">
        <v>10</v>
      </c>
      <c r="F12" s="3" t="s">
        <v>11</v>
      </c>
      <c r="G12" s="3" t="s">
        <v>21</v>
      </c>
      <c r="H12" s="3" t="s">
        <v>9</v>
      </c>
      <c r="I12" s="3" t="s">
        <v>10</v>
      </c>
      <c r="J12" s="4"/>
      <c r="K12" s="61"/>
    </row>
    <row r="13" spans="1:11" ht="18.75" customHeight="1">
      <c r="A13" s="14" t="s">
        <v>32</v>
      </c>
      <c r="B13" s="10">
        <v>1.208</v>
      </c>
      <c r="C13" s="10">
        <v>1.208</v>
      </c>
      <c r="D13" s="10"/>
      <c r="E13" s="10"/>
      <c r="F13" s="10"/>
      <c r="G13" s="10"/>
      <c r="H13" s="10">
        <f>B13</f>
        <v>1.208</v>
      </c>
      <c r="I13" s="10">
        <f>C13</f>
        <v>1.208</v>
      </c>
      <c r="J13" s="11">
        <f>SUM(H13:I13)</f>
        <v>2.4159999999999999</v>
      </c>
    </row>
    <row r="14" spans="1:11" ht="18.75" customHeight="1">
      <c r="A14" s="14" t="s">
        <v>33</v>
      </c>
      <c r="B14" s="10">
        <v>1.25</v>
      </c>
      <c r="C14" s="10">
        <v>1.25</v>
      </c>
      <c r="D14" s="10"/>
      <c r="E14" s="10"/>
      <c r="F14" s="10"/>
      <c r="G14" s="10"/>
      <c r="H14" s="10">
        <f>H13-F14-D14+B14</f>
        <v>2.4580000000000002</v>
      </c>
      <c r="I14" s="10">
        <f>I13-E14+C14</f>
        <v>2.4580000000000002</v>
      </c>
      <c r="J14" s="11">
        <f t="shared" ref="J14:J16" si="0">SUM(H14:I14)</f>
        <v>4.9160000000000004</v>
      </c>
    </row>
    <row r="15" spans="1:11" ht="18.75" customHeight="1">
      <c r="A15" s="14" t="s">
        <v>34</v>
      </c>
      <c r="B15" s="10">
        <v>15</v>
      </c>
      <c r="C15" s="10">
        <v>15</v>
      </c>
      <c r="D15" s="10"/>
      <c r="E15" s="10"/>
      <c r="F15" s="10"/>
      <c r="G15" s="10"/>
      <c r="H15" s="10">
        <f t="shared" ref="H15:H16" si="1">H14-F15-D15+B15</f>
        <v>17.457999999999998</v>
      </c>
      <c r="I15" s="10">
        <f t="shared" ref="I15:I16" si="2">I14-E15+C15</f>
        <v>17.457999999999998</v>
      </c>
      <c r="J15" s="11">
        <f t="shared" si="0"/>
        <v>34.915999999999997</v>
      </c>
    </row>
    <row r="16" spans="1:11" ht="18.75" customHeight="1">
      <c r="A16" s="14" t="s">
        <v>35</v>
      </c>
      <c r="B16" s="10"/>
      <c r="C16" s="10"/>
      <c r="D16" s="10"/>
      <c r="E16" s="10"/>
      <c r="F16" s="10">
        <v>5</v>
      </c>
      <c r="G16" s="10"/>
      <c r="H16" s="10">
        <f t="shared" si="1"/>
        <v>12.457999999999998</v>
      </c>
      <c r="I16" s="10">
        <f t="shared" si="2"/>
        <v>17.457999999999998</v>
      </c>
      <c r="J16" s="11">
        <f t="shared" si="0"/>
        <v>29.915999999999997</v>
      </c>
    </row>
    <row r="17" spans="1:10" ht="18.75" customHeight="1">
      <c r="A17" s="14" t="s">
        <v>36</v>
      </c>
      <c r="B17" s="10">
        <v>15</v>
      </c>
      <c r="C17" s="10">
        <v>15</v>
      </c>
      <c r="D17" s="10"/>
      <c r="E17" s="10"/>
      <c r="F17" s="10"/>
      <c r="G17" s="10"/>
      <c r="H17" s="10">
        <f t="shared" ref="H17:H20" si="3">H16-F17-D17+B17</f>
        <v>27.457999999999998</v>
      </c>
      <c r="I17" s="10">
        <f t="shared" ref="I17:I20" si="4">I16-E17+C17</f>
        <v>32.457999999999998</v>
      </c>
      <c r="J17" s="11">
        <f t="shared" ref="J17:J20" si="5">SUM(H17:I17)</f>
        <v>59.915999999999997</v>
      </c>
    </row>
    <row r="18" spans="1:10" ht="18.75" customHeight="1">
      <c r="A18" s="14" t="s">
        <v>37</v>
      </c>
      <c r="B18" s="10"/>
      <c r="C18" s="10"/>
      <c r="D18" s="10"/>
      <c r="E18" s="10"/>
      <c r="F18" s="10">
        <v>5</v>
      </c>
      <c r="G18" s="10"/>
      <c r="H18" s="10">
        <f t="shared" si="3"/>
        <v>22.457999999999998</v>
      </c>
      <c r="I18" s="10">
        <f t="shared" si="4"/>
        <v>32.457999999999998</v>
      </c>
      <c r="J18" s="11">
        <f t="shared" si="5"/>
        <v>54.915999999999997</v>
      </c>
    </row>
    <row r="19" spans="1:10" ht="18.75" customHeight="1">
      <c r="A19" s="14" t="s">
        <v>38</v>
      </c>
      <c r="B19" s="10">
        <v>15</v>
      </c>
      <c r="C19" s="10">
        <v>15</v>
      </c>
      <c r="D19" s="10"/>
      <c r="E19" s="10"/>
      <c r="F19" s="10"/>
      <c r="G19" s="10"/>
      <c r="H19" s="10">
        <f t="shared" si="3"/>
        <v>37.457999999999998</v>
      </c>
      <c r="I19" s="10">
        <f t="shared" si="4"/>
        <v>47.457999999999998</v>
      </c>
      <c r="J19" s="11">
        <f t="shared" si="5"/>
        <v>84.915999999999997</v>
      </c>
    </row>
    <row r="20" spans="1:10" ht="18.75" customHeight="1">
      <c r="A20" s="14" t="s">
        <v>39</v>
      </c>
      <c r="B20" s="10"/>
      <c r="C20" s="10"/>
      <c r="D20" s="10"/>
      <c r="E20" s="10"/>
      <c r="F20" s="10">
        <v>5</v>
      </c>
      <c r="G20" s="10"/>
      <c r="H20" s="10">
        <f t="shared" si="3"/>
        <v>32.457999999999998</v>
      </c>
      <c r="I20" s="10">
        <f t="shared" si="4"/>
        <v>47.457999999999998</v>
      </c>
      <c r="J20" s="11">
        <f t="shared" si="5"/>
        <v>79.915999999999997</v>
      </c>
    </row>
    <row r="21" spans="1:10" ht="18.75" customHeight="1">
      <c r="A21" s="14" t="s">
        <v>40</v>
      </c>
      <c r="B21" s="10">
        <v>15</v>
      </c>
      <c r="C21" s="10">
        <v>15</v>
      </c>
      <c r="D21" s="10"/>
      <c r="E21" s="10"/>
      <c r="F21" s="10"/>
      <c r="G21" s="10"/>
      <c r="H21" s="10">
        <f t="shared" ref="H21:H24" si="6">H20-F21-D21+B21</f>
        <v>47.457999999999998</v>
      </c>
      <c r="I21" s="10">
        <f t="shared" ref="I21:I24" si="7">I20-E21+C21</f>
        <v>62.457999999999998</v>
      </c>
      <c r="J21" s="11">
        <f t="shared" ref="J21:J24" si="8">SUM(H21:I21)</f>
        <v>109.916</v>
      </c>
    </row>
    <row r="22" spans="1:10" ht="18.75" customHeight="1">
      <c r="A22" s="14" t="s">
        <v>41</v>
      </c>
      <c r="B22" s="10"/>
      <c r="C22" s="10"/>
      <c r="D22" s="10"/>
      <c r="E22" s="10"/>
      <c r="F22" s="10">
        <v>5</v>
      </c>
      <c r="G22" s="10"/>
      <c r="H22" s="10">
        <f t="shared" si="6"/>
        <v>42.457999999999998</v>
      </c>
      <c r="I22" s="10">
        <f t="shared" si="7"/>
        <v>62.457999999999998</v>
      </c>
      <c r="J22" s="11">
        <f t="shared" si="8"/>
        <v>104.916</v>
      </c>
    </row>
    <row r="23" spans="1:10" ht="18.75" customHeight="1">
      <c r="A23" s="14" t="s">
        <v>42</v>
      </c>
      <c r="B23" s="10"/>
      <c r="C23" s="10"/>
      <c r="D23" s="10">
        <v>10</v>
      </c>
      <c r="E23" s="10"/>
      <c r="F23" s="10"/>
      <c r="G23" s="10"/>
      <c r="H23" s="10">
        <f t="shared" si="6"/>
        <v>32.457999999999998</v>
      </c>
      <c r="I23" s="10">
        <f t="shared" si="7"/>
        <v>62.457999999999998</v>
      </c>
      <c r="J23" s="11">
        <f t="shared" si="8"/>
        <v>94.915999999999997</v>
      </c>
    </row>
    <row r="24" spans="1:10" ht="18.75" customHeight="1">
      <c r="A24" s="14" t="s">
        <v>43</v>
      </c>
      <c r="B24" s="10">
        <v>15</v>
      </c>
      <c r="C24" s="10">
        <v>15</v>
      </c>
      <c r="D24" s="10"/>
      <c r="E24" s="10"/>
      <c r="F24" s="10"/>
      <c r="G24" s="10"/>
      <c r="H24" s="10">
        <f t="shared" si="6"/>
        <v>47.457999999999998</v>
      </c>
      <c r="I24" s="10">
        <f t="shared" si="7"/>
        <v>77.457999999999998</v>
      </c>
      <c r="J24" s="11">
        <f t="shared" si="8"/>
        <v>124.916</v>
      </c>
    </row>
    <row r="25" spans="1:10" ht="18.75" customHeight="1">
      <c r="A25" s="14" t="s">
        <v>44</v>
      </c>
      <c r="B25" s="10"/>
      <c r="C25" s="10"/>
      <c r="D25" s="10"/>
      <c r="E25" s="10"/>
      <c r="F25" s="10">
        <v>5</v>
      </c>
      <c r="G25" s="10"/>
      <c r="H25" s="10">
        <f t="shared" ref="H25:H26" si="9">H24-F25-D25+B25</f>
        <v>42.457999999999998</v>
      </c>
      <c r="I25" s="10">
        <f t="shared" ref="I25:I26" si="10">I24-E25+C25</f>
        <v>77.457999999999998</v>
      </c>
      <c r="J25" s="11">
        <f t="shared" ref="J25:J26" si="11">SUM(H25:I25)</f>
        <v>119.916</v>
      </c>
    </row>
    <row r="26" spans="1:10" ht="18.75" customHeight="1">
      <c r="A26" s="14" t="s">
        <v>45</v>
      </c>
      <c r="B26" s="10"/>
      <c r="C26" s="10"/>
      <c r="D26" s="10">
        <v>29</v>
      </c>
      <c r="E26" s="10"/>
      <c r="F26" s="10"/>
      <c r="G26" s="10"/>
      <c r="H26" s="10">
        <f t="shared" si="9"/>
        <v>13.457999999999998</v>
      </c>
      <c r="I26" s="10">
        <f t="shared" si="10"/>
        <v>77.457999999999998</v>
      </c>
      <c r="J26" s="11">
        <f t="shared" si="11"/>
        <v>90.915999999999997</v>
      </c>
    </row>
    <row r="27" spans="1:10" ht="18.75" customHeight="1">
      <c r="A27" s="14" t="s">
        <v>12</v>
      </c>
      <c r="B27" s="10">
        <v>10</v>
      </c>
      <c r="C27" s="10">
        <v>10</v>
      </c>
      <c r="D27" s="10"/>
      <c r="E27" s="10"/>
      <c r="F27" s="10"/>
      <c r="G27" s="10"/>
      <c r="H27" s="10">
        <f t="shared" ref="H27:H37" si="12">H26-F27-D27+B27</f>
        <v>23.457999999999998</v>
      </c>
      <c r="I27" s="10">
        <f t="shared" ref="I27:I37" si="13">I26-E27+C27</f>
        <v>87.457999999999998</v>
      </c>
      <c r="J27" s="11">
        <f t="shared" ref="J27:J37" si="14">SUM(H27:I27)</f>
        <v>110.916</v>
      </c>
    </row>
    <row r="28" spans="1:10" ht="18.75" customHeight="1">
      <c r="A28" s="14" t="s">
        <v>13</v>
      </c>
      <c r="B28" s="10"/>
      <c r="C28" s="10"/>
      <c r="D28" s="10"/>
      <c r="E28" s="10"/>
      <c r="F28" s="10">
        <v>2</v>
      </c>
      <c r="G28" s="10"/>
      <c r="H28" s="10">
        <f t="shared" si="12"/>
        <v>21.457999999999998</v>
      </c>
      <c r="I28" s="10">
        <f t="shared" si="13"/>
        <v>87.457999999999998</v>
      </c>
      <c r="J28" s="11">
        <f t="shared" si="14"/>
        <v>108.916</v>
      </c>
    </row>
    <row r="29" spans="1:10" ht="18.75" customHeight="1">
      <c r="A29" s="14" t="s">
        <v>14</v>
      </c>
      <c r="B29" s="10"/>
      <c r="C29" s="10"/>
      <c r="D29" s="10">
        <v>19</v>
      </c>
      <c r="E29" s="10">
        <v>10</v>
      </c>
      <c r="F29" s="10"/>
      <c r="G29" s="10"/>
      <c r="H29" s="10">
        <f t="shared" si="12"/>
        <v>2.4579999999999984</v>
      </c>
      <c r="I29" s="10">
        <f t="shared" si="13"/>
        <v>77.457999999999998</v>
      </c>
      <c r="J29" s="11">
        <f t="shared" si="14"/>
        <v>79.915999999999997</v>
      </c>
    </row>
    <row r="30" spans="1:10" ht="18.75" customHeight="1">
      <c r="A30" s="14" t="s">
        <v>15</v>
      </c>
      <c r="B30" s="10">
        <v>3.75</v>
      </c>
      <c r="C30" s="10">
        <v>3.75</v>
      </c>
      <c r="D30" s="10"/>
      <c r="E30" s="10"/>
      <c r="F30" s="10"/>
      <c r="G30" s="10"/>
      <c r="H30" s="10">
        <f t="shared" si="12"/>
        <v>6.2079999999999984</v>
      </c>
      <c r="I30" s="10">
        <f t="shared" si="13"/>
        <v>81.207999999999998</v>
      </c>
      <c r="J30" s="11">
        <f t="shared" si="14"/>
        <v>87.415999999999997</v>
      </c>
    </row>
    <row r="31" spans="1:10" ht="18.75" customHeight="1">
      <c r="A31" s="14" t="s">
        <v>16</v>
      </c>
      <c r="B31" s="10"/>
      <c r="C31" s="10"/>
      <c r="D31" s="10"/>
      <c r="E31" s="10"/>
      <c r="F31" s="10"/>
      <c r="G31" s="10">
        <v>3</v>
      </c>
      <c r="H31" s="10">
        <f t="shared" si="12"/>
        <v>6.2079999999999984</v>
      </c>
      <c r="I31" s="10">
        <f t="shared" si="13"/>
        <v>81.207999999999998</v>
      </c>
      <c r="J31" s="11">
        <f t="shared" si="14"/>
        <v>87.415999999999997</v>
      </c>
    </row>
    <row r="32" spans="1:10" ht="18.75" customHeight="1">
      <c r="A32" s="14" t="s">
        <v>17</v>
      </c>
      <c r="B32" s="10"/>
      <c r="C32" s="10"/>
      <c r="D32" s="10"/>
      <c r="E32" s="10"/>
      <c r="F32" s="10">
        <v>3</v>
      </c>
      <c r="G32" s="10"/>
      <c r="H32" s="10">
        <f t="shared" si="12"/>
        <v>3.2079999999999984</v>
      </c>
      <c r="I32" s="10">
        <f t="shared" si="13"/>
        <v>81.207999999999998</v>
      </c>
      <c r="J32" s="11">
        <f t="shared" si="14"/>
        <v>84.415999999999997</v>
      </c>
    </row>
    <row r="33" spans="1:10" ht="18.75" customHeight="1">
      <c r="A33" s="14" t="s">
        <v>18</v>
      </c>
      <c r="B33" s="10">
        <v>1.25</v>
      </c>
      <c r="C33" s="10">
        <v>1.25</v>
      </c>
      <c r="D33" s="10"/>
      <c r="E33" s="10"/>
      <c r="F33" s="10"/>
      <c r="G33" s="10"/>
      <c r="H33" s="10">
        <f t="shared" si="12"/>
        <v>4.4579999999999984</v>
      </c>
      <c r="I33" s="10">
        <f t="shared" si="13"/>
        <v>82.457999999999998</v>
      </c>
      <c r="J33" s="11">
        <f t="shared" si="14"/>
        <v>86.915999999999997</v>
      </c>
    </row>
    <row r="34" spans="1:10" ht="18.75" customHeight="1">
      <c r="A34" s="14" t="s">
        <v>19</v>
      </c>
      <c r="B34" s="10">
        <v>2.5</v>
      </c>
      <c r="C34" s="10">
        <v>2.5</v>
      </c>
      <c r="D34" s="10"/>
      <c r="E34" s="10"/>
      <c r="F34" s="10"/>
      <c r="G34" s="10"/>
      <c r="H34" s="10">
        <f t="shared" si="12"/>
        <v>6.9579999999999984</v>
      </c>
      <c r="I34" s="10">
        <f t="shared" si="13"/>
        <v>84.957999999999998</v>
      </c>
      <c r="J34" s="11">
        <f t="shared" si="14"/>
        <v>91.915999999999997</v>
      </c>
    </row>
    <row r="35" spans="1:10" ht="18.75" customHeight="1">
      <c r="A35" s="14" t="s">
        <v>20</v>
      </c>
      <c r="B35" s="10"/>
      <c r="C35" s="10"/>
      <c r="D35" s="10"/>
      <c r="E35" s="10"/>
      <c r="F35" s="10"/>
      <c r="G35" s="10">
        <v>1</v>
      </c>
      <c r="H35" s="10">
        <f t="shared" si="12"/>
        <v>6.9579999999999984</v>
      </c>
      <c r="I35" s="10">
        <f t="shared" si="13"/>
        <v>84.957999999999998</v>
      </c>
      <c r="J35" s="11">
        <f t="shared" si="14"/>
        <v>91.915999999999997</v>
      </c>
    </row>
    <row r="36" spans="1:10" ht="18.75" customHeight="1">
      <c r="A36" s="14" t="s">
        <v>22</v>
      </c>
      <c r="B36" s="10">
        <v>2.5</v>
      </c>
      <c r="C36" s="10">
        <v>2.5</v>
      </c>
      <c r="D36" s="10"/>
      <c r="E36" s="10"/>
      <c r="F36" s="10"/>
      <c r="G36" s="10"/>
      <c r="H36" s="10">
        <f t="shared" si="12"/>
        <v>9.4579999999999984</v>
      </c>
      <c r="I36" s="10">
        <f t="shared" si="13"/>
        <v>87.457999999999998</v>
      </c>
      <c r="J36" s="11">
        <f t="shared" si="14"/>
        <v>96.915999999999997</v>
      </c>
    </row>
    <row r="37" spans="1:10" ht="18.75" customHeight="1">
      <c r="A37" s="14" t="s">
        <v>23</v>
      </c>
      <c r="B37" s="10"/>
      <c r="C37" s="10"/>
      <c r="D37" s="10"/>
      <c r="E37" s="10"/>
      <c r="F37" s="10">
        <v>2</v>
      </c>
      <c r="G37" s="10"/>
      <c r="H37" s="10">
        <f t="shared" si="12"/>
        <v>7.4579999999999984</v>
      </c>
      <c r="I37" s="10">
        <f t="shared" si="13"/>
        <v>87.457999999999998</v>
      </c>
      <c r="J37" s="11">
        <f t="shared" si="14"/>
        <v>94.915999999999997</v>
      </c>
    </row>
    <row r="38" spans="1:10" ht="18.75" customHeight="1">
      <c r="A38" s="14" t="s">
        <v>46</v>
      </c>
      <c r="B38" s="10">
        <v>2.5</v>
      </c>
      <c r="C38" s="10">
        <v>2.5</v>
      </c>
      <c r="D38" s="10"/>
      <c r="E38" s="10"/>
      <c r="F38" s="10"/>
      <c r="G38" s="10"/>
      <c r="H38" s="10">
        <f t="shared" ref="H38" si="15">H37-F38-D38+B38</f>
        <v>9.9579999999999984</v>
      </c>
      <c r="I38" s="10">
        <f t="shared" ref="I38" si="16">I37-E38+C38</f>
        <v>89.957999999999998</v>
      </c>
      <c r="J38" s="11">
        <f t="shared" ref="J38:J40" si="17">SUM(H38:I38)</f>
        <v>99.915999999999997</v>
      </c>
    </row>
    <row r="39" spans="1:10" ht="18.75" customHeight="1">
      <c r="A39" s="14" t="s">
        <v>47</v>
      </c>
      <c r="B39" s="10">
        <v>2.5</v>
      </c>
      <c r="C39" s="10">
        <v>2.5</v>
      </c>
      <c r="D39" s="10"/>
      <c r="E39" s="10"/>
      <c r="F39" s="10"/>
      <c r="G39" s="10"/>
      <c r="H39" s="10">
        <f t="shared" ref="H39:H40" si="18">H38-F39-D39+B39</f>
        <v>12.457999999999998</v>
      </c>
      <c r="I39" s="10">
        <f t="shared" ref="I39:I40" si="19">I38-E39+C39</f>
        <v>92.457999999999998</v>
      </c>
      <c r="J39" s="11">
        <f t="shared" si="17"/>
        <v>104.916</v>
      </c>
    </row>
    <row r="40" spans="1:10" ht="18.75" customHeight="1">
      <c r="A40" s="15" t="s">
        <v>48</v>
      </c>
      <c r="B40" s="10"/>
      <c r="C40" s="10"/>
      <c r="D40" s="10">
        <v>4</v>
      </c>
      <c r="E40" s="10">
        <v>25</v>
      </c>
      <c r="F40" s="10"/>
      <c r="G40" s="10"/>
      <c r="H40" s="10">
        <f t="shared" si="18"/>
        <v>8.4579999999999984</v>
      </c>
      <c r="I40" s="10">
        <f t="shared" si="19"/>
        <v>67.457999999999998</v>
      </c>
      <c r="J40" s="11">
        <f t="shared" si="17"/>
        <v>75.915999999999997</v>
      </c>
    </row>
    <row r="41" spans="1:10" ht="18.75" customHeight="1">
      <c r="A41" s="15" t="s">
        <v>52</v>
      </c>
      <c r="B41" s="10">
        <f>4*1.25</f>
        <v>5</v>
      </c>
      <c r="C41" s="10">
        <v>5</v>
      </c>
      <c r="D41" s="10"/>
      <c r="E41" s="10"/>
      <c r="F41" s="10"/>
      <c r="G41" s="10"/>
      <c r="H41" s="10">
        <f t="shared" ref="H41" si="20">H40-F41-D41+B41</f>
        <v>13.457999999999998</v>
      </c>
      <c r="I41" s="10">
        <f t="shared" ref="I41" si="21">I40-E41+C41</f>
        <v>72.457999999999998</v>
      </c>
      <c r="J41" s="11">
        <f t="shared" ref="J41" si="22">SUM(H41:I41)</f>
        <v>85.915999999999997</v>
      </c>
    </row>
    <row r="42" spans="1:10" ht="18.75" customHeight="1">
      <c r="A42" s="15" t="s">
        <v>60</v>
      </c>
      <c r="B42" s="32"/>
      <c r="C42" s="32"/>
      <c r="D42" s="32"/>
      <c r="E42" s="32"/>
      <c r="F42" s="32">
        <v>3</v>
      </c>
      <c r="G42" s="32"/>
      <c r="H42" s="10">
        <f t="shared" ref="H42:H47" si="23">H41-F42-D42+B42</f>
        <v>10.457999999999998</v>
      </c>
      <c r="I42" s="10">
        <f t="shared" ref="I42:I47" si="24">I41-E42+C42</f>
        <v>72.457999999999998</v>
      </c>
      <c r="J42" s="11">
        <f t="shared" ref="J42:J47" si="25">SUM(H42:I42)</f>
        <v>82.915999999999997</v>
      </c>
    </row>
    <row r="43" spans="1:10" ht="18.75" customHeight="1">
      <c r="A43" s="15" t="s">
        <v>53</v>
      </c>
      <c r="B43" s="10"/>
      <c r="C43" s="10"/>
      <c r="D43" s="10"/>
      <c r="E43" s="10"/>
      <c r="F43" s="32"/>
      <c r="G43" s="32">
        <v>2</v>
      </c>
      <c r="H43" s="10">
        <f t="shared" si="23"/>
        <v>10.457999999999998</v>
      </c>
      <c r="I43" s="10">
        <f t="shared" si="24"/>
        <v>72.457999999999998</v>
      </c>
      <c r="J43" s="11">
        <f t="shared" si="25"/>
        <v>82.915999999999997</v>
      </c>
    </row>
    <row r="44" spans="1:10" ht="18.75" customHeight="1">
      <c r="A44" s="15" t="s">
        <v>54</v>
      </c>
      <c r="B44" s="10">
        <v>5</v>
      </c>
      <c r="C44" s="10">
        <v>5</v>
      </c>
      <c r="D44" s="10"/>
      <c r="E44" s="10"/>
      <c r="F44" s="32"/>
      <c r="G44" s="32"/>
      <c r="H44" s="10">
        <f t="shared" si="23"/>
        <v>15.457999999999998</v>
      </c>
      <c r="I44" s="10">
        <f t="shared" si="24"/>
        <v>77.457999999999998</v>
      </c>
      <c r="J44" s="11">
        <f t="shared" si="25"/>
        <v>92.915999999999997</v>
      </c>
    </row>
    <row r="45" spans="1:10" ht="18.75" customHeight="1">
      <c r="A45" s="15" t="s">
        <v>55</v>
      </c>
      <c r="B45" s="10"/>
      <c r="C45" s="10"/>
      <c r="D45" s="10"/>
      <c r="E45" s="10"/>
      <c r="F45" s="32">
        <v>2</v>
      </c>
      <c r="G45" s="32"/>
      <c r="H45" s="10">
        <f t="shared" si="23"/>
        <v>13.457999999999998</v>
      </c>
      <c r="I45" s="10">
        <f t="shared" si="24"/>
        <v>77.457999999999998</v>
      </c>
      <c r="J45" s="11">
        <f t="shared" si="25"/>
        <v>90.915999999999997</v>
      </c>
    </row>
    <row r="46" spans="1:10" ht="18.75" customHeight="1">
      <c r="A46" s="22" t="s">
        <v>56</v>
      </c>
      <c r="B46" s="29"/>
      <c r="C46" s="29"/>
      <c r="D46" s="23"/>
      <c r="E46" s="23"/>
      <c r="F46" s="36"/>
      <c r="G46" s="37">
        <v>1</v>
      </c>
      <c r="H46" s="10">
        <f t="shared" si="23"/>
        <v>13.457999999999998</v>
      </c>
      <c r="I46" s="10">
        <f t="shared" si="24"/>
        <v>77.457999999999998</v>
      </c>
      <c r="J46" s="11">
        <f t="shared" si="25"/>
        <v>90.915999999999997</v>
      </c>
    </row>
    <row r="47" spans="1:10" ht="18.75" customHeight="1">
      <c r="A47" s="24" t="s">
        <v>57</v>
      </c>
      <c r="B47" s="26">
        <v>3.75</v>
      </c>
      <c r="C47" s="26">
        <v>3.75</v>
      </c>
      <c r="D47" s="25"/>
      <c r="E47" s="25"/>
      <c r="F47" s="25"/>
      <c r="G47" s="26"/>
      <c r="H47" s="10">
        <f t="shared" si="23"/>
        <v>17.207999999999998</v>
      </c>
      <c r="I47" s="10">
        <f t="shared" si="24"/>
        <v>81.207999999999998</v>
      </c>
      <c r="J47" s="11">
        <f t="shared" si="25"/>
        <v>98.415999999999997</v>
      </c>
    </row>
    <row r="48" spans="1:10" ht="18.75" customHeight="1">
      <c r="A48" s="24" t="s">
        <v>58</v>
      </c>
      <c r="B48" s="26"/>
      <c r="C48" s="26"/>
      <c r="D48" s="26">
        <v>12.208</v>
      </c>
      <c r="E48" s="26">
        <v>17.792000000000002</v>
      </c>
      <c r="F48" s="25"/>
      <c r="G48" s="26"/>
      <c r="H48" s="32">
        <f t="shared" ref="H48" si="26">H47-F48-D48+B48</f>
        <v>4.9999999999999982</v>
      </c>
      <c r="I48" s="32">
        <f t="shared" ref="I48" si="27">I47-E48+C48</f>
        <v>63.415999999999997</v>
      </c>
      <c r="J48" s="35">
        <f t="shared" ref="J48" si="28">SUM(H48:I48)</f>
        <v>68.415999999999997</v>
      </c>
    </row>
    <row r="49" spans="1:11" ht="18.75" customHeight="1">
      <c r="A49" s="24" t="s">
        <v>61</v>
      </c>
      <c r="B49" s="26">
        <v>5</v>
      </c>
      <c r="C49" s="26">
        <v>5</v>
      </c>
      <c r="D49" s="26"/>
      <c r="E49" s="26"/>
      <c r="F49" s="25"/>
      <c r="G49" s="26"/>
      <c r="H49" s="32">
        <f t="shared" ref="H49:H50" si="29">H48-F49-D49+B49</f>
        <v>9.9999999999999982</v>
      </c>
      <c r="I49" s="32">
        <f t="shared" ref="I49:I50" si="30">I48-E49+C49</f>
        <v>68.415999999999997</v>
      </c>
      <c r="J49" s="35">
        <f t="shared" ref="J49:J50" si="31">SUM(H49:I49)</f>
        <v>78.415999999999997</v>
      </c>
    </row>
    <row r="50" spans="1:11" ht="18.75" customHeight="1">
      <c r="A50" s="24" t="s">
        <v>62</v>
      </c>
      <c r="B50" s="26"/>
      <c r="C50" s="26"/>
      <c r="D50" s="26"/>
      <c r="E50" s="26"/>
      <c r="F50" s="32">
        <v>3</v>
      </c>
      <c r="G50" s="26"/>
      <c r="H50" s="32">
        <f t="shared" si="29"/>
        <v>6.9999999999999982</v>
      </c>
      <c r="I50" s="32">
        <f t="shared" si="30"/>
        <v>68.415999999999997</v>
      </c>
      <c r="J50" s="35">
        <f t="shared" si="31"/>
        <v>75.415999999999997</v>
      </c>
    </row>
    <row r="51" spans="1:11" ht="18.75" customHeight="1">
      <c r="A51" s="24" t="s">
        <v>63</v>
      </c>
      <c r="B51" s="26">
        <v>1.25</v>
      </c>
      <c r="C51" s="26">
        <v>1.25</v>
      </c>
      <c r="D51" s="26"/>
      <c r="E51" s="26"/>
      <c r="F51" s="32"/>
      <c r="G51" s="26"/>
      <c r="H51" s="32">
        <f t="shared" ref="H51:H52" si="32">H50-F51-D51+B51</f>
        <v>8.2499999999999982</v>
      </c>
      <c r="I51" s="32">
        <f t="shared" ref="I51:I52" si="33">I50-E51+C51</f>
        <v>69.665999999999997</v>
      </c>
      <c r="J51" s="35">
        <f t="shared" ref="J51:J52" si="34">SUM(H51:I51)</f>
        <v>77.915999999999997</v>
      </c>
    </row>
    <row r="52" spans="1:11" ht="18.75" customHeight="1">
      <c r="A52" s="24" t="s">
        <v>74</v>
      </c>
      <c r="B52" s="26">
        <v>7.5</v>
      </c>
      <c r="C52" s="26">
        <v>7.5</v>
      </c>
      <c r="D52" s="26"/>
      <c r="E52" s="26"/>
      <c r="F52" s="32"/>
      <c r="G52" s="26"/>
      <c r="H52" s="32">
        <f t="shared" si="32"/>
        <v>15.749999999999998</v>
      </c>
      <c r="I52" s="32">
        <f t="shared" si="33"/>
        <v>77.165999999999997</v>
      </c>
      <c r="J52" s="35">
        <f t="shared" si="34"/>
        <v>92.915999999999997</v>
      </c>
    </row>
    <row r="53" spans="1:11" ht="18.75" customHeight="1">
      <c r="A53" s="24" t="s">
        <v>75</v>
      </c>
      <c r="B53" s="26"/>
      <c r="C53" s="26"/>
      <c r="D53" s="26">
        <v>10</v>
      </c>
      <c r="E53" s="26"/>
      <c r="F53" s="32"/>
      <c r="G53" s="26"/>
      <c r="H53" s="32">
        <f t="shared" ref="H53" si="35">H52-F53-D53+B53</f>
        <v>5.7499999999999982</v>
      </c>
      <c r="I53" s="32">
        <f t="shared" ref="I53" si="36">I52-E53+C53</f>
        <v>77.165999999999997</v>
      </c>
      <c r="J53" s="35">
        <f t="shared" ref="J53" si="37">SUM(H53:I53)</f>
        <v>82.915999999999997</v>
      </c>
    </row>
    <row r="54" spans="1:11" ht="18.75" customHeight="1">
      <c r="A54" s="24" t="s">
        <v>76</v>
      </c>
      <c r="B54" s="26"/>
      <c r="C54" s="26"/>
      <c r="D54" s="26"/>
      <c r="E54" s="26"/>
      <c r="F54" s="54">
        <v>1</v>
      </c>
      <c r="G54" s="26"/>
      <c r="H54" s="32">
        <f t="shared" ref="H54" si="38">H53-F54-D54+B54</f>
        <v>4.7499999999999982</v>
      </c>
      <c r="I54" s="32">
        <f t="shared" ref="I54" si="39">I53-E54+C54</f>
        <v>77.165999999999997</v>
      </c>
      <c r="J54" s="35">
        <f t="shared" ref="J54" si="40">SUM(H54:I54)</f>
        <v>81.915999999999997</v>
      </c>
    </row>
    <row r="55" spans="1:11" s="88" customFormat="1" ht="18.75" customHeight="1">
      <c r="A55" s="89" t="s">
        <v>77</v>
      </c>
      <c r="B55" s="90">
        <v>3.75</v>
      </c>
      <c r="C55" s="90">
        <v>3.75</v>
      </c>
      <c r="D55" s="90"/>
      <c r="E55" s="90"/>
      <c r="F55" s="91"/>
      <c r="G55" s="90"/>
      <c r="H55" s="32">
        <f t="shared" ref="H55:H56" si="41">H54-F55-D55+B55</f>
        <v>8.4999999999999982</v>
      </c>
      <c r="I55" s="32">
        <f t="shared" ref="I55:I56" si="42">I54-E55+C55</f>
        <v>80.915999999999997</v>
      </c>
      <c r="J55" s="35">
        <f t="shared" ref="J55:J56" si="43">SUM(H55:I55)</f>
        <v>89.415999999999997</v>
      </c>
      <c r="K55" s="87"/>
    </row>
    <row r="56" spans="1:11" s="88" customFormat="1" ht="18.75" customHeight="1">
      <c r="A56" s="89" t="s">
        <v>78</v>
      </c>
      <c r="B56" s="90"/>
      <c r="C56" s="90"/>
      <c r="D56" s="90"/>
      <c r="E56" s="90"/>
      <c r="F56" s="54">
        <v>1</v>
      </c>
      <c r="G56" s="90"/>
      <c r="H56" s="32">
        <f t="shared" si="41"/>
        <v>7.4999999999999982</v>
      </c>
      <c r="I56" s="32">
        <f t="shared" si="42"/>
        <v>80.915999999999997</v>
      </c>
      <c r="J56" s="35">
        <f t="shared" si="43"/>
        <v>88.415999999999997</v>
      </c>
      <c r="K56" s="87"/>
    </row>
    <row r="57" spans="1:11" s="88" customFormat="1" ht="18.75" customHeight="1">
      <c r="A57" s="84"/>
      <c r="B57" s="85"/>
      <c r="C57" s="85"/>
      <c r="D57" s="85"/>
      <c r="E57" s="85"/>
      <c r="F57" s="86"/>
      <c r="G57" s="85"/>
      <c r="H57" s="86"/>
      <c r="I57" s="86"/>
      <c r="J57" s="86"/>
      <c r="K57" s="87"/>
    </row>
    <row r="58" spans="1:11" ht="18.75" customHeight="1">
      <c r="A58" s="18"/>
      <c r="B58" s="30"/>
      <c r="C58" s="30"/>
      <c r="D58" s="19"/>
      <c r="E58" s="19"/>
      <c r="F58" s="19"/>
      <c r="G58" s="21"/>
      <c r="H58" s="20"/>
      <c r="I58" s="20"/>
      <c r="J58" s="20"/>
    </row>
    <row r="59" spans="1:11" s="1" customFormat="1" ht="15" customHeight="1">
      <c r="B59" s="27"/>
      <c r="C59" s="27"/>
      <c r="G59" s="1" t="s">
        <v>49</v>
      </c>
    </row>
    <row r="60" spans="1:11" s="1" customFormat="1" ht="15" customHeight="1">
      <c r="B60" s="27"/>
      <c r="C60" s="27"/>
    </row>
    <row r="61" spans="1:11" s="1" customFormat="1" ht="15" customHeight="1">
      <c r="B61" s="27"/>
      <c r="C61" s="27"/>
      <c r="G61" s="33" t="s">
        <v>50</v>
      </c>
      <c r="H61" s="33"/>
    </row>
    <row r="62" spans="1:11" s="1" customFormat="1" ht="15" customHeight="1">
      <c r="B62" s="27"/>
      <c r="C62" s="27"/>
      <c r="G62" s="1" t="s">
        <v>51</v>
      </c>
    </row>
    <row r="63" spans="1:11" s="1" customFormat="1" ht="15" customHeight="1">
      <c r="B63" s="27"/>
      <c r="C63" s="27"/>
      <c r="G63" s="34" t="s">
        <v>59</v>
      </c>
    </row>
    <row r="64" spans="1:11" ht="18.75">
      <c r="A64" s="13"/>
      <c r="B64" s="12"/>
      <c r="C64" s="12"/>
      <c r="D64" s="12"/>
      <c r="E64" s="12"/>
      <c r="F64" s="12"/>
      <c r="G64" s="12"/>
      <c r="H64" s="12"/>
      <c r="I64" s="12"/>
      <c r="J64" s="12"/>
    </row>
    <row r="65" spans="2:10" ht="15.75">
      <c r="B65" s="12"/>
      <c r="C65" s="12"/>
      <c r="D65" s="12"/>
      <c r="E65" s="12"/>
      <c r="F65" s="12"/>
      <c r="G65" s="12"/>
      <c r="H65" s="12"/>
      <c r="I65" s="12"/>
      <c r="J65" s="12"/>
    </row>
    <row r="66" spans="2:10" ht="15.75">
      <c r="B66" s="12"/>
      <c r="C66" s="12"/>
      <c r="D66" s="12"/>
      <c r="E66" s="12"/>
      <c r="F66" s="12"/>
      <c r="G66" s="12"/>
      <c r="H66" s="12"/>
      <c r="I66" s="12"/>
      <c r="J66" s="12"/>
    </row>
    <row r="67" spans="2:10" ht="15.75">
      <c r="B67" s="12"/>
      <c r="C67" s="12"/>
      <c r="D67" s="12"/>
      <c r="E67" s="12"/>
      <c r="F67" s="12"/>
      <c r="G67" s="12"/>
      <c r="H67" s="12"/>
      <c r="I67" s="12"/>
      <c r="J67" s="12"/>
    </row>
    <row r="68" spans="2:10" ht="15.75">
      <c r="B68" s="12"/>
      <c r="C68" s="12"/>
      <c r="D68" s="12"/>
      <c r="E68" s="12"/>
      <c r="F68" s="12"/>
      <c r="G68" s="12"/>
      <c r="H68" s="12"/>
      <c r="I68" s="12"/>
      <c r="J68" s="12"/>
    </row>
  </sheetData>
  <mergeCells count="11">
    <mergeCell ref="D11:G11"/>
    <mergeCell ref="B9:D9"/>
    <mergeCell ref="A10:J10"/>
    <mergeCell ref="K11:K12"/>
    <mergeCell ref="B11:C11"/>
    <mergeCell ref="H11:I11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68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6EF0-8062-47D0-AD12-1C5775BD737B}">
  <sheetPr>
    <pageSetUpPr fitToPage="1"/>
  </sheetPr>
  <dimension ref="A1:L21"/>
  <sheetViews>
    <sheetView workbookViewId="0">
      <selection activeCell="A14" sqref="A14"/>
    </sheetView>
  </sheetViews>
  <sheetFormatPr defaultColWidth="8.7109375" defaultRowHeight="15"/>
  <cols>
    <col min="1" max="1" width="33.5703125" style="43" customWidth="1"/>
    <col min="2" max="16384" width="8.7109375" style="43"/>
  </cols>
  <sheetData>
    <row r="1" spans="1:12" s="38" customFormat="1" ht="52.5" customHeight="1"/>
    <row r="2" spans="1:12" s="38" customFormat="1" ht="10.5" customHeight="1">
      <c r="A2" s="66" t="s">
        <v>24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s="38" customFormat="1" ht="15.95" customHeight="1">
      <c r="A3" s="66" t="s">
        <v>25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s="38" customFormat="1" ht="15.95" customHeight="1">
      <c r="A4" s="66" t="s">
        <v>26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2" s="38" customFormat="1" ht="15.95" customHeight="1">
      <c r="A5" s="66" t="s">
        <v>27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</row>
    <row r="6" spans="1:12" s="38" customFormat="1" ht="8.25" customHeight="1"/>
    <row r="7" spans="1:12" s="38" customFormat="1" ht="12" customHeight="1">
      <c r="A7" s="38" t="s">
        <v>28</v>
      </c>
      <c r="C7" s="39" t="s">
        <v>29</v>
      </c>
      <c r="D7" s="39"/>
      <c r="G7" s="39" t="s">
        <v>0</v>
      </c>
      <c r="H7" s="40"/>
    </row>
    <row r="8" spans="1:12" s="38" customFormat="1" ht="12" customHeight="1">
      <c r="C8" s="41"/>
      <c r="G8" s="41"/>
      <c r="H8" s="41"/>
    </row>
    <row r="9" spans="1:12" s="38" customFormat="1" ht="12" customHeight="1">
      <c r="A9" s="38" t="s">
        <v>30</v>
      </c>
      <c r="C9" s="39" t="s">
        <v>31</v>
      </c>
      <c r="D9" s="39"/>
      <c r="G9" s="39" t="s">
        <v>1</v>
      </c>
      <c r="H9" s="42"/>
    </row>
    <row r="10" spans="1:12" ht="21.75" thickBot="1">
      <c r="A10" s="67" t="s">
        <v>73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</row>
    <row r="11" spans="1:12" s="44" customFormat="1" ht="12">
      <c r="A11" s="75" t="s">
        <v>3</v>
      </c>
      <c r="B11" s="77" t="s">
        <v>4</v>
      </c>
      <c r="C11" s="78"/>
      <c r="D11" s="78"/>
      <c r="E11" s="78"/>
      <c r="F11" s="78"/>
      <c r="G11" s="78"/>
      <c r="H11" s="78"/>
      <c r="I11" s="78"/>
      <c r="J11" s="78"/>
      <c r="K11" s="78"/>
      <c r="L11" s="79" t="s">
        <v>7</v>
      </c>
    </row>
    <row r="12" spans="1:12" s="44" customFormat="1" ht="12">
      <c r="A12" s="76"/>
      <c r="B12" s="72" t="s">
        <v>64</v>
      </c>
      <c r="C12" s="81"/>
      <c r="D12" s="81"/>
      <c r="E12" s="73"/>
      <c r="F12" s="72" t="s">
        <v>65</v>
      </c>
      <c r="G12" s="73"/>
      <c r="H12" s="72" t="s">
        <v>66</v>
      </c>
      <c r="I12" s="73"/>
      <c r="J12" s="72" t="s">
        <v>67</v>
      </c>
      <c r="K12" s="73"/>
      <c r="L12" s="80"/>
    </row>
    <row r="13" spans="1:12" s="44" customFormat="1" ht="29.25" customHeight="1">
      <c r="A13" s="45" t="s">
        <v>70</v>
      </c>
      <c r="B13" s="68" t="s">
        <v>71</v>
      </c>
      <c r="C13" s="74"/>
      <c r="D13" s="74"/>
      <c r="E13" s="69"/>
      <c r="F13" s="68">
        <v>1</v>
      </c>
      <c r="G13" s="69"/>
      <c r="H13" s="68">
        <v>0</v>
      </c>
      <c r="I13" s="69"/>
      <c r="J13" s="68">
        <v>1</v>
      </c>
      <c r="K13" s="69"/>
      <c r="L13" s="46">
        <v>1</v>
      </c>
    </row>
    <row r="14" spans="1:12" s="48" customFormat="1" ht="33.75" customHeight="1">
      <c r="A14" s="47" t="s">
        <v>72</v>
      </c>
      <c r="B14" s="68" t="s">
        <v>71</v>
      </c>
      <c r="C14" s="74"/>
      <c r="D14" s="74"/>
      <c r="E14" s="69"/>
      <c r="F14" s="68"/>
      <c r="G14" s="69"/>
      <c r="H14" s="68">
        <v>1</v>
      </c>
      <c r="I14" s="69"/>
      <c r="J14" s="68">
        <v>0</v>
      </c>
      <c r="K14" s="69"/>
      <c r="L14" s="53">
        <v>0</v>
      </c>
    </row>
    <row r="15" spans="1:12" s="48" customFormat="1">
      <c r="A15" s="49" t="s">
        <v>68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ht="18.95" customHeight="1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</row>
    <row r="17" spans="1:3" s="38" customFormat="1">
      <c r="A17" s="38" t="s">
        <v>49</v>
      </c>
      <c r="C17" s="52"/>
    </row>
    <row r="18" spans="1:3" s="38" customFormat="1">
      <c r="C18" s="52"/>
    </row>
    <row r="19" spans="1:3">
      <c r="A19" s="71" t="s">
        <v>50</v>
      </c>
      <c r="B19" s="71"/>
    </row>
    <row r="20" spans="1:3">
      <c r="A20" s="82" t="s">
        <v>51</v>
      </c>
      <c r="B20" s="82"/>
    </row>
    <row r="21" spans="1:3">
      <c r="A21" s="83" t="s">
        <v>69</v>
      </c>
      <c r="B21" s="83"/>
    </row>
  </sheetData>
  <mergeCells count="24">
    <mergeCell ref="A20:B20"/>
    <mergeCell ref="A21:B21"/>
    <mergeCell ref="B14:E14"/>
    <mergeCell ref="F14:G14"/>
    <mergeCell ref="H14:I14"/>
    <mergeCell ref="J14:K14"/>
    <mergeCell ref="A16:L16"/>
    <mergeCell ref="A19:B19"/>
    <mergeCell ref="H12:I12"/>
    <mergeCell ref="J12:K12"/>
    <mergeCell ref="B13:E13"/>
    <mergeCell ref="F13:G13"/>
    <mergeCell ref="H13:I13"/>
    <mergeCell ref="J13:K13"/>
    <mergeCell ref="A11:A12"/>
    <mergeCell ref="B11:K11"/>
    <mergeCell ref="L11:L12"/>
    <mergeCell ref="B12:E12"/>
    <mergeCell ref="F12:G12"/>
    <mergeCell ref="A2:L2"/>
    <mergeCell ref="A3:L3"/>
    <mergeCell ref="A4:L4"/>
    <mergeCell ref="A5:L5"/>
    <mergeCell ref="A10:L10"/>
  </mergeCells>
  <phoneticPr fontId="17" type="noConversion"/>
  <pageMargins left="0.7" right="0.7" top="0.75" bottom="0.75" header="0.3" footer="0.3"/>
  <pageSetup paperSize="9" scale="68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2025-10-29T06:44:38Z</cp:lastPrinted>
  <dcterms:created xsi:type="dcterms:W3CDTF">2021-10-07T06:10:00Z</dcterms:created>
  <dcterms:modified xsi:type="dcterms:W3CDTF">2025-10-29T06:45:39Z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ECC85A7C9BC44FD49ABB84ED83A065FE</vt:lpwstr>
  </property>
  <property fmtid="{D5CDD505-2E9C-101B-9397-08002B2CF9AE}" pid="3" name="KSOProductBuildVer">
    <vt:lpwstr>1033-11.2.0.11341</vt:lpwstr>
  </property>
</Properties>
</file>