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xr:revisionPtr revIDLastSave="5" documentId="11_C431D01255D2C6284FC3387F2DA5B2BC5DF35DEE" xr6:coauthVersionLast="47" xr6:coauthVersionMax="47" xr10:uidLastSave="{8B81C1A6-360A-425D-B896-96AFBC273A47}"/>
  <bookViews>
    <workbookView xWindow="0" yWindow="0" windowWidth="22188" windowHeight="9000" xr2:uid="{00000000-000D-0000-FFFF-FFFF00000000}"/>
  </bookViews>
  <sheets>
    <sheet name="CORRECTED" sheetId="12" r:id="rId1"/>
    <sheet name="CTO" sheetId="9" r:id="rId2"/>
    <sheet name="ELECTION" sheetId="8" r:id="rId3"/>
    <sheet name="original-wrong" sheetId="10" r:id="rId4"/>
  </sheets>
  <definedNames>
    <definedName name="_xlnm.Print_Area" localSheetId="0">CORRECTED!$A$1:$J$133</definedName>
    <definedName name="_xlnm.Print_Area" localSheetId="2">ELECTION!$A$1:$M$42</definedName>
    <definedName name="_xlnm.Print_Area" localSheetId="3">'original-wrong'!$A$1:$J$109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5" i="12" l="1"/>
  <c r="I125" i="12"/>
  <c r="J125" i="12"/>
  <c r="J103" i="10"/>
  <c r="I103" i="10"/>
  <c r="H103" i="10"/>
  <c r="J102" i="10"/>
  <c r="I102" i="10"/>
  <c r="H102" i="10"/>
  <c r="J101" i="10"/>
  <c r="I101" i="10"/>
  <c r="H101" i="10"/>
  <c r="J100" i="10"/>
  <c r="I100" i="10"/>
  <c r="H100" i="10"/>
  <c r="J99" i="10"/>
  <c r="I99" i="10"/>
  <c r="H99" i="10"/>
  <c r="J98" i="10"/>
  <c r="I98" i="10"/>
  <c r="H98" i="10"/>
  <c r="J97" i="10"/>
  <c r="I97" i="10"/>
  <c r="H97" i="10"/>
  <c r="J96" i="10"/>
  <c r="I96" i="10"/>
  <c r="H96" i="10"/>
  <c r="J95" i="10"/>
  <c r="I95" i="10"/>
  <c r="H95" i="10"/>
  <c r="J94" i="10"/>
  <c r="I94" i="10"/>
  <c r="H94" i="10"/>
  <c r="J93" i="10"/>
  <c r="I93" i="10"/>
  <c r="H93" i="10"/>
  <c r="J92" i="10"/>
  <c r="I92" i="10"/>
  <c r="H92" i="10"/>
  <c r="J91" i="10"/>
  <c r="I91" i="10"/>
  <c r="H91" i="10"/>
  <c r="J90" i="10"/>
  <c r="I90" i="10"/>
  <c r="H90" i="10"/>
  <c r="J89" i="10"/>
  <c r="I89" i="10"/>
  <c r="H89" i="10"/>
  <c r="J88" i="10"/>
  <c r="I88" i="10"/>
  <c r="H88" i="10"/>
  <c r="J87" i="10"/>
  <c r="I87" i="10"/>
  <c r="H87" i="10"/>
  <c r="J86" i="10"/>
  <c r="I86" i="10"/>
  <c r="H86" i="10"/>
  <c r="J85" i="10"/>
  <c r="I85" i="10"/>
  <c r="H85" i="10"/>
  <c r="J84" i="10"/>
  <c r="I84" i="10"/>
  <c r="H84" i="10"/>
  <c r="J83" i="10"/>
  <c r="I83" i="10"/>
  <c r="H83" i="10"/>
  <c r="J82" i="10"/>
  <c r="I82" i="10"/>
  <c r="H82" i="10"/>
  <c r="J81" i="10"/>
  <c r="I81" i="10"/>
  <c r="H81" i="10"/>
  <c r="J80" i="10"/>
  <c r="I80" i="10"/>
  <c r="H80" i="10"/>
  <c r="J79" i="10"/>
  <c r="I79" i="10"/>
  <c r="H79" i="10"/>
  <c r="J78" i="10"/>
  <c r="I78" i="10"/>
  <c r="H78" i="10"/>
  <c r="J77" i="10"/>
  <c r="I77" i="10"/>
  <c r="H77" i="10"/>
  <c r="J76" i="10"/>
  <c r="I76" i="10"/>
  <c r="H76" i="10"/>
  <c r="J75" i="10"/>
  <c r="I75" i="10"/>
  <c r="H75" i="10"/>
  <c r="J74" i="10"/>
  <c r="I74" i="10"/>
  <c r="H74" i="10"/>
  <c r="J73" i="10"/>
  <c r="I73" i="10"/>
  <c r="H73" i="10"/>
  <c r="J72" i="10"/>
  <c r="I72" i="10"/>
  <c r="H72" i="10"/>
  <c r="J71" i="10"/>
  <c r="I71" i="10"/>
  <c r="H71" i="10"/>
  <c r="J70" i="10"/>
  <c r="I70" i="10"/>
  <c r="H70" i="10"/>
  <c r="J69" i="10"/>
  <c r="I69" i="10"/>
  <c r="H69" i="10"/>
  <c r="J68" i="10"/>
  <c r="I68" i="10"/>
  <c r="H68" i="10"/>
  <c r="J67" i="10"/>
  <c r="I67" i="10"/>
  <c r="H67" i="10"/>
  <c r="J66" i="10"/>
  <c r="I66" i="10"/>
  <c r="H66" i="10"/>
  <c r="J65" i="10"/>
  <c r="I65" i="10"/>
  <c r="H65" i="10"/>
  <c r="J64" i="10"/>
  <c r="I64" i="10"/>
  <c r="H64" i="10"/>
  <c r="J63" i="10"/>
  <c r="I63" i="10"/>
  <c r="H63" i="10"/>
  <c r="J62" i="10"/>
  <c r="I62" i="10"/>
  <c r="H62" i="10"/>
  <c r="J61" i="10"/>
  <c r="I61" i="10"/>
  <c r="H61" i="10"/>
  <c r="J60" i="10"/>
  <c r="I60" i="10"/>
  <c r="H60" i="10"/>
  <c r="J59" i="10"/>
  <c r="I59" i="10"/>
  <c r="H59" i="10"/>
  <c r="J58" i="10"/>
  <c r="I58" i="10"/>
  <c r="H58" i="10"/>
  <c r="J57" i="10"/>
  <c r="I57" i="10"/>
  <c r="H57" i="10"/>
  <c r="J56" i="10"/>
  <c r="I56" i="10"/>
  <c r="H56" i="10"/>
  <c r="J55" i="10"/>
  <c r="I55" i="10"/>
  <c r="H55" i="10"/>
  <c r="J54" i="10"/>
  <c r="I54" i="10"/>
  <c r="H54" i="10"/>
  <c r="J53" i="10"/>
  <c r="I53" i="10"/>
  <c r="H53" i="10"/>
  <c r="J52" i="10"/>
  <c r="I52" i="10"/>
  <c r="H52" i="10"/>
  <c r="J51" i="10"/>
  <c r="I51" i="10"/>
  <c r="H51" i="10"/>
  <c r="J50" i="10"/>
  <c r="I50" i="10"/>
  <c r="H50" i="10"/>
  <c r="J49" i="10"/>
  <c r="I49" i="10"/>
  <c r="H49" i="10"/>
  <c r="J48" i="10"/>
  <c r="I48" i="10"/>
  <c r="H48" i="10"/>
  <c r="J47" i="10"/>
  <c r="I47" i="10"/>
  <c r="H47" i="10"/>
  <c r="J46" i="10"/>
  <c r="I46" i="10"/>
  <c r="H46" i="10"/>
  <c r="J45" i="10"/>
  <c r="I45" i="10"/>
  <c r="H45" i="10"/>
  <c r="J44" i="10"/>
  <c r="I44" i="10"/>
  <c r="H44" i="10"/>
  <c r="J43" i="10"/>
  <c r="I43" i="10"/>
  <c r="H43" i="10"/>
  <c r="J42" i="10"/>
  <c r="I42" i="10"/>
  <c r="H42" i="10"/>
  <c r="J41" i="10"/>
  <c r="I41" i="10"/>
  <c r="H41" i="10"/>
  <c r="J40" i="10"/>
  <c r="I40" i="10"/>
  <c r="H40" i="10"/>
  <c r="J39" i="10"/>
  <c r="I39" i="10"/>
  <c r="H39" i="10"/>
  <c r="J38" i="10"/>
  <c r="I38" i="10"/>
  <c r="H38" i="10"/>
  <c r="J37" i="10"/>
  <c r="I37" i="10"/>
  <c r="H37" i="10"/>
  <c r="J36" i="10"/>
  <c r="I36" i="10"/>
  <c r="H36" i="10"/>
  <c r="J35" i="10"/>
  <c r="I35" i="10"/>
  <c r="H35" i="10"/>
  <c r="J34" i="10"/>
  <c r="I34" i="10"/>
  <c r="H34" i="10"/>
  <c r="J33" i="10"/>
  <c r="I33" i="10"/>
  <c r="H33" i="10"/>
  <c r="J32" i="10"/>
  <c r="I32" i="10"/>
  <c r="H32" i="10"/>
  <c r="J31" i="10"/>
  <c r="I31" i="10"/>
  <c r="H31" i="10"/>
  <c r="J30" i="10"/>
  <c r="I30" i="10"/>
  <c r="H30" i="10"/>
  <c r="J29" i="10"/>
  <c r="I29" i="10"/>
  <c r="H29" i="10"/>
  <c r="J28" i="10"/>
  <c r="I28" i="10"/>
  <c r="H28" i="10"/>
  <c r="J27" i="10"/>
  <c r="I27" i="10"/>
  <c r="H27" i="10"/>
  <c r="J26" i="10"/>
  <c r="I26" i="10"/>
  <c r="H26" i="10"/>
  <c r="J25" i="10"/>
  <c r="I25" i="10"/>
  <c r="H25" i="10"/>
  <c r="J24" i="10"/>
  <c r="I24" i="10"/>
  <c r="H24" i="10"/>
  <c r="J23" i="10"/>
  <c r="I23" i="10"/>
  <c r="H23" i="10"/>
  <c r="J22" i="10"/>
  <c r="I22" i="10"/>
  <c r="H22" i="10"/>
  <c r="J21" i="10"/>
  <c r="I21" i="10"/>
  <c r="H21" i="10"/>
  <c r="J20" i="10"/>
  <c r="I20" i="10"/>
  <c r="H20" i="10"/>
  <c r="J19" i="10"/>
  <c r="I19" i="10"/>
  <c r="H19" i="10"/>
  <c r="J18" i="10"/>
  <c r="I18" i="10"/>
  <c r="H18" i="10"/>
  <c r="J17" i="10"/>
  <c r="I17" i="10"/>
  <c r="H17" i="10"/>
  <c r="J16" i="10"/>
  <c r="I16" i="10"/>
  <c r="H16" i="10"/>
  <c r="J15" i="10"/>
  <c r="I15" i="10"/>
  <c r="H15" i="10"/>
  <c r="J14" i="10"/>
  <c r="I14" i="10"/>
  <c r="H14" i="10"/>
  <c r="J13" i="10"/>
  <c r="I13" i="10"/>
  <c r="H13" i="10"/>
  <c r="I13" i="12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I34" i="12" s="1"/>
  <c r="I35" i="12" s="1"/>
  <c r="I36" i="12" s="1"/>
  <c r="I37" i="12" s="1"/>
  <c r="I38" i="12" s="1"/>
  <c r="I39" i="12" s="1"/>
  <c r="I40" i="12" s="1"/>
  <c r="I41" i="12" s="1"/>
  <c r="I42" i="12" s="1"/>
  <c r="I43" i="12" s="1"/>
  <c r="I44" i="12" s="1"/>
  <c r="I45" i="12" s="1"/>
  <c r="I46" i="12" s="1"/>
  <c r="I47" i="12" s="1"/>
  <c r="I48" i="12" s="1"/>
  <c r="I49" i="12" s="1"/>
  <c r="I50" i="12" s="1"/>
  <c r="I51" i="12" s="1"/>
  <c r="I52" i="12" s="1"/>
  <c r="I53" i="12" s="1"/>
  <c r="I54" i="12" s="1"/>
  <c r="I55" i="12" s="1"/>
  <c r="I56" i="12" s="1"/>
  <c r="I57" i="12" s="1"/>
  <c r="I58" i="12" s="1"/>
  <c r="I59" i="12" s="1"/>
  <c r="I60" i="12" s="1"/>
  <c r="I61" i="12" s="1"/>
  <c r="I62" i="12" s="1"/>
  <c r="I63" i="12" s="1"/>
  <c r="I64" i="12" s="1"/>
  <c r="I65" i="12" s="1"/>
  <c r="I66" i="12" s="1"/>
  <c r="I67" i="12" s="1"/>
  <c r="I68" i="12" s="1"/>
  <c r="I69" i="12" s="1"/>
  <c r="I70" i="12" s="1"/>
  <c r="I71" i="12" s="1"/>
  <c r="I72" i="12" s="1"/>
  <c r="I73" i="12" s="1"/>
  <c r="I74" i="12" s="1"/>
  <c r="I75" i="12" s="1"/>
  <c r="I76" i="12" s="1"/>
  <c r="I77" i="12" s="1"/>
  <c r="I78" i="12" s="1"/>
  <c r="I79" i="12" s="1"/>
  <c r="I80" i="12" s="1"/>
  <c r="I81" i="12" s="1"/>
  <c r="I82" i="12" s="1"/>
  <c r="I83" i="12" s="1"/>
  <c r="I84" i="12" s="1"/>
  <c r="I85" i="12" s="1"/>
  <c r="I86" i="12" s="1"/>
  <c r="I87" i="12" s="1"/>
  <c r="I88" i="12" s="1"/>
  <c r="I89" i="12" s="1"/>
  <c r="I90" i="12" s="1"/>
  <c r="I91" i="12" s="1"/>
  <c r="I92" i="12" s="1"/>
  <c r="I93" i="12" s="1"/>
  <c r="I94" i="12" s="1"/>
  <c r="I95" i="12" s="1"/>
  <c r="I96" i="12" s="1"/>
  <c r="I97" i="12" s="1"/>
  <c r="I98" i="12" s="1"/>
  <c r="I99" i="12" s="1"/>
  <c r="I100" i="12" s="1"/>
  <c r="I101" i="12" s="1"/>
  <c r="I102" i="12" s="1"/>
  <c r="I103" i="12" s="1"/>
  <c r="I104" i="12" s="1"/>
  <c r="I105" i="12" s="1"/>
  <c r="I106" i="12" s="1"/>
  <c r="I107" i="12" s="1"/>
  <c r="I108" i="12" s="1"/>
  <c r="I109" i="12" s="1"/>
  <c r="I110" i="12" s="1"/>
  <c r="I111" i="12" s="1"/>
  <c r="I112" i="12" s="1"/>
  <c r="I113" i="12" s="1"/>
  <c r="I114" i="12" s="1"/>
  <c r="I115" i="12" s="1"/>
  <c r="I116" i="12" s="1"/>
  <c r="I117" i="12" s="1"/>
  <c r="I118" i="12" s="1"/>
  <c r="I119" i="12" s="1"/>
  <c r="I120" i="12" s="1"/>
  <c r="I121" i="12" s="1"/>
  <c r="I122" i="12" s="1"/>
  <c r="I123" i="12" s="1"/>
  <c r="I124" i="12" s="1"/>
  <c r="H13" i="12"/>
  <c r="H14" i="12" l="1"/>
  <c r="J13" i="12"/>
  <c r="H15" i="12" l="1"/>
  <c r="J14" i="12"/>
  <c r="H16" i="12" l="1"/>
  <c r="J15" i="12"/>
  <c r="H17" i="12" l="1"/>
  <c r="J16" i="12"/>
  <c r="H18" i="12" l="1"/>
  <c r="J17" i="12"/>
  <c r="H19" i="12" l="1"/>
  <c r="J18" i="12"/>
  <c r="H20" i="12" l="1"/>
  <c r="J19" i="12"/>
  <c r="H21" i="12" l="1"/>
  <c r="J20" i="12"/>
  <c r="H22" i="12" l="1"/>
  <c r="J21" i="12"/>
  <c r="H23" i="12" l="1"/>
  <c r="J22" i="12"/>
  <c r="H24" i="12" l="1"/>
  <c r="J23" i="12"/>
  <c r="H25" i="12" l="1"/>
  <c r="J24" i="12"/>
  <c r="H26" i="12" l="1"/>
  <c r="J25" i="12"/>
  <c r="H27" i="12" l="1"/>
  <c r="J26" i="12"/>
  <c r="H28" i="12" l="1"/>
  <c r="J27" i="12"/>
  <c r="H29" i="12" l="1"/>
  <c r="J28" i="12"/>
  <c r="H30" i="12" l="1"/>
  <c r="J29" i="12"/>
  <c r="H31" i="12" l="1"/>
  <c r="J30" i="12"/>
  <c r="H32" i="12" l="1"/>
  <c r="J31" i="12"/>
  <c r="H33" i="12" l="1"/>
  <c r="J32" i="12"/>
  <c r="H34" i="12" l="1"/>
  <c r="J33" i="12"/>
  <c r="H35" i="12" l="1"/>
  <c r="J34" i="12"/>
  <c r="H36" i="12" l="1"/>
  <c r="J35" i="12"/>
  <c r="H37" i="12" l="1"/>
  <c r="J36" i="12"/>
  <c r="H38" i="12" l="1"/>
  <c r="J37" i="12"/>
  <c r="H39" i="12" l="1"/>
  <c r="J38" i="12"/>
  <c r="H40" i="12" l="1"/>
  <c r="J39" i="12"/>
  <c r="H41" i="12" l="1"/>
  <c r="J40" i="12"/>
  <c r="H42" i="12" l="1"/>
  <c r="J41" i="12"/>
  <c r="H43" i="12" l="1"/>
  <c r="J42" i="12"/>
  <c r="H44" i="12" l="1"/>
  <c r="J43" i="12"/>
  <c r="H45" i="12" l="1"/>
  <c r="J44" i="12"/>
  <c r="H46" i="12" l="1"/>
  <c r="J45" i="12"/>
  <c r="H47" i="12" l="1"/>
  <c r="J46" i="12"/>
  <c r="H48" i="12" l="1"/>
  <c r="J47" i="12"/>
  <c r="H49" i="12" l="1"/>
  <c r="J48" i="12"/>
  <c r="H50" i="12" l="1"/>
  <c r="J49" i="12"/>
  <c r="H51" i="12" l="1"/>
  <c r="J50" i="12"/>
  <c r="H52" i="12" l="1"/>
  <c r="J51" i="12"/>
  <c r="H53" i="12" l="1"/>
  <c r="J52" i="12"/>
  <c r="H54" i="12" l="1"/>
  <c r="J53" i="12"/>
  <c r="H55" i="12" l="1"/>
  <c r="J54" i="12"/>
  <c r="H56" i="12" l="1"/>
  <c r="J55" i="12"/>
  <c r="H57" i="12" l="1"/>
  <c r="J56" i="12"/>
  <c r="H58" i="12" l="1"/>
  <c r="J57" i="12"/>
  <c r="H59" i="12" l="1"/>
  <c r="J58" i="12"/>
  <c r="H60" i="12" l="1"/>
  <c r="J59" i="12"/>
  <c r="H61" i="12" l="1"/>
  <c r="J60" i="12"/>
  <c r="H62" i="12" l="1"/>
  <c r="J61" i="12"/>
  <c r="H63" i="12" l="1"/>
  <c r="J62" i="12"/>
  <c r="H64" i="12" l="1"/>
  <c r="J63" i="12"/>
  <c r="H65" i="12" l="1"/>
  <c r="J64" i="12"/>
  <c r="H66" i="12" l="1"/>
  <c r="J65" i="12"/>
  <c r="H67" i="12" l="1"/>
  <c r="J66" i="12"/>
  <c r="H68" i="12" l="1"/>
  <c r="J67" i="12"/>
  <c r="H69" i="12" l="1"/>
  <c r="J68" i="12"/>
  <c r="H70" i="12" l="1"/>
  <c r="J69" i="12"/>
  <c r="H71" i="12" l="1"/>
  <c r="J70" i="12"/>
  <c r="H72" i="12" l="1"/>
  <c r="J71" i="12"/>
  <c r="H73" i="12" l="1"/>
  <c r="J72" i="12"/>
  <c r="H74" i="12" l="1"/>
  <c r="J73" i="12"/>
  <c r="H75" i="12" l="1"/>
  <c r="J74" i="12"/>
  <c r="H76" i="12" l="1"/>
  <c r="J75" i="12"/>
  <c r="H77" i="12" l="1"/>
  <c r="J76" i="12"/>
  <c r="H78" i="12" l="1"/>
  <c r="J77" i="12"/>
  <c r="H79" i="12" l="1"/>
  <c r="J78" i="12"/>
  <c r="H80" i="12" l="1"/>
  <c r="J79" i="12"/>
  <c r="H81" i="12" l="1"/>
  <c r="J80" i="12"/>
  <c r="H82" i="12" l="1"/>
  <c r="J81" i="12"/>
  <c r="H83" i="12" l="1"/>
  <c r="J82" i="12"/>
  <c r="H84" i="12" l="1"/>
  <c r="J83" i="12"/>
  <c r="H85" i="12" l="1"/>
  <c r="J84" i="12"/>
  <c r="H86" i="12" l="1"/>
  <c r="J85" i="12"/>
  <c r="H87" i="12" l="1"/>
  <c r="J86" i="12"/>
  <c r="H88" i="12" l="1"/>
  <c r="J87" i="12"/>
  <c r="H89" i="12" l="1"/>
  <c r="J88" i="12"/>
  <c r="H90" i="12" l="1"/>
  <c r="J89" i="12"/>
  <c r="H91" i="12" l="1"/>
  <c r="J90" i="12"/>
  <c r="H92" i="12" l="1"/>
  <c r="J91" i="12"/>
  <c r="H93" i="12" l="1"/>
  <c r="J92" i="12"/>
  <c r="H94" i="12" l="1"/>
  <c r="J93" i="12"/>
  <c r="H95" i="12" l="1"/>
  <c r="J94" i="12"/>
  <c r="H96" i="12" l="1"/>
  <c r="J95" i="12"/>
  <c r="H97" i="12" l="1"/>
  <c r="J96" i="12"/>
  <c r="H98" i="12" l="1"/>
  <c r="J97" i="12"/>
  <c r="H99" i="12" l="1"/>
  <c r="J98" i="12"/>
  <c r="H100" i="12" l="1"/>
  <c r="J99" i="12"/>
  <c r="H101" i="12" l="1"/>
  <c r="J100" i="12"/>
  <c r="H102" i="12" l="1"/>
  <c r="J101" i="12"/>
  <c r="H103" i="12" l="1"/>
  <c r="J102" i="12"/>
  <c r="H104" i="12" l="1"/>
  <c r="J103" i="12"/>
  <c r="H105" i="12" l="1"/>
  <c r="J104" i="12"/>
  <c r="H106" i="12" l="1"/>
  <c r="J105" i="12"/>
  <c r="H107" i="12" l="1"/>
  <c r="J106" i="12"/>
  <c r="H108" i="12" l="1"/>
  <c r="J107" i="12"/>
  <c r="H109" i="12" l="1"/>
  <c r="J108" i="12"/>
  <c r="H110" i="12" l="1"/>
  <c r="J109" i="12"/>
  <c r="H111" i="12" l="1"/>
  <c r="J110" i="12"/>
  <c r="H112" i="12" l="1"/>
  <c r="J111" i="12"/>
  <c r="H113" i="12" l="1"/>
  <c r="J112" i="12"/>
  <c r="H114" i="12" l="1"/>
  <c r="J113" i="12"/>
  <c r="H115" i="12" l="1"/>
  <c r="J114" i="12"/>
  <c r="H116" i="12" l="1"/>
  <c r="J115" i="12"/>
  <c r="H117" i="12" l="1"/>
  <c r="J116" i="12"/>
  <c r="H118" i="12" l="1"/>
  <c r="J117" i="12"/>
  <c r="H119" i="12" l="1"/>
  <c r="J118" i="12"/>
  <c r="H120" i="12" l="1"/>
  <c r="J119" i="12"/>
  <c r="H121" i="12" l="1"/>
  <c r="J120" i="12"/>
  <c r="H122" i="12" l="1"/>
  <c r="J121" i="12"/>
  <c r="H123" i="12" l="1"/>
  <c r="J122" i="12"/>
  <c r="H124" i="12" l="1"/>
  <c r="J124" i="12" s="1"/>
  <c r="J123" i="12"/>
</calcChain>
</file>

<file path=xl/sharedStrings.xml><?xml version="1.0" encoding="utf-8"?>
<sst xmlns="http://schemas.openxmlformats.org/spreadsheetml/2006/main" count="396" uniqueCount="248">
  <si>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</si>
  <si>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</si>
  <si>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</si>
  <si>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</si>
  <si>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</si>
  <si>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</si>
  <si>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</si>
  <si>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</si>
  <si>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</si>
  <si>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</si>
  <si>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</si>
  <si>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</si>
  <si>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</si>
  <si>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</si>
  <si>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</si>
  <si>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</si>
  <si>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</si>
  <si>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</si>
  <si>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</si>
  <si>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</si>
  <si>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</si>
  <si>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r>
      <rPr>
        <sz val="11"/>
        <color theme="1"/>
        <rFont val="Calibri"/>
        <charset val="134"/>
        <scheme val="minor"/>
      </rPr>
      <t xml:space="preserve">ADD: UNUSED VACATION SERVICE CREDITS EARNED FROM ELECTION                                       </t>
    </r>
    <r>
      <rPr>
        <b/>
        <sz val="11"/>
        <color theme="1"/>
        <rFont val="Calibri"/>
        <charset val="134"/>
        <scheme val="minor"/>
      </rPr>
      <t>(7 DAYS)</t>
    </r>
    <r>
      <rPr>
        <sz val="11"/>
        <color theme="1"/>
        <rFont val="Calibri"/>
        <charset val="134"/>
        <scheme val="minor"/>
      </rPr>
      <t xml:space="preserve"> CONVERT: 30Y/69/2</t>
    </r>
  </si>
  <si>
    <t>ADD: 06/1/2007-02/28/2008                                                              (DECEMBER ONLY-PVP: 15 DAYS)</t>
  </si>
  <si>
    <t>ADD: 03/1/2008-03/31/2010                                   (SUMMER &amp; CHRISTMAS)</t>
  </si>
  <si>
    <t>OCTOBER 1, 2014   PROMOTED TO PRINCIPAL I</t>
  </si>
  <si>
    <t>ADD: 10/1/2014-12/31/2014</t>
  </si>
  <si>
    <t>ADD: 01/01/2015-10/31/2015</t>
  </si>
  <si>
    <t>LESS: MONETIZATION 2015</t>
  </si>
  <si>
    <t>ADD: 11/1/2015-12/31/2015</t>
  </si>
  <si>
    <t>LESS: FL 2015</t>
  </si>
  <si>
    <t>ADD: 01/2016-04/30/2016</t>
  </si>
  <si>
    <t>LESS: 02/15-17/2016</t>
  </si>
  <si>
    <t>LESS: MONETIZATION 2016 (5/19/2016)</t>
  </si>
  <si>
    <t>ADD: 05/1/2016-10/31/2016</t>
  </si>
  <si>
    <t>LESS: MONETIZATION 2016 (ADDITIONAL)</t>
  </si>
  <si>
    <t>ADD: 11/1/2016-12/31/2016</t>
  </si>
  <si>
    <t>LESS: MANDATORY FL 2016</t>
  </si>
  <si>
    <t>ADD: 01/1/2017-03/31/2017</t>
  </si>
  <si>
    <t>LESS: 04/10-12/2017</t>
  </si>
  <si>
    <t>ADD: 04/1/2017-7/31/2017</t>
  </si>
  <si>
    <t>LESS: 08/11/2017</t>
  </si>
  <si>
    <t>ADD: 08/1/2017-11/30/2017</t>
  </si>
  <si>
    <t>LESS: MONETIZATION 2017</t>
  </si>
  <si>
    <t>ADD: 12/1-31/2017</t>
  </si>
  <si>
    <t>LESS: MANDATORY FL 2017</t>
  </si>
  <si>
    <t>ADD: 01/1/2018-04/30/2018</t>
  </si>
  <si>
    <t>LESS: MONETIZATION 2018</t>
  </si>
  <si>
    <t>ADD: 05/1/2018-11/30/2018</t>
  </si>
  <si>
    <t>LESS: MONETIZATION 2018 (ADDT'L)</t>
  </si>
  <si>
    <t>LESS: 10/18/2018</t>
  </si>
  <si>
    <t>LESS: 10/29-31/2018 &amp; 11/6-7/2018</t>
  </si>
  <si>
    <t>ADD: 12/1-31/2018</t>
  </si>
  <si>
    <t>ADD: 01/01/2019 - 12/31/2019</t>
  </si>
  <si>
    <t>LESS: FL 2019</t>
  </si>
  <si>
    <t>LESS: 01/02 &amp; 03/2020</t>
  </si>
  <si>
    <t>LESS: 01/30 &amp; 31/2020</t>
  </si>
  <si>
    <t>ADD: 01/1-31/2020</t>
  </si>
  <si>
    <t>LESS: 02/24/2020</t>
  </si>
  <si>
    <t>ADD: 02/1/2020-11/30/2020</t>
  </si>
  <si>
    <t>LESS: 12/21,22,23,28&amp;29/2020</t>
  </si>
  <si>
    <t>LESS: MONETIZATION 2020</t>
  </si>
  <si>
    <t>ADD: 12/1-31/2020</t>
  </si>
  <si>
    <t>ADD: 01/01/2021 - 12/31/2021</t>
  </si>
  <si>
    <t>LESS: MONETIZATION 2021</t>
  </si>
  <si>
    <t>LESS: 12/24,27,28,29&amp;31/2021</t>
  </si>
  <si>
    <t>LESS: 2/4/2022</t>
  </si>
  <si>
    <t>ADD: 01/01/22 - 04/30/22</t>
  </si>
  <si>
    <t>LESS: MAY 05 &amp; 06, 2022</t>
  </si>
  <si>
    <t>LESS: 05/17(.5), 18,19,20,23,24 &amp; 25/22</t>
  </si>
  <si>
    <t>ADD: 05/01/22 - 05/31/22</t>
  </si>
  <si>
    <t>LESS: JUNE 29, 2022</t>
  </si>
  <si>
    <t>ADD: 06/01/22 - 06/30/22</t>
  </si>
  <si>
    <t>LESS: 07/15/2022</t>
  </si>
  <si>
    <t>LESS: 08/11/22</t>
  </si>
  <si>
    <t>LESS: 08/12/22</t>
  </si>
  <si>
    <t>ADD: 07/01/22 - 07/31/22</t>
  </si>
  <si>
    <t>ADD: 08/01/22 - 08/31/22</t>
  </si>
  <si>
    <t>LESS: MONETIZATION 2022</t>
  </si>
  <si>
    <t>ADD: 09/01/22 - 11/30/22</t>
  </si>
  <si>
    <t>LESS: 12/09/22</t>
  </si>
  <si>
    <t>LESS: 12/15 &amp; 16/22</t>
  </si>
  <si>
    <t>LESS: 12/28 &amp; 29/22</t>
  </si>
  <si>
    <t>ADD: 12/1-31/2022</t>
  </si>
  <si>
    <t>LESS:  FL 2022</t>
  </si>
  <si>
    <t>ADD: 01/01/23 - 06/30/23</t>
  </si>
  <si>
    <t>LESS: 07/19/2023</t>
  </si>
  <si>
    <t>LESS: 08/29/2023</t>
  </si>
  <si>
    <t>ADD: 07/01/23 - 07/31/23</t>
  </si>
  <si>
    <t>LESS: 08/3/2023</t>
  </si>
  <si>
    <t>ADD: 08/01/23 - 08/31/23</t>
  </si>
  <si>
    <t>LESS: MONETIZATION 2023</t>
  </si>
  <si>
    <t>ADD: 09/01/2023-09/30/2023</t>
  </si>
  <si>
    <t>LESS:09/29/2023</t>
  </si>
  <si>
    <t>LESS: 10/12-13/2023</t>
  </si>
  <si>
    <t>LESS: 10/26/2023</t>
  </si>
  <si>
    <t>ADD: 10/01/2023-10/31/2023</t>
  </si>
  <si>
    <t>LESS: 11/9-10/2023</t>
  </si>
  <si>
    <t>LESS: 11/29/2023 &amp; 12/1&amp;4/2023</t>
  </si>
  <si>
    <t>ADD: 11/01/2023-11/30/2023</t>
  </si>
  <si>
    <t>ADD: DISAPPROVED FL 11/29/2023 &amp; 12/1&amp;4/2023</t>
  </si>
  <si>
    <t>ADD: DISAPPROVED FL 11/9-10/2023</t>
  </si>
  <si>
    <t>ADD: 12/01/2023-12/31/2023</t>
  </si>
  <si>
    <t>LESS: 01/02/2024</t>
  </si>
  <si>
    <t>LESS: 12/29/2023</t>
  </si>
  <si>
    <t>ADD: 01/01/2024-01/31/2024</t>
  </si>
  <si>
    <t>LESS: 02/19/2024</t>
  </si>
  <si>
    <t>ADD: 02/1/2024-04/30/2024</t>
  </si>
  <si>
    <t>LESS: 06/7/2024</t>
  </si>
  <si>
    <t>ADD: 05/1-31/2024</t>
  </si>
  <si>
    <t>LESS: 06/6/2024</t>
  </si>
  <si>
    <t>ADD: JUNE -JULY 31, 2024</t>
  </si>
  <si>
    <t>LESS: MONETIZATION 2024</t>
  </si>
  <si>
    <t>ADD: 08/1/2024-10/31/2024</t>
  </si>
  <si>
    <t>LESS: 11/4/2024</t>
  </si>
  <si>
    <t>LESS: 11/12/2024</t>
  </si>
  <si>
    <t>LESS: 11/22/2024</t>
  </si>
  <si>
    <t>LESS: 12/23, 26 &amp; 27/2024</t>
  </si>
  <si>
    <t>ADD: 11/12/2024 (DISAPPROVED)                  EXIGENCY OF SERVICE</t>
  </si>
  <si>
    <t>ADD: 11/22/2024 (DISAPPROVED)                 EXIGENCY OF SERVICE</t>
  </si>
  <si>
    <t>ADD: 11/1/2024-12/31/2024</t>
  </si>
  <si>
    <t>LESS: 01/02/2025</t>
  </si>
  <si>
    <t>ADD: 01/1/2025-03/31/2025</t>
  </si>
  <si>
    <t>LESS: MONETIZATION 2025</t>
  </si>
  <si>
    <t>LESS: 04/21/2025</t>
  </si>
  <si>
    <t>ADD: 04/1/2025-06/30/2025</t>
  </si>
  <si>
    <t>LESS: 08/11/2025</t>
  </si>
  <si>
    <t>ADD: 07/1/2025-08/31/2025</t>
  </si>
  <si>
    <t>LESS: 09/5/2025</t>
  </si>
  <si>
    <t>ADD: 09/1/2025-10/31/2025</t>
  </si>
  <si>
    <t>LESS: 11/27-28/2025, 12/22,23, 26/2025</t>
  </si>
  <si>
    <t>LESS: 11/14/2025</t>
  </si>
  <si>
    <t>ADD: 11/1-30/2025</t>
  </si>
  <si>
    <t>ADD: 11/27-28/2025 EXIGENCY OF SERVICE</t>
  </si>
  <si>
    <t xml:space="preserve">  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</si>
  <si>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</si>
  <si>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</si>
  <si>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</si>
  <si>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</si>
  <si>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</si>
  <si>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</si>
  <si>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APRIL 17, 2023</t>
  </si>
  <si>
    <t>S.O. # 047, S. 2023, PERFORMANCE PLANNING &amp; COMMITMENT FOR SY 2023</t>
  </si>
  <si>
    <t>LESS: DECEMNBER 11, 2023</t>
  </si>
  <si>
    <t>LESS: 02/13/2024</t>
  </si>
  <si>
    <t>ADD: 10/11/2023</t>
  </si>
  <si>
    <t>S.O # 084, S. 2023, CAPACITY BUILDING OF TEACHERS ON THE IMPLEMENTATION OF THE NATIONAL LEARNING CAMP</t>
  </si>
  <si>
    <t>LESS: 02/14/2024</t>
  </si>
  <si>
    <t>ADD: 01/31/2024</t>
  </si>
  <si>
    <t>S.O # 003, S. 2024 MTAP-WV REGIONAL TARINING WORKSHOP AND CONFERENCE 2023</t>
  </si>
  <si>
    <t>LESS: 02/20-21/2024</t>
  </si>
  <si>
    <t>ADD: 04/12/2023</t>
  </si>
  <si>
    <t>S.O # 047, S. 2023 WORKSHOP ON CURRICULUM IMPLEMENTATION  PERFORMANCE PLANNING &amp; COMMOTMENT FOR SY 2023</t>
  </si>
  <si>
    <t>LESS: 02/22-23/2024</t>
  </si>
  <si>
    <t>ADD: 05/20/2024</t>
  </si>
  <si>
    <t>S.O # 015, S. 2024 PALARONG PANLALAWIGAN 2024</t>
  </si>
  <si>
    <t>LESS: 04/14-16/2025</t>
  </si>
  <si>
    <t>ADD: 06/26/2024</t>
  </si>
  <si>
    <t>S.O. # 024, S. 2024. 126TH PHILIPPINE INDEPENDENCE DAY CELEBRATION</t>
  </si>
  <si>
    <t>LESS: 05/2/2025</t>
  </si>
  <si>
    <t>ADD: 12/3/2024</t>
  </si>
  <si>
    <t>S.O. # 080, S. 2024. 2024 SCIMATHLYMPICS</t>
  </si>
  <si>
    <t>2 DAYS &amp; 2 HRS</t>
  </si>
  <si>
    <t>LESS: 09/19/2025</t>
  </si>
  <si>
    <t>1 DAY &amp; 2 HRS</t>
  </si>
  <si>
    <t>LESS: 10/24/2025</t>
  </si>
  <si>
    <t xml:space="preserve"> 2 HRS</t>
  </si>
  <si>
    <t>ADD: 03/27/2025</t>
  </si>
  <si>
    <t>S.O. # 006 S. 2025. RTOT JAN 27-31, 2025</t>
  </si>
  <si>
    <t>LESS: 11/20-PM &amp; 21/2025</t>
  </si>
  <si>
    <t>NOTE:  Valid for one (1) year only</t>
  </si>
  <si>
    <t>Certified Correct:</t>
  </si>
  <si>
    <t>MA. LUISA B. CATIGAN</t>
  </si>
  <si>
    <t>Administrative Officer IV</t>
  </si>
  <si>
    <t>HRMO</t>
  </si>
  <si>
    <t>NAME          : ZARAGOZA, CRISTINA</t>
  </si>
  <si>
    <t>DISTRICT                : _______________________</t>
  </si>
  <si>
    <t>EMPLOYEE NO    : __________</t>
  </si>
  <si>
    <t>SCHOOL/OFFICE : CID</t>
  </si>
  <si>
    <t>STATION CODE    : __________</t>
  </si>
  <si>
    <t>POSITION   : EPS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</si>
  <si>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</si>
  <si>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</si>
  <si>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</si>
  <si>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</si>
  <si>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</si>
  <si>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S.0 # 174, s. 1994</t>
  </si>
  <si>
    <t>ADD: MAY 9, 1994</t>
  </si>
  <si>
    <t xml:space="preserve"> MAY 9, 1994 REGISTRATION &amp; BRGY. ELECTION </t>
  </si>
  <si>
    <t>LESS: 05/20/2021</t>
  </si>
  <si>
    <t>LESS: 08/18 &amp; 20/2021</t>
  </si>
  <si>
    <t>LESS: 03/3-4/2022</t>
  </si>
  <si>
    <t>SO# 175, S. 1995</t>
  </si>
  <si>
    <t>ADD: MAY 08, 1995</t>
  </si>
  <si>
    <t xml:space="preserve">May 8, 1995 REGISTRATION &amp; BRGY. ELECTION </t>
  </si>
  <si>
    <t>LESS: MAY 02 &amp; 04, 2022</t>
  </si>
  <si>
    <t>LESS: MAY 12 &amp; 13, 2022</t>
  </si>
  <si>
    <t>LESS: JUNE 03, 2022</t>
  </si>
  <si>
    <t>S.0 # 1211, S. 2002, MAY 14, 2001</t>
  </si>
  <si>
    <t>ADD: MAY 14, 2001</t>
  </si>
  <si>
    <t xml:space="preserve"> MAY 14, 2001 NATIONAL AND LOCAL ELECTION</t>
  </si>
  <si>
    <t>LESS: 08/26/2022</t>
  </si>
  <si>
    <t>LESS: 09/05/2022</t>
  </si>
  <si>
    <t>LESS: 09/13-14/2022</t>
  </si>
  <si>
    <t>LESS: 04/3, 4 &amp; 5/2023</t>
  </si>
  <si>
    <t xml:space="preserve"> </t>
  </si>
  <si>
    <t>LESS: 04/28/2023</t>
  </si>
  <si>
    <t>LESS: 05/12/2023</t>
  </si>
  <si>
    <t>LESS:06/05/23</t>
  </si>
  <si>
    <t>SO# 1576, S.2003</t>
  </si>
  <si>
    <t>ADD: 07/15/2002</t>
  </si>
  <si>
    <t>BRGY. &amp; SK ELECTION</t>
  </si>
  <si>
    <t>LESS: 03/10/2023</t>
  </si>
  <si>
    <t>LESS: 11/3/2023</t>
  </si>
  <si>
    <t>SO# 2135, S.2024</t>
  </si>
  <si>
    <t>ADD: MAY 10, 2004</t>
  </si>
  <si>
    <t>MAY 10, 2004 NATIONAL &amp; LOCAL ELECTION</t>
  </si>
  <si>
    <t>LESS: 06/18/2024</t>
  </si>
  <si>
    <t>UNUSED VSC EARNED FROM ELECTION IS 7 DAYS: CONVERT 30Y/69/2 = 7x30/69/2 = 3.043/2=1.521</t>
  </si>
  <si>
    <t xml:space="preserve">    </t>
  </si>
  <si>
    <t xml:space="preserve">EMP. NO  : </t>
  </si>
  <si>
    <t>ADD: 10/01/2014 - 12/31/2014</t>
  </si>
  <si>
    <t>ADD: 01/01/2015 - 12/31/2015</t>
  </si>
  <si>
    <t>ADD: 01/01/2016 - 12/31/2016</t>
  </si>
  <si>
    <t>LESS: MONETIZATION 5/19/2016</t>
  </si>
  <si>
    <t>LESS: ADDT'L MONETIZATION 2016</t>
  </si>
  <si>
    <t>LESS: ADDT'L MONETIZATION 12/13/2016</t>
  </si>
  <si>
    <t>LESS: FL 2016</t>
  </si>
  <si>
    <t>ADD: 01/01/2017 - 12/31/2017</t>
  </si>
  <si>
    <t>LESS: 4/10/2017</t>
  </si>
  <si>
    <t>LESS: 8/11/2017</t>
  </si>
  <si>
    <t>LESS: FL 2017</t>
  </si>
  <si>
    <t>ADD: 01/01/2018 - 12/31/2018</t>
  </si>
  <si>
    <t>LESS: ADDT'L MONETIZATION 12/07/2018</t>
  </si>
  <si>
    <t>LESS: 10/29-31 &amp; 11/6-7/2018</t>
  </si>
  <si>
    <t>LESS: 10/11/2018</t>
  </si>
  <si>
    <t>ADD: 01/01/2020 - 12/31/2020</t>
  </si>
  <si>
    <t>ADD: 01/01/22 - 02/28/22</t>
  </si>
  <si>
    <t>ADD: 03/01/22 - 03/31/22</t>
  </si>
  <si>
    <t>ADD: 04/01/22 - 04/30/22</t>
  </si>
  <si>
    <t>LESS: 09/13 &amp; 14/22</t>
  </si>
  <si>
    <t>ADD: 12/01/22 - 12/31/22</t>
  </si>
  <si>
    <t>ADD: 01/01/23 - 02/28/23</t>
  </si>
  <si>
    <t>ADD: 03/01/23 - 03/31/23</t>
  </si>
  <si>
    <t>ADD: 04/01/23 - 04/30/23</t>
  </si>
  <si>
    <t>ADD: 05/01/23 - 05/31/23</t>
  </si>
  <si>
    <t>ADD: 06/01/23 - 06/30/23</t>
  </si>
  <si>
    <t>ADD: 11/12/2024 (DISAPPROVED) EXIGENCY OF SERVICE</t>
  </si>
  <si>
    <t>ADD: 11/22/2024 (DISAPPROVED) EXIGENCY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</si>
</sst>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/>
  </cellStyleXfs>
  <cellXfs count="148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8" fontId="3" fillId="2" borderId="10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68" fontId="3" fillId="4" borderId="10" xfId="0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68" fontId="3" fillId="2" borderId="12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168" fontId="0" fillId="2" borderId="14" xfId="0" applyNumberFormat="1" applyFill="1" applyBorder="1" applyAlignment="1">
      <alignment horizontal="center" vertical="center" wrapText="1"/>
    </xf>
    <xf numFmtId="168" fontId="0" fillId="0" borderId="12" xfId="0" applyNumberFormat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168" fontId="3" fillId="2" borderId="17" xfId="0" applyNumberFormat="1" applyFont="1" applyFill="1" applyBorder="1" applyAlignment="1">
      <alignment horizontal="center" vertical="center"/>
    </xf>
    <xf numFmtId="168" fontId="3" fillId="4" borderId="17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0" fontId="4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168" fontId="0" fillId="2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wrapText="1"/>
    </xf>
    <xf numFmtId="168" fontId="3" fillId="0" borderId="10" xfId="0" applyNumberFormat="1" applyFont="1" applyBorder="1" applyAlignment="1">
      <alignment horizontal="center" vertical="center"/>
    </xf>
    <xf numFmtId="168" fontId="0" fillId="5" borderId="12" xfId="0" applyNumberFormat="1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168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center"/>
    </xf>
    <xf numFmtId="168" fontId="3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7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0" borderId="0" xfId="1" applyFont="1"/>
    <xf numFmtId="0" fontId="9" fillId="7" borderId="1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14" fillId="2" borderId="12" xfId="1" applyFill="1" applyBorder="1" applyAlignment="1">
      <alignment horizontal="center" vertical="center" wrapText="1"/>
    </xf>
    <xf numFmtId="0" fontId="9" fillId="2" borderId="12" xfId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2" borderId="22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9" fillId="4" borderId="12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2" fillId="0" borderId="0" xfId="0" applyFont="1"/>
    <xf numFmtId="0" fontId="1" fillId="2" borderId="1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68" fontId="0" fillId="2" borderId="12" xfId="0" applyNumberForma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/>
    </xf>
    <xf numFmtId="0" fontId="12" fillId="0" borderId="0" xfId="0" applyFont="1" applyAlignment="1">
      <alignment vertical="center"/>
    </xf>
    <xf numFmtId="168" fontId="0" fillId="5" borderId="12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 vertical="center"/>
    </xf>
    <xf numFmtId="168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21" xfId="0" applyFont="1" applyFill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2" borderId="18" xfId="1" applyFont="1" applyFill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168" fontId="0" fillId="0" borderId="25" xfId="0" applyNumberFormat="1" applyBorder="1" applyAlignment="1">
      <alignment horizontal="center" vertical="center"/>
    </xf>
    <xf numFmtId="168" fontId="0" fillId="2" borderId="25" xfId="0" applyNumberFormat="1" applyFill="1" applyBorder="1" applyAlignment="1">
      <alignment horizontal="center" vertical="center"/>
    </xf>
    <xf numFmtId="168" fontId="0" fillId="0" borderId="14" xfId="0" applyNumberFormat="1" applyBorder="1" applyAlignment="1">
      <alignment horizontal="center" vertical="center"/>
    </xf>
    <xf numFmtId="168" fontId="0" fillId="2" borderId="14" xfId="0" applyNumberForma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168" fontId="0" fillId="12" borderId="12" xfId="0" applyNumberForma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168" fontId="0" fillId="12" borderId="12" xfId="0" applyNumberFormat="1" applyFill="1" applyBorder="1" applyAlignment="1">
      <alignment horizontal="center"/>
    </xf>
  </cellXfs>
  <cellStyles count="2">
    <cellStyle name="Normal" xfId="0" builtinId="0"/>
    <cellStyle name="Normal 2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70425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CRISTINA A. ZARAGOZA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16585" y="1725930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EPSVR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4144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  <xdr:twoCellAnchor>
    <xdr:from>
      <xdr:col>5</xdr:col>
      <xdr:colOff>617029</xdr:colOff>
      <xdr:row>126</xdr:row>
      <xdr:rowOff>161744</xdr:rowOff>
    </xdr:from>
    <xdr:to>
      <xdr:col>9</xdr:col>
      <xdr:colOff>287549</xdr:colOff>
      <xdr:row>132</xdr:row>
      <xdr:rowOff>98844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524625" y="23467060"/>
          <a:ext cx="2845435" cy="10325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555851</xdr:colOff>
      <xdr:row>0</xdr:row>
      <xdr:rowOff>38329</xdr:rowOff>
    </xdr:from>
    <xdr:to>
      <xdr:col>4</xdr:col>
      <xdr:colOff>17008</xdr:colOff>
      <xdr:row>1</xdr:row>
      <xdr:rowOff>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01845" y="38100"/>
          <a:ext cx="675640" cy="63119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1281339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3405" y="1376045"/>
          <a:ext cx="225806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ZARAGOZA, CRISTINA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54050" y="1684020"/>
          <a:ext cx="96266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572635" y="1706880"/>
          <a:ext cx="1190625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78804</xdr:colOff>
      <xdr:row>0</xdr:row>
      <xdr:rowOff>21626</xdr:rowOff>
    </xdr:from>
    <xdr:to>
      <xdr:col>5</xdr:col>
      <xdr:colOff>251355</xdr:colOff>
      <xdr:row>0</xdr:row>
      <xdr:rowOff>654844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2650" y="21590"/>
          <a:ext cx="789305" cy="633095"/>
        </a:xfrm>
        <a:prstGeom prst="rect">
          <a:avLst/>
        </a:prstGeom>
        <a:noFill/>
      </xdr:spPr>
    </xdr:pic>
    <xdr:clientData/>
  </xdr:twoCellAnchor>
  <xdr:twoCellAnchor>
    <xdr:from>
      <xdr:col>5</xdr:col>
      <xdr:colOff>340783</xdr:colOff>
      <xdr:row>36</xdr:row>
      <xdr:rowOff>52915</xdr:rowOff>
    </xdr:from>
    <xdr:to>
      <xdr:col>12</xdr:col>
      <xdr:colOff>222515</xdr:colOff>
      <xdr:row>41</xdr:row>
      <xdr:rowOff>119061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571490" y="9368790"/>
          <a:ext cx="3810000" cy="9804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769408</xdr:colOff>
      <xdr:row>8</xdr:row>
      <xdr:rowOff>16140</xdr:rowOff>
    </xdr:from>
    <xdr:to>
      <xdr:col>2</xdr:col>
      <xdr:colOff>45508</xdr:colOff>
      <xdr:row>8</xdr:row>
      <xdr:rowOff>16140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68985" y="1785620"/>
          <a:ext cx="21170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1170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136526</xdr:colOff>
      <xdr:row>0</xdr:row>
      <xdr:rowOff>101600</xdr:rowOff>
    </xdr:from>
    <xdr:to>
      <xdr:col>4</xdr:col>
      <xdr:colOff>187455</xdr:colOff>
      <xdr:row>0</xdr:row>
      <xdr:rowOff>631825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96435" y="101600"/>
          <a:ext cx="84455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5</xdr:row>
      <xdr:rowOff>0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73405" y="1407795"/>
          <a:ext cx="2009140" cy="220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ZARAGOZA, CRISTINA A. 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616585" y="1725930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EPSVR</a:t>
          </a:r>
        </a:p>
      </xdr:txBody>
    </xdr:sp>
    <xdr:clientData/>
  </xdr:twoCellAnchor>
  <xdr:twoCellAnchor>
    <xdr:from>
      <xdr:col>2</xdr:col>
      <xdr:colOff>415192</xdr:colOff>
      <xdr:row>7</xdr:row>
      <xdr:rowOff>63500</xdr:rowOff>
    </xdr:from>
    <xdr:to>
      <xdr:col>3</xdr:col>
      <xdr:colOff>190500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980815" y="1728470"/>
          <a:ext cx="569595" cy="229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1"/>
  <sheetViews>
    <sheetView tabSelected="1" view="pageBreakPreview" topLeftCell="A110" zoomScale="106" zoomScaleNormal="100" workbookViewId="0">
      <selection activeCell="B133" sqref="B133"/>
    </sheetView>
  </sheetViews>
  <sheetFormatPr defaultColWidth="9" defaultRowHeight="14.45"/>
  <cols>
    <col min="1" max="1" width="39.875" customWidth="1"/>
    <col min="2" max="5" width="11.625" customWidth="1"/>
    <col min="6" max="7" width="11.625" style="68" customWidth="1"/>
    <col min="8" max="10" width="11.625" customWidth="1"/>
    <col min="11" max="11" width="26.375" style="74" customWidth="1"/>
  </cols>
  <sheetData>
    <row r="1" spans="1:11" s="1" customFormat="1" ht="52.5" customHeight="1"/>
    <row r="2" spans="1:11" s="1" customFormat="1" ht="10.5" customHeight="1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</row>
    <row r="3" spans="1:11" s="1" customFormat="1" ht="15.95" customHeight="1">
      <c r="A3" s="85" t="s">
        <v>1</v>
      </c>
      <c r="B3" s="85"/>
      <c r="C3" s="85"/>
      <c r="D3" s="85"/>
      <c r="E3" s="85"/>
      <c r="F3" s="85"/>
      <c r="G3" s="85"/>
      <c r="H3" s="85"/>
      <c r="I3" s="85"/>
      <c r="J3" s="85"/>
    </row>
    <row r="4" spans="1:11" s="1" customFormat="1" ht="15.95" customHeight="1">
      <c r="A4" s="85" t="s">
        <v>2</v>
      </c>
      <c r="B4" s="85"/>
      <c r="C4" s="85"/>
      <c r="D4" s="85"/>
      <c r="E4" s="85"/>
      <c r="F4" s="85"/>
      <c r="G4" s="85"/>
      <c r="H4" s="85"/>
      <c r="I4" s="85"/>
      <c r="J4" s="85"/>
    </row>
    <row r="5" spans="1:11" s="1" customFormat="1" ht="15.95" customHeight="1">
      <c r="A5" s="85" t="s">
        <v>3</v>
      </c>
      <c r="B5" s="85"/>
      <c r="C5" s="85"/>
      <c r="D5" s="85"/>
      <c r="E5" s="85"/>
      <c r="F5" s="85"/>
      <c r="G5" s="85"/>
      <c r="H5" s="85"/>
      <c r="I5" s="85"/>
      <c r="J5" s="85"/>
    </row>
    <row r="6" spans="1:11" s="1" customFormat="1" ht="8.25" customHeight="1"/>
    <row r="7" spans="1:11" s="1" customFormat="1" ht="12" customHeight="1">
      <c r="A7" s="1" t="s">
        <v>4</v>
      </c>
      <c r="B7" s="86" t="s">
        <v>5</v>
      </c>
      <c r="C7" s="86"/>
      <c r="D7" s="86"/>
      <c r="H7" s="6" t="s">
        <v>6</v>
      </c>
      <c r="I7" s="7"/>
      <c r="J7" s="6"/>
    </row>
    <row r="8" spans="1:11" s="1" customFormat="1" ht="12" customHeight="1">
      <c r="B8" s="8"/>
      <c r="C8" s="8"/>
      <c r="H8" s="8"/>
      <c r="I8" s="8"/>
      <c r="J8" s="8"/>
    </row>
    <row r="9" spans="1:11" s="1" customFormat="1" ht="12" customHeight="1">
      <c r="A9" s="1" t="s">
        <v>7</v>
      </c>
      <c r="B9" s="86" t="s">
        <v>8</v>
      </c>
      <c r="C9" s="86"/>
      <c r="D9" s="86"/>
      <c r="H9" s="6" t="s">
        <v>9</v>
      </c>
      <c r="I9" s="9"/>
      <c r="J9" s="6"/>
    </row>
    <row r="10" spans="1:11" ht="23.25" customHeight="1">
      <c r="A10" s="87" t="s">
        <v>10</v>
      </c>
      <c r="B10" s="87"/>
      <c r="C10" s="87"/>
      <c r="D10" s="87"/>
      <c r="E10" s="87"/>
      <c r="F10" s="87"/>
      <c r="G10" s="87"/>
      <c r="H10" s="87"/>
      <c r="I10" s="87"/>
      <c r="J10" s="87"/>
      <c r="K10"/>
    </row>
    <row r="11" spans="1:11" ht="18.75" customHeight="1">
      <c r="A11" s="89" t="s">
        <v>11</v>
      </c>
      <c r="B11" s="137" t="s">
        <v>12</v>
      </c>
      <c r="C11" s="138"/>
      <c r="D11" s="139" t="s">
        <v>13</v>
      </c>
      <c r="E11" s="140"/>
      <c r="F11" s="140"/>
      <c r="G11" s="141"/>
      <c r="H11" s="142" t="s">
        <v>14</v>
      </c>
      <c r="I11" s="143"/>
      <c r="J11" s="91" t="s">
        <v>15</v>
      </c>
      <c r="K11" s="93" t="s">
        <v>16</v>
      </c>
    </row>
    <row r="12" spans="1:11" ht="18.75" customHeight="1">
      <c r="A12" s="90"/>
      <c r="B12" s="75" t="s">
        <v>17</v>
      </c>
      <c r="C12" s="75" t="s">
        <v>18</v>
      </c>
      <c r="D12" s="75" t="s">
        <v>17</v>
      </c>
      <c r="E12" s="75" t="s">
        <v>18</v>
      </c>
      <c r="F12" s="75" t="s">
        <v>19</v>
      </c>
      <c r="G12" s="75" t="s">
        <v>20</v>
      </c>
      <c r="H12" s="75" t="s">
        <v>17</v>
      </c>
      <c r="I12" s="75" t="s">
        <v>18</v>
      </c>
      <c r="J12" s="92"/>
      <c r="K12" s="93"/>
    </row>
    <row r="13" spans="1:11" ht="44.25" customHeight="1">
      <c r="A13" s="76" t="s">
        <v>21</v>
      </c>
      <c r="B13" s="24">
        <v>1.5209999999999999</v>
      </c>
      <c r="C13" s="24">
        <v>1.5209999999999999</v>
      </c>
      <c r="D13" s="24"/>
      <c r="E13" s="24"/>
      <c r="F13" s="24"/>
      <c r="G13" s="24"/>
      <c r="H13" s="77">
        <f>B13</f>
        <v>1.5209999999999999</v>
      </c>
      <c r="I13" s="77">
        <f>C13</f>
        <v>1.5209999999999999</v>
      </c>
      <c r="J13" s="77">
        <f>SUM(H13:I13)</f>
        <v>3.0419999999999998</v>
      </c>
    </row>
    <row r="14" spans="1:11" ht="37.5" customHeight="1">
      <c r="A14" s="76" t="s">
        <v>22</v>
      </c>
      <c r="B14" s="24">
        <v>0.625</v>
      </c>
      <c r="C14" s="24">
        <v>0.625</v>
      </c>
      <c r="D14" s="24"/>
      <c r="E14" s="24"/>
      <c r="F14" s="24"/>
      <c r="G14" s="24"/>
      <c r="H14" s="77">
        <f>H13-F14-D14+B14</f>
        <v>2.1459999999999999</v>
      </c>
      <c r="I14" s="77">
        <f>I13-E14+C14</f>
        <v>2.1459999999999999</v>
      </c>
      <c r="J14" s="77">
        <f>SUM(H14:I14)</f>
        <v>4.2919999999999998</v>
      </c>
    </row>
    <row r="15" spans="1:11" ht="33" customHeight="1">
      <c r="A15" s="76" t="s">
        <v>23</v>
      </c>
      <c r="B15" s="24">
        <v>5</v>
      </c>
      <c r="C15" s="24">
        <v>5</v>
      </c>
      <c r="D15" s="24"/>
      <c r="E15" s="24"/>
      <c r="F15" s="24"/>
      <c r="G15" s="24"/>
      <c r="H15" s="77">
        <f t="shared" ref="H15:H42" si="0">H14-F15-D15+B15</f>
        <v>7.1459999999999999</v>
      </c>
      <c r="I15" s="77">
        <f t="shared" ref="I15:I42" si="1">I14-E15+C15</f>
        <v>7.1459999999999999</v>
      </c>
      <c r="J15" s="77">
        <f t="shared" ref="J15:J42" si="2">SUM(H15:I15)</f>
        <v>14.292</v>
      </c>
    </row>
    <row r="16" spans="1:11" ht="27.75" customHeight="1">
      <c r="A16" s="78" t="s">
        <v>24</v>
      </c>
      <c r="B16" s="88"/>
      <c r="C16" s="88"/>
      <c r="D16" s="88"/>
      <c r="E16" s="88"/>
      <c r="F16" s="88"/>
      <c r="G16" s="88"/>
      <c r="H16" s="77">
        <f t="shared" si="0"/>
        <v>7.1459999999999999</v>
      </c>
      <c r="I16" s="77">
        <f t="shared" si="1"/>
        <v>7.1459999999999999</v>
      </c>
      <c r="J16" s="77">
        <f t="shared" si="2"/>
        <v>14.292</v>
      </c>
    </row>
    <row r="17" spans="1:10" ht="12.75" customHeight="1">
      <c r="A17" s="27" t="s">
        <v>25</v>
      </c>
      <c r="B17" s="24">
        <v>3.75</v>
      </c>
      <c r="C17" s="24">
        <v>3.75</v>
      </c>
      <c r="D17" s="24"/>
      <c r="E17" s="24"/>
      <c r="F17" s="24"/>
      <c r="G17" s="24"/>
      <c r="H17" s="77">
        <f t="shared" si="0"/>
        <v>10.896000000000001</v>
      </c>
      <c r="I17" s="77">
        <f t="shared" si="1"/>
        <v>10.896000000000001</v>
      </c>
      <c r="J17" s="77">
        <f t="shared" si="2"/>
        <v>21.792000000000002</v>
      </c>
    </row>
    <row r="18" spans="1:10" ht="12" customHeight="1">
      <c r="A18" s="27" t="s">
        <v>26</v>
      </c>
      <c r="B18" s="24">
        <v>12.5</v>
      </c>
      <c r="C18" s="24">
        <v>12.5</v>
      </c>
      <c r="D18" s="24"/>
      <c r="E18" s="24"/>
      <c r="F18" s="24"/>
      <c r="G18" s="24"/>
      <c r="H18" s="77">
        <f t="shared" si="0"/>
        <v>23.396000000000001</v>
      </c>
      <c r="I18" s="77">
        <f t="shared" si="1"/>
        <v>23.396000000000001</v>
      </c>
      <c r="J18" s="77">
        <f t="shared" si="2"/>
        <v>46.792000000000002</v>
      </c>
    </row>
    <row r="19" spans="1:10" ht="12" customHeight="1">
      <c r="A19" s="27" t="s">
        <v>27</v>
      </c>
      <c r="B19" s="24"/>
      <c r="C19" s="24"/>
      <c r="D19" s="24">
        <v>11</v>
      </c>
      <c r="E19" s="24">
        <v>14</v>
      </c>
      <c r="F19" s="24"/>
      <c r="G19" s="24"/>
      <c r="H19" s="77">
        <f t="shared" si="0"/>
        <v>12.396000000000001</v>
      </c>
      <c r="I19" s="77">
        <f t="shared" si="1"/>
        <v>9.3960000000000008</v>
      </c>
      <c r="J19" s="77">
        <f t="shared" si="2"/>
        <v>21.792000000000002</v>
      </c>
    </row>
    <row r="20" spans="1:10" ht="12" customHeight="1">
      <c r="A20" s="27" t="s">
        <v>28</v>
      </c>
      <c r="B20" s="24">
        <v>2.5</v>
      </c>
      <c r="C20" s="24">
        <v>2.5</v>
      </c>
      <c r="D20" s="24"/>
      <c r="E20" s="24"/>
      <c r="F20" s="24"/>
      <c r="G20" s="24"/>
      <c r="H20" s="77">
        <f t="shared" si="0"/>
        <v>14.896000000000001</v>
      </c>
      <c r="I20" s="77">
        <f t="shared" si="1"/>
        <v>11.896000000000001</v>
      </c>
      <c r="J20" s="77">
        <f t="shared" si="2"/>
        <v>26.792000000000002</v>
      </c>
    </row>
    <row r="21" spans="1:10" ht="12" customHeight="1">
      <c r="A21" s="27" t="s">
        <v>29</v>
      </c>
      <c r="B21" s="24"/>
      <c r="C21" s="24"/>
      <c r="D21" s="24"/>
      <c r="E21" s="24"/>
      <c r="F21" s="24">
        <v>5</v>
      </c>
      <c r="G21" s="24"/>
      <c r="H21" s="77">
        <f t="shared" si="0"/>
        <v>9.8960000000000008</v>
      </c>
      <c r="I21" s="77">
        <f t="shared" si="1"/>
        <v>11.896000000000001</v>
      </c>
      <c r="J21" s="77">
        <f t="shared" si="2"/>
        <v>21.792000000000002</v>
      </c>
    </row>
    <row r="22" spans="1:10" ht="12" customHeight="1">
      <c r="A22" s="27" t="s">
        <v>30</v>
      </c>
      <c r="B22" s="24">
        <v>5</v>
      </c>
      <c r="C22" s="24">
        <v>5</v>
      </c>
      <c r="D22" s="24"/>
      <c r="E22" s="24"/>
      <c r="F22" s="24"/>
      <c r="G22" s="24"/>
      <c r="H22" s="77">
        <f t="shared" si="0"/>
        <v>14.896000000000001</v>
      </c>
      <c r="I22" s="77">
        <f t="shared" si="1"/>
        <v>16.896000000000001</v>
      </c>
      <c r="J22" s="77">
        <f t="shared" si="2"/>
        <v>31.792000000000002</v>
      </c>
    </row>
    <row r="23" spans="1:10" ht="12" customHeight="1">
      <c r="A23" s="27" t="s">
        <v>31</v>
      </c>
      <c r="B23" s="24"/>
      <c r="C23" s="24"/>
      <c r="D23" s="24"/>
      <c r="E23" s="24"/>
      <c r="F23" s="24"/>
      <c r="G23" s="24">
        <v>3</v>
      </c>
      <c r="H23" s="77">
        <f t="shared" si="0"/>
        <v>14.896000000000001</v>
      </c>
      <c r="I23" s="77">
        <f t="shared" si="1"/>
        <v>16.896000000000001</v>
      </c>
      <c r="J23" s="77">
        <f t="shared" si="2"/>
        <v>31.792000000000002</v>
      </c>
    </row>
    <row r="24" spans="1:10" ht="12" customHeight="1">
      <c r="A24" s="27" t="s">
        <v>32</v>
      </c>
      <c r="B24" s="24"/>
      <c r="C24" s="24"/>
      <c r="D24" s="24">
        <v>4</v>
      </c>
      <c r="E24" s="24">
        <v>6</v>
      </c>
      <c r="F24" s="24"/>
      <c r="G24" s="24"/>
      <c r="H24" s="77">
        <f t="shared" si="0"/>
        <v>10.896000000000001</v>
      </c>
      <c r="I24" s="77">
        <f t="shared" si="1"/>
        <v>10.896000000000001</v>
      </c>
      <c r="J24" s="77">
        <f t="shared" si="2"/>
        <v>21.792000000000002</v>
      </c>
    </row>
    <row r="25" spans="1:10" ht="12.75" customHeight="1">
      <c r="A25" s="27" t="s">
        <v>33</v>
      </c>
      <c r="B25" s="24">
        <v>7.5</v>
      </c>
      <c r="C25" s="24">
        <v>7.5</v>
      </c>
      <c r="D25" s="24"/>
      <c r="E25" s="24"/>
      <c r="F25" s="24"/>
      <c r="G25" s="24"/>
      <c r="H25" s="77">
        <f t="shared" si="0"/>
        <v>18.396000000000001</v>
      </c>
      <c r="I25" s="77">
        <f t="shared" si="1"/>
        <v>18.396000000000001</v>
      </c>
      <c r="J25" s="77">
        <f t="shared" si="2"/>
        <v>36.792000000000002</v>
      </c>
    </row>
    <row r="26" spans="1:10" ht="12" customHeight="1">
      <c r="A26" s="27" t="s">
        <v>34</v>
      </c>
      <c r="B26" s="24"/>
      <c r="C26" s="24"/>
      <c r="D26" s="24">
        <v>6</v>
      </c>
      <c r="E26" s="24">
        <v>9</v>
      </c>
      <c r="F26" s="24"/>
      <c r="G26" s="24"/>
      <c r="H26" s="77">
        <f t="shared" si="0"/>
        <v>12.396000000000001</v>
      </c>
      <c r="I26" s="77">
        <f t="shared" si="1"/>
        <v>9.3960000000000008</v>
      </c>
      <c r="J26" s="77">
        <f t="shared" si="2"/>
        <v>21.792000000000002</v>
      </c>
    </row>
    <row r="27" spans="1:10" ht="12" customHeight="1">
      <c r="A27" s="27" t="s">
        <v>35</v>
      </c>
      <c r="B27" s="24">
        <v>2.5</v>
      </c>
      <c r="C27" s="24">
        <v>2.5</v>
      </c>
      <c r="D27" s="24"/>
      <c r="E27" s="24"/>
      <c r="F27" s="24"/>
      <c r="G27" s="24"/>
      <c r="H27" s="77">
        <f t="shared" si="0"/>
        <v>14.896000000000001</v>
      </c>
      <c r="I27" s="77">
        <f t="shared" si="1"/>
        <v>11.896000000000001</v>
      </c>
      <c r="J27" s="77">
        <f t="shared" si="2"/>
        <v>26.792000000000002</v>
      </c>
    </row>
    <row r="28" spans="1:10" ht="12" customHeight="1">
      <c r="A28" s="27" t="s">
        <v>34</v>
      </c>
      <c r="B28" s="24"/>
      <c r="C28" s="24"/>
      <c r="D28" s="24">
        <v>4</v>
      </c>
      <c r="E28" s="24">
        <v>4</v>
      </c>
      <c r="F28" s="24"/>
      <c r="G28" s="24"/>
      <c r="H28" s="77">
        <f t="shared" si="0"/>
        <v>10.896000000000001</v>
      </c>
      <c r="I28" s="77">
        <f t="shared" si="1"/>
        <v>7.8960000000000008</v>
      </c>
      <c r="J28" s="77">
        <f t="shared" si="2"/>
        <v>18.792000000000002</v>
      </c>
    </row>
    <row r="29" spans="1:10" ht="12" customHeight="1">
      <c r="A29" s="27" t="s">
        <v>36</v>
      </c>
      <c r="B29" s="24"/>
      <c r="C29" s="24"/>
      <c r="D29" s="24"/>
      <c r="E29" s="24"/>
      <c r="F29" s="24">
        <v>5</v>
      </c>
      <c r="G29" s="24"/>
      <c r="H29" s="77">
        <f t="shared" si="0"/>
        <v>5.8960000000000008</v>
      </c>
      <c r="I29" s="77">
        <f t="shared" si="1"/>
        <v>7.8960000000000008</v>
      </c>
      <c r="J29" s="77">
        <f t="shared" si="2"/>
        <v>13.792000000000002</v>
      </c>
    </row>
    <row r="30" spans="1:10" ht="17.25" customHeight="1">
      <c r="A30" s="76" t="s">
        <v>37</v>
      </c>
      <c r="B30" s="24">
        <v>3.75</v>
      </c>
      <c r="C30" s="24">
        <v>3.75</v>
      </c>
      <c r="D30" s="24"/>
      <c r="E30" s="24"/>
      <c r="F30" s="24"/>
      <c r="G30" s="24"/>
      <c r="H30" s="77">
        <f t="shared" si="0"/>
        <v>9.6460000000000008</v>
      </c>
      <c r="I30" s="77">
        <f t="shared" si="1"/>
        <v>11.646000000000001</v>
      </c>
      <c r="J30" s="77">
        <f t="shared" si="2"/>
        <v>21.292000000000002</v>
      </c>
    </row>
    <row r="31" spans="1:10" ht="12" customHeight="1">
      <c r="A31" s="79" t="s">
        <v>38</v>
      </c>
      <c r="B31" s="24"/>
      <c r="C31" s="24"/>
      <c r="D31" s="24"/>
      <c r="E31" s="24"/>
      <c r="F31" s="24"/>
      <c r="G31" s="24">
        <v>3</v>
      </c>
      <c r="H31" s="77">
        <f t="shared" si="0"/>
        <v>9.6460000000000008</v>
      </c>
      <c r="I31" s="77">
        <f t="shared" si="1"/>
        <v>11.646000000000001</v>
      </c>
      <c r="J31" s="77">
        <f t="shared" si="2"/>
        <v>21.292000000000002</v>
      </c>
    </row>
    <row r="32" spans="1:10" ht="13.5" customHeight="1">
      <c r="A32" s="79" t="s">
        <v>39</v>
      </c>
      <c r="B32" s="24">
        <v>5</v>
      </c>
      <c r="C32" s="24">
        <v>5</v>
      </c>
      <c r="D32" s="24"/>
      <c r="E32" s="24"/>
      <c r="F32" s="24"/>
      <c r="G32" s="24"/>
      <c r="H32" s="77">
        <f t="shared" si="0"/>
        <v>14.646000000000001</v>
      </c>
      <c r="I32" s="77">
        <f t="shared" si="1"/>
        <v>16.646000000000001</v>
      </c>
      <c r="J32" s="77">
        <f t="shared" si="2"/>
        <v>31.292000000000002</v>
      </c>
    </row>
    <row r="33" spans="1:11" ht="12" customHeight="1">
      <c r="A33" s="27" t="s">
        <v>40</v>
      </c>
      <c r="B33" s="24"/>
      <c r="C33" s="24"/>
      <c r="D33" s="24"/>
      <c r="E33" s="24"/>
      <c r="F33" s="24">
        <v>1</v>
      </c>
      <c r="G33" s="24"/>
      <c r="H33" s="77">
        <f t="shared" si="0"/>
        <v>13.646000000000001</v>
      </c>
      <c r="I33" s="77">
        <f t="shared" si="1"/>
        <v>16.646000000000001</v>
      </c>
      <c r="J33" s="77">
        <f t="shared" si="2"/>
        <v>30.292000000000002</v>
      </c>
    </row>
    <row r="34" spans="1:11" ht="12" customHeight="1">
      <c r="A34" s="27" t="s">
        <v>41</v>
      </c>
      <c r="B34" s="24">
        <v>5</v>
      </c>
      <c r="C34" s="24">
        <v>5</v>
      </c>
      <c r="D34" s="24"/>
      <c r="E34" s="24"/>
      <c r="F34" s="24"/>
      <c r="G34" s="24"/>
      <c r="H34" s="77">
        <f t="shared" si="0"/>
        <v>18.646000000000001</v>
      </c>
      <c r="I34" s="77">
        <f t="shared" si="1"/>
        <v>21.646000000000001</v>
      </c>
      <c r="J34" s="77">
        <f t="shared" si="2"/>
        <v>40.292000000000002</v>
      </c>
    </row>
    <row r="35" spans="1:11" ht="14.25" customHeight="1">
      <c r="A35" s="27" t="s">
        <v>42</v>
      </c>
      <c r="B35" s="24"/>
      <c r="C35" s="24"/>
      <c r="D35" s="24">
        <v>10</v>
      </c>
      <c r="E35" s="24">
        <v>8</v>
      </c>
      <c r="F35" s="24"/>
      <c r="G35" s="24"/>
      <c r="H35" s="77">
        <f t="shared" si="0"/>
        <v>8.6460000000000008</v>
      </c>
      <c r="I35" s="77">
        <f t="shared" si="1"/>
        <v>13.646000000000001</v>
      </c>
      <c r="J35" s="77">
        <f t="shared" si="2"/>
        <v>22.292000000000002</v>
      </c>
    </row>
    <row r="36" spans="1:11" ht="12" customHeight="1">
      <c r="A36" s="27" t="s">
        <v>43</v>
      </c>
      <c r="B36" s="24">
        <v>1.25</v>
      </c>
      <c r="C36" s="24">
        <v>1.25</v>
      </c>
      <c r="D36" s="24"/>
      <c r="E36" s="24"/>
      <c r="F36" s="24"/>
      <c r="G36" s="24"/>
      <c r="H36" s="77">
        <f t="shared" si="0"/>
        <v>9.8960000000000008</v>
      </c>
      <c r="I36" s="77">
        <f t="shared" si="1"/>
        <v>14.896000000000001</v>
      </c>
      <c r="J36" s="77">
        <f t="shared" si="2"/>
        <v>24.792000000000002</v>
      </c>
    </row>
    <row r="37" spans="1:11" ht="12" customHeight="1">
      <c r="A37" s="27" t="s">
        <v>44</v>
      </c>
      <c r="B37" s="24"/>
      <c r="C37" s="24"/>
      <c r="D37" s="24"/>
      <c r="E37" s="24"/>
      <c r="F37" s="24">
        <v>4</v>
      </c>
      <c r="G37" s="24"/>
      <c r="H37" s="77">
        <f t="shared" si="0"/>
        <v>5.8960000000000008</v>
      </c>
      <c r="I37" s="77">
        <f t="shared" si="1"/>
        <v>14.896000000000001</v>
      </c>
      <c r="J37" s="77">
        <f t="shared" si="2"/>
        <v>20.792000000000002</v>
      </c>
    </row>
    <row r="38" spans="1:11" ht="12" customHeight="1">
      <c r="A38" s="27" t="s">
        <v>45</v>
      </c>
      <c r="B38" s="24">
        <v>5</v>
      </c>
      <c r="C38" s="24">
        <v>5</v>
      </c>
      <c r="D38" s="24"/>
      <c r="E38" s="24"/>
      <c r="F38" s="24"/>
      <c r="G38" s="24"/>
      <c r="H38" s="77">
        <f t="shared" si="0"/>
        <v>10.896000000000001</v>
      </c>
      <c r="I38" s="77">
        <f t="shared" si="1"/>
        <v>19.896000000000001</v>
      </c>
      <c r="J38" s="77">
        <f t="shared" si="2"/>
        <v>30.792000000000002</v>
      </c>
    </row>
    <row r="39" spans="1:11" s="2" customFormat="1" ht="12" customHeight="1">
      <c r="A39" s="27" t="s">
        <v>46</v>
      </c>
      <c r="B39" s="24"/>
      <c r="C39" s="24"/>
      <c r="D39" s="24">
        <v>5</v>
      </c>
      <c r="E39" s="24">
        <v>5</v>
      </c>
      <c r="F39" s="24"/>
      <c r="G39" s="24"/>
      <c r="H39" s="77">
        <f t="shared" si="0"/>
        <v>5.8960000000000008</v>
      </c>
      <c r="I39" s="77">
        <f t="shared" si="1"/>
        <v>14.896000000000001</v>
      </c>
      <c r="J39" s="77">
        <f t="shared" si="2"/>
        <v>20.792000000000002</v>
      </c>
      <c r="K39" s="80"/>
    </row>
    <row r="40" spans="1:11" s="2" customFormat="1" ht="12" customHeight="1">
      <c r="A40" s="27" t="s">
        <v>47</v>
      </c>
      <c r="B40" s="24">
        <v>8.75</v>
      </c>
      <c r="C40" s="24">
        <v>8.75</v>
      </c>
      <c r="D40" s="24"/>
      <c r="E40" s="24"/>
      <c r="F40" s="24"/>
      <c r="G40" s="24"/>
      <c r="H40" s="77">
        <f t="shared" si="0"/>
        <v>14.646000000000001</v>
      </c>
      <c r="I40" s="77">
        <f t="shared" si="1"/>
        <v>23.646000000000001</v>
      </c>
      <c r="J40" s="77">
        <f t="shared" si="2"/>
        <v>38.292000000000002</v>
      </c>
      <c r="K40" s="80"/>
    </row>
    <row r="41" spans="1:11" s="2" customFormat="1" ht="12.75" customHeight="1">
      <c r="A41" s="27" t="s">
        <v>48</v>
      </c>
      <c r="B41" s="24"/>
      <c r="C41" s="24"/>
      <c r="D41" s="24">
        <v>5</v>
      </c>
      <c r="E41" s="24">
        <v>10</v>
      </c>
      <c r="F41" s="24"/>
      <c r="G41" s="24"/>
      <c r="H41" s="77">
        <f t="shared" si="0"/>
        <v>9.6460000000000008</v>
      </c>
      <c r="I41" s="77">
        <f t="shared" si="1"/>
        <v>13.646000000000001</v>
      </c>
      <c r="J41" s="77">
        <f t="shared" si="2"/>
        <v>23.292000000000002</v>
      </c>
      <c r="K41" s="80"/>
    </row>
    <row r="42" spans="1:11" ht="12" customHeight="1">
      <c r="A42" s="27" t="s">
        <v>49</v>
      </c>
      <c r="B42" s="24"/>
      <c r="C42" s="24"/>
      <c r="D42" s="24"/>
      <c r="E42" s="24"/>
      <c r="F42" s="24"/>
      <c r="G42" s="24">
        <v>1</v>
      </c>
      <c r="H42" s="77">
        <f t="shared" si="0"/>
        <v>9.6460000000000008</v>
      </c>
      <c r="I42" s="77">
        <f t="shared" si="1"/>
        <v>13.646000000000001</v>
      </c>
      <c r="J42" s="77">
        <f t="shared" si="2"/>
        <v>23.292000000000002</v>
      </c>
    </row>
    <row r="43" spans="1:11" ht="12" customHeight="1">
      <c r="A43" s="27" t="s">
        <v>50</v>
      </c>
      <c r="B43" s="24"/>
      <c r="C43" s="24"/>
      <c r="D43" s="24"/>
      <c r="E43" s="24"/>
      <c r="F43" s="24">
        <v>5</v>
      </c>
      <c r="G43" s="24"/>
      <c r="H43" s="77">
        <f t="shared" ref="H43:H46" si="3">H42-F43-D43+B43</f>
        <v>4.6460000000000008</v>
      </c>
      <c r="I43" s="77">
        <f t="shared" ref="I43:I46" si="4">I42-E43+C43</f>
        <v>13.646000000000001</v>
      </c>
      <c r="J43" s="77">
        <f t="shared" ref="J43:J46" si="5">SUM(H43:I43)</f>
        <v>18.292000000000002</v>
      </c>
    </row>
    <row r="44" spans="1:11" ht="15.75" customHeight="1">
      <c r="A44" s="27" t="s">
        <v>51</v>
      </c>
      <c r="B44" s="24">
        <v>1.25</v>
      </c>
      <c r="C44" s="24">
        <v>1.25</v>
      </c>
      <c r="D44" s="24"/>
      <c r="E44" s="24"/>
      <c r="F44" s="24"/>
      <c r="G44" s="24"/>
      <c r="H44" s="77">
        <f t="shared" si="3"/>
        <v>5.8960000000000008</v>
      </c>
      <c r="I44" s="77">
        <f t="shared" si="4"/>
        <v>14.896000000000001</v>
      </c>
      <c r="J44" s="77">
        <f t="shared" si="5"/>
        <v>20.792000000000002</v>
      </c>
    </row>
    <row r="45" spans="1:11" s="2" customFormat="1" ht="16.5" customHeight="1">
      <c r="A45" s="27" t="s">
        <v>52</v>
      </c>
      <c r="B45" s="24">
        <v>15</v>
      </c>
      <c r="C45" s="24">
        <v>15</v>
      </c>
      <c r="D45" s="24"/>
      <c r="E45" s="24"/>
      <c r="F45" s="24"/>
      <c r="G45" s="24"/>
      <c r="H45" s="77">
        <f t="shared" si="3"/>
        <v>20.896000000000001</v>
      </c>
      <c r="I45" s="77">
        <f t="shared" si="4"/>
        <v>29.896000000000001</v>
      </c>
      <c r="J45" s="77">
        <f t="shared" si="5"/>
        <v>50.792000000000002</v>
      </c>
      <c r="K45" s="80"/>
    </row>
    <row r="46" spans="1:11" s="2" customFormat="1" ht="12" customHeight="1">
      <c r="A46" s="27" t="s">
        <v>53</v>
      </c>
      <c r="B46" s="24"/>
      <c r="C46" s="24"/>
      <c r="D46" s="24"/>
      <c r="E46" s="24"/>
      <c r="F46" s="24">
        <v>5</v>
      </c>
      <c r="G46" s="24"/>
      <c r="H46" s="77">
        <f t="shared" si="3"/>
        <v>15.896000000000001</v>
      </c>
      <c r="I46" s="77">
        <f t="shared" si="4"/>
        <v>29.896000000000001</v>
      </c>
      <c r="J46" s="77">
        <f t="shared" si="5"/>
        <v>45.792000000000002</v>
      </c>
      <c r="K46" s="80"/>
    </row>
    <row r="47" spans="1:11" ht="16.5" customHeight="1">
      <c r="A47" s="27" t="s">
        <v>54</v>
      </c>
      <c r="B47" s="24"/>
      <c r="C47" s="24"/>
      <c r="D47" s="24">
        <v>2</v>
      </c>
      <c r="E47" s="24"/>
      <c r="F47" s="24"/>
      <c r="G47" s="24"/>
      <c r="H47" s="77">
        <f t="shared" ref="H47:H50" si="6">H46-F47-D47+B47</f>
        <v>13.896000000000001</v>
      </c>
      <c r="I47" s="77">
        <f t="shared" ref="I47:I50" si="7">I46-E47+C47</f>
        <v>29.896000000000001</v>
      </c>
      <c r="J47" s="77">
        <f t="shared" ref="J47:J50" si="8">SUM(H47:I47)</f>
        <v>43.792000000000002</v>
      </c>
    </row>
    <row r="48" spans="1:11" ht="12" customHeight="1">
      <c r="A48" s="27" t="s">
        <v>55</v>
      </c>
      <c r="B48" s="24"/>
      <c r="C48" s="24"/>
      <c r="D48" s="24">
        <v>2</v>
      </c>
      <c r="E48" s="24"/>
      <c r="F48" s="24"/>
      <c r="G48" s="24"/>
      <c r="H48" s="77">
        <f t="shared" si="6"/>
        <v>11.896000000000001</v>
      </c>
      <c r="I48" s="77">
        <f t="shared" si="7"/>
        <v>29.896000000000001</v>
      </c>
      <c r="J48" s="77">
        <f t="shared" si="8"/>
        <v>41.792000000000002</v>
      </c>
    </row>
    <row r="49" spans="1:10" ht="12" customHeight="1">
      <c r="A49" s="27" t="s">
        <v>56</v>
      </c>
      <c r="B49" s="24">
        <v>1.25</v>
      </c>
      <c r="C49" s="24">
        <v>1.25</v>
      </c>
      <c r="D49" s="24"/>
      <c r="E49" s="24"/>
      <c r="F49" s="24"/>
      <c r="G49" s="24"/>
      <c r="H49" s="77">
        <f t="shared" si="6"/>
        <v>13.146000000000001</v>
      </c>
      <c r="I49" s="77">
        <f t="shared" si="7"/>
        <v>31.146000000000001</v>
      </c>
      <c r="J49" s="77">
        <f t="shared" si="8"/>
        <v>44.292000000000002</v>
      </c>
    </row>
    <row r="50" spans="1:10" ht="12" customHeight="1">
      <c r="A50" s="27" t="s">
        <v>57</v>
      </c>
      <c r="B50" s="24"/>
      <c r="C50" s="24"/>
      <c r="D50" s="24"/>
      <c r="E50" s="24">
        <v>1</v>
      </c>
      <c r="F50" s="24"/>
      <c r="G50" s="24"/>
      <c r="H50" s="77">
        <f t="shared" si="6"/>
        <v>13.146000000000001</v>
      </c>
      <c r="I50" s="77">
        <f t="shared" si="7"/>
        <v>30.146000000000001</v>
      </c>
      <c r="J50" s="77">
        <f t="shared" si="8"/>
        <v>43.292000000000002</v>
      </c>
    </row>
    <row r="51" spans="1:10" ht="12" customHeight="1">
      <c r="A51" s="27" t="s">
        <v>58</v>
      </c>
      <c r="B51" s="24">
        <v>12.5</v>
      </c>
      <c r="C51" s="24">
        <v>12.5</v>
      </c>
      <c r="D51" s="24"/>
      <c r="E51" s="24"/>
      <c r="F51" s="24"/>
      <c r="G51" s="24"/>
      <c r="H51" s="77">
        <f t="shared" ref="H51:H59" si="9">H50-F51-D51+B51</f>
        <v>25.646000000000001</v>
      </c>
      <c r="I51" s="77">
        <f t="shared" ref="I51:I59" si="10">I50-E51+C51</f>
        <v>42.646000000000001</v>
      </c>
      <c r="J51" s="77">
        <f t="shared" ref="J51:J59" si="11">SUM(H51:I51)</f>
        <v>68.292000000000002</v>
      </c>
    </row>
    <row r="52" spans="1:10" ht="12" customHeight="1">
      <c r="A52" s="27" t="s">
        <v>59</v>
      </c>
      <c r="B52" s="24"/>
      <c r="C52" s="24"/>
      <c r="D52" s="24"/>
      <c r="E52" s="24"/>
      <c r="F52" s="24">
        <v>5</v>
      </c>
      <c r="G52" s="24"/>
      <c r="H52" s="77">
        <f t="shared" si="9"/>
        <v>20.646000000000001</v>
      </c>
      <c r="I52" s="77">
        <f t="shared" si="10"/>
        <v>42.646000000000001</v>
      </c>
      <c r="J52" s="77">
        <f t="shared" si="11"/>
        <v>63.292000000000002</v>
      </c>
    </row>
    <row r="53" spans="1:10" ht="12" customHeight="1">
      <c r="A53" s="27" t="s">
        <v>60</v>
      </c>
      <c r="B53" s="24"/>
      <c r="C53" s="24"/>
      <c r="D53" s="24">
        <v>5</v>
      </c>
      <c r="E53" s="24"/>
      <c r="F53" s="24"/>
      <c r="G53" s="24"/>
      <c r="H53" s="77">
        <f t="shared" si="9"/>
        <v>15.646000000000001</v>
      </c>
      <c r="I53" s="77">
        <f t="shared" si="10"/>
        <v>42.646000000000001</v>
      </c>
      <c r="J53" s="77">
        <f t="shared" si="11"/>
        <v>58.292000000000002</v>
      </c>
    </row>
    <row r="54" spans="1:10" ht="12" customHeight="1">
      <c r="A54" s="27" t="s">
        <v>61</v>
      </c>
      <c r="B54" s="24">
        <v>1.25</v>
      </c>
      <c r="C54" s="24">
        <v>1.25</v>
      </c>
      <c r="D54" s="24"/>
      <c r="E54" s="24"/>
      <c r="F54" s="24"/>
      <c r="G54" s="24"/>
      <c r="H54" s="77">
        <f t="shared" si="9"/>
        <v>16.896000000000001</v>
      </c>
      <c r="I54" s="77">
        <f t="shared" si="10"/>
        <v>43.896000000000001</v>
      </c>
      <c r="J54" s="77">
        <f t="shared" si="11"/>
        <v>60.792000000000002</v>
      </c>
    </row>
    <row r="55" spans="1:10" ht="12" customHeight="1">
      <c r="A55" s="27" t="s">
        <v>62</v>
      </c>
      <c r="B55" s="24">
        <v>15</v>
      </c>
      <c r="C55" s="24">
        <v>15</v>
      </c>
      <c r="D55" s="24"/>
      <c r="E55" s="24"/>
      <c r="F55" s="24"/>
      <c r="G55" s="24"/>
      <c r="H55" s="77">
        <f t="shared" si="9"/>
        <v>31.896000000000001</v>
      </c>
      <c r="I55" s="77">
        <f t="shared" si="10"/>
        <v>58.896000000000001</v>
      </c>
      <c r="J55" s="77">
        <f t="shared" si="11"/>
        <v>90.792000000000002</v>
      </c>
    </row>
    <row r="56" spans="1:10" ht="14.25" customHeight="1">
      <c r="A56" s="27" t="s">
        <v>63</v>
      </c>
      <c r="B56" s="24"/>
      <c r="C56" s="24"/>
      <c r="D56" s="24">
        <v>16</v>
      </c>
      <c r="E56" s="24">
        <v>13</v>
      </c>
      <c r="F56" s="24"/>
      <c r="G56" s="24"/>
      <c r="H56" s="77">
        <f t="shared" si="9"/>
        <v>15.896000000000001</v>
      </c>
      <c r="I56" s="77">
        <f t="shared" si="10"/>
        <v>45.896000000000001</v>
      </c>
      <c r="J56" s="77">
        <f t="shared" si="11"/>
        <v>61.792000000000002</v>
      </c>
    </row>
    <row r="57" spans="1:10" ht="12" customHeight="1">
      <c r="A57" s="27" t="s">
        <v>64</v>
      </c>
      <c r="B57" s="24"/>
      <c r="C57" s="24"/>
      <c r="D57" s="24"/>
      <c r="E57" s="24"/>
      <c r="F57" s="24">
        <v>5</v>
      </c>
      <c r="G57" s="24"/>
      <c r="H57" s="77">
        <f t="shared" si="9"/>
        <v>10.896000000000001</v>
      </c>
      <c r="I57" s="77">
        <f t="shared" si="10"/>
        <v>45.896000000000001</v>
      </c>
      <c r="J57" s="77">
        <f t="shared" si="11"/>
        <v>56.792000000000002</v>
      </c>
    </row>
    <row r="58" spans="1:10" ht="15.75" customHeight="1">
      <c r="A58" s="27" t="s">
        <v>65</v>
      </c>
      <c r="B58" s="24"/>
      <c r="C58" s="24"/>
      <c r="D58" s="24"/>
      <c r="E58" s="24"/>
      <c r="F58" s="24"/>
      <c r="G58" s="24">
        <v>1</v>
      </c>
      <c r="H58" s="77">
        <f t="shared" si="9"/>
        <v>10.896000000000001</v>
      </c>
      <c r="I58" s="77">
        <f t="shared" si="10"/>
        <v>45.896000000000001</v>
      </c>
      <c r="J58" s="77">
        <f t="shared" si="11"/>
        <v>56.792000000000002</v>
      </c>
    </row>
    <row r="59" spans="1:10" ht="12" customHeight="1">
      <c r="A59" s="27" t="s">
        <v>66</v>
      </c>
      <c r="B59" s="24">
        <v>5</v>
      </c>
      <c r="C59" s="24">
        <v>5</v>
      </c>
      <c r="D59" s="24"/>
      <c r="E59" s="24"/>
      <c r="F59" s="24"/>
      <c r="G59" s="24"/>
      <c r="H59" s="77">
        <f t="shared" si="9"/>
        <v>15.896000000000001</v>
      </c>
      <c r="I59" s="77">
        <f t="shared" si="10"/>
        <v>50.896000000000001</v>
      </c>
      <c r="J59" s="77">
        <f t="shared" si="11"/>
        <v>66.792000000000002</v>
      </c>
    </row>
    <row r="60" spans="1:10" ht="14.25" customHeight="1">
      <c r="A60" s="27" t="s">
        <v>67</v>
      </c>
      <c r="B60" s="24"/>
      <c r="C60" s="24"/>
      <c r="D60" s="24"/>
      <c r="E60" s="24">
        <v>2</v>
      </c>
      <c r="F60" s="24"/>
      <c r="G60" s="24"/>
      <c r="H60" s="77">
        <f t="shared" ref="H60:H75" si="12">H59-F60-D60+B60</f>
        <v>15.896000000000001</v>
      </c>
      <c r="I60" s="77">
        <f t="shared" ref="I60:I75" si="13">I59-E60+C60</f>
        <v>48.896000000000001</v>
      </c>
      <c r="J60" s="77">
        <f t="shared" ref="J60:J75" si="14">SUM(H60:I60)</f>
        <v>64.792000000000002</v>
      </c>
    </row>
    <row r="61" spans="1:10" ht="14.25" customHeight="1">
      <c r="A61" s="27" t="s">
        <v>68</v>
      </c>
      <c r="B61" s="24"/>
      <c r="C61" s="24"/>
      <c r="D61" s="24"/>
      <c r="E61" s="24">
        <v>6.5</v>
      </c>
      <c r="F61" s="24"/>
      <c r="G61" s="24"/>
      <c r="H61" s="77">
        <f t="shared" si="12"/>
        <v>15.896000000000001</v>
      </c>
      <c r="I61" s="77">
        <f t="shared" si="13"/>
        <v>42.396000000000001</v>
      </c>
      <c r="J61" s="77">
        <f t="shared" si="14"/>
        <v>58.292000000000002</v>
      </c>
    </row>
    <row r="62" spans="1:10" ht="14.25" customHeight="1">
      <c r="A62" s="27" t="s">
        <v>69</v>
      </c>
      <c r="B62" s="24">
        <v>1.25</v>
      </c>
      <c r="C62" s="24">
        <v>1.25</v>
      </c>
      <c r="D62" s="24"/>
      <c r="E62" s="24"/>
      <c r="F62" s="24"/>
      <c r="G62" s="24"/>
      <c r="H62" s="77">
        <f t="shared" si="12"/>
        <v>17.146000000000001</v>
      </c>
      <c r="I62" s="77">
        <f t="shared" si="13"/>
        <v>43.646000000000001</v>
      </c>
      <c r="J62" s="77">
        <f t="shared" si="14"/>
        <v>60.792000000000002</v>
      </c>
    </row>
    <row r="63" spans="1:10" ht="14.25" customHeight="1">
      <c r="A63" s="27" t="s">
        <v>70</v>
      </c>
      <c r="B63" s="24"/>
      <c r="C63" s="24"/>
      <c r="D63" s="24"/>
      <c r="E63" s="24"/>
      <c r="F63" s="24"/>
      <c r="G63" s="24">
        <v>1</v>
      </c>
      <c r="H63" s="77">
        <f t="shared" si="12"/>
        <v>17.146000000000001</v>
      </c>
      <c r="I63" s="77">
        <f t="shared" si="13"/>
        <v>43.646000000000001</v>
      </c>
      <c r="J63" s="77">
        <f t="shared" si="14"/>
        <v>60.792000000000002</v>
      </c>
    </row>
    <row r="64" spans="1:10" ht="14.25" customHeight="1">
      <c r="A64" s="27" t="s">
        <v>71</v>
      </c>
      <c r="B64" s="24">
        <v>1.25</v>
      </c>
      <c r="C64" s="24">
        <v>1.25</v>
      </c>
      <c r="D64" s="24"/>
      <c r="E64" s="24"/>
      <c r="F64" s="24"/>
      <c r="G64" s="24"/>
      <c r="H64" s="77">
        <f t="shared" si="12"/>
        <v>18.396000000000001</v>
      </c>
      <c r="I64" s="77">
        <f t="shared" si="13"/>
        <v>44.896000000000001</v>
      </c>
      <c r="J64" s="77">
        <f t="shared" si="14"/>
        <v>63.292000000000002</v>
      </c>
    </row>
    <row r="65" spans="1:10" ht="14.25" customHeight="1">
      <c r="A65" s="27" t="s">
        <v>72</v>
      </c>
      <c r="B65" s="24"/>
      <c r="C65" s="24"/>
      <c r="D65" s="24"/>
      <c r="E65" s="24"/>
      <c r="F65" s="24">
        <v>1</v>
      </c>
      <c r="G65" s="24"/>
      <c r="H65" s="77">
        <f t="shared" si="12"/>
        <v>17.396000000000001</v>
      </c>
      <c r="I65" s="77">
        <f t="shared" si="13"/>
        <v>44.896000000000001</v>
      </c>
      <c r="J65" s="77">
        <f t="shared" si="14"/>
        <v>62.292000000000002</v>
      </c>
    </row>
    <row r="66" spans="1:10" ht="14.25" customHeight="1">
      <c r="A66" s="27" t="s">
        <v>73</v>
      </c>
      <c r="B66" s="24"/>
      <c r="C66" s="24"/>
      <c r="D66" s="24"/>
      <c r="E66" s="24"/>
      <c r="F66" s="24"/>
      <c r="G66" s="24">
        <v>1</v>
      </c>
      <c r="H66" s="77">
        <f t="shared" si="12"/>
        <v>17.396000000000001</v>
      </c>
      <c r="I66" s="77">
        <f t="shared" si="13"/>
        <v>44.896000000000001</v>
      </c>
      <c r="J66" s="77">
        <f t="shared" si="14"/>
        <v>62.292000000000002</v>
      </c>
    </row>
    <row r="67" spans="1:10" ht="14.25" customHeight="1">
      <c r="A67" s="27" t="s">
        <v>74</v>
      </c>
      <c r="B67" s="24"/>
      <c r="C67" s="24"/>
      <c r="D67" s="24"/>
      <c r="E67" s="24"/>
      <c r="F67" s="24">
        <v>1</v>
      </c>
      <c r="G67" s="24"/>
      <c r="H67" s="77">
        <f t="shared" si="12"/>
        <v>16.396000000000001</v>
      </c>
      <c r="I67" s="77">
        <f t="shared" si="13"/>
        <v>44.896000000000001</v>
      </c>
      <c r="J67" s="77">
        <f t="shared" si="14"/>
        <v>61.292000000000002</v>
      </c>
    </row>
    <row r="68" spans="1:10" ht="14.25" customHeight="1">
      <c r="A68" s="27" t="s">
        <v>75</v>
      </c>
      <c r="B68" s="24">
        <v>1.25</v>
      </c>
      <c r="C68" s="24">
        <v>1.25</v>
      </c>
      <c r="D68" s="24"/>
      <c r="E68" s="24"/>
      <c r="F68" s="24"/>
      <c r="G68" s="24"/>
      <c r="H68" s="77">
        <f t="shared" si="12"/>
        <v>17.646000000000001</v>
      </c>
      <c r="I68" s="77">
        <f t="shared" si="13"/>
        <v>46.146000000000001</v>
      </c>
      <c r="J68" s="77">
        <f t="shared" si="14"/>
        <v>63.792000000000002</v>
      </c>
    </row>
    <row r="69" spans="1:10" ht="14.25" customHeight="1">
      <c r="A69" s="27" t="s">
        <v>76</v>
      </c>
      <c r="B69" s="24">
        <v>1.25</v>
      </c>
      <c r="C69" s="24">
        <v>1.25</v>
      </c>
      <c r="D69" s="24"/>
      <c r="E69" s="24"/>
      <c r="F69" s="24"/>
      <c r="G69" s="24"/>
      <c r="H69" s="77">
        <f t="shared" si="12"/>
        <v>18.896000000000001</v>
      </c>
      <c r="I69" s="77">
        <f t="shared" si="13"/>
        <v>47.396000000000001</v>
      </c>
      <c r="J69" s="77">
        <f t="shared" si="14"/>
        <v>66.292000000000002</v>
      </c>
    </row>
    <row r="70" spans="1:10" ht="14.25" customHeight="1">
      <c r="A70" s="27" t="s">
        <v>77</v>
      </c>
      <c r="B70" s="24"/>
      <c r="C70" s="24"/>
      <c r="D70" s="24">
        <v>10</v>
      </c>
      <c r="E70" s="24">
        <v>19</v>
      </c>
      <c r="F70" s="24"/>
      <c r="G70" s="24"/>
      <c r="H70" s="77">
        <f t="shared" si="12"/>
        <v>8.8960000000000008</v>
      </c>
      <c r="I70" s="77">
        <f t="shared" si="13"/>
        <v>28.396000000000001</v>
      </c>
      <c r="J70" s="77">
        <f t="shared" si="14"/>
        <v>37.292000000000002</v>
      </c>
    </row>
    <row r="71" spans="1:10" ht="14.25" customHeight="1">
      <c r="A71" s="27" t="s">
        <v>78</v>
      </c>
      <c r="B71" s="24">
        <v>3.75</v>
      </c>
      <c r="C71" s="24">
        <v>3.75</v>
      </c>
      <c r="D71" s="24"/>
      <c r="E71" s="24"/>
      <c r="F71" s="24"/>
      <c r="G71" s="24"/>
      <c r="H71" s="77">
        <f t="shared" si="12"/>
        <v>12.646000000000001</v>
      </c>
      <c r="I71" s="77">
        <f t="shared" si="13"/>
        <v>32.146000000000001</v>
      </c>
      <c r="J71" s="77">
        <f t="shared" si="14"/>
        <v>44.792000000000002</v>
      </c>
    </row>
    <row r="72" spans="1:10" ht="14.25" customHeight="1">
      <c r="A72" s="27" t="s">
        <v>79</v>
      </c>
      <c r="B72" s="24"/>
      <c r="C72" s="24"/>
      <c r="D72" s="24"/>
      <c r="E72" s="24"/>
      <c r="F72" s="24">
        <v>1</v>
      </c>
      <c r="G72" s="24"/>
      <c r="H72" s="77">
        <f t="shared" si="12"/>
        <v>11.646000000000001</v>
      </c>
      <c r="I72" s="77">
        <f t="shared" si="13"/>
        <v>32.146000000000001</v>
      </c>
      <c r="J72" s="77">
        <f t="shared" si="14"/>
        <v>43.792000000000002</v>
      </c>
    </row>
    <row r="73" spans="1:10" ht="14.25" customHeight="1">
      <c r="A73" s="27" t="s">
        <v>80</v>
      </c>
      <c r="B73" s="24"/>
      <c r="C73" s="24"/>
      <c r="D73" s="24"/>
      <c r="E73" s="24">
        <v>2</v>
      </c>
      <c r="F73" s="24"/>
      <c r="G73" s="24"/>
      <c r="H73" s="77">
        <f t="shared" si="12"/>
        <v>11.646000000000001</v>
      </c>
      <c r="I73" s="77">
        <f t="shared" si="13"/>
        <v>30.146000000000001</v>
      </c>
      <c r="J73" s="77">
        <f t="shared" si="14"/>
        <v>41.792000000000002</v>
      </c>
    </row>
    <row r="74" spans="1:10" ht="14.25" customHeight="1">
      <c r="A74" s="27" t="s">
        <v>81</v>
      </c>
      <c r="B74" s="24"/>
      <c r="C74" s="24"/>
      <c r="D74" s="24"/>
      <c r="E74" s="24">
        <v>2</v>
      </c>
      <c r="F74" s="24"/>
      <c r="G74" s="24"/>
      <c r="H74" s="77">
        <f t="shared" si="12"/>
        <v>11.646000000000001</v>
      </c>
      <c r="I74" s="77">
        <f t="shared" si="13"/>
        <v>28.146000000000001</v>
      </c>
      <c r="J74" s="77">
        <f t="shared" si="14"/>
        <v>39.792000000000002</v>
      </c>
    </row>
    <row r="75" spans="1:10" ht="14.25" customHeight="1">
      <c r="A75" s="27" t="s">
        <v>82</v>
      </c>
      <c r="B75" s="24">
        <v>1.25</v>
      </c>
      <c r="C75" s="24">
        <v>1.25</v>
      </c>
      <c r="D75" s="24"/>
      <c r="E75" s="24">
        <v>2</v>
      </c>
      <c r="F75" s="24"/>
      <c r="G75" s="24"/>
      <c r="H75" s="77">
        <f t="shared" si="12"/>
        <v>12.896000000000001</v>
      </c>
      <c r="I75" s="77">
        <f t="shared" si="13"/>
        <v>27.396000000000001</v>
      </c>
      <c r="J75" s="77">
        <f t="shared" si="14"/>
        <v>40.292000000000002</v>
      </c>
    </row>
    <row r="76" spans="1:10" ht="14.25" customHeight="1">
      <c r="A76" s="27" t="s">
        <v>83</v>
      </c>
      <c r="B76" s="24"/>
      <c r="C76" s="24"/>
      <c r="D76" s="24"/>
      <c r="E76" s="24"/>
      <c r="F76" s="24">
        <v>2</v>
      </c>
      <c r="G76" s="24"/>
      <c r="H76" s="77">
        <f t="shared" ref="H76:H77" si="15">H75-F76-D76+B76</f>
        <v>10.896000000000001</v>
      </c>
      <c r="I76" s="77">
        <f t="shared" ref="I76:I77" si="16">I75-E76+C76</f>
        <v>27.396000000000001</v>
      </c>
      <c r="J76" s="77">
        <f t="shared" ref="J76:J77" si="17">SUM(H76:I76)</f>
        <v>38.292000000000002</v>
      </c>
    </row>
    <row r="77" spans="1:10" ht="14.25" customHeight="1">
      <c r="A77" s="27" t="s">
        <v>84</v>
      </c>
      <c r="B77" s="24">
        <v>7.5</v>
      </c>
      <c r="C77" s="24">
        <v>7.5</v>
      </c>
      <c r="D77" s="24"/>
      <c r="E77" s="24"/>
      <c r="F77" s="24"/>
      <c r="G77" s="24"/>
      <c r="H77" s="77">
        <f t="shared" si="15"/>
        <v>18.396000000000001</v>
      </c>
      <c r="I77" s="77">
        <f t="shared" si="16"/>
        <v>34.896000000000001</v>
      </c>
      <c r="J77" s="77">
        <f t="shared" si="17"/>
        <v>53.292000000000002</v>
      </c>
    </row>
    <row r="78" spans="1:10" ht="14.25" customHeight="1">
      <c r="A78" s="27" t="s">
        <v>85</v>
      </c>
      <c r="B78" s="24"/>
      <c r="C78" s="24"/>
      <c r="D78" s="24">
        <v>1</v>
      </c>
      <c r="E78" s="24"/>
      <c r="F78" s="24"/>
      <c r="G78" s="24"/>
      <c r="H78" s="77">
        <f t="shared" ref="H78:H112" si="18">H77-F78-D78+B78</f>
        <v>17.396000000000001</v>
      </c>
      <c r="I78" s="77">
        <f t="shared" ref="I78:I112" si="19">I77-E78+C78</f>
        <v>34.896000000000001</v>
      </c>
      <c r="J78" s="77">
        <f t="shared" ref="J78:J112" si="20">SUM(H78:I78)</f>
        <v>52.292000000000002</v>
      </c>
    </row>
    <row r="79" spans="1:10" ht="14.25" customHeight="1">
      <c r="A79" s="27" t="s">
        <v>86</v>
      </c>
      <c r="B79" s="24"/>
      <c r="C79" s="24"/>
      <c r="D79" s="24"/>
      <c r="E79" s="24"/>
      <c r="F79" s="24">
        <v>1</v>
      </c>
      <c r="G79" s="24"/>
      <c r="H79" s="77">
        <f t="shared" si="18"/>
        <v>16.396000000000001</v>
      </c>
      <c r="I79" s="77">
        <f t="shared" si="19"/>
        <v>34.896000000000001</v>
      </c>
      <c r="J79" s="77">
        <f t="shared" si="20"/>
        <v>51.292000000000002</v>
      </c>
    </row>
    <row r="80" spans="1:10" ht="14.25" customHeight="1">
      <c r="A80" s="27" t="s">
        <v>87</v>
      </c>
      <c r="B80" s="24">
        <v>1.25</v>
      </c>
      <c r="C80" s="24">
        <v>1.25</v>
      </c>
      <c r="D80" s="24"/>
      <c r="E80" s="24"/>
      <c r="F80" s="24"/>
      <c r="G80" s="24"/>
      <c r="H80" s="77">
        <f t="shared" si="18"/>
        <v>17.646000000000001</v>
      </c>
      <c r="I80" s="77">
        <f t="shared" si="19"/>
        <v>36.146000000000001</v>
      </c>
      <c r="J80" s="77">
        <f t="shared" si="20"/>
        <v>53.792000000000002</v>
      </c>
    </row>
    <row r="81" spans="1:10" ht="14.25" customHeight="1">
      <c r="A81" s="27" t="s">
        <v>88</v>
      </c>
      <c r="B81" s="24"/>
      <c r="C81" s="24"/>
      <c r="D81" s="24"/>
      <c r="E81" s="24">
        <v>1</v>
      </c>
      <c r="F81" s="24"/>
      <c r="G81" s="24"/>
      <c r="H81" s="77">
        <f t="shared" si="18"/>
        <v>17.646000000000001</v>
      </c>
      <c r="I81" s="77">
        <f t="shared" si="19"/>
        <v>35.146000000000001</v>
      </c>
      <c r="J81" s="77">
        <f t="shared" si="20"/>
        <v>52.792000000000002</v>
      </c>
    </row>
    <row r="82" spans="1:10" ht="15" customHeight="1">
      <c r="A82" s="27" t="s">
        <v>89</v>
      </c>
      <c r="B82" s="24">
        <v>1.25</v>
      </c>
      <c r="C82" s="24">
        <v>1.25</v>
      </c>
      <c r="D82" s="24"/>
      <c r="E82" s="24"/>
      <c r="F82" s="24"/>
      <c r="G82" s="24"/>
      <c r="H82" s="77">
        <f t="shared" si="18"/>
        <v>18.896000000000001</v>
      </c>
      <c r="I82" s="77">
        <f t="shared" si="19"/>
        <v>36.396000000000001</v>
      </c>
      <c r="J82" s="77">
        <f t="shared" si="20"/>
        <v>55.292000000000002</v>
      </c>
    </row>
    <row r="83" spans="1:10" ht="12" customHeight="1">
      <c r="A83" s="27" t="s">
        <v>90</v>
      </c>
      <c r="B83" s="24"/>
      <c r="C83" s="24"/>
      <c r="D83" s="24">
        <v>3</v>
      </c>
      <c r="E83" s="24">
        <v>24</v>
      </c>
      <c r="F83" s="24"/>
      <c r="G83" s="24"/>
      <c r="H83" s="77">
        <f t="shared" si="18"/>
        <v>15.896000000000001</v>
      </c>
      <c r="I83" s="77">
        <f t="shared" si="19"/>
        <v>12.396000000000001</v>
      </c>
      <c r="J83" s="77">
        <f t="shared" si="20"/>
        <v>28.292000000000002</v>
      </c>
    </row>
    <row r="84" spans="1:10" ht="12" customHeight="1">
      <c r="A84" s="27" t="s">
        <v>91</v>
      </c>
      <c r="B84" s="24">
        <v>1.25</v>
      </c>
      <c r="C84" s="24">
        <v>1.25</v>
      </c>
      <c r="D84" s="24"/>
      <c r="E84" s="24"/>
      <c r="F84" s="24"/>
      <c r="G84" s="24"/>
      <c r="H84" s="77">
        <f t="shared" si="18"/>
        <v>17.146000000000001</v>
      </c>
      <c r="I84" s="77">
        <f t="shared" si="19"/>
        <v>13.646000000000001</v>
      </c>
      <c r="J84" s="77">
        <f t="shared" si="20"/>
        <v>30.792000000000002</v>
      </c>
    </row>
    <row r="85" spans="1:10" ht="12" customHeight="1">
      <c r="A85" s="27" t="s">
        <v>92</v>
      </c>
      <c r="B85" s="24"/>
      <c r="C85" s="24"/>
      <c r="D85" s="24"/>
      <c r="E85" s="24">
        <v>1</v>
      </c>
      <c r="F85" s="24"/>
      <c r="G85" s="24"/>
      <c r="H85" s="77">
        <f t="shared" si="18"/>
        <v>17.146000000000001</v>
      </c>
      <c r="I85" s="77">
        <f t="shared" si="19"/>
        <v>12.646000000000001</v>
      </c>
      <c r="J85" s="77">
        <f t="shared" si="20"/>
        <v>29.792000000000002</v>
      </c>
    </row>
    <row r="86" spans="1:10" ht="15.75" customHeight="1">
      <c r="A86" s="27" t="s">
        <v>93</v>
      </c>
      <c r="B86" s="24"/>
      <c r="C86" s="24"/>
      <c r="D86" s="24"/>
      <c r="E86" s="24"/>
      <c r="F86" s="24"/>
      <c r="G86" s="24">
        <v>2</v>
      </c>
      <c r="H86" s="77">
        <f t="shared" si="18"/>
        <v>17.146000000000001</v>
      </c>
      <c r="I86" s="77">
        <f t="shared" si="19"/>
        <v>12.646000000000001</v>
      </c>
      <c r="J86" s="77">
        <f t="shared" si="20"/>
        <v>29.792000000000002</v>
      </c>
    </row>
    <row r="87" spans="1:10" ht="13.5" customHeight="1">
      <c r="A87" s="27" t="s">
        <v>94</v>
      </c>
      <c r="B87" s="24"/>
      <c r="C87" s="24"/>
      <c r="D87" s="24"/>
      <c r="E87" s="24"/>
      <c r="F87" s="24"/>
      <c r="G87" s="24">
        <v>1</v>
      </c>
      <c r="H87" s="77">
        <f t="shared" si="18"/>
        <v>17.146000000000001</v>
      </c>
      <c r="I87" s="77">
        <f t="shared" si="19"/>
        <v>12.646000000000001</v>
      </c>
      <c r="J87" s="77">
        <f t="shared" si="20"/>
        <v>29.792000000000002</v>
      </c>
    </row>
    <row r="88" spans="1:10" ht="12" customHeight="1">
      <c r="A88" s="27" t="s">
        <v>95</v>
      </c>
      <c r="B88" s="24">
        <v>1.25</v>
      </c>
      <c r="C88" s="24">
        <v>1.25</v>
      </c>
      <c r="D88" s="24"/>
      <c r="E88" s="24"/>
      <c r="F88" s="24"/>
      <c r="G88" s="24"/>
      <c r="H88" s="77">
        <f t="shared" si="18"/>
        <v>18.396000000000001</v>
      </c>
      <c r="I88" s="77">
        <f t="shared" si="19"/>
        <v>13.896000000000001</v>
      </c>
      <c r="J88" s="77">
        <f t="shared" si="20"/>
        <v>32.292000000000002</v>
      </c>
    </row>
    <row r="89" spans="1:10" ht="12" customHeight="1">
      <c r="A89" s="27" t="s">
        <v>96</v>
      </c>
      <c r="B89" s="24"/>
      <c r="C89" s="24"/>
      <c r="D89" s="24"/>
      <c r="E89" s="24"/>
      <c r="F89" s="24">
        <v>2</v>
      </c>
      <c r="G89" s="24"/>
      <c r="H89" s="77">
        <f t="shared" si="18"/>
        <v>16.396000000000001</v>
      </c>
      <c r="I89" s="77">
        <f t="shared" si="19"/>
        <v>13.896000000000001</v>
      </c>
      <c r="J89" s="77">
        <f t="shared" si="20"/>
        <v>30.292000000000002</v>
      </c>
    </row>
    <row r="90" spans="1:10" ht="12" customHeight="1">
      <c r="A90" s="27" t="s">
        <v>97</v>
      </c>
      <c r="B90" s="24"/>
      <c r="C90" s="24"/>
      <c r="D90" s="24">
        <v>1</v>
      </c>
      <c r="E90" s="24"/>
      <c r="F90" s="24">
        <v>2</v>
      </c>
      <c r="G90" s="24"/>
      <c r="H90" s="77">
        <f t="shared" si="18"/>
        <v>13.396000000000001</v>
      </c>
      <c r="I90" s="77">
        <f t="shared" si="19"/>
        <v>13.896000000000001</v>
      </c>
      <c r="J90" s="77">
        <f t="shared" si="20"/>
        <v>27.292000000000002</v>
      </c>
    </row>
    <row r="91" spans="1:10" ht="12" customHeight="1">
      <c r="A91" s="27" t="s">
        <v>98</v>
      </c>
      <c r="B91" s="24">
        <v>1.25</v>
      </c>
      <c r="C91" s="24">
        <v>1.25</v>
      </c>
      <c r="D91" s="24"/>
      <c r="E91" s="24"/>
      <c r="F91" s="24"/>
      <c r="G91" s="24"/>
      <c r="H91" s="77">
        <f t="shared" si="18"/>
        <v>14.646000000000001</v>
      </c>
      <c r="I91" s="77">
        <f t="shared" si="19"/>
        <v>15.146000000000001</v>
      </c>
      <c r="J91" s="77">
        <f t="shared" si="20"/>
        <v>29.792000000000002</v>
      </c>
    </row>
    <row r="92" spans="1:10" ht="28.5" customHeight="1">
      <c r="A92" s="76" t="s">
        <v>99</v>
      </c>
      <c r="B92" s="24">
        <v>3</v>
      </c>
      <c r="C92" s="24"/>
      <c r="D92" s="24"/>
      <c r="E92" s="24"/>
      <c r="F92" s="24"/>
      <c r="G92" s="24"/>
      <c r="H92" s="77">
        <f t="shared" si="18"/>
        <v>17.646000000000001</v>
      </c>
      <c r="I92" s="77">
        <f t="shared" si="19"/>
        <v>15.146000000000001</v>
      </c>
      <c r="J92" s="77">
        <f t="shared" si="20"/>
        <v>32.792000000000002</v>
      </c>
    </row>
    <row r="93" spans="1:10" ht="12" customHeight="1">
      <c r="A93" s="27" t="s">
        <v>100</v>
      </c>
      <c r="B93" s="24">
        <v>2</v>
      </c>
      <c r="C93" s="24"/>
      <c r="D93" s="24"/>
      <c r="E93" s="24"/>
      <c r="F93" s="24"/>
      <c r="G93" s="24"/>
      <c r="H93" s="77">
        <f t="shared" si="18"/>
        <v>19.646000000000001</v>
      </c>
      <c r="I93" s="77">
        <f t="shared" si="19"/>
        <v>15.146000000000001</v>
      </c>
      <c r="J93" s="77">
        <f t="shared" si="20"/>
        <v>34.792000000000002</v>
      </c>
    </row>
    <row r="94" spans="1:10" ht="12" customHeight="1">
      <c r="A94" s="27" t="s">
        <v>101</v>
      </c>
      <c r="B94" s="24">
        <v>1.25</v>
      </c>
      <c r="C94" s="24">
        <v>1.25</v>
      </c>
      <c r="D94" s="24"/>
      <c r="E94" s="24"/>
      <c r="F94" s="24"/>
      <c r="G94" s="24"/>
      <c r="H94" s="77">
        <f t="shared" si="18"/>
        <v>20.896000000000001</v>
      </c>
      <c r="I94" s="77">
        <f t="shared" si="19"/>
        <v>16.396000000000001</v>
      </c>
      <c r="J94" s="77">
        <f t="shared" si="20"/>
        <v>37.292000000000002</v>
      </c>
    </row>
    <row r="95" spans="1:10" ht="12" customHeight="1">
      <c r="A95" s="27" t="s">
        <v>102</v>
      </c>
      <c r="B95" s="24"/>
      <c r="C95" s="24"/>
      <c r="D95" s="24"/>
      <c r="E95" s="24">
        <v>1</v>
      </c>
      <c r="F95" s="24"/>
      <c r="G95" s="24"/>
      <c r="H95" s="77">
        <f t="shared" si="18"/>
        <v>20.896000000000001</v>
      </c>
      <c r="I95" s="77">
        <f t="shared" si="19"/>
        <v>15.396000000000001</v>
      </c>
      <c r="J95" s="77">
        <f t="shared" si="20"/>
        <v>36.292000000000002</v>
      </c>
    </row>
    <row r="96" spans="1:10" ht="12" customHeight="1">
      <c r="A96" s="27" t="s">
        <v>103</v>
      </c>
      <c r="B96" s="24"/>
      <c r="C96" s="24"/>
      <c r="D96" s="24"/>
      <c r="E96" s="24">
        <v>1</v>
      </c>
      <c r="F96" s="24"/>
      <c r="G96" s="24"/>
      <c r="H96" s="77">
        <f t="shared" si="18"/>
        <v>20.896000000000001</v>
      </c>
      <c r="I96" s="77">
        <f t="shared" si="19"/>
        <v>14.396000000000001</v>
      </c>
      <c r="J96" s="77">
        <f t="shared" si="20"/>
        <v>35.292000000000002</v>
      </c>
    </row>
    <row r="97" spans="1:10" ht="12" customHeight="1">
      <c r="A97" s="27" t="s">
        <v>104</v>
      </c>
      <c r="B97" s="24">
        <v>1.25</v>
      </c>
      <c r="C97" s="24">
        <v>1.25</v>
      </c>
      <c r="D97" s="24"/>
      <c r="E97" s="24"/>
      <c r="F97" s="24"/>
      <c r="G97" s="24"/>
      <c r="H97" s="77">
        <f t="shared" si="18"/>
        <v>22.146000000000001</v>
      </c>
      <c r="I97" s="77">
        <f t="shared" si="19"/>
        <v>15.646000000000001</v>
      </c>
      <c r="J97" s="77">
        <f t="shared" si="20"/>
        <v>37.792000000000002</v>
      </c>
    </row>
    <row r="98" spans="1:10" ht="12" customHeight="1">
      <c r="A98" s="27" t="s">
        <v>105</v>
      </c>
      <c r="B98" s="24"/>
      <c r="C98" s="24"/>
      <c r="D98" s="24"/>
      <c r="E98" s="24"/>
      <c r="F98" s="24"/>
      <c r="G98" s="24">
        <v>1</v>
      </c>
      <c r="H98" s="77">
        <f t="shared" si="18"/>
        <v>22.146000000000001</v>
      </c>
      <c r="I98" s="77">
        <f t="shared" si="19"/>
        <v>15.646000000000001</v>
      </c>
      <c r="J98" s="77">
        <f t="shared" si="20"/>
        <v>37.792000000000002</v>
      </c>
    </row>
    <row r="99" spans="1:10" ht="12" customHeight="1">
      <c r="A99" s="27" t="s">
        <v>106</v>
      </c>
      <c r="B99" s="24">
        <v>3.75</v>
      </c>
      <c r="C99" s="24">
        <v>3.75</v>
      </c>
      <c r="D99" s="24"/>
      <c r="E99" s="24"/>
      <c r="F99" s="24"/>
      <c r="G99" s="24"/>
      <c r="H99" s="77">
        <f t="shared" si="18"/>
        <v>25.896000000000001</v>
      </c>
      <c r="I99" s="77">
        <f t="shared" si="19"/>
        <v>19.396000000000001</v>
      </c>
      <c r="J99" s="77">
        <f t="shared" si="20"/>
        <v>45.292000000000002</v>
      </c>
    </row>
    <row r="100" spans="1:10" ht="12" customHeight="1">
      <c r="A100" s="27" t="s">
        <v>107</v>
      </c>
      <c r="B100" s="24"/>
      <c r="C100" s="24"/>
      <c r="D100" s="24"/>
      <c r="E100" s="24"/>
      <c r="F100" s="24"/>
      <c r="G100" s="24">
        <v>1</v>
      </c>
      <c r="H100" s="77">
        <f t="shared" si="18"/>
        <v>25.896000000000001</v>
      </c>
      <c r="I100" s="77">
        <f t="shared" si="19"/>
        <v>19.396000000000001</v>
      </c>
      <c r="J100" s="77">
        <f t="shared" si="20"/>
        <v>45.292000000000002</v>
      </c>
    </row>
    <row r="101" spans="1:10" ht="12" customHeight="1">
      <c r="A101" s="27" t="s">
        <v>108</v>
      </c>
      <c r="B101" s="24">
        <v>1.25</v>
      </c>
      <c r="C101" s="24">
        <v>1.25</v>
      </c>
      <c r="D101" s="24"/>
      <c r="E101" s="24"/>
      <c r="F101" s="24"/>
      <c r="G101" s="24"/>
      <c r="H101" s="77">
        <f t="shared" si="18"/>
        <v>27.146000000000001</v>
      </c>
      <c r="I101" s="77">
        <f t="shared" si="19"/>
        <v>20.646000000000001</v>
      </c>
      <c r="J101" s="77">
        <f t="shared" si="20"/>
        <v>47.792000000000002</v>
      </c>
    </row>
    <row r="102" spans="1:10" ht="13.5" customHeight="1">
      <c r="A102" s="27" t="s">
        <v>109</v>
      </c>
      <c r="B102" s="24"/>
      <c r="C102" s="24"/>
      <c r="D102" s="24"/>
      <c r="E102" s="24">
        <v>1</v>
      </c>
      <c r="F102" s="24"/>
      <c r="G102" s="24"/>
      <c r="H102" s="77">
        <f t="shared" si="18"/>
        <v>27.146000000000001</v>
      </c>
      <c r="I102" s="77">
        <f t="shared" si="19"/>
        <v>19.646000000000001</v>
      </c>
      <c r="J102" s="77">
        <f t="shared" si="20"/>
        <v>46.792000000000002</v>
      </c>
    </row>
    <row r="103" spans="1:10" ht="12" customHeight="1">
      <c r="A103" s="27" t="s">
        <v>110</v>
      </c>
      <c r="B103" s="24">
        <v>2.5</v>
      </c>
      <c r="C103" s="24">
        <v>2.5</v>
      </c>
      <c r="D103" s="24"/>
      <c r="E103" s="24"/>
      <c r="F103" s="24"/>
      <c r="G103" s="24"/>
      <c r="H103" s="77">
        <f t="shared" si="18"/>
        <v>29.646000000000001</v>
      </c>
      <c r="I103" s="77">
        <f t="shared" si="19"/>
        <v>22.146000000000001</v>
      </c>
      <c r="J103" s="77">
        <f t="shared" si="20"/>
        <v>51.792000000000002</v>
      </c>
    </row>
    <row r="104" spans="1:10" ht="12" customHeight="1">
      <c r="A104" s="27" t="s">
        <v>111</v>
      </c>
      <c r="B104" s="24"/>
      <c r="C104" s="24"/>
      <c r="D104" s="24">
        <v>19</v>
      </c>
      <c r="E104" s="24"/>
      <c r="F104" s="24"/>
      <c r="G104" s="24"/>
      <c r="H104" s="77">
        <f t="shared" si="18"/>
        <v>10.646000000000001</v>
      </c>
      <c r="I104" s="77">
        <f t="shared" si="19"/>
        <v>22.146000000000001</v>
      </c>
      <c r="J104" s="77">
        <f t="shared" si="20"/>
        <v>32.792000000000002</v>
      </c>
    </row>
    <row r="105" spans="1:10" ht="14.25" customHeight="1">
      <c r="A105" s="29" t="s">
        <v>112</v>
      </c>
      <c r="B105" s="29">
        <v>3.75</v>
      </c>
      <c r="C105" s="29">
        <v>3.75</v>
      </c>
      <c r="D105" s="29"/>
      <c r="E105" s="24"/>
      <c r="F105" s="24"/>
      <c r="G105" s="24"/>
      <c r="H105" s="77">
        <f t="shared" si="18"/>
        <v>14.396000000000001</v>
      </c>
      <c r="I105" s="77">
        <f t="shared" si="19"/>
        <v>25.896000000000001</v>
      </c>
      <c r="J105" s="77">
        <f t="shared" si="20"/>
        <v>40.292000000000002</v>
      </c>
    </row>
    <row r="106" spans="1:10" ht="14.25" customHeight="1">
      <c r="A106" s="29" t="s">
        <v>113</v>
      </c>
      <c r="B106" s="29"/>
      <c r="C106" s="29"/>
      <c r="D106" s="29"/>
      <c r="E106" s="24"/>
      <c r="F106" s="24"/>
      <c r="G106" s="24">
        <v>1</v>
      </c>
      <c r="H106" s="77">
        <f t="shared" si="18"/>
        <v>14.396000000000001</v>
      </c>
      <c r="I106" s="77">
        <f t="shared" si="19"/>
        <v>25.896000000000001</v>
      </c>
      <c r="J106" s="77">
        <f t="shared" si="20"/>
        <v>40.292000000000002</v>
      </c>
    </row>
    <row r="107" spans="1:10" ht="14.25" customHeight="1">
      <c r="A107" s="29" t="s">
        <v>114</v>
      </c>
      <c r="B107" s="29"/>
      <c r="C107" s="29"/>
      <c r="D107" s="29"/>
      <c r="E107" s="24"/>
      <c r="F107" s="24">
        <v>1</v>
      </c>
      <c r="G107" s="24"/>
      <c r="H107" s="77">
        <f t="shared" si="18"/>
        <v>13.396000000000001</v>
      </c>
      <c r="I107" s="77">
        <f t="shared" si="19"/>
        <v>25.896000000000001</v>
      </c>
      <c r="J107" s="77">
        <f t="shared" si="20"/>
        <v>39.292000000000002</v>
      </c>
    </row>
    <row r="108" spans="1:10" ht="14.25" customHeight="1">
      <c r="A108" s="29" t="s">
        <v>115</v>
      </c>
      <c r="B108" s="29"/>
      <c r="C108" s="29"/>
      <c r="D108" s="29"/>
      <c r="E108" s="24"/>
      <c r="F108" s="24">
        <v>1</v>
      </c>
      <c r="G108" s="24"/>
      <c r="H108" s="77">
        <f t="shared" si="18"/>
        <v>12.396000000000001</v>
      </c>
      <c r="I108" s="77">
        <f t="shared" si="19"/>
        <v>25.896000000000001</v>
      </c>
      <c r="J108" s="77">
        <f t="shared" si="20"/>
        <v>38.292000000000002</v>
      </c>
    </row>
    <row r="109" spans="1:10" ht="14.25" customHeight="1">
      <c r="A109" s="29" t="s">
        <v>116</v>
      </c>
      <c r="B109" s="29"/>
      <c r="C109" s="29"/>
      <c r="D109" s="29"/>
      <c r="E109" s="24"/>
      <c r="F109" s="24">
        <v>3</v>
      </c>
      <c r="G109" s="24"/>
      <c r="H109" s="77">
        <f t="shared" si="18"/>
        <v>9.3960000000000008</v>
      </c>
      <c r="I109" s="77">
        <f t="shared" si="19"/>
        <v>25.896000000000001</v>
      </c>
      <c r="J109" s="77">
        <f t="shared" si="20"/>
        <v>35.292000000000002</v>
      </c>
    </row>
    <row r="110" spans="1:10" ht="29.25" customHeight="1">
      <c r="A110" s="34" t="s">
        <v>117</v>
      </c>
      <c r="B110" s="29">
        <v>1</v>
      </c>
      <c r="C110" s="29"/>
      <c r="D110" s="29"/>
      <c r="E110" s="24"/>
      <c r="F110" s="24"/>
      <c r="G110" s="24"/>
      <c r="H110" s="77">
        <f t="shared" si="18"/>
        <v>10.396000000000001</v>
      </c>
      <c r="I110" s="77">
        <f t="shared" si="19"/>
        <v>25.896000000000001</v>
      </c>
      <c r="J110" s="77">
        <f t="shared" si="20"/>
        <v>36.292000000000002</v>
      </c>
    </row>
    <row r="111" spans="1:10" ht="29.25" customHeight="1">
      <c r="A111" s="34" t="s">
        <v>118</v>
      </c>
      <c r="B111" s="29">
        <v>1</v>
      </c>
      <c r="C111" s="29"/>
      <c r="D111" s="29"/>
      <c r="E111" s="24"/>
      <c r="F111" s="24"/>
      <c r="G111" s="24"/>
      <c r="H111" s="77">
        <f t="shared" si="18"/>
        <v>11.396000000000001</v>
      </c>
      <c r="I111" s="77">
        <f t="shared" si="19"/>
        <v>25.896000000000001</v>
      </c>
      <c r="J111" s="77">
        <f t="shared" si="20"/>
        <v>37.292000000000002</v>
      </c>
    </row>
    <row r="112" spans="1:10" ht="14.25" customHeight="1">
      <c r="A112" s="29" t="s">
        <v>119</v>
      </c>
      <c r="B112" s="29">
        <v>2.5</v>
      </c>
      <c r="C112" s="29">
        <v>2.5</v>
      </c>
      <c r="D112" s="29"/>
      <c r="E112" s="24"/>
      <c r="F112" s="24"/>
      <c r="G112" s="24"/>
      <c r="H112" s="77">
        <f t="shared" si="18"/>
        <v>13.896000000000001</v>
      </c>
      <c r="I112" s="77">
        <f t="shared" si="19"/>
        <v>28.396000000000001</v>
      </c>
      <c r="J112" s="77">
        <f t="shared" si="20"/>
        <v>42.292000000000002</v>
      </c>
    </row>
    <row r="113" spans="1:10" ht="14.25" customHeight="1">
      <c r="A113" s="29" t="s">
        <v>120</v>
      </c>
      <c r="B113" s="29"/>
      <c r="C113" s="29"/>
      <c r="D113" s="29"/>
      <c r="E113" s="24">
        <v>1</v>
      </c>
      <c r="F113" s="24"/>
      <c r="G113" s="24"/>
      <c r="H113" s="77">
        <f t="shared" ref="H113" si="21">H112-F113-D113+B113</f>
        <v>13.896000000000001</v>
      </c>
      <c r="I113" s="77">
        <f t="shared" ref="I113" si="22">I112-E113+C113</f>
        <v>27.396000000000001</v>
      </c>
      <c r="J113" s="77">
        <f t="shared" ref="J113" si="23">SUM(H113:I113)</f>
        <v>41.292000000000002</v>
      </c>
    </row>
    <row r="114" spans="1:10" ht="14.25" customHeight="1">
      <c r="A114" s="29" t="s">
        <v>121</v>
      </c>
      <c r="B114" s="29">
        <v>3.75</v>
      </c>
      <c r="C114" s="29">
        <v>3.75</v>
      </c>
      <c r="D114" s="29"/>
      <c r="E114" s="24"/>
      <c r="F114" s="24"/>
      <c r="G114" s="24"/>
      <c r="H114" s="77">
        <f t="shared" ref="H114" si="24">H113-F114-D114+B114</f>
        <v>17.646000000000001</v>
      </c>
      <c r="I114" s="77">
        <f t="shared" ref="I114" si="25">I113-E114+C114</f>
        <v>31.146000000000001</v>
      </c>
      <c r="J114" s="77">
        <f t="shared" ref="J114" si="26">SUM(H114:I114)</f>
        <v>48.792000000000002</v>
      </c>
    </row>
    <row r="115" spans="1:10" ht="14.25" customHeight="1">
      <c r="A115" s="29" t="s">
        <v>122</v>
      </c>
      <c r="B115" s="29"/>
      <c r="C115" s="29"/>
      <c r="D115" s="29">
        <v>10</v>
      </c>
      <c r="E115" s="24"/>
      <c r="F115" s="24"/>
      <c r="G115" s="24"/>
      <c r="H115" s="77">
        <f t="shared" ref="H115" si="27">H114-F115-D115+B115</f>
        <v>7.6460000000000008</v>
      </c>
      <c r="I115" s="77">
        <f t="shared" ref="I115" si="28">I114-E115+C115</f>
        <v>31.146000000000001</v>
      </c>
      <c r="J115" s="77">
        <f t="shared" ref="J115" si="29">SUM(H115:I115)</f>
        <v>38.792000000000002</v>
      </c>
    </row>
    <row r="116" spans="1:10" ht="14.25" customHeight="1">
      <c r="A116" s="29" t="s">
        <v>123</v>
      </c>
      <c r="B116" s="29"/>
      <c r="C116" s="29"/>
      <c r="D116" s="29"/>
      <c r="E116" s="24">
        <v>1</v>
      </c>
      <c r="F116" s="24"/>
      <c r="G116" s="24"/>
      <c r="H116" s="77">
        <f t="shared" ref="H116" si="30">H115-F116-D116+B116</f>
        <v>7.6460000000000008</v>
      </c>
      <c r="I116" s="77">
        <f t="shared" ref="I116" si="31">I115-E116+C116</f>
        <v>30.146000000000001</v>
      </c>
      <c r="J116" s="77">
        <f t="shared" ref="J116" si="32">SUM(H116:I116)</f>
        <v>37.792000000000002</v>
      </c>
    </row>
    <row r="117" spans="1:10" ht="14.25" customHeight="1">
      <c r="A117" s="29" t="s">
        <v>124</v>
      </c>
      <c r="B117" s="29">
        <v>3.75</v>
      </c>
      <c r="C117" s="29">
        <v>3.75</v>
      </c>
      <c r="D117" s="29"/>
      <c r="E117" s="24"/>
      <c r="F117" s="24"/>
      <c r="G117" s="24"/>
      <c r="H117" s="77">
        <f t="shared" ref="H117:H118" si="33">H116-F117-D117+B117</f>
        <v>11.396000000000001</v>
      </c>
      <c r="I117" s="77">
        <f t="shared" ref="I117:I118" si="34">I116-E117+C117</f>
        <v>33.896000000000001</v>
      </c>
      <c r="J117" s="77">
        <f t="shared" ref="J117:J118" si="35">SUM(H117:I117)</f>
        <v>45.292000000000002</v>
      </c>
    </row>
    <row r="118" spans="1:10" ht="14.25" customHeight="1">
      <c r="A118" s="29" t="s">
        <v>125</v>
      </c>
      <c r="B118" s="29"/>
      <c r="C118" s="29"/>
      <c r="D118" s="29"/>
      <c r="E118" s="24"/>
      <c r="F118" s="24"/>
      <c r="G118" s="144">
        <v>1</v>
      </c>
      <c r="H118" s="77">
        <f t="shared" si="33"/>
        <v>11.396000000000001</v>
      </c>
      <c r="I118" s="77">
        <f t="shared" si="34"/>
        <v>33.896000000000001</v>
      </c>
      <c r="J118" s="77">
        <f t="shared" si="35"/>
        <v>45.292000000000002</v>
      </c>
    </row>
    <row r="119" spans="1:10" ht="14.25" customHeight="1">
      <c r="A119" s="29" t="s">
        <v>126</v>
      </c>
      <c r="B119" s="29">
        <v>2.5</v>
      </c>
      <c r="C119" s="29">
        <v>2.5</v>
      </c>
      <c r="D119" s="29"/>
      <c r="E119" s="24"/>
      <c r="F119" s="24"/>
      <c r="G119" s="24"/>
      <c r="H119" s="77">
        <f t="shared" ref="H119:H120" si="36">H118-F119-D119+B119</f>
        <v>13.896000000000001</v>
      </c>
      <c r="I119" s="77">
        <f t="shared" ref="I119:I120" si="37">I118-E119+C119</f>
        <v>36.396000000000001</v>
      </c>
      <c r="J119" s="77">
        <f t="shared" ref="J119:J120" si="38">SUM(H119:I119)</f>
        <v>50.292000000000002</v>
      </c>
    </row>
    <row r="120" spans="1:10" ht="14.25" customHeight="1">
      <c r="A120" s="29" t="s">
        <v>127</v>
      </c>
      <c r="B120" s="29"/>
      <c r="C120" s="29"/>
      <c r="D120" s="29"/>
      <c r="E120" s="24"/>
      <c r="F120" s="24"/>
      <c r="G120" s="144">
        <v>1</v>
      </c>
      <c r="H120" s="77">
        <f t="shared" si="36"/>
        <v>13.896000000000001</v>
      </c>
      <c r="I120" s="77">
        <f t="shared" si="37"/>
        <v>36.396000000000001</v>
      </c>
      <c r="J120" s="77">
        <f t="shared" si="38"/>
        <v>50.292000000000002</v>
      </c>
    </row>
    <row r="121" spans="1:10" ht="14.25" customHeight="1">
      <c r="A121" s="29" t="s">
        <v>128</v>
      </c>
      <c r="B121" s="29">
        <v>2.5</v>
      </c>
      <c r="C121" s="29">
        <v>2.5</v>
      </c>
      <c r="D121" s="29"/>
      <c r="E121" s="24"/>
      <c r="F121" s="24"/>
      <c r="G121" s="24"/>
      <c r="H121" s="77">
        <f t="shared" ref="H121" si="39">H120-F121-D121+B121</f>
        <v>16.396000000000001</v>
      </c>
      <c r="I121" s="77">
        <f t="shared" ref="I121" si="40">I120-E121+C121</f>
        <v>38.896000000000001</v>
      </c>
      <c r="J121" s="77">
        <f t="shared" ref="J121" si="41">SUM(H121:I121)</f>
        <v>55.292000000000002</v>
      </c>
    </row>
    <row r="122" spans="1:10" ht="14.25" customHeight="1">
      <c r="A122" s="29" t="s">
        <v>129</v>
      </c>
      <c r="B122" s="29"/>
      <c r="C122" s="29"/>
      <c r="D122" s="29"/>
      <c r="E122" s="24"/>
      <c r="F122" s="81">
        <v>5</v>
      </c>
      <c r="G122" s="24"/>
      <c r="H122" s="77">
        <f t="shared" ref="H122" si="42">H121-F122-D122+B122</f>
        <v>11.396000000000001</v>
      </c>
      <c r="I122" s="77">
        <f t="shared" ref="I122" si="43">I121-E122+C122</f>
        <v>38.896000000000001</v>
      </c>
      <c r="J122" s="77">
        <f t="shared" ref="J122" si="44">SUM(H122:I122)</f>
        <v>50.292000000000002</v>
      </c>
    </row>
    <row r="123" spans="1:10" ht="14.25" customHeight="1">
      <c r="A123" s="29" t="s">
        <v>130</v>
      </c>
      <c r="B123" s="29"/>
      <c r="C123" s="29"/>
      <c r="D123" s="29"/>
      <c r="E123" s="24">
        <v>1</v>
      </c>
      <c r="F123" s="24"/>
      <c r="G123" s="24"/>
      <c r="H123" s="77">
        <f t="shared" ref="H123" si="45">H122-F123-D123+B123</f>
        <v>11.396000000000001</v>
      </c>
      <c r="I123" s="77">
        <f t="shared" ref="I123" si="46">I122-E123+C123</f>
        <v>37.896000000000001</v>
      </c>
      <c r="J123" s="77">
        <f t="shared" ref="J123" si="47">SUM(H123:I123)</f>
        <v>49.292000000000002</v>
      </c>
    </row>
    <row r="124" spans="1:10" ht="14.25" customHeight="1">
      <c r="A124" s="31" t="s">
        <v>131</v>
      </c>
      <c r="B124" s="31">
        <v>1.25</v>
      </c>
      <c r="C124" s="31">
        <v>1.25</v>
      </c>
      <c r="D124" s="31"/>
      <c r="E124" s="135"/>
      <c r="F124" s="135"/>
      <c r="G124" s="135"/>
      <c r="H124" s="136">
        <f>H123-F124-D124+B124</f>
        <v>12.646000000000001</v>
      </c>
      <c r="I124" s="136">
        <f>I123-E124+C124</f>
        <v>39.146000000000001</v>
      </c>
      <c r="J124" s="136">
        <f>SUM(H124:I124)</f>
        <v>51.792000000000002</v>
      </c>
    </row>
    <row r="125" spans="1:10" ht="14.25" customHeight="1">
      <c r="A125" s="132" t="s">
        <v>132</v>
      </c>
      <c r="B125" s="132">
        <v>2</v>
      </c>
      <c r="C125" s="132"/>
      <c r="D125" s="132"/>
      <c r="E125" s="133"/>
      <c r="F125" s="133"/>
      <c r="G125" s="133"/>
      <c r="H125" s="136">
        <f>H124-F125-D125+B125</f>
        <v>14.646000000000001</v>
      </c>
      <c r="I125" s="136">
        <f>I124-E125+C125</f>
        <v>39.146000000000001</v>
      </c>
      <c r="J125" s="136">
        <f>SUM(H125:I125)</f>
        <v>53.792000000000002</v>
      </c>
    </row>
    <row r="126" spans="1:10" ht="14.25" customHeight="1">
      <c r="A126" s="132"/>
      <c r="B126" s="132"/>
      <c r="C126" s="132"/>
      <c r="D126" s="132"/>
      <c r="E126" s="133"/>
      <c r="F126" s="133"/>
      <c r="G126" s="133"/>
      <c r="H126" s="134"/>
      <c r="I126" s="134"/>
      <c r="J126" s="134"/>
    </row>
    <row r="127" spans="1:10" ht="14.25" customHeight="1">
      <c r="A127" s="82"/>
      <c r="B127" s="82"/>
      <c r="C127" s="82"/>
      <c r="D127" s="82"/>
      <c r="E127" s="83"/>
      <c r="F127" s="83"/>
      <c r="G127" s="83"/>
      <c r="H127" s="84"/>
      <c r="I127" s="84"/>
      <c r="J127" s="84"/>
    </row>
    <row r="131" spans="6:6">
      <c r="F131" s="68" t="s">
        <v>133</v>
      </c>
    </row>
  </sheetData>
  <mergeCells count="14">
    <mergeCell ref="B16:G16"/>
    <mergeCell ref="A11:A12"/>
    <mergeCell ref="J11:J12"/>
    <mergeCell ref="K11:K12"/>
    <mergeCell ref="B9:D9"/>
    <mergeCell ref="A10:J10"/>
    <mergeCell ref="B11:C11"/>
    <mergeCell ref="D11:G11"/>
    <mergeCell ref="H11:I11"/>
    <mergeCell ref="A2:J2"/>
    <mergeCell ref="A3:J3"/>
    <mergeCell ref="A4:J4"/>
    <mergeCell ref="A5:J5"/>
    <mergeCell ref="B7:D7"/>
  </mergeCells>
  <printOptions horizontalCentered="1"/>
  <pageMargins left="0.23622047244094499" right="0.23622047244094499" top="0.70866141732283505" bottom="0.70866141732283505" header="0.31496062992126" footer="0.31496062992126"/>
  <pageSetup paperSize="9" scale="69" fitToHeight="0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7"/>
  <sheetViews>
    <sheetView view="pageBreakPreview" topLeftCell="A12" zoomScale="112" zoomScaleNormal="100" workbookViewId="0">
      <selection activeCell="D31" sqref="D31"/>
    </sheetView>
  </sheetViews>
  <sheetFormatPr defaultColWidth="9" defaultRowHeight="14.45"/>
  <cols>
    <col min="1" max="1" width="23.625" customWidth="1"/>
    <col min="2" max="4" width="17.75" customWidth="1"/>
    <col min="5" max="5" width="0.625" customWidth="1"/>
    <col min="6" max="7" width="8.25" customWidth="1"/>
    <col min="8" max="8" width="7.875" customWidth="1"/>
    <col min="9" max="9" width="9.25" customWidth="1"/>
    <col min="10" max="10" width="10.375" customWidth="1"/>
  </cols>
  <sheetData>
    <row r="1" spans="1:10" s="1" customFormat="1" ht="52.5" customHeight="1"/>
    <row r="2" spans="1:10" s="1" customFormat="1" ht="10.5" customHeight="1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</row>
    <row r="3" spans="1:10" s="1" customFormat="1" ht="15.95" customHeight="1">
      <c r="A3" s="85" t="s">
        <v>1</v>
      </c>
      <c r="B3" s="85"/>
      <c r="C3" s="85"/>
      <c r="D3" s="85"/>
      <c r="E3" s="85"/>
      <c r="F3" s="85"/>
      <c r="G3" s="85"/>
      <c r="H3" s="85"/>
      <c r="I3" s="85"/>
      <c r="J3" s="85"/>
    </row>
    <row r="4" spans="1:10" s="1" customFormat="1" ht="15.95" customHeight="1">
      <c r="A4" s="85" t="s">
        <v>134</v>
      </c>
      <c r="B4" s="85"/>
      <c r="C4" s="85"/>
      <c r="D4" s="85"/>
      <c r="E4" s="85"/>
      <c r="F4" s="85"/>
      <c r="G4" s="85"/>
      <c r="H4" s="85"/>
      <c r="I4" s="85"/>
      <c r="J4" s="85"/>
    </row>
    <row r="5" spans="1:10" s="1" customFormat="1" ht="15.95" customHeight="1">
      <c r="A5" s="85" t="s">
        <v>3</v>
      </c>
      <c r="B5" s="85"/>
      <c r="C5" s="85"/>
      <c r="D5" s="85"/>
      <c r="E5" s="85"/>
      <c r="F5" s="85"/>
      <c r="G5" s="85"/>
      <c r="H5" s="85"/>
      <c r="I5" s="85"/>
      <c r="J5" s="85"/>
    </row>
    <row r="6" spans="1:10" s="1" customFormat="1" ht="8.25" customHeight="1"/>
    <row r="7" spans="1:10" s="1" customFormat="1" ht="12" customHeight="1">
      <c r="A7" s="1" t="s">
        <v>4</v>
      </c>
      <c r="C7" s="6" t="s">
        <v>5</v>
      </c>
      <c r="D7" s="6"/>
      <c r="G7" s="6" t="s">
        <v>6</v>
      </c>
      <c r="H7" s="7"/>
    </row>
    <row r="8" spans="1:10" s="1" customFormat="1" ht="12" customHeight="1">
      <c r="C8" s="8"/>
      <c r="G8" s="8"/>
      <c r="H8" s="8"/>
    </row>
    <row r="9" spans="1:10" s="1" customFormat="1" ht="12" customHeight="1">
      <c r="A9" s="1" t="s">
        <v>7</v>
      </c>
      <c r="C9" s="6" t="s">
        <v>8</v>
      </c>
      <c r="D9" s="6"/>
      <c r="G9" s="6" t="s">
        <v>9</v>
      </c>
      <c r="H9" s="9"/>
    </row>
    <row r="10" spans="1:10" ht="16.5" customHeight="1">
      <c r="A10" s="87" t="s">
        <v>135</v>
      </c>
      <c r="B10" s="87"/>
      <c r="C10" s="87"/>
      <c r="D10" s="87"/>
      <c r="E10" s="87"/>
      <c r="F10" s="87"/>
      <c r="G10" s="87"/>
      <c r="H10" s="87"/>
      <c r="I10" s="87"/>
      <c r="J10" s="87"/>
    </row>
    <row r="11" spans="1:10" s="47" customFormat="1" ht="18.75" customHeight="1">
      <c r="A11" s="116" t="s">
        <v>11</v>
      </c>
      <c r="B11" s="94" t="s">
        <v>12</v>
      </c>
      <c r="C11" s="95"/>
      <c r="D11" s="95"/>
      <c r="E11" s="95"/>
      <c r="F11" s="95"/>
      <c r="G11" s="95"/>
      <c r="H11" s="95"/>
      <c r="I11" s="95"/>
      <c r="J11" s="118" t="s">
        <v>15</v>
      </c>
    </row>
    <row r="12" spans="1:10" s="47" customFormat="1" ht="35.25" customHeight="1">
      <c r="A12" s="117"/>
      <c r="B12" s="96" t="s">
        <v>136</v>
      </c>
      <c r="C12" s="97"/>
      <c r="D12" s="97"/>
      <c r="E12" s="98"/>
      <c r="F12" s="96" t="s">
        <v>137</v>
      </c>
      <c r="G12" s="98"/>
      <c r="H12" s="60" t="s">
        <v>138</v>
      </c>
      <c r="I12" s="60" t="s">
        <v>139</v>
      </c>
      <c r="J12" s="119"/>
    </row>
    <row r="13" spans="1:10" s="47" customFormat="1" ht="22.5" hidden="1" customHeight="1">
      <c r="A13" s="61" t="s">
        <v>140</v>
      </c>
      <c r="B13" s="99" t="s">
        <v>141</v>
      </c>
      <c r="C13" s="100"/>
      <c r="D13" s="100"/>
      <c r="E13" s="101"/>
      <c r="F13" s="99">
        <v>2</v>
      </c>
      <c r="G13" s="101"/>
      <c r="H13" s="54">
        <v>0</v>
      </c>
      <c r="I13" s="54">
        <v>2</v>
      </c>
      <c r="J13" s="69">
        <v>2</v>
      </c>
    </row>
    <row r="14" spans="1:10" s="48" customFormat="1" ht="22.5" hidden="1" customHeight="1">
      <c r="A14" s="61" t="s">
        <v>142</v>
      </c>
      <c r="B14" s="99" t="s">
        <v>141</v>
      </c>
      <c r="C14" s="100"/>
      <c r="D14" s="100"/>
      <c r="E14" s="101"/>
      <c r="F14" s="99"/>
      <c r="G14" s="101"/>
      <c r="H14" s="54">
        <v>1</v>
      </c>
      <c r="I14" s="54">
        <v>1</v>
      </c>
      <c r="J14" s="70">
        <v>1</v>
      </c>
    </row>
    <row r="15" spans="1:10" s="48" customFormat="1" ht="25.5" hidden="1" customHeight="1">
      <c r="A15" s="56" t="s">
        <v>143</v>
      </c>
      <c r="B15" s="102" t="s">
        <v>141</v>
      </c>
      <c r="C15" s="103"/>
      <c r="D15" s="103"/>
      <c r="E15" s="104"/>
      <c r="F15" s="102"/>
      <c r="G15" s="104"/>
      <c r="H15" s="57">
        <v>1</v>
      </c>
      <c r="I15" s="57">
        <v>0</v>
      </c>
      <c r="J15" s="56">
        <v>0</v>
      </c>
    </row>
    <row r="16" spans="1:10" s="48" customFormat="1" ht="25.5" hidden="1" customHeight="1">
      <c r="A16" s="62" t="s">
        <v>144</v>
      </c>
      <c r="B16" s="105" t="s">
        <v>145</v>
      </c>
      <c r="C16" s="106"/>
      <c r="D16" s="106"/>
      <c r="E16" s="107"/>
      <c r="F16" s="99">
        <v>1</v>
      </c>
      <c r="G16" s="101"/>
      <c r="H16" s="54">
        <v>0</v>
      </c>
      <c r="I16" s="54">
        <v>1</v>
      </c>
      <c r="J16" s="71">
        <v>1</v>
      </c>
    </row>
    <row r="17" spans="1:10" s="48" customFormat="1" ht="25.5" hidden="1" customHeight="1">
      <c r="A17" s="63" t="s">
        <v>146</v>
      </c>
      <c r="B17" s="108" t="s">
        <v>145</v>
      </c>
      <c r="C17" s="109"/>
      <c r="D17" s="109"/>
      <c r="E17" s="110"/>
      <c r="F17" s="102"/>
      <c r="G17" s="104"/>
      <c r="H17" s="57">
        <v>1</v>
      </c>
      <c r="I17" s="57">
        <v>0</v>
      </c>
      <c r="J17" s="56">
        <v>0</v>
      </c>
    </row>
    <row r="18" spans="1:10" s="48" customFormat="1" ht="22.5" hidden="1" customHeight="1">
      <c r="A18" s="62" t="s">
        <v>147</v>
      </c>
      <c r="B18" s="105" t="s">
        <v>148</v>
      </c>
      <c r="C18" s="106"/>
      <c r="D18" s="106"/>
      <c r="E18" s="107"/>
      <c r="F18" s="99">
        <v>2</v>
      </c>
      <c r="G18" s="101"/>
      <c r="H18" s="54">
        <v>0</v>
      </c>
      <c r="I18" s="54">
        <v>2</v>
      </c>
      <c r="J18" s="71">
        <v>2</v>
      </c>
    </row>
    <row r="19" spans="1:10" s="48" customFormat="1" ht="22.5" hidden="1" customHeight="1">
      <c r="A19" s="63" t="s">
        <v>149</v>
      </c>
      <c r="B19" s="108" t="s">
        <v>148</v>
      </c>
      <c r="C19" s="109"/>
      <c r="D19" s="109"/>
      <c r="E19" s="110"/>
      <c r="F19" s="102"/>
      <c r="G19" s="104"/>
      <c r="H19" s="57">
        <v>2</v>
      </c>
      <c r="I19" s="57">
        <v>0</v>
      </c>
      <c r="J19" s="56">
        <v>0</v>
      </c>
    </row>
    <row r="20" spans="1:10" s="48" customFormat="1" ht="25.5" hidden="1" customHeight="1">
      <c r="A20" s="62" t="s">
        <v>150</v>
      </c>
      <c r="B20" s="105" t="s">
        <v>151</v>
      </c>
      <c r="C20" s="106"/>
      <c r="D20" s="106"/>
      <c r="E20" s="107"/>
      <c r="F20" s="99">
        <v>2</v>
      </c>
      <c r="G20" s="101"/>
      <c r="H20" s="54">
        <v>0</v>
      </c>
      <c r="I20" s="54">
        <v>2</v>
      </c>
      <c r="J20" s="71">
        <v>2</v>
      </c>
    </row>
    <row r="21" spans="1:10" s="48" customFormat="1" ht="23.25" hidden="1" customHeight="1">
      <c r="A21" s="63" t="s">
        <v>152</v>
      </c>
      <c r="B21" s="108" t="s">
        <v>151</v>
      </c>
      <c r="C21" s="109"/>
      <c r="D21" s="109"/>
      <c r="E21" s="110"/>
      <c r="F21" s="102"/>
      <c r="G21" s="104"/>
      <c r="H21" s="57">
        <v>2</v>
      </c>
      <c r="I21" s="57">
        <v>0</v>
      </c>
      <c r="J21" s="56">
        <v>0</v>
      </c>
    </row>
    <row r="22" spans="1:10" s="48" customFormat="1" ht="25.5" customHeight="1">
      <c r="A22" s="62" t="s">
        <v>153</v>
      </c>
      <c r="B22" s="105" t="s">
        <v>154</v>
      </c>
      <c r="C22" s="106"/>
      <c r="D22" s="106"/>
      <c r="E22" s="107"/>
      <c r="F22" s="99">
        <v>3</v>
      </c>
      <c r="G22" s="101"/>
      <c r="H22" s="54">
        <v>0</v>
      </c>
      <c r="I22" s="54">
        <v>3</v>
      </c>
      <c r="J22" s="71">
        <v>3</v>
      </c>
    </row>
    <row r="23" spans="1:10" s="48" customFormat="1" ht="25.5" customHeight="1">
      <c r="A23" s="62" t="s">
        <v>155</v>
      </c>
      <c r="B23" s="105" t="s">
        <v>154</v>
      </c>
      <c r="C23" s="106"/>
      <c r="D23" s="106"/>
      <c r="E23" s="107"/>
      <c r="F23" s="54"/>
      <c r="G23" s="55"/>
      <c r="H23" s="54">
        <v>3</v>
      </c>
      <c r="I23" s="54">
        <v>0</v>
      </c>
      <c r="J23" s="56">
        <v>0</v>
      </c>
    </row>
    <row r="24" spans="1:10" s="59" customFormat="1" ht="25.5" customHeight="1">
      <c r="A24" s="64" t="s">
        <v>156</v>
      </c>
      <c r="B24" s="111" t="s">
        <v>157</v>
      </c>
      <c r="C24" s="112"/>
      <c r="D24" s="112"/>
      <c r="E24" s="113"/>
      <c r="F24" s="111">
        <v>1</v>
      </c>
      <c r="G24" s="113"/>
      <c r="H24" s="54">
        <v>0</v>
      </c>
      <c r="I24" s="54">
        <v>1</v>
      </c>
      <c r="J24" s="71">
        <v>1</v>
      </c>
    </row>
    <row r="25" spans="1:10" s="59" customFormat="1" ht="25.5" customHeight="1">
      <c r="A25" s="64" t="s">
        <v>158</v>
      </c>
      <c r="B25" s="111" t="s">
        <v>157</v>
      </c>
      <c r="C25" s="112"/>
      <c r="D25" s="112"/>
      <c r="E25" s="113"/>
      <c r="F25" s="111"/>
      <c r="G25" s="113"/>
      <c r="H25" s="54">
        <v>1</v>
      </c>
      <c r="I25" s="54">
        <v>0</v>
      </c>
      <c r="J25" s="56">
        <v>0</v>
      </c>
    </row>
    <row r="26" spans="1:10" s="59" customFormat="1" ht="25.5" customHeight="1">
      <c r="A26" s="64" t="s">
        <v>159</v>
      </c>
      <c r="B26" s="111" t="s">
        <v>160</v>
      </c>
      <c r="C26" s="112"/>
      <c r="D26" s="112"/>
      <c r="E26" s="113"/>
      <c r="F26" s="111" t="s">
        <v>161</v>
      </c>
      <c r="G26" s="113"/>
      <c r="H26" s="54">
        <v>0</v>
      </c>
      <c r="I26" s="54" t="s">
        <v>161</v>
      </c>
      <c r="J26" s="71" t="s">
        <v>161</v>
      </c>
    </row>
    <row r="27" spans="1:10" s="59" customFormat="1" ht="25.5" customHeight="1">
      <c r="A27" s="64" t="s">
        <v>162</v>
      </c>
      <c r="B27" s="111" t="s">
        <v>160</v>
      </c>
      <c r="C27" s="112"/>
      <c r="D27" s="112"/>
      <c r="E27" s="113"/>
      <c r="F27" s="111"/>
      <c r="G27" s="113"/>
      <c r="H27" s="54">
        <v>1</v>
      </c>
      <c r="I27" s="54" t="s">
        <v>163</v>
      </c>
      <c r="J27" s="71" t="s">
        <v>163</v>
      </c>
    </row>
    <row r="28" spans="1:10" s="59" customFormat="1" ht="25.5" customHeight="1">
      <c r="A28" s="64" t="s">
        <v>164</v>
      </c>
      <c r="B28" s="111" t="s">
        <v>160</v>
      </c>
      <c r="C28" s="112"/>
      <c r="D28" s="112"/>
      <c r="E28" s="113"/>
      <c r="F28" s="111"/>
      <c r="G28" s="113"/>
      <c r="H28" s="54">
        <v>1</v>
      </c>
      <c r="I28" s="54" t="s">
        <v>165</v>
      </c>
      <c r="J28" s="71" t="s">
        <v>165</v>
      </c>
    </row>
    <row r="29" spans="1:10" s="59" customFormat="1" ht="25.5" customHeight="1">
      <c r="A29" s="64" t="s">
        <v>166</v>
      </c>
      <c r="B29" s="111" t="s">
        <v>167</v>
      </c>
      <c r="C29" s="112"/>
      <c r="D29" s="112"/>
      <c r="E29" s="113"/>
      <c r="F29" s="111">
        <v>1.5</v>
      </c>
      <c r="G29" s="113"/>
      <c r="H29" s="65">
        <v>0</v>
      </c>
      <c r="I29" s="65">
        <v>1.5</v>
      </c>
      <c r="J29" s="65">
        <v>1.5</v>
      </c>
    </row>
    <row r="30" spans="1:10" s="59" customFormat="1" ht="25.5" customHeight="1">
      <c r="A30" s="64" t="s">
        <v>168</v>
      </c>
      <c r="B30" s="111" t="s">
        <v>167</v>
      </c>
      <c r="C30" s="112"/>
      <c r="D30" s="112"/>
      <c r="E30" s="113"/>
      <c r="F30" s="111"/>
      <c r="G30" s="113"/>
      <c r="H30" s="65">
        <v>1.5</v>
      </c>
      <c r="I30" s="72">
        <v>0</v>
      </c>
      <c r="J30" s="72">
        <v>0</v>
      </c>
    </row>
    <row r="31" spans="1:10" s="48" customFormat="1">
      <c r="A31" s="2" t="s">
        <v>169</v>
      </c>
      <c r="B31" s="66"/>
      <c r="C31" s="66"/>
      <c r="D31" s="66"/>
      <c r="E31" s="66"/>
      <c r="F31" s="66"/>
      <c r="G31" s="66"/>
      <c r="H31" s="66"/>
      <c r="I31" s="66"/>
      <c r="J31" s="73"/>
    </row>
    <row r="32" spans="1:10" ht="6.95" customHeight="1">
      <c r="A32" s="114"/>
      <c r="B32" s="114"/>
      <c r="C32" s="114"/>
      <c r="D32" s="114"/>
      <c r="E32" s="114"/>
      <c r="F32" s="114"/>
      <c r="G32" s="114"/>
      <c r="H32" s="114"/>
      <c r="I32" s="114"/>
      <c r="J32" s="114"/>
    </row>
    <row r="33" spans="3:10" s="1" customFormat="1">
      <c r="C33" s="4"/>
      <c r="H33" s="1" t="s">
        <v>170</v>
      </c>
    </row>
    <row r="34" spans="3:10" s="1" customFormat="1">
      <c r="C34" s="4"/>
    </row>
    <row r="35" spans="3:10">
      <c r="H35" s="67" t="s">
        <v>171</v>
      </c>
      <c r="I35" s="67"/>
    </row>
    <row r="36" spans="3:10">
      <c r="H36" t="s">
        <v>172</v>
      </c>
    </row>
    <row r="37" spans="3:10">
      <c r="H37" s="115" t="s">
        <v>173</v>
      </c>
      <c r="I37" s="115"/>
      <c r="J37" s="115"/>
    </row>
  </sheetData>
  <mergeCells count="47">
    <mergeCell ref="H37:J37"/>
    <mergeCell ref="A11:A12"/>
    <mergeCell ref="J11:J12"/>
    <mergeCell ref="B29:E29"/>
    <mergeCell ref="F29:G29"/>
    <mergeCell ref="B30:E30"/>
    <mergeCell ref="F30:G30"/>
    <mergeCell ref="A32:J32"/>
    <mergeCell ref="B26:E26"/>
    <mergeCell ref="F26:G26"/>
    <mergeCell ref="B27:E27"/>
    <mergeCell ref="F27:G27"/>
    <mergeCell ref="B28:E28"/>
    <mergeCell ref="F28:G28"/>
    <mergeCell ref="B23:E23"/>
    <mergeCell ref="B24:E24"/>
    <mergeCell ref="F24:G24"/>
    <mergeCell ref="B25:E25"/>
    <mergeCell ref="F25:G25"/>
    <mergeCell ref="B20:E20"/>
    <mergeCell ref="F20:G20"/>
    <mergeCell ref="B21:E21"/>
    <mergeCell ref="F21:G21"/>
    <mergeCell ref="B22:E22"/>
    <mergeCell ref="F22:G22"/>
    <mergeCell ref="B17:E17"/>
    <mergeCell ref="F17:G17"/>
    <mergeCell ref="B18:E18"/>
    <mergeCell ref="F18:G18"/>
    <mergeCell ref="B19:E19"/>
    <mergeCell ref="F19:G19"/>
    <mergeCell ref="B14:E14"/>
    <mergeCell ref="F14:G14"/>
    <mergeCell ref="B15:E15"/>
    <mergeCell ref="F15:G15"/>
    <mergeCell ref="B16:E16"/>
    <mergeCell ref="F16:G16"/>
    <mergeCell ref="B11:I11"/>
    <mergeCell ref="B12:E12"/>
    <mergeCell ref="F12:G12"/>
    <mergeCell ref="B13:E13"/>
    <mergeCell ref="F13:G13"/>
    <mergeCell ref="A2:J2"/>
    <mergeCell ref="A3:J3"/>
    <mergeCell ref="A4:J4"/>
    <mergeCell ref="A5:J5"/>
    <mergeCell ref="A10:J10"/>
  </mergeCells>
  <pageMargins left="0.25" right="0.25" top="0.75" bottom="0.75" header="0.3" footer="0.3"/>
  <pageSetup paperSize="9" scale="81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9"/>
  <sheetViews>
    <sheetView view="pageBreakPreview" topLeftCell="A15" zoomScale="96" zoomScaleNormal="100" workbookViewId="0">
      <selection activeCell="A36" sqref="A36:M36"/>
    </sheetView>
  </sheetViews>
  <sheetFormatPr defaultColWidth="9" defaultRowHeight="14.45"/>
  <cols>
    <col min="1" max="1" width="20.25" customWidth="1"/>
    <col min="2" max="2" width="21.125" customWidth="1"/>
    <col min="4" max="4" width="16.875" customWidth="1"/>
    <col min="6" max="6" width="6.875" customWidth="1"/>
    <col min="8" max="8" width="7.375" customWidth="1"/>
    <col min="10" max="10" width="7" customWidth="1"/>
  </cols>
  <sheetData>
    <row r="1" spans="1:13" s="1" customFormat="1" ht="52.5" customHeight="1">
      <c r="D1" s="49"/>
      <c r="E1" s="50"/>
      <c r="I1" s="4"/>
    </row>
    <row r="2" spans="1:13" s="1" customFormat="1" ht="10.5" customHeight="1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 s="1" customFormat="1" ht="15.95" customHeight="1">
      <c r="A3" s="85" t="s">
        <v>1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</row>
    <row r="4" spans="1:13" s="1" customFormat="1" ht="15.95" customHeight="1">
      <c r="A4" s="85" t="s">
        <v>134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</row>
    <row r="5" spans="1:13" s="1" customFormat="1" ht="15.95" customHeight="1">
      <c r="A5" s="85" t="s">
        <v>3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</row>
    <row r="6" spans="1:13" s="1" customFormat="1" ht="8.25" customHeight="1">
      <c r="D6" s="4"/>
      <c r="I6" s="4"/>
    </row>
    <row r="7" spans="1:13" s="1" customFormat="1" ht="8.25" customHeight="1">
      <c r="D7" s="4"/>
      <c r="I7" s="4"/>
    </row>
    <row r="8" spans="1:13" s="1" customFormat="1" ht="12" customHeight="1">
      <c r="A8" s="6" t="s">
        <v>174</v>
      </c>
      <c r="B8" s="6"/>
      <c r="C8" s="6"/>
      <c r="D8" s="86" t="s">
        <v>175</v>
      </c>
      <c r="E8" s="86"/>
      <c r="F8" s="86"/>
      <c r="G8" s="86"/>
      <c r="H8" s="86"/>
      <c r="J8" s="86" t="s">
        <v>176</v>
      </c>
      <c r="K8" s="86"/>
      <c r="L8" s="86"/>
      <c r="M8" s="6"/>
    </row>
    <row r="9" spans="1:13" s="1" customFormat="1" ht="12" customHeight="1">
      <c r="C9" s="8"/>
      <c r="D9" s="86" t="s">
        <v>177</v>
      </c>
      <c r="E9" s="86"/>
      <c r="F9" s="86"/>
      <c r="G9" s="86"/>
      <c r="H9" s="86"/>
      <c r="J9" s="120" t="s">
        <v>178</v>
      </c>
      <c r="K9" s="120"/>
      <c r="L9" s="120"/>
      <c r="M9" s="8"/>
    </row>
    <row r="10" spans="1:13" s="1" customFormat="1" ht="12" customHeight="1">
      <c r="A10" s="6" t="s">
        <v>179</v>
      </c>
      <c r="B10" s="6"/>
      <c r="C10" s="6"/>
      <c r="D10" s="51"/>
      <c r="E10" s="8"/>
      <c r="F10" s="8"/>
      <c r="J10" s="86" t="s">
        <v>180</v>
      </c>
      <c r="K10" s="86"/>
      <c r="L10" s="86"/>
      <c r="M10" s="6"/>
    </row>
    <row r="11" spans="1:13" ht="16.5" customHeight="1">
      <c r="A11" s="121" t="s">
        <v>181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</row>
    <row r="12" spans="1:13" s="47" customFormat="1" ht="18.75" customHeight="1">
      <c r="A12" s="127" t="s">
        <v>182</v>
      </c>
      <c r="B12" s="128" t="s">
        <v>11</v>
      </c>
      <c r="C12" s="129" t="s">
        <v>183</v>
      </c>
      <c r="D12" s="129"/>
      <c r="E12" s="129" t="s">
        <v>184</v>
      </c>
      <c r="F12" s="129"/>
      <c r="G12" s="129" t="s">
        <v>137</v>
      </c>
      <c r="H12" s="129"/>
      <c r="I12" s="129" t="s">
        <v>138</v>
      </c>
      <c r="J12" s="129"/>
      <c r="K12" s="129" t="s">
        <v>139</v>
      </c>
      <c r="L12" s="129"/>
      <c r="M12" s="128" t="s">
        <v>15</v>
      </c>
    </row>
    <row r="13" spans="1:13" s="47" customFormat="1" ht="12" customHeight="1">
      <c r="A13" s="127"/>
      <c r="B13" s="128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8"/>
    </row>
    <row r="14" spans="1:13" s="47" customFormat="1" ht="8.4499999999999993" customHeight="1">
      <c r="A14" s="127"/>
      <c r="B14" s="128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8"/>
    </row>
    <row r="15" spans="1:13" s="47" customFormat="1" ht="27" customHeight="1">
      <c r="A15" s="52" t="s">
        <v>185</v>
      </c>
      <c r="B15" s="53" t="s">
        <v>186</v>
      </c>
      <c r="C15" s="122" t="s">
        <v>187</v>
      </c>
      <c r="D15" s="122"/>
      <c r="E15" s="122"/>
      <c r="F15" s="122"/>
      <c r="G15" s="122">
        <v>5</v>
      </c>
      <c r="H15" s="122"/>
      <c r="I15" s="122">
        <v>0</v>
      </c>
      <c r="J15" s="122"/>
      <c r="K15" s="122">
        <v>5</v>
      </c>
      <c r="L15" s="122"/>
      <c r="M15" s="52">
        <v>5</v>
      </c>
    </row>
    <row r="16" spans="1:13" s="48" customFormat="1" ht="26.25" customHeight="1">
      <c r="A16" s="52"/>
      <c r="B16" s="52" t="s">
        <v>188</v>
      </c>
      <c r="C16" s="122" t="s">
        <v>187</v>
      </c>
      <c r="D16" s="122"/>
      <c r="E16" s="122"/>
      <c r="F16" s="122"/>
      <c r="G16" s="122"/>
      <c r="H16" s="122"/>
      <c r="I16" s="122">
        <v>1</v>
      </c>
      <c r="J16" s="122"/>
      <c r="K16" s="122">
        <v>4</v>
      </c>
      <c r="L16" s="122"/>
      <c r="M16" s="52">
        <v>4</v>
      </c>
    </row>
    <row r="17" spans="1:17" s="48" customFormat="1" ht="21.95" customHeight="1">
      <c r="A17" s="52"/>
      <c r="B17" s="52" t="s">
        <v>189</v>
      </c>
      <c r="C17" s="122" t="s">
        <v>187</v>
      </c>
      <c r="D17" s="122"/>
      <c r="E17" s="122"/>
      <c r="F17" s="122"/>
      <c r="G17" s="122"/>
      <c r="H17" s="122"/>
      <c r="I17" s="122">
        <v>2</v>
      </c>
      <c r="J17" s="122"/>
      <c r="K17" s="122">
        <v>2</v>
      </c>
      <c r="L17" s="122"/>
      <c r="M17" s="52">
        <v>2</v>
      </c>
    </row>
    <row r="18" spans="1:17" s="48" customFormat="1" ht="21.95" customHeight="1">
      <c r="A18" s="52"/>
      <c r="B18" s="52" t="s">
        <v>190</v>
      </c>
      <c r="C18" s="122" t="s">
        <v>187</v>
      </c>
      <c r="D18" s="122"/>
      <c r="E18" s="122"/>
      <c r="F18" s="122"/>
      <c r="G18" s="122"/>
      <c r="H18" s="122"/>
      <c r="I18" s="122">
        <v>2</v>
      </c>
      <c r="J18" s="122"/>
      <c r="K18" s="123">
        <v>0</v>
      </c>
      <c r="L18" s="123"/>
      <c r="M18" s="56">
        <v>0</v>
      </c>
    </row>
    <row r="19" spans="1:17" s="48" customFormat="1" ht="25.5" customHeight="1">
      <c r="A19" s="52" t="s">
        <v>191</v>
      </c>
      <c r="B19" s="52" t="s">
        <v>192</v>
      </c>
      <c r="C19" s="122" t="s">
        <v>193</v>
      </c>
      <c r="D19" s="122"/>
      <c r="E19" s="99"/>
      <c r="F19" s="101"/>
      <c r="G19" s="99">
        <v>5</v>
      </c>
      <c r="H19" s="101"/>
      <c r="I19" s="99">
        <v>0</v>
      </c>
      <c r="J19" s="101"/>
      <c r="K19" s="99">
        <v>5</v>
      </c>
      <c r="L19" s="101"/>
      <c r="M19" s="52">
        <v>5</v>
      </c>
    </row>
    <row r="20" spans="1:17" s="48" customFormat="1" ht="21.95" customHeight="1">
      <c r="A20" s="52"/>
      <c r="B20" s="52" t="s">
        <v>194</v>
      </c>
      <c r="C20" s="122" t="s">
        <v>193</v>
      </c>
      <c r="D20" s="122"/>
      <c r="E20" s="99"/>
      <c r="F20" s="101"/>
      <c r="G20" s="99"/>
      <c r="H20" s="101"/>
      <c r="I20" s="99">
        <v>2</v>
      </c>
      <c r="J20" s="101"/>
      <c r="K20" s="99">
        <v>3</v>
      </c>
      <c r="L20" s="101"/>
      <c r="M20" s="52">
        <v>3</v>
      </c>
    </row>
    <row r="21" spans="1:17" s="48" customFormat="1" ht="21.95" customHeight="1">
      <c r="A21" s="52"/>
      <c r="B21" s="52" t="s">
        <v>195</v>
      </c>
      <c r="C21" s="122" t="s">
        <v>193</v>
      </c>
      <c r="D21" s="122"/>
      <c r="E21" s="99"/>
      <c r="F21" s="101"/>
      <c r="G21" s="99"/>
      <c r="H21" s="101"/>
      <c r="I21" s="99">
        <v>2</v>
      </c>
      <c r="J21" s="101"/>
      <c r="K21" s="99">
        <v>1</v>
      </c>
      <c r="L21" s="101"/>
      <c r="M21" s="52">
        <v>1</v>
      </c>
    </row>
    <row r="22" spans="1:17" s="48" customFormat="1" ht="22.5" customHeight="1">
      <c r="A22" s="52"/>
      <c r="B22" s="52" t="s">
        <v>196</v>
      </c>
      <c r="C22" s="122" t="s">
        <v>193</v>
      </c>
      <c r="D22" s="122"/>
      <c r="E22" s="99"/>
      <c r="F22" s="101"/>
      <c r="G22" s="99"/>
      <c r="H22" s="101"/>
      <c r="I22" s="99">
        <v>1</v>
      </c>
      <c r="J22" s="101"/>
      <c r="K22" s="102">
        <v>0</v>
      </c>
      <c r="L22" s="104"/>
      <c r="M22" s="56">
        <v>0</v>
      </c>
    </row>
    <row r="23" spans="1:17" s="47" customFormat="1" ht="27" customHeight="1">
      <c r="A23" s="52" t="s">
        <v>197</v>
      </c>
      <c r="B23" s="53" t="s">
        <v>198</v>
      </c>
      <c r="C23" s="122" t="s">
        <v>199</v>
      </c>
      <c r="D23" s="122"/>
      <c r="E23" s="122"/>
      <c r="F23" s="122"/>
      <c r="G23" s="122">
        <v>10</v>
      </c>
      <c r="H23" s="122"/>
      <c r="I23" s="122">
        <v>0</v>
      </c>
      <c r="J23" s="122"/>
      <c r="K23" s="122">
        <v>10</v>
      </c>
      <c r="L23" s="122"/>
      <c r="M23" s="52">
        <v>10</v>
      </c>
    </row>
    <row r="24" spans="1:17" s="48" customFormat="1" ht="21.95" customHeight="1">
      <c r="A24" s="52"/>
      <c r="B24" s="52" t="s">
        <v>200</v>
      </c>
      <c r="C24" s="122" t="s">
        <v>199</v>
      </c>
      <c r="D24" s="122"/>
      <c r="E24" s="122"/>
      <c r="F24" s="122"/>
      <c r="G24" s="122"/>
      <c r="H24" s="122"/>
      <c r="I24" s="122">
        <v>1</v>
      </c>
      <c r="J24" s="122"/>
      <c r="K24" s="122">
        <v>9</v>
      </c>
      <c r="L24" s="122"/>
      <c r="M24" s="52">
        <v>9</v>
      </c>
    </row>
    <row r="25" spans="1:17" s="48" customFormat="1" ht="21.95" customHeight="1">
      <c r="A25" s="52"/>
      <c r="B25" s="52" t="s">
        <v>201</v>
      </c>
      <c r="C25" s="122" t="s">
        <v>199</v>
      </c>
      <c r="D25" s="122"/>
      <c r="E25" s="122"/>
      <c r="F25" s="122"/>
      <c r="G25" s="122"/>
      <c r="H25" s="122"/>
      <c r="I25" s="122">
        <v>1</v>
      </c>
      <c r="J25" s="122"/>
      <c r="K25" s="122">
        <v>8</v>
      </c>
      <c r="L25" s="122"/>
      <c r="M25" s="52">
        <v>8</v>
      </c>
    </row>
    <row r="26" spans="1:17" s="48" customFormat="1" ht="21.95" customHeight="1">
      <c r="A26" s="52"/>
      <c r="B26" s="52" t="s">
        <v>202</v>
      </c>
      <c r="C26" s="122" t="s">
        <v>199</v>
      </c>
      <c r="D26" s="122"/>
      <c r="E26" s="122"/>
      <c r="F26" s="122"/>
      <c r="G26" s="122"/>
      <c r="H26" s="122"/>
      <c r="I26" s="122">
        <v>2</v>
      </c>
      <c r="J26" s="122"/>
      <c r="K26" s="122">
        <v>6</v>
      </c>
      <c r="L26" s="122"/>
      <c r="M26" s="52">
        <v>6</v>
      </c>
    </row>
    <row r="27" spans="1:17" s="48" customFormat="1" ht="21.95" customHeight="1">
      <c r="A27" s="52"/>
      <c r="B27" s="52" t="s">
        <v>203</v>
      </c>
      <c r="C27" s="122" t="s">
        <v>199</v>
      </c>
      <c r="D27" s="122"/>
      <c r="E27" s="122"/>
      <c r="F27" s="122"/>
      <c r="G27" s="122"/>
      <c r="H27" s="122"/>
      <c r="I27" s="122">
        <v>3</v>
      </c>
      <c r="J27" s="122"/>
      <c r="K27" s="122">
        <v>3</v>
      </c>
      <c r="L27" s="122"/>
      <c r="M27" s="52">
        <v>3</v>
      </c>
      <c r="Q27" s="48" t="s">
        <v>204</v>
      </c>
    </row>
    <row r="28" spans="1:17" s="48" customFormat="1" ht="21.95" customHeight="1">
      <c r="A28" s="52"/>
      <c r="B28" s="52" t="s">
        <v>205</v>
      </c>
      <c r="C28" s="122" t="s">
        <v>199</v>
      </c>
      <c r="D28" s="122"/>
      <c r="E28" s="122"/>
      <c r="F28" s="122"/>
      <c r="G28" s="122"/>
      <c r="H28" s="122"/>
      <c r="I28" s="122">
        <v>1</v>
      </c>
      <c r="J28" s="122"/>
      <c r="K28" s="122">
        <v>2</v>
      </c>
      <c r="L28" s="122"/>
      <c r="M28" s="52">
        <v>2</v>
      </c>
      <c r="Q28" s="48" t="s">
        <v>204</v>
      </c>
    </row>
    <row r="29" spans="1:17" s="48" customFormat="1" ht="21.95" customHeight="1">
      <c r="A29" s="52"/>
      <c r="B29" s="52" t="s">
        <v>206</v>
      </c>
      <c r="C29" s="122" t="s">
        <v>199</v>
      </c>
      <c r="D29" s="122"/>
      <c r="E29" s="122"/>
      <c r="F29" s="122"/>
      <c r="G29" s="122"/>
      <c r="H29" s="122"/>
      <c r="I29" s="122">
        <v>1</v>
      </c>
      <c r="J29" s="122"/>
      <c r="K29" s="122">
        <v>1</v>
      </c>
      <c r="L29" s="122"/>
      <c r="M29" s="52">
        <v>1</v>
      </c>
      <c r="Q29" s="48" t="s">
        <v>204</v>
      </c>
    </row>
    <row r="30" spans="1:17" s="48" customFormat="1" ht="21.95" customHeight="1">
      <c r="A30" s="52"/>
      <c r="B30" s="52" t="s">
        <v>207</v>
      </c>
      <c r="C30" s="122" t="s">
        <v>199</v>
      </c>
      <c r="D30" s="122"/>
      <c r="E30" s="99"/>
      <c r="F30" s="101"/>
      <c r="G30" s="99"/>
      <c r="H30" s="101"/>
      <c r="I30" s="99">
        <v>1</v>
      </c>
      <c r="J30" s="101"/>
      <c r="K30" s="102">
        <v>0</v>
      </c>
      <c r="L30" s="104"/>
      <c r="M30" s="56">
        <v>0</v>
      </c>
    </row>
    <row r="31" spans="1:17" s="48" customFormat="1" ht="28.5" customHeight="1">
      <c r="A31" s="52" t="s">
        <v>208</v>
      </c>
      <c r="B31" s="52" t="s">
        <v>209</v>
      </c>
      <c r="C31" s="122" t="s">
        <v>210</v>
      </c>
      <c r="D31" s="122"/>
      <c r="E31" s="99"/>
      <c r="F31" s="101"/>
      <c r="G31" s="99">
        <v>5</v>
      </c>
      <c r="H31" s="101"/>
      <c r="I31" s="99">
        <v>0</v>
      </c>
      <c r="J31" s="101"/>
      <c r="K31" s="99">
        <v>5</v>
      </c>
      <c r="L31" s="101"/>
      <c r="M31" s="52">
        <v>5</v>
      </c>
    </row>
    <row r="32" spans="1:17" s="48" customFormat="1" ht="21.95" customHeight="1">
      <c r="A32" s="52"/>
      <c r="B32" s="52" t="s">
        <v>211</v>
      </c>
      <c r="C32" s="122" t="s">
        <v>210</v>
      </c>
      <c r="D32" s="122"/>
      <c r="E32" s="99"/>
      <c r="F32" s="101"/>
      <c r="G32" s="99"/>
      <c r="H32" s="101"/>
      <c r="I32" s="99">
        <v>1</v>
      </c>
      <c r="J32" s="101"/>
      <c r="K32" s="99">
        <v>4</v>
      </c>
      <c r="L32" s="101"/>
      <c r="M32" s="52">
        <v>4</v>
      </c>
    </row>
    <row r="33" spans="1:13" s="48" customFormat="1" ht="21.95" customHeight="1">
      <c r="A33" s="52"/>
      <c r="B33" s="52" t="s">
        <v>212</v>
      </c>
      <c r="C33" s="122" t="s">
        <v>210</v>
      </c>
      <c r="D33" s="122"/>
      <c r="E33" s="99"/>
      <c r="F33" s="101"/>
      <c r="G33" s="99"/>
      <c r="H33" s="101"/>
      <c r="I33" s="99">
        <v>1</v>
      </c>
      <c r="J33" s="101"/>
      <c r="K33" s="99">
        <v>3</v>
      </c>
      <c r="L33" s="101"/>
      <c r="M33" s="58">
        <v>3</v>
      </c>
    </row>
    <row r="34" spans="1:13" s="48" customFormat="1" ht="28.5" customHeight="1">
      <c r="A34" s="52" t="s">
        <v>213</v>
      </c>
      <c r="B34" s="52" t="s">
        <v>214</v>
      </c>
      <c r="C34" s="122" t="s">
        <v>215</v>
      </c>
      <c r="D34" s="122"/>
      <c r="E34" s="99"/>
      <c r="F34" s="101"/>
      <c r="G34" s="99">
        <v>5</v>
      </c>
      <c r="H34" s="101"/>
      <c r="I34" s="99">
        <v>0</v>
      </c>
      <c r="J34" s="101"/>
      <c r="K34" s="99">
        <v>5</v>
      </c>
      <c r="L34" s="101"/>
      <c r="M34" s="52">
        <v>5</v>
      </c>
    </row>
    <row r="35" spans="1:13" s="48" customFormat="1" ht="21.95" customHeight="1">
      <c r="A35" s="52"/>
      <c r="B35" s="52" t="s">
        <v>216</v>
      </c>
      <c r="C35" s="122" t="s">
        <v>215</v>
      </c>
      <c r="D35" s="122"/>
      <c r="E35" s="99"/>
      <c r="F35" s="101"/>
      <c r="G35" s="99"/>
      <c r="H35" s="101"/>
      <c r="I35" s="99">
        <v>1</v>
      </c>
      <c r="J35" s="101"/>
      <c r="K35" s="99">
        <v>4</v>
      </c>
      <c r="L35" s="101"/>
      <c r="M35" s="58">
        <v>4</v>
      </c>
    </row>
    <row r="36" spans="1:13" s="48" customFormat="1" ht="21.95" customHeight="1">
      <c r="A36" s="124" t="s">
        <v>217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6"/>
    </row>
    <row r="37" spans="1:13" s="1" customFormat="1">
      <c r="D37" s="4"/>
    </row>
    <row r="38" spans="1:13" s="1" customFormat="1">
      <c r="D38" s="4"/>
    </row>
    <row r="39" spans="1:13">
      <c r="I39" t="s">
        <v>218</v>
      </c>
    </row>
  </sheetData>
  <mergeCells count="124">
    <mergeCell ref="C35:D35"/>
    <mergeCell ref="E35:F35"/>
    <mergeCell ref="G35:H35"/>
    <mergeCell ref="I35:J35"/>
    <mergeCell ref="K35:L35"/>
    <mergeCell ref="A36:M36"/>
    <mergeCell ref="A12:A14"/>
    <mergeCell ref="B12:B14"/>
    <mergeCell ref="M12:M14"/>
    <mergeCell ref="C12:D14"/>
    <mergeCell ref="E12:F14"/>
    <mergeCell ref="G12:H14"/>
    <mergeCell ref="I12:J14"/>
    <mergeCell ref="K12:L14"/>
    <mergeCell ref="C33:D33"/>
    <mergeCell ref="E33:F33"/>
    <mergeCell ref="G33:H33"/>
    <mergeCell ref="I33:J33"/>
    <mergeCell ref="K33:L33"/>
    <mergeCell ref="C34:D34"/>
    <mergeCell ref="E34:F34"/>
    <mergeCell ref="G34:H34"/>
    <mergeCell ref="I34:J34"/>
    <mergeCell ref="K34:L34"/>
    <mergeCell ref="C31:D31"/>
    <mergeCell ref="E31:F31"/>
    <mergeCell ref="G31:H31"/>
    <mergeCell ref="I31:J31"/>
    <mergeCell ref="K31:L31"/>
    <mergeCell ref="C32:D32"/>
    <mergeCell ref="E32:F32"/>
    <mergeCell ref="G32:H32"/>
    <mergeCell ref="I32:J32"/>
    <mergeCell ref="K32:L32"/>
    <mergeCell ref="C29:D29"/>
    <mergeCell ref="E29:F29"/>
    <mergeCell ref="G29:H29"/>
    <mergeCell ref="I29:J29"/>
    <mergeCell ref="K29:L29"/>
    <mergeCell ref="C30:D30"/>
    <mergeCell ref="E30:F30"/>
    <mergeCell ref="G30:H30"/>
    <mergeCell ref="I30:J30"/>
    <mergeCell ref="K30:L30"/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K25:L25"/>
    <mergeCell ref="C26:D26"/>
    <mergeCell ref="E26:F26"/>
    <mergeCell ref="G26:H26"/>
    <mergeCell ref="I26:J26"/>
    <mergeCell ref="K26:L26"/>
    <mergeCell ref="C23:D23"/>
    <mergeCell ref="E23:F23"/>
    <mergeCell ref="G23:H23"/>
    <mergeCell ref="I23:J23"/>
    <mergeCell ref="K23:L23"/>
    <mergeCell ref="C24:D24"/>
    <mergeCell ref="E24:F24"/>
    <mergeCell ref="G24:H24"/>
    <mergeCell ref="I24:J24"/>
    <mergeCell ref="K24:L24"/>
    <mergeCell ref="C21:D21"/>
    <mergeCell ref="E21:F21"/>
    <mergeCell ref="G21:H21"/>
    <mergeCell ref="I21:J21"/>
    <mergeCell ref="K21:L21"/>
    <mergeCell ref="C22:D22"/>
    <mergeCell ref="E22:F22"/>
    <mergeCell ref="G22:H22"/>
    <mergeCell ref="I22:J22"/>
    <mergeCell ref="K22:L22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A2:M2"/>
    <mergeCell ref="A3:M3"/>
    <mergeCell ref="A4:M4"/>
    <mergeCell ref="A5:M5"/>
    <mergeCell ref="D8:H8"/>
    <mergeCell ref="J8:L8"/>
    <mergeCell ref="D9:H9"/>
    <mergeCell ref="J9:L9"/>
    <mergeCell ref="J10:L10"/>
  </mergeCells>
  <printOptions horizontalCentered="1"/>
  <pageMargins left="0.7" right="0.7" top="0.75" bottom="0.75" header="0.3" footer="0.3"/>
  <pageSetup paperSize="9" scale="61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13"/>
  <sheetViews>
    <sheetView view="pageBreakPreview" topLeftCell="A39" zoomScaleNormal="100" workbookViewId="0">
      <selection activeCell="A25" sqref="A25"/>
    </sheetView>
  </sheetViews>
  <sheetFormatPr defaultColWidth="9" defaultRowHeight="14.45"/>
  <cols>
    <col min="1" max="1" width="40.375" customWidth="1"/>
    <col min="2" max="10" width="11.625" customWidth="1"/>
  </cols>
  <sheetData>
    <row r="1" spans="1:10" s="1" customFormat="1" ht="52.5" customHeight="1">
      <c r="G1" s="4"/>
    </row>
    <row r="2" spans="1:10" s="1" customFormat="1" ht="10.5" customHeight="1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</row>
    <row r="3" spans="1:10" s="1" customFormat="1" ht="15.95" customHeight="1">
      <c r="A3" s="85" t="s">
        <v>1</v>
      </c>
      <c r="B3" s="85"/>
      <c r="C3" s="85"/>
      <c r="D3" s="85"/>
      <c r="E3" s="85"/>
      <c r="F3" s="85"/>
      <c r="G3" s="85"/>
      <c r="H3" s="85"/>
      <c r="I3" s="85"/>
      <c r="J3" s="85"/>
    </row>
    <row r="4" spans="1:10" s="1" customFormat="1" ht="15.95" customHeight="1">
      <c r="A4" s="85" t="s">
        <v>134</v>
      </c>
      <c r="B4" s="85"/>
      <c r="C4" s="85"/>
      <c r="D4" s="85"/>
      <c r="E4" s="85"/>
      <c r="F4" s="85"/>
      <c r="G4" s="85"/>
      <c r="H4" s="85"/>
      <c r="I4" s="85"/>
      <c r="J4" s="85"/>
    </row>
    <row r="5" spans="1:10" s="1" customFormat="1" ht="15.95" customHeight="1">
      <c r="A5" s="85" t="s">
        <v>3</v>
      </c>
      <c r="B5" s="85"/>
      <c r="C5" s="85"/>
      <c r="D5" s="85"/>
      <c r="E5" s="85"/>
      <c r="F5" s="85"/>
      <c r="G5" s="85"/>
      <c r="H5" s="85"/>
      <c r="I5" s="85"/>
      <c r="J5" s="85"/>
    </row>
    <row r="6" spans="1:10" s="1" customFormat="1" ht="8.25" customHeight="1"/>
    <row r="7" spans="1:10" s="1" customFormat="1" ht="12" customHeight="1">
      <c r="A7" s="1" t="s">
        <v>4</v>
      </c>
      <c r="B7" s="86" t="s">
        <v>5</v>
      </c>
      <c r="C7" s="86"/>
      <c r="F7" s="6" t="s">
        <v>219</v>
      </c>
      <c r="G7" s="7"/>
      <c r="H7" s="6"/>
    </row>
    <row r="8" spans="1:10" s="1" customFormat="1" ht="12" customHeight="1">
      <c r="B8" s="8"/>
      <c r="C8" s="8"/>
      <c r="F8" s="8"/>
      <c r="G8" s="8"/>
      <c r="H8" s="8"/>
    </row>
    <row r="9" spans="1:10" s="1" customFormat="1" ht="12" customHeight="1">
      <c r="A9" s="1" t="s">
        <v>7</v>
      </c>
      <c r="B9" s="86" t="s">
        <v>8</v>
      </c>
      <c r="C9" s="86"/>
      <c r="F9" s="6" t="s">
        <v>9</v>
      </c>
      <c r="G9" s="9"/>
      <c r="H9" s="6"/>
    </row>
    <row r="10" spans="1:10" ht="16.5" customHeight="1">
      <c r="A10" s="121" t="s">
        <v>10</v>
      </c>
      <c r="B10" s="121"/>
      <c r="C10" s="121"/>
      <c r="D10" s="121"/>
      <c r="E10" s="121"/>
      <c r="F10" s="121"/>
      <c r="G10" s="121"/>
      <c r="H10" s="121"/>
      <c r="I10" s="121"/>
      <c r="J10" s="121"/>
    </row>
    <row r="11" spans="1:10" ht="18.75" customHeight="1">
      <c r="A11" s="89" t="s">
        <v>11</v>
      </c>
      <c r="B11" s="145" t="s">
        <v>12</v>
      </c>
      <c r="C11" s="145"/>
      <c r="D11" s="139" t="s">
        <v>13</v>
      </c>
      <c r="E11" s="140"/>
      <c r="F11" s="140"/>
      <c r="G11" s="141"/>
      <c r="H11" s="146" t="s">
        <v>14</v>
      </c>
      <c r="I11" s="146"/>
      <c r="J11" s="91" t="s">
        <v>15</v>
      </c>
    </row>
    <row r="12" spans="1:10" ht="18.75" customHeight="1">
      <c r="A12" s="130"/>
      <c r="B12" s="10" t="s">
        <v>17</v>
      </c>
      <c r="C12" s="10" t="s">
        <v>18</v>
      </c>
      <c r="D12" s="10" t="s">
        <v>17</v>
      </c>
      <c r="E12" s="10" t="s">
        <v>18</v>
      </c>
      <c r="F12" s="10" t="s">
        <v>19</v>
      </c>
      <c r="G12" s="10" t="s">
        <v>20</v>
      </c>
      <c r="H12" s="10" t="s">
        <v>17</v>
      </c>
      <c r="I12" s="10" t="s">
        <v>18</v>
      </c>
      <c r="J12" s="131"/>
    </row>
    <row r="13" spans="1:10" ht="15.95" customHeight="1">
      <c r="A13" s="11" t="s">
        <v>220</v>
      </c>
      <c r="B13" s="12">
        <v>3.75</v>
      </c>
      <c r="C13" s="12">
        <v>3.75</v>
      </c>
      <c r="D13" s="12"/>
      <c r="E13" s="12"/>
      <c r="F13" s="12"/>
      <c r="G13" s="12"/>
      <c r="H13" s="12">
        <f>B13</f>
        <v>3.75</v>
      </c>
      <c r="I13" s="12">
        <f>C13</f>
        <v>3.75</v>
      </c>
      <c r="J13" s="25">
        <f>SUM(H13:I13)</f>
        <v>7.5</v>
      </c>
    </row>
    <row r="14" spans="1:10" ht="15.95" customHeight="1">
      <c r="A14" s="11" t="s">
        <v>221</v>
      </c>
      <c r="B14" s="12">
        <v>15</v>
      </c>
      <c r="C14" s="12">
        <v>15</v>
      </c>
      <c r="D14" s="12"/>
      <c r="E14" s="12"/>
      <c r="F14" s="12"/>
      <c r="G14" s="12"/>
      <c r="H14" s="12">
        <f>H13-F14-D14+B14</f>
        <v>18.75</v>
      </c>
      <c r="I14" s="12">
        <f>I13-E14+C14</f>
        <v>18.75</v>
      </c>
      <c r="J14" s="25">
        <f>SUM(H14:I14)</f>
        <v>37.5</v>
      </c>
    </row>
    <row r="15" spans="1:10" ht="15.95" customHeight="1">
      <c r="A15" s="11" t="s">
        <v>27</v>
      </c>
      <c r="B15" s="12"/>
      <c r="C15" s="12"/>
      <c r="D15" s="12">
        <v>11</v>
      </c>
      <c r="E15" s="12">
        <v>14</v>
      </c>
      <c r="F15" s="12"/>
      <c r="G15" s="12"/>
      <c r="H15" s="12">
        <f t="shared" ref="H15:H78" si="0">H14-F15-D15+B15</f>
        <v>7.75</v>
      </c>
      <c r="I15" s="12">
        <f t="shared" ref="I15:I78" si="1">I14-E15+C15</f>
        <v>4.75</v>
      </c>
      <c r="J15" s="25">
        <f t="shared" ref="J15:J78" si="2">SUM(H15:I15)</f>
        <v>12.5</v>
      </c>
    </row>
    <row r="16" spans="1:10" ht="15.95" customHeight="1">
      <c r="A16" s="11" t="s">
        <v>29</v>
      </c>
      <c r="B16" s="12"/>
      <c r="C16" s="12"/>
      <c r="D16" s="12"/>
      <c r="E16" s="12"/>
      <c r="F16" s="12">
        <v>5</v>
      </c>
      <c r="G16" s="12"/>
      <c r="H16" s="12">
        <f t="shared" si="0"/>
        <v>2.75</v>
      </c>
      <c r="I16" s="12">
        <f t="shared" si="1"/>
        <v>4.75</v>
      </c>
      <c r="J16" s="25">
        <f t="shared" si="2"/>
        <v>7.5</v>
      </c>
    </row>
    <row r="17" spans="1:10" ht="15.95" customHeight="1">
      <c r="A17" s="11" t="s">
        <v>222</v>
      </c>
      <c r="B17" s="12">
        <v>15</v>
      </c>
      <c r="C17" s="12">
        <v>15</v>
      </c>
      <c r="D17" s="12"/>
      <c r="E17" s="12"/>
      <c r="F17" s="12"/>
      <c r="G17" s="12"/>
      <c r="H17" s="12">
        <f t="shared" si="0"/>
        <v>17.75</v>
      </c>
      <c r="I17" s="12">
        <f t="shared" si="1"/>
        <v>19.75</v>
      </c>
      <c r="J17" s="25">
        <f t="shared" si="2"/>
        <v>37.5</v>
      </c>
    </row>
    <row r="18" spans="1:10" ht="15.95" customHeight="1">
      <c r="A18" s="11" t="s">
        <v>31</v>
      </c>
      <c r="B18" s="12"/>
      <c r="C18" s="12"/>
      <c r="D18" s="12"/>
      <c r="E18" s="12"/>
      <c r="F18" s="12"/>
      <c r="G18" s="12">
        <v>3</v>
      </c>
      <c r="H18" s="12">
        <f t="shared" si="0"/>
        <v>17.75</v>
      </c>
      <c r="I18" s="12">
        <f t="shared" si="1"/>
        <v>19.75</v>
      </c>
      <c r="J18" s="25">
        <f t="shared" si="2"/>
        <v>37.5</v>
      </c>
    </row>
    <row r="19" spans="1:10" ht="15.95" customHeight="1">
      <c r="A19" s="11" t="s">
        <v>223</v>
      </c>
      <c r="B19" s="12"/>
      <c r="C19" s="12"/>
      <c r="D19" s="12">
        <v>4</v>
      </c>
      <c r="E19" s="12">
        <v>6</v>
      </c>
      <c r="F19" s="12"/>
      <c r="G19" s="12"/>
      <c r="H19" s="12">
        <f t="shared" si="0"/>
        <v>13.75</v>
      </c>
      <c r="I19" s="12">
        <f t="shared" si="1"/>
        <v>13.75</v>
      </c>
      <c r="J19" s="25">
        <f t="shared" si="2"/>
        <v>27.5</v>
      </c>
    </row>
    <row r="20" spans="1:10" ht="15.95" customHeight="1">
      <c r="A20" s="11" t="s">
        <v>224</v>
      </c>
      <c r="B20" s="12"/>
      <c r="C20" s="12"/>
      <c r="D20" s="12">
        <v>6</v>
      </c>
      <c r="E20" s="12">
        <v>9</v>
      </c>
      <c r="F20" s="12"/>
      <c r="G20" s="12"/>
      <c r="H20" s="12">
        <f t="shared" si="0"/>
        <v>7.75</v>
      </c>
      <c r="I20" s="12">
        <f t="shared" si="1"/>
        <v>4.75</v>
      </c>
      <c r="J20" s="25">
        <f t="shared" si="2"/>
        <v>12.5</v>
      </c>
    </row>
    <row r="21" spans="1:10" ht="15.95" customHeight="1">
      <c r="A21" s="11" t="s">
        <v>225</v>
      </c>
      <c r="B21" s="12"/>
      <c r="C21" s="12"/>
      <c r="D21" s="12">
        <v>4</v>
      </c>
      <c r="E21" s="12">
        <v>4</v>
      </c>
      <c r="F21" s="12"/>
      <c r="G21" s="12"/>
      <c r="H21" s="12">
        <f t="shared" si="0"/>
        <v>3.75</v>
      </c>
      <c r="I21" s="12">
        <f t="shared" si="1"/>
        <v>0.75</v>
      </c>
      <c r="J21" s="25">
        <f t="shared" si="2"/>
        <v>4.5</v>
      </c>
    </row>
    <row r="22" spans="1:10" ht="15.95" customHeight="1">
      <c r="A22" s="13" t="s">
        <v>226</v>
      </c>
      <c r="B22" s="14"/>
      <c r="C22" s="14"/>
      <c r="D22" s="14"/>
      <c r="E22" s="14"/>
      <c r="F22" s="14">
        <v>5</v>
      </c>
      <c r="G22" s="14"/>
      <c r="H22" s="14">
        <f t="shared" si="0"/>
        <v>-1.25</v>
      </c>
      <c r="I22" s="14">
        <f t="shared" si="1"/>
        <v>0.75</v>
      </c>
      <c r="J22" s="26">
        <f t="shared" si="2"/>
        <v>-0.5</v>
      </c>
    </row>
    <row r="23" spans="1:10" ht="15.95" customHeight="1">
      <c r="A23" s="11" t="s">
        <v>227</v>
      </c>
      <c r="B23" s="12">
        <v>15</v>
      </c>
      <c r="C23" s="12">
        <v>15</v>
      </c>
      <c r="D23" s="12"/>
      <c r="E23" s="12"/>
      <c r="F23" s="12"/>
      <c r="G23" s="12"/>
      <c r="H23" s="12">
        <f t="shared" si="0"/>
        <v>13.75</v>
      </c>
      <c r="I23" s="12">
        <f t="shared" si="1"/>
        <v>15.75</v>
      </c>
      <c r="J23" s="25">
        <f t="shared" si="2"/>
        <v>29.5</v>
      </c>
    </row>
    <row r="24" spans="1:10" ht="15.95" customHeight="1">
      <c r="A24" s="11" t="s">
        <v>228</v>
      </c>
      <c r="B24" s="12"/>
      <c r="C24" s="12"/>
      <c r="D24" s="12"/>
      <c r="E24" s="12"/>
      <c r="F24" s="12"/>
      <c r="G24" s="12">
        <v>1</v>
      </c>
      <c r="H24" s="12">
        <f t="shared" si="0"/>
        <v>13.75</v>
      </c>
      <c r="I24" s="12">
        <f t="shared" si="1"/>
        <v>15.75</v>
      </c>
      <c r="J24" s="25">
        <f t="shared" si="2"/>
        <v>29.5</v>
      </c>
    </row>
    <row r="25" spans="1:10" ht="15.95" customHeight="1">
      <c r="A25" s="11" t="s">
        <v>229</v>
      </c>
      <c r="B25" s="12"/>
      <c r="C25" s="12"/>
      <c r="D25" s="12"/>
      <c r="E25" s="12"/>
      <c r="F25" s="12">
        <v>1</v>
      </c>
      <c r="G25" s="12"/>
      <c r="H25" s="12">
        <f t="shared" si="0"/>
        <v>12.75</v>
      </c>
      <c r="I25" s="12">
        <f t="shared" si="1"/>
        <v>15.75</v>
      </c>
      <c r="J25" s="25">
        <f t="shared" si="2"/>
        <v>28.5</v>
      </c>
    </row>
    <row r="26" spans="1:10" ht="15.95" customHeight="1">
      <c r="A26" s="11" t="s">
        <v>42</v>
      </c>
      <c r="B26" s="12"/>
      <c r="C26" s="12"/>
      <c r="D26" s="12">
        <v>10</v>
      </c>
      <c r="E26" s="12">
        <v>8</v>
      </c>
      <c r="F26" s="12"/>
      <c r="G26" s="12"/>
      <c r="H26" s="12">
        <f t="shared" si="0"/>
        <v>2.75</v>
      </c>
      <c r="I26" s="12">
        <f t="shared" si="1"/>
        <v>7.75</v>
      </c>
      <c r="J26" s="25">
        <f t="shared" si="2"/>
        <v>10.5</v>
      </c>
    </row>
    <row r="27" spans="1:10" ht="15.95" customHeight="1">
      <c r="A27" s="11" t="s">
        <v>230</v>
      </c>
      <c r="B27" s="12"/>
      <c r="C27" s="12"/>
      <c r="D27" s="12"/>
      <c r="E27" s="12"/>
      <c r="F27" s="12">
        <v>4</v>
      </c>
      <c r="G27" s="12"/>
      <c r="H27" s="12">
        <f t="shared" si="0"/>
        <v>-1.25</v>
      </c>
      <c r="I27" s="12">
        <f t="shared" si="1"/>
        <v>7.75</v>
      </c>
      <c r="J27" s="25">
        <f t="shared" si="2"/>
        <v>6.5</v>
      </c>
    </row>
    <row r="28" spans="1:10" ht="15.95" customHeight="1">
      <c r="A28" s="11" t="s">
        <v>231</v>
      </c>
      <c r="B28" s="12">
        <v>15</v>
      </c>
      <c r="C28" s="12">
        <v>15</v>
      </c>
      <c r="D28" s="12"/>
      <c r="E28" s="12"/>
      <c r="F28" s="12"/>
      <c r="G28" s="12"/>
      <c r="H28" s="12">
        <f t="shared" si="0"/>
        <v>13.75</v>
      </c>
      <c r="I28" s="12">
        <f t="shared" si="1"/>
        <v>22.75</v>
      </c>
      <c r="J28" s="25">
        <f t="shared" si="2"/>
        <v>36.5</v>
      </c>
    </row>
    <row r="29" spans="1:10" ht="15.95" customHeight="1">
      <c r="A29" s="11" t="s">
        <v>46</v>
      </c>
      <c r="B29" s="12"/>
      <c r="C29" s="12"/>
      <c r="D29" s="12">
        <v>5</v>
      </c>
      <c r="E29" s="12">
        <v>5</v>
      </c>
      <c r="F29" s="12"/>
      <c r="G29" s="12"/>
      <c r="H29" s="12">
        <f t="shared" si="0"/>
        <v>8.75</v>
      </c>
      <c r="I29" s="12">
        <f t="shared" si="1"/>
        <v>17.75</v>
      </c>
      <c r="J29" s="25">
        <f t="shared" si="2"/>
        <v>26.5</v>
      </c>
    </row>
    <row r="30" spans="1:10" ht="15.95" customHeight="1">
      <c r="A30" s="11" t="s">
        <v>232</v>
      </c>
      <c r="B30" s="12"/>
      <c r="C30" s="12"/>
      <c r="D30" s="12">
        <v>5</v>
      </c>
      <c r="E30" s="12">
        <v>10</v>
      </c>
      <c r="F30" s="12"/>
      <c r="G30" s="12"/>
      <c r="H30" s="12">
        <f t="shared" si="0"/>
        <v>3.75</v>
      </c>
      <c r="I30" s="12">
        <f t="shared" si="1"/>
        <v>7.75</v>
      </c>
      <c r="J30" s="25">
        <f t="shared" si="2"/>
        <v>11.5</v>
      </c>
    </row>
    <row r="31" spans="1:10" ht="15.95" customHeight="1">
      <c r="A31" s="11" t="s">
        <v>233</v>
      </c>
      <c r="B31" s="12"/>
      <c r="C31" s="12"/>
      <c r="D31" s="12"/>
      <c r="E31" s="12"/>
      <c r="F31" s="12">
        <v>5</v>
      </c>
      <c r="G31" s="12"/>
      <c r="H31" s="12">
        <f t="shared" si="0"/>
        <v>-1.25</v>
      </c>
      <c r="I31" s="12">
        <f t="shared" si="1"/>
        <v>7.75</v>
      </c>
      <c r="J31" s="25">
        <f t="shared" si="2"/>
        <v>6.5</v>
      </c>
    </row>
    <row r="32" spans="1:10" ht="15.95" customHeight="1">
      <c r="A32" s="11" t="s">
        <v>234</v>
      </c>
      <c r="B32" s="12"/>
      <c r="C32" s="12"/>
      <c r="D32" s="12"/>
      <c r="E32" s="12"/>
      <c r="F32" s="12"/>
      <c r="G32" s="12">
        <v>1</v>
      </c>
      <c r="H32" s="12">
        <f t="shared" si="0"/>
        <v>-1.25</v>
      </c>
      <c r="I32" s="12">
        <f t="shared" si="1"/>
        <v>7.75</v>
      </c>
      <c r="J32" s="25">
        <f t="shared" si="2"/>
        <v>6.5</v>
      </c>
    </row>
    <row r="33" spans="1:10" ht="15.95" customHeight="1">
      <c r="A33" s="11" t="s">
        <v>52</v>
      </c>
      <c r="B33" s="12">
        <v>15</v>
      </c>
      <c r="C33" s="12">
        <v>15</v>
      </c>
      <c r="D33" s="12"/>
      <c r="E33" s="12"/>
      <c r="F33" s="12"/>
      <c r="G33" s="12"/>
      <c r="H33" s="12">
        <f t="shared" si="0"/>
        <v>13.75</v>
      </c>
      <c r="I33" s="12">
        <f t="shared" si="1"/>
        <v>22.75</v>
      </c>
      <c r="J33" s="25">
        <f t="shared" si="2"/>
        <v>36.5</v>
      </c>
    </row>
    <row r="34" spans="1:10" ht="15.95" customHeight="1">
      <c r="A34" s="11" t="s">
        <v>53</v>
      </c>
      <c r="B34" s="12"/>
      <c r="C34" s="12"/>
      <c r="D34" s="12"/>
      <c r="E34" s="12"/>
      <c r="F34" s="12">
        <v>5</v>
      </c>
      <c r="G34" s="12"/>
      <c r="H34" s="12">
        <f t="shared" si="0"/>
        <v>8.75</v>
      </c>
      <c r="I34" s="12">
        <f t="shared" si="1"/>
        <v>22.75</v>
      </c>
      <c r="J34" s="25">
        <f t="shared" si="2"/>
        <v>31.5</v>
      </c>
    </row>
    <row r="35" spans="1:10" ht="15.95" customHeight="1">
      <c r="A35" s="11" t="s">
        <v>235</v>
      </c>
      <c r="B35" s="12">
        <v>15</v>
      </c>
      <c r="C35" s="12">
        <v>15</v>
      </c>
      <c r="D35" s="12"/>
      <c r="E35" s="12"/>
      <c r="F35" s="12"/>
      <c r="G35" s="12"/>
      <c r="H35" s="12">
        <f t="shared" si="0"/>
        <v>23.75</v>
      </c>
      <c r="I35" s="12">
        <f t="shared" si="1"/>
        <v>37.75</v>
      </c>
      <c r="J35" s="25">
        <f t="shared" si="2"/>
        <v>61.5</v>
      </c>
    </row>
    <row r="36" spans="1:10" ht="15.95" customHeight="1">
      <c r="A36" s="11" t="s">
        <v>54</v>
      </c>
      <c r="B36" s="12"/>
      <c r="C36" s="12"/>
      <c r="D36" s="12">
        <v>2</v>
      </c>
      <c r="E36" s="12"/>
      <c r="F36" s="12"/>
      <c r="G36" s="12"/>
      <c r="H36" s="12">
        <f t="shared" si="0"/>
        <v>21.75</v>
      </c>
      <c r="I36" s="12">
        <f t="shared" si="1"/>
        <v>37.75</v>
      </c>
      <c r="J36" s="25">
        <f t="shared" si="2"/>
        <v>59.5</v>
      </c>
    </row>
    <row r="37" spans="1:10" ht="15.95" customHeight="1">
      <c r="A37" s="11" t="s">
        <v>55</v>
      </c>
      <c r="B37" s="12"/>
      <c r="C37" s="12"/>
      <c r="D37" s="12">
        <v>2</v>
      </c>
      <c r="E37" s="12"/>
      <c r="F37" s="12"/>
      <c r="G37" s="12"/>
      <c r="H37" s="12">
        <f t="shared" si="0"/>
        <v>19.75</v>
      </c>
      <c r="I37" s="12">
        <f t="shared" si="1"/>
        <v>37.75</v>
      </c>
      <c r="J37" s="25">
        <f t="shared" si="2"/>
        <v>57.5</v>
      </c>
    </row>
    <row r="38" spans="1:10" ht="15.95" customHeight="1">
      <c r="A38" s="11" t="s">
        <v>57</v>
      </c>
      <c r="B38" s="12"/>
      <c r="C38" s="12"/>
      <c r="D38" s="12"/>
      <c r="E38" s="12">
        <v>1</v>
      </c>
      <c r="F38" s="12"/>
      <c r="G38" s="12"/>
      <c r="H38" s="12">
        <f t="shared" si="0"/>
        <v>19.75</v>
      </c>
      <c r="I38" s="12">
        <f t="shared" si="1"/>
        <v>36.75</v>
      </c>
      <c r="J38" s="25">
        <f t="shared" si="2"/>
        <v>56.5</v>
      </c>
    </row>
    <row r="39" spans="1:10" ht="15.95" customHeight="1">
      <c r="A39" s="11" t="s">
        <v>59</v>
      </c>
      <c r="B39" s="12"/>
      <c r="C39" s="12"/>
      <c r="D39" s="12"/>
      <c r="E39" s="12"/>
      <c r="F39" s="12">
        <v>5</v>
      </c>
      <c r="G39" s="12"/>
      <c r="H39" s="12">
        <f t="shared" si="0"/>
        <v>14.75</v>
      </c>
      <c r="I39" s="12">
        <f t="shared" si="1"/>
        <v>36.75</v>
      </c>
      <c r="J39" s="25">
        <f t="shared" si="2"/>
        <v>51.5</v>
      </c>
    </row>
    <row r="40" spans="1:10" ht="15.95" customHeight="1">
      <c r="A40" s="11" t="s">
        <v>60</v>
      </c>
      <c r="B40" s="12"/>
      <c r="C40" s="12"/>
      <c r="D40" s="12">
        <v>5</v>
      </c>
      <c r="E40" s="12"/>
      <c r="F40" s="12"/>
      <c r="G40" s="12"/>
      <c r="H40" s="12">
        <f t="shared" si="0"/>
        <v>9.75</v>
      </c>
      <c r="I40" s="12">
        <f t="shared" si="1"/>
        <v>36.75</v>
      </c>
      <c r="J40" s="25">
        <f t="shared" si="2"/>
        <v>46.5</v>
      </c>
    </row>
    <row r="41" spans="1:10" ht="15.95" customHeight="1">
      <c r="A41" s="11" t="s">
        <v>62</v>
      </c>
      <c r="B41" s="12">
        <v>15</v>
      </c>
      <c r="C41" s="12">
        <v>15</v>
      </c>
      <c r="D41" s="12"/>
      <c r="E41" s="12"/>
      <c r="F41" s="12"/>
      <c r="G41" s="12"/>
      <c r="H41" s="12">
        <f t="shared" si="0"/>
        <v>24.75</v>
      </c>
      <c r="I41" s="12">
        <f t="shared" si="1"/>
        <v>51.75</v>
      </c>
      <c r="J41" s="25">
        <f t="shared" si="2"/>
        <v>76.5</v>
      </c>
    </row>
    <row r="42" spans="1:10" ht="15.95" customHeight="1">
      <c r="A42" s="11" t="s">
        <v>63</v>
      </c>
      <c r="B42" s="12"/>
      <c r="C42" s="12"/>
      <c r="D42" s="12">
        <v>16</v>
      </c>
      <c r="E42" s="12">
        <v>13</v>
      </c>
      <c r="F42" s="12"/>
      <c r="G42" s="12"/>
      <c r="H42" s="12">
        <f t="shared" si="0"/>
        <v>8.75</v>
      </c>
      <c r="I42" s="12">
        <f t="shared" si="1"/>
        <v>38.75</v>
      </c>
      <c r="J42" s="25">
        <f t="shared" si="2"/>
        <v>47.5</v>
      </c>
    </row>
    <row r="43" spans="1:10" ht="15.95" customHeight="1">
      <c r="A43" s="11" t="s">
        <v>64</v>
      </c>
      <c r="B43" s="12"/>
      <c r="C43" s="12"/>
      <c r="D43" s="12"/>
      <c r="E43" s="12"/>
      <c r="F43" s="12">
        <v>5</v>
      </c>
      <c r="G43" s="12"/>
      <c r="H43" s="12">
        <f t="shared" si="0"/>
        <v>3.75</v>
      </c>
      <c r="I43" s="12">
        <f t="shared" si="1"/>
        <v>38.75</v>
      </c>
      <c r="J43" s="25">
        <f t="shared" si="2"/>
        <v>42.5</v>
      </c>
    </row>
    <row r="44" spans="1:10" ht="15.95" customHeight="1">
      <c r="A44" s="15" t="s">
        <v>65</v>
      </c>
      <c r="B44" s="16"/>
      <c r="C44" s="16"/>
      <c r="D44" s="16"/>
      <c r="E44" s="16"/>
      <c r="F44" s="16"/>
      <c r="G44" s="16">
        <v>1</v>
      </c>
      <c r="H44" s="12">
        <f t="shared" si="0"/>
        <v>3.75</v>
      </c>
      <c r="I44" s="12">
        <f t="shared" si="1"/>
        <v>38.75</v>
      </c>
      <c r="J44" s="25">
        <f t="shared" si="2"/>
        <v>42.5</v>
      </c>
    </row>
    <row r="45" spans="1:10" ht="15.95" customHeight="1">
      <c r="A45" s="17" t="s">
        <v>236</v>
      </c>
      <c r="B45" s="16">
        <v>2.5</v>
      </c>
      <c r="C45" s="16">
        <v>2.5</v>
      </c>
      <c r="D45" s="16"/>
      <c r="E45" s="16"/>
      <c r="F45" s="16"/>
      <c r="G45" s="16"/>
      <c r="H45" s="12">
        <f t="shared" si="0"/>
        <v>6.25</v>
      </c>
      <c r="I45" s="12">
        <f t="shared" si="1"/>
        <v>41.25</v>
      </c>
      <c r="J45" s="25">
        <f t="shared" si="2"/>
        <v>47.5</v>
      </c>
    </row>
    <row r="46" spans="1:10" ht="15.95" customHeight="1">
      <c r="A46" s="17" t="s">
        <v>237</v>
      </c>
      <c r="B46" s="16">
        <v>1.25</v>
      </c>
      <c r="C46" s="16">
        <v>1.25</v>
      </c>
      <c r="D46" s="16"/>
      <c r="E46" s="16"/>
      <c r="F46" s="16"/>
      <c r="G46" s="16"/>
      <c r="H46" s="12">
        <f t="shared" si="0"/>
        <v>7.5</v>
      </c>
      <c r="I46" s="12">
        <f t="shared" si="1"/>
        <v>42.5</v>
      </c>
      <c r="J46" s="25">
        <f t="shared" si="2"/>
        <v>50</v>
      </c>
    </row>
    <row r="47" spans="1:10" ht="15.95" customHeight="1">
      <c r="A47" s="17" t="s">
        <v>238</v>
      </c>
      <c r="B47" s="16">
        <v>1.25</v>
      </c>
      <c r="C47" s="16">
        <v>1.25</v>
      </c>
      <c r="D47" s="16"/>
      <c r="E47" s="16"/>
      <c r="F47" s="16"/>
      <c r="G47" s="16"/>
      <c r="H47" s="12">
        <f t="shared" si="0"/>
        <v>8.75</v>
      </c>
      <c r="I47" s="12">
        <f t="shared" si="1"/>
        <v>43.75</v>
      </c>
      <c r="J47" s="25">
        <f t="shared" si="2"/>
        <v>52.5</v>
      </c>
    </row>
    <row r="48" spans="1:10" ht="15.95" customHeight="1">
      <c r="A48" s="17" t="s">
        <v>67</v>
      </c>
      <c r="B48" s="16"/>
      <c r="C48" s="16"/>
      <c r="D48" s="16"/>
      <c r="E48" s="16">
        <v>2</v>
      </c>
      <c r="F48" s="16"/>
      <c r="G48" s="16"/>
      <c r="H48" s="12">
        <f t="shared" si="0"/>
        <v>8.75</v>
      </c>
      <c r="I48" s="12">
        <f t="shared" si="1"/>
        <v>41.75</v>
      </c>
      <c r="J48" s="25">
        <f t="shared" si="2"/>
        <v>50.5</v>
      </c>
    </row>
    <row r="49" spans="1:10" ht="15.95" customHeight="1">
      <c r="A49" s="17" t="s">
        <v>68</v>
      </c>
      <c r="B49" s="16"/>
      <c r="C49" s="16"/>
      <c r="D49" s="16"/>
      <c r="E49" s="16">
        <v>6.5</v>
      </c>
      <c r="F49" s="16"/>
      <c r="G49" s="16"/>
      <c r="H49" s="12">
        <f t="shared" si="0"/>
        <v>8.75</v>
      </c>
      <c r="I49" s="12">
        <f t="shared" si="1"/>
        <v>35.25</v>
      </c>
      <c r="J49" s="25">
        <f t="shared" si="2"/>
        <v>44</v>
      </c>
    </row>
    <row r="50" spans="1:10" ht="15.95" customHeight="1">
      <c r="A50" s="17" t="s">
        <v>69</v>
      </c>
      <c r="B50" s="16">
        <v>1.25</v>
      </c>
      <c r="C50" s="16">
        <v>1.25</v>
      </c>
      <c r="D50" s="16"/>
      <c r="E50" s="16"/>
      <c r="F50" s="16"/>
      <c r="G50" s="16"/>
      <c r="H50" s="12">
        <f t="shared" si="0"/>
        <v>10</v>
      </c>
      <c r="I50" s="12">
        <f t="shared" si="1"/>
        <v>36.5</v>
      </c>
      <c r="J50" s="25">
        <f t="shared" si="2"/>
        <v>46.5</v>
      </c>
    </row>
    <row r="51" spans="1:10" ht="15.95" customHeight="1">
      <c r="A51" s="17" t="s">
        <v>70</v>
      </c>
      <c r="B51" s="16"/>
      <c r="C51" s="16"/>
      <c r="D51" s="16"/>
      <c r="E51" s="16"/>
      <c r="F51" s="16"/>
      <c r="G51" s="16">
        <v>1</v>
      </c>
      <c r="H51" s="12">
        <f t="shared" si="0"/>
        <v>10</v>
      </c>
      <c r="I51" s="12">
        <f t="shared" si="1"/>
        <v>36.5</v>
      </c>
      <c r="J51" s="25">
        <f t="shared" si="2"/>
        <v>46.5</v>
      </c>
    </row>
    <row r="52" spans="1:10" ht="15.95" customHeight="1">
      <c r="A52" s="17" t="s">
        <v>71</v>
      </c>
      <c r="B52" s="16">
        <v>1.25</v>
      </c>
      <c r="C52" s="16">
        <v>1.25</v>
      </c>
      <c r="D52" s="16"/>
      <c r="E52" s="16"/>
      <c r="F52" s="16"/>
      <c r="G52" s="16"/>
      <c r="H52" s="12">
        <f t="shared" si="0"/>
        <v>11.25</v>
      </c>
      <c r="I52" s="12">
        <f t="shared" si="1"/>
        <v>37.75</v>
      </c>
      <c r="J52" s="25">
        <f t="shared" si="2"/>
        <v>49</v>
      </c>
    </row>
    <row r="53" spans="1:10" ht="15.95" customHeight="1">
      <c r="A53" s="17" t="s">
        <v>72</v>
      </c>
      <c r="B53" s="16"/>
      <c r="C53" s="16"/>
      <c r="D53" s="16"/>
      <c r="E53" s="16"/>
      <c r="F53" s="16">
        <v>1</v>
      </c>
      <c r="G53" s="16"/>
      <c r="H53" s="12">
        <f t="shared" si="0"/>
        <v>10.25</v>
      </c>
      <c r="I53" s="12">
        <f t="shared" si="1"/>
        <v>37.75</v>
      </c>
      <c r="J53" s="25">
        <f t="shared" si="2"/>
        <v>48</v>
      </c>
    </row>
    <row r="54" spans="1:10" s="2" customFormat="1" ht="15.95" customHeight="1">
      <c r="A54" s="17" t="s">
        <v>73</v>
      </c>
      <c r="B54" s="16"/>
      <c r="C54" s="16"/>
      <c r="D54" s="16"/>
      <c r="E54" s="16"/>
      <c r="F54" s="16"/>
      <c r="G54" s="16">
        <v>1</v>
      </c>
      <c r="H54" s="12">
        <f t="shared" si="0"/>
        <v>10.25</v>
      </c>
      <c r="I54" s="12">
        <f t="shared" si="1"/>
        <v>37.75</v>
      </c>
      <c r="J54" s="25">
        <f t="shared" si="2"/>
        <v>48</v>
      </c>
    </row>
    <row r="55" spans="1:10" ht="15.95" customHeight="1">
      <c r="A55" s="17" t="s">
        <v>74</v>
      </c>
      <c r="B55" s="16"/>
      <c r="C55" s="16"/>
      <c r="D55" s="16"/>
      <c r="E55" s="16"/>
      <c r="F55" s="16">
        <v>1</v>
      </c>
      <c r="G55" s="16"/>
      <c r="H55" s="12">
        <f t="shared" si="0"/>
        <v>9.25</v>
      </c>
      <c r="I55" s="12">
        <f t="shared" si="1"/>
        <v>37.75</v>
      </c>
      <c r="J55" s="25">
        <f t="shared" si="2"/>
        <v>47</v>
      </c>
    </row>
    <row r="56" spans="1:10" ht="15.95" customHeight="1">
      <c r="A56" s="17" t="s">
        <v>75</v>
      </c>
      <c r="B56" s="16">
        <v>1.25</v>
      </c>
      <c r="C56" s="16">
        <v>1.25</v>
      </c>
      <c r="D56" s="16"/>
      <c r="E56" s="16"/>
      <c r="F56" s="16"/>
      <c r="G56" s="16"/>
      <c r="H56" s="12">
        <f t="shared" si="0"/>
        <v>10.5</v>
      </c>
      <c r="I56" s="12">
        <f t="shared" si="1"/>
        <v>39</v>
      </c>
      <c r="J56" s="25">
        <f t="shared" si="2"/>
        <v>49.5</v>
      </c>
    </row>
    <row r="57" spans="1:10" ht="15.95" customHeight="1">
      <c r="A57" s="17" t="s">
        <v>76</v>
      </c>
      <c r="B57" s="16">
        <v>1.25</v>
      </c>
      <c r="C57" s="16">
        <v>1.25</v>
      </c>
      <c r="D57" s="16"/>
      <c r="E57" s="16"/>
      <c r="F57" s="16"/>
      <c r="G57" s="16"/>
      <c r="H57" s="12">
        <f t="shared" si="0"/>
        <v>11.75</v>
      </c>
      <c r="I57" s="12">
        <f t="shared" si="1"/>
        <v>40.25</v>
      </c>
      <c r="J57" s="25">
        <f t="shared" si="2"/>
        <v>52</v>
      </c>
    </row>
    <row r="58" spans="1:10" ht="15.95" customHeight="1">
      <c r="A58" s="18" t="s">
        <v>239</v>
      </c>
      <c r="B58" s="19"/>
      <c r="C58" s="19"/>
      <c r="D58" s="19"/>
      <c r="E58" s="19"/>
      <c r="F58" s="19">
        <v>2</v>
      </c>
      <c r="G58" s="19"/>
      <c r="H58" s="14">
        <f t="shared" si="0"/>
        <v>9.75</v>
      </c>
      <c r="I58" s="14">
        <f t="shared" si="1"/>
        <v>40.25</v>
      </c>
      <c r="J58" s="26">
        <f t="shared" si="2"/>
        <v>50</v>
      </c>
    </row>
    <row r="59" spans="1:10" ht="15.95" customHeight="1">
      <c r="A59" s="20" t="s">
        <v>77</v>
      </c>
      <c r="B59" s="16"/>
      <c r="C59" s="16"/>
      <c r="D59" s="16">
        <v>10</v>
      </c>
      <c r="E59" s="16">
        <v>19</v>
      </c>
      <c r="F59" s="16"/>
      <c r="G59" s="16"/>
      <c r="H59" s="12">
        <f t="shared" si="0"/>
        <v>-0.25</v>
      </c>
      <c r="I59" s="12">
        <f t="shared" si="1"/>
        <v>21.25</v>
      </c>
      <c r="J59" s="25">
        <f t="shared" si="2"/>
        <v>21</v>
      </c>
    </row>
    <row r="60" spans="1:10" ht="15.95" customHeight="1">
      <c r="A60" s="21" t="s">
        <v>78</v>
      </c>
      <c r="B60" s="22">
        <v>3.75</v>
      </c>
      <c r="C60" s="22">
        <v>3.75</v>
      </c>
      <c r="D60" s="22"/>
      <c r="E60" s="22"/>
      <c r="F60" s="22"/>
      <c r="G60" s="22"/>
      <c r="H60" s="12">
        <f t="shared" si="0"/>
        <v>3.5</v>
      </c>
      <c r="I60" s="12">
        <f t="shared" si="1"/>
        <v>25</v>
      </c>
      <c r="J60" s="25">
        <f t="shared" si="2"/>
        <v>28.5</v>
      </c>
    </row>
    <row r="61" spans="1:10" ht="15" customHeight="1">
      <c r="A61" s="17" t="s">
        <v>79</v>
      </c>
      <c r="B61" s="23"/>
      <c r="C61" s="23"/>
      <c r="D61" s="23"/>
      <c r="E61" s="23"/>
      <c r="F61" s="24">
        <v>1</v>
      </c>
      <c r="G61" s="24"/>
      <c r="H61" s="12">
        <f t="shared" si="0"/>
        <v>2.5</v>
      </c>
      <c r="I61" s="12">
        <f t="shared" si="1"/>
        <v>25</v>
      </c>
      <c r="J61" s="25">
        <f t="shared" si="2"/>
        <v>27.5</v>
      </c>
    </row>
    <row r="62" spans="1:10" ht="15.95" customHeight="1">
      <c r="A62" s="17" t="s">
        <v>80</v>
      </c>
      <c r="B62" s="23"/>
      <c r="C62" s="23"/>
      <c r="D62" s="23"/>
      <c r="E62" s="23">
        <v>2</v>
      </c>
      <c r="F62" s="23"/>
      <c r="G62" s="23"/>
      <c r="H62" s="12">
        <f t="shared" si="0"/>
        <v>2.5</v>
      </c>
      <c r="I62" s="12">
        <f t="shared" si="1"/>
        <v>23</v>
      </c>
      <c r="J62" s="25">
        <f t="shared" si="2"/>
        <v>25.5</v>
      </c>
    </row>
    <row r="63" spans="1:10" ht="15.95" customHeight="1">
      <c r="A63" s="17" t="s">
        <v>240</v>
      </c>
      <c r="B63" s="16">
        <v>1.25</v>
      </c>
      <c r="C63" s="16">
        <v>1.25</v>
      </c>
      <c r="D63" s="23"/>
      <c r="E63" s="23"/>
      <c r="F63" s="23"/>
      <c r="G63" s="23"/>
      <c r="H63" s="12">
        <f t="shared" si="0"/>
        <v>3.75</v>
      </c>
      <c r="I63" s="12">
        <f t="shared" si="1"/>
        <v>24.25</v>
      </c>
      <c r="J63" s="25">
        <f t="shared" si="2"/>
        <v>28</v>
      </c>
    </row>
    <row r="64" spans="1:10" ht="15.95" customHeight="1">
      <c r="A64" s="17" t="s">
        <v>81</v>
      </c>
      <c r="B64" s="23"/>
      <c r="C64" s="23"/>
      <c r="D64" s="23"/>
      <c r="E64" s="23">
        <v>2</v>
      </c>
      <c r="F64" s="23"/>
      <c r="G64" s="23"/>
      <c r="H64" s="12">
        <f t="shared" si="0"/>
        <v>3.75</v>
      </c>
      <c r="I64" s="12">
        <f t="shared" si="1"/>
        <v>22.25</v>
      </c>
      <c r="J64" s="25">
        <f t="shared" si="2"/>
        <v>26</v>
      </c>
    </row>
    <row r="65" spans="1:10" ht="15.95" customHeight="1">
      <c r="A65" s="27" t="s">
        <v>241</v>
      </c>
      <c r="B65" s="24">
        <v>2.5</v>
      </c>
      <c r="C65" s="24">
        <v>2.5</v>
      </c>
      <c r="D65" s="23"/>
      <c r="E65" s="23"/>
      <c r="F65" s="23"/>
      <c r="G65" s="23"/>
      <c r="H65" s="12">
        <f t="shared" si="0"/>
        <v>6.25</v>
      </c>
      <c r="I65" s="12">
        <f t="shared" si="1"/>
        <v>24.75</v>
      </c>
      <c r="J65" s="25">
        <f t="shared" si="2"/>
        <v>31</v>
      </c>
    </row>
    <row r="66" spans="1:10" ht="15.95" customHeight="1">
      <c r="A66" s="27" t="s">
        <v>242</v>
      </c>
      <c r="B66" s="16">
        <v>1.25</v>
      </c>
      <c r="C66" s="16">
        <v>1.25</v>
      </c>
      <c r="D66" s="23"/>
      <c r="E66" s="23"/>
      <c r="F66" s="23"/>
      <c r="G66" s="23"/>
      <c r="H66" s="12">
        <f t="shared" si="0"/>
        <v>7.5</v>
      </c>
      <c r="I66" s="12">
        <f t="shared" si="1"/>
        <v>26</v>
      </c>
      <c r="J66" s="25">
        <f t="shared" si="2"/>
        <v>33.5</v>
      </c>
    </row>
    <row r="67" spans="1:10" ht="15.95" customHeight="1">
      <c r="A67" s="27" t="s">
        <v>243</v>
      </c>
      <c r="B67" s="16">
        <v>1.25</v>
      </c>
      <c r="C67" s="16">
        <v>1.25</v>
      </c>
      <c r="D67" s="23"/>
      <c r="E67" s="23"/>
      <c r="F67" s="23"/>
      <c r="G67" s="23"/>
      <c r="H67" s="12">
        <f t="shared" si="0"/>
        <v>8.75</v>
      </c>
      <c r="I67" s="12">
        <f t="shared" si="1"/>
        <v>27.25</v>
      </c>
      <c r="J67" s="25">
        <f t="shared" si="2"/>
        <v>36</v>
      </c>
    </row>
    <row r="68" spans="1:10" ht="15.95" customHeight="1">
      <c r="A68" s="27" t="s">
        <v>244</v>
      </c>
      <c r="B68" s="16">
        <v>1.25</v>
      </c>
      <c r="C68" s="16">
        <v>1.25</v>
      </c>
      <c r="D68" s="23"/>
      <c r="E68" s="23"/>
      <c r="F68" s="23"/>
      <c r="G68" s="23"/>
      <c r="H68" s="12">
        <f t="shared" si="0"/>
        <v>10</v>
      </c>
      <c r="I68" s="12">
        <f t="shared" si="1"/>
        <v>28.5</v>
      </c>
      <c r="J68" s="25">
        <f t="shared" si="2"/>
        <v>38.5</v>
      </c>
    </row>
    <row r="69" spans="1:10" ht="15.95" customHeight="1">
      <c r="A69" s="27" t="s">
        <v>245</v>
      </c>
      <c r="B69" s="16">
        <v>1.25</v>
      </c>
      <c r="C69" s="16">
        <v>1.25</v>
      </c>
      <c r="D69" s="23"/>
      <c r="E69" s="23"/>
      <c r="F69" s="23"/>
      <c r="G69" s="23"/>
      <c r="H69" s="12">
        <f t="shared" si="0"/>
        <v>11.25</v>
      </c>
      <c r="I69" s="12">
        <f t="shared" si="1"/>
        <v>29.75</v>
      </c>
      <c r="J69" s="25">
        <f t="shared" si="2"/>
        <v>41</v>
      </c>
    </row>
    <row r="70" spans="1:10" ht="15.95" customHeight="1">
      <c r="A70" s="28" t="s">
        <v>85</v>
      </c>
      <c r="B70" s="23"/>
      <c r="C70" s="23"/>
      <c r="D70" s="24">
        <v>1</v>
      </c>
      <c r="E70" s="23"/>
      <c r="F70" s="23"/>
      <c r="G70" s="23"/>
      <c r="H70" s="12">
        <f t="shared" si="0"/>
        <v>10.25</v>
      </c>
      <c r="I70" s="12">
        <f t="shared" si="1"/>
        <v>29.75</v>
      </c>
      <c r="J70" s="25">
        <f t="shared" si="2"/>
        <v>40</v>
      </c>
    </row>
    <row r="71" spans="1:10" ht="15.95" customHeight="1">
      <c r="A71" s="29" t="s">
        <v>86</v>
      </c>
      <c r="B71" s="23"/>
      <c r="C71" s="23"/>
      <c r="D71" s="23"/>
      <c r="E71" s="23"/>
      <c r="F71" s="24">
        <v>1</v>
      </c>
      <c r="G71" s="24"/>
      <c r="H71" s="12">
        <f t="shared" si="0"/>
        <v>9.25</v>
      </c>
      <c r="I71" s="12">
        <f t="shared" si="1"/>
        <v>29.75</v>
      </c>
      <c r="J71" s="25">
        <f t="shared" si="2"/>
        <v>39</v>
      </c>
    </row>
    <row r="72" spans="1:10" ht="15.95" customHeight="1">
      <c r="A72" s="27" t="s">
        <v>87</v>
      </c>
      <c r="B72" s="16">
        <v>1.25</v>
      </c>
      <c r="C72" s="16">
        <v>1.25</v>
      </c>
      <c r="D72" s="23"/>
      <c r="E72" s="23"/>
      <c r="F72" s="23"/>
      <c r="G72" s="23"/>
      <c r="H72" s="12">
        <f t="shared" si="0"/>
        <v>10.5</v>
      </c>
      <c r="I72" s="12">
        <f t="shared" si="1"/>
        <v>31</v>
      </c>
      <c r="J72" s="25">
        <f t="shared" si="2"/>
        <v>41.5</v>
      </c>
    </row>
    <row r="73" spans="1:10" ht="15.95" customHeight="1">
      <c r="A73" s="30" t="s">
        <v>88</v>
      </c>
      <c r="B73" s="23"/>
      <c r="C73" s="23"/>
      <c r="D73" s="23"/>
      <c r="E73" s="23">
        <v>1</v>
      </c>
      <c r="F73" s="23"/>
      <c r="G73" s="23"/>
      <c r="H73" s="12">
        <f t="shared" si="0"/>
        <v>10.5</v>
      </c>
      <c r="I73" s="12">
        <f t="shared" si="1"/>
        <v>30</v>
      </c>
      <c r="J73" s="25">
        <f t="shared" si="2"/>
        <v>40.5</v>
      </c>
    </row>
    <row r="74" spans="1:10" ht="15.95" customHeight="1">
      <c r="A74" s="27" t="s">
        <v>89</v>
      </c>
      <c r="B74" s="16">
        <v>1.25</v>
      </c>
      <c r="C74" s="16">
        <v>1.25</v>
      </c>
      <c r="D74" s="23"/>
      <c r="E74" s="23"/>
      <c r="F74" s="23"/>
      <c r="G74" s="23"/>
      <c r="H74" s="12">
        <f t="shared" si="0"/>
        <v>11.75</v>
      </c>
      <c r="I74" s="12">
        <f t="shared" si="1"/>
        <v>31.25</v>
      </c>
      <c r="J74" s="25">
        <f t="shared" si="2"/>
        <v>43</v>
      </c>
    </row>
    <row r="75" spans="1:10" ht="15.95" customHeight="1">
      <c r="A75" s="20" t="s">
        <v>90</v>
      </c>
      <c r="B75" s="23"/>
      <c r="C75" s="23"/>
      <c r="D75" s="23">
        <v>3</v>
      </c>
      <c r="E75" s="23">
        <v>24</v>
      </c>
      <c r="F75" s="23"/>
      <c r="G75" s="23"/>
      <c r="H75" s="12">
        <f t="shared" si="0"/>
        <v>8.75</v>
      </c>
      <c r="I75" s="12">
        <f t="shared" si="1"/>
        <v>7.25</v>
      </c>
      <c r="J75" s="25">
        <f t="shared" si="2"/>
        <v>16</v>
      </c>
    </row>
    <row r="76" spans="1:10" ht="15.95" customHeight="1">
      <c r="A76" s="31" t="s">
        <v>91</v>
      </c>
      <c r="B76" s="32">
        <v>1.25</v>
      </c>
      <c r="C76" s="32">
        <v>1.25</v>
      </c>
      <c r="D76" s="32"/>
      <c r="E76" s="32"/>
      <c r="F76" s="32"/>
      <c r="G76" s="32"/>
      <c r="H76" s="12">
        <f t="shared" si="0"/>
        <v>10</v>
      </c>
      <c r="I76" s="12">
        <f t="shared" si="1"/>
        <v>8.5</v>
      </c>
      <c r="J76" s="25">
        <f t="shared" si="2"/>
        <v>18.5</v>
      </c>
    </row>
    <row r="77" spans="1:10" ht="15.95" customHeight="1">
      <c r="A77" s="29" t="s">
        <v>92</v>
      </c>
      <c r="B77" s="23"/>
      <c r="C77" s="23"/>
      <c r="D77" s="23"/>
      <c r="E77" s="23">
        <v>1</v>
      </c>
      <c r="F77" s="23"/>
      <c r="G77" s="23"/>
      <c r="H77" s="12">
        <f t="shared" si="0"/>
        <v>10</v>
      </c>
      <c r="I77" s="12">
        <f t="shared" si="1"/>
        <v>7.5</v>
      </c>
      <c r="J77" s="25">
        <f t="shared" si="2"/>
        <v>17.5</v>
      </c>
    </row>
    <row r="78" spans="1:10" ht="15.95" customHeight="1">
      <c r="A78" s="29" t="s">
        <v>93</v>
      </c>
      <c r="B78" s="23"/>
      <c r="C78" s="23"/>
      <c r="D78" s="23"/>
      <c r="E78" s="23"/>
      <c r="F78" s="23"/>
      <c r="G78" s="23">
        <v>2</v>
      </c>
      <c r="H78" s="12">
        <f t="shared" si="0"/>
        <v>10</v>
      </c>
      <c r="I78" s="12">
        <f t="shared" si="1"/>
        <v>7.5</v>
      </c>
      <c r="J78" s="25">
        <f t="shared" si="2"/>
        <v>17.5</v>
      </c>
    </row>
    <row r="79" spans="1:10" ht="15.95" customHeight="1">
      <c r="A79" s="29" t="s">
        <v>94</v>
      </c>
      <c r="B79" s="23"/>
      <c r="C79" s="23"/>
      <c r="D79" s="23"/>
      <c r="E79" s="23"/>
      <c r="F79" s="23"/>
      <c r="G79" s="23">
        <v>1</v>
      </c>
      <c r="H79" s="12">
        <f t="shared" ref="H79:H98" si="3">H78-F79-D79+B79</f>
        <v>10</v>
      </c>
      <c r="I79" s="12">
        <f t="shared" ref="I79:I98" si="4">I78-E79+C79</f>
        <v>7.5</v>
      </c>
      <c r="J79" s="25">
        <f t="shared" ref="J79:J96" si="5">SUM(H79:I79)</f>
        <v>17.5</v>
      </c>
    </row>
    <row r="80" spans="1:10" ht="15.95" customHeight="1">
      <c r="A80" s="29" t="s">
        <v>95</v>
      </c>
      <c r="B80" s="23">
        <v>1.25</v>
      </c>
      <c r="C80" s="23">
        <v>1.25</v>
      </c>
      <c r="D80" s="23"/>
      <c r="E80" s="23"/>
      <c r="F80" s="23"/>
      <c r="G80" s="23"/>
      <c r="H80" s="12">
        <f t="shared" si="3"/>
        <v>11.25</v>
      </c>
      <c r="I80" s="12">
        <f t="shared" si="4"/>
        <v>8.75</v>
      </c>
      <c r="J80" s="25">
        <f t="shared" si="5"/>
        <v>20</v>
      </c>
    </row>
    <row r="81" spans="1:10" ht="15.95" customHeight="1">
      <c r="A81" s="29" t="s">
        <v>96</v>
      </c>
      <c r="B81" s="23"/>
      <c r="C81" s="23"/>
      <c r="D81" s="23"/>
      <c r="E81" s="23"/>
      <c r="F81" s="23">
        <v>2</v>
      </c>
      <c r="G81" s="23"/>
      <c r="H81" s="12">
        <f t="shared" si="3"/>
        <v>9.25</v>
      </c>
      <c r="I81" s="12">
        <f t="shared" si="4"/>
        <v>8.75</v>
      </c>
      <c r="J81" s="25">
        <f t="shared" si="5"/>
        <v>18</v>
      </c>
    </row>
    <row r="82" spans="1:10" ht="15.95" customHeight="1">
      <c r="A82" s="29" t="s">
        <v>97</v>
      </c>
      <c r="B82" s="23"/>
      <c r="C82" s="23"/>
      <c r="D82" s="23">
        <v>1</v>
      </c>
      <c r="E82" s="23"/>
      <c r="F82" s="23">
        <v>2</v>
      </c>
      <c r="G82" s="23"/>
      <c r="H82" s="12">
        <f t="shared" si="3"/>
        <v>6.25</v>
      </c>
      <c r="I82" s="12">
        <f t="shared" si="4"/>
        <v>8.75</v>
      </c>
      <c r="J82" s="25">
        <f t="shared" si="5"/>
        <v>15</v>
      </c>
    </row>
    <row r="83" spans="1:10" ht="15.95" customHeight="1">
      <c r="A83" s="29" t="s">
        <v>98</v>
      </c>
      <c r="B83" s="23">
        <v>1.25</v>
      </c>
      <c r="C83" s="23">
        <v>1.25</v>
      </c>
      <c r="D83" s="23"/>
      <c r="E83" s="23"/>
      <c r="F83" s="23"/>
      <c r="G83" s="23"/>
      <c r="H83" s="12">
        <f t="shared" si="3"/>
        <v>7.5</v>
      </c>
      <c r="I83" s="12">
        <f t="shared" si="4"/>
        <v>10</v>
      </c>
      <c r="J83" s="25">
        <f t="shared" si="5"/>
        <v>17.5</v>
      </c>
    </row>
    <row r="84" spans="1:10" ht="21" customHeight="1">
      <c r="A84" s="33" t="s">
        <v>99</v>
      </c>
      <c r="B84" s="23">
        <v>3</v>
      </c>
      <c r="C84" s="23"/>
      <c r="D84" s="23"/>
      <c r="E84" s="23"/>
      <c r="F84" s="23"/>
      <c r="G84" s="23"/>
      <c r="H84" s="12">
        <f t="shared" si="3"/>
        <v>10.5</v>
      </c>
      <c r="I84" s="12">
        <f t="shared" si="4"/>
        <v>10</v>
      </c>
      <c r="J84" s="25">
        <f t="shared" si="5"/>
        <v>20.5</v>
      </c>
    </row>
    <row r="85" spans="1:10" ht="16.5" customHeight="1">
      <c r="A85" s="34" t="s">
        <v>100</v>
      </c>
      <c r="B85" s="23">
        <v>2</v>
      </c>
      <c r="C85" s="23"/>
      <c r="D85" s="23"/>
      <c r="E85" s="23"/>
      <c r="F85" s="23"/>
      <c r="G85" s="23"/>
      <c r="H85" s="16">
        <f t="shared" si="3"/>
        <v>12.5</v>
      </c>
      <c r="I85" s="16">
        <f t="shared" si="4"/>
        <v>10</v>
      </c>
      <c r="J85" s="16">
        <f t="shared" si="5"/>
        <v>22.5</v>
      </c>
    </row>
    <row r="86" spans="1:10" s="1" customFormat="1" ht="16.5" customHeight="1">
      <c r="A86" s="34" t="s">
        <v>101</v>
      </c>
      <c r="B86" s="35">
        <v>1.25</v>
      </c>
      <c r="C86" s="35">
        <v>1.25</v>
      </c>
      <c r="D86" s="35"/>
      <c r="E86" s="35"/>
      <c r="F86" s="35"/>
      <c r="G86" s="35"/>
      <c r="H86" s="12">
        <f t="shared" si="3"/>
        <v>13.75</v>
      </c>
      <c r="I86" s="16">
        <f t="shared" si="4"/>
        <v>11.25</v>
      </c>
      <c r="J86" s="16">
        <f t="shared" si="5"/>
        <v>25</v>
      </c>
    </row>
    <row r="87" spans="1:10" s="1" customFormat="1" ht="16.5" customHeight="1">
      <c r="A87" s="36" t="s">
        <v>102</v>
      </c>
      <c r="B87" s="35"/>
      <c r="C87" s="35"/>
      <c r="D87" s="35"/>
      <c r="E87" s="35">
        <v>1</v>
      </c>
      <c r="F87" s="35"/>
      <c r="G87" s="35"/>
      <c r="H87" s="12">
        <f t="shared" si="3"/>
        <v>13.75</v>
      </c>
      <c r="I87" s="16">
        <f t="shared" si="4"/>
        <v>10.25</v>
      </c>
      <c r="J87" s="16">
        <f t="shared" si="5"/>
        <v>24</v>
      </c>
    </row>
    <row r="88" spans="1:10" s="1" customFormat="1" ht="16.5" customHeight="1">
      <c r="A88" s="36" t="s">
        <v>103</v>
      </c>
      <c r="B88" s="35"/>
      <c r="C88" s="35"/>
      <c r="D88" s="35"/>
      <c r="E88" s="35">
        <v>1</v>
      </c>
      <c r="F88" s="35"/>
      <c r="G88" s="35"/>
      <c r="H88" s="12">
        <f t="shared" si="3"/>
        <v>13.75</v>
      </c>
      <c r="I88" s="16">
        <f t="shared" si="4"/>
        <v>9.25</v>
      </c>
      <c r="J88" s="16">
        <f t="shared" si="5"/>
        <v>23</v>
      </c>
    </row>
    <row r="89" spans="1:10" s="1" customFormat="1" ht="16.5" customHeight="1">
      <c r="A89" s="34" t="s">
        <v>104</v>
      </c>
      <c r="B89" s="23">
        <v>1.25</v>
      </c>
      <c r="C89" s="23">
        <v>1.25</v>
      </c>
      <c r="D89" s="23"/>
      <c r="E89" s="23"/>
      <c r="F89" s="23"/>
      <c r="G89" s="23"/>
      <c r="H89" s="37">
        <f t="shared" si="3"/>
        <v>15</v>
      </c>
      <c r="I89" s="45">
        <f t="shared" si="4"/>
        <v>10.5</v>
      </c>
      <c r="J89" s="45">
        <f t="shared" si="5"/>
        <v>25.5</v>
      </c>
    </row>
    <row r="90" spans="1:10" s="1" customFormat="1" ht="16.5" customHeight="1">
      <c r="A90" s="34" t="s">
        <v>105</v>
      </c>
      <c r="B90" s="23"/>
      <c r="C90" s="23"/>
      <c r="D90" s="23"/>
      <c r="E90" s="23"/>
      <c r="F90" s="23"/>
      <c r="G90" s="147">
        <v>1</v>
      </c>
      <c r="H90" s="37">
        <f t="shared" si="3"/>
        <v>15</v>
      </c>
      <c r="I90" s="45">
        <f t="shared" si="4"/>
        <v>10.5</v>
      </c>
      <c r="J90" s="45">
        <f t="shared" si="5"/>
        <v>25.5</v>
      </c>
    </row>
    <row r="91" spans="1:10" s="1" customFormat="1" ht="16.5" customHeight="1">
      <c r="A91" s="34" t="s">
        <v>106</v>
      </c>
      <c r="B91" s="23">
        <v>3.75</v>
      </c>
      <c r="C91" s="23">
        <v>3.75</v>
      </c>
      <c r="D91" s="23"/>
      <c r="E91" s="23"/>
      <c r="F91" s="23"/>
      <c r="G91" s="23"/>
      <c r="H91" s="37">
        <f t="shared" si="3"/>
        <v>18.75</v>
      </c>
      <c r="I91" s="45">
        <f t="shared" si="4"/>
        <v>14.25</v>
      </c>
      <c r="J91" s="45">
        <f t="shared" si="5"/>
        <v>33</v>
      </c>
    </row>
    <row r="92" spans="1:10" s="1" customFormat="1" ht="16.5" customHeight="1">
      <c r="A92" s="34" t="s">
        <v>107</v>
      </c>
      <c r="B92" s="23"/>
      <c r="C92" s="23"/>
      <c r="D92" s="23"/>
      <c r="E92" s="23"/>
      <c r="F92" s="23"/>
      <c r="G92" s="147">
        <v>1</v>
      </c>
      <c r="H92" s="37">
        <f t="shared" si="3"/>
        <v>18.75</v>
      </c>
      <c r="I92" s="45">
        <f t="shared" si="4"/>
        <v>14.25</v>
      </c>
      <c r="J92" s="45">
        <f t="shared" si="5"/>
        <v>33</v>
      </c>
    </row>
    <row r="93" spans="1:10" s="1" customFormat="1" ht="16.5" customHeight="1">
      <c r="A93" s="34" t="s">
        <v>108</v>
      </c>
      <c r="B93" s="23">
        <v>1.25</v>
      </c>
      <c r="C93" s="23">
        <v>1.25</v>
      </c>
      <c r="D93" s="23"/>
      <c r="E93" s="23"/>
      <c r="F93" s="23"/>
      <c r="G93" s="23"/>
      <c r="H93" s="37">
        <f t="shared" si="3"/>
        <v>20</v>
      </c>
      <c r="I93" s="45">
        <f t="shared" si="4"/>
        <v>15.5</v>
      </c>
      <c r="J93" s="45">
        <f t="shared" si="5"/>
        <v>35.5</v>
      </c>
    </row>
    <row r="94" spans="1:10" s="1" customFormat="1" ht="16.5" customHeight="1">
      <c r="A94" s="34" t="s">
        <v>109</v>
      </c>
      <c r="B94" s="23"/>
      <c r="C94" s="23"/>
      <c r="D94" s="23"/>
      <c r="E94" s="23">
        <v>1</v>
      </c>
      <c r="F94" s="23"/>
      <c r="G94" s="23"/>
      <c r="H94" s="37">
        <f t="shared" si="3"/>
        <v>20</v>
      </c>
      <c r="I94" s="45">
        <f t="shared" si="4"/>
        <v>14.5</v>
      </c>
      <c r="J94" s="45">
        <f t="shared" si="5"/>
        <v>34.5</v>
      </c>
    </row>
    <row r="95" spans="1:10" s="1" customFormat="1" ht="16.5" customHeight="1">
      <c r="A95" s="34" t="s">
        <v>110</v>
      </c>
      <c r="B95" s="23">
        <v>2.5</v>
      </c>
      <c r="C95" s="23">
        <v>2.5</v>
      </c>
      <c r="D95" s="23"/>
      <c r="E95" s="23"/>
      <c r="F95" s="23"/>
      <c r="G95" s="23"/>
      <c r="H95" s="37">
        <f t="shared" si="3"/>
        <v>22.5</v>
      </c>
      <c r="I95" s="45">
        <f t="shared" si="4"/>
        <v>17</v>
      </c>
      <c r="J95" s="45">
        <f t="shared" si="5"/>
        <v>39.5</v>
      </c>
    </row>
    <row r="96" spans="1:10" s="1" customFormat="1" ht="16.5" customHeight="1">
      <c r="A96" s="34" t="s">
        <v>111</v>
      </c>
      <c r="B96" s="23"/>
      <c r="C96" s="23"/>
      <c r="D96" s="23">
        <v>19</v>
      </c>
      <c r="E96" s="23"/>
      <c r="F96" s="23"/>
      <c r="G96" s="23"/>
      <c r="H96" s="37">
        <f t="shared" si="3"/>
        <v>3.5</v>
      </c>
      <c r="I96" s="45">
        <f t="shared" si="4"/>
        <v>17</v>
      </c>
      <c r="J96" s="45">
        <f t="shared" si="5"/>
        <v>20.5</v>
      </c>
    </row>
    <row r="97" spans="1:11" s="1" customFormat="1" ht="16.5" customHeight="1">
      <c r="A97" s="34" t="s">
        <v>112</v>
      </c>
      <c r="B97" s="23">
        <v>3.75</v>
      </c>
      <c r="C97" s="23">
        <v>3.75</v>
      </c>
      <c r="D97" s="23"/>
      <c r="E97" s="23"/>
      <c r="F97" s="23"/>
      <c r="G97" s="23"/>
      <c r="H97" s="37">
        <f t="shared" si="3"/>
        <v>7.25</v>
      </c>
      <c r="I97" s="45">
        <f t="shared" si="4"/>
        <v>20.75</v>
      </c>
      <c r="J97" s="45">
        <f t="shared" ref="J97:J98" si="6">SUM(H97:I97)</f>
        <v>28</v>
      </c>
    </row>
    <row r="98" spans="1:11" s="1" customFormat="1" ht="16.5" customHeight="1">
      <c r="A98" s="34" t="s">
        <v>113</v>
      </c>
      <c r="B98" s="23"/>
      <c r="C98" s="23"/>
      <c r="D98" s="23"/>
      <c r="E98" s="23"/>
      <c r="F98" s="23"/>
      <c r="G98" s="147">
        <v>1</v>
      </c>
      <c r="H98" s="37">
        <f t="shared" si="3"/>
        <v>7.25</v>
      </c>
      <c r="I98" s="45">
        <f t="shared" si="4"/>
        <v>20.75</v>
      </c>
      <c r="J98" s="45">
        <f t="shared" si="6"/>
        <v>28</v>
      </c>
    </row>
    <row r="99" spans="1:11" s="1" customFormat="1" ht="16.5" customHeight="1">
      <c r="A99" s="34" t="s">
        <v>114</v>
      </c>
      <c r="B99" s="23"/>
      <c r="C99" s="23"/>
      <c r="D99" s="23"/>
      <c r="E99" s="23"/>
      <c r="F99" s="38">
        <v>1</v>
      </c>
      <c r="G99" s="23"/>
      <c r="H99" s="37">
        <f t="shared" ref="H99:H103" si="7">H98-F99-D99+B99</f>
        <v>6.25</v>
      </c>
      <c r="I99" s="45">
        <f t="shared" ref="I99:I103" si="8">I98-E99+C99</f>
        <v>20.75</v>
      </c>
      <c r="J99" s="45">
        <f t="shared" ref="J99:J103" si="9">SUM(H99:I99)</f>
        <v>27</v>
      </c>
    </row>
    <row r="100" spans="1:11" s="1" customFormat="1" ht="16.5" customHeight="1">
      <c r="A100" s="34" t="s">
        <v>115</v>
      </c>
      <c r="B100" s="23"/>
      <c r="C100" s="23"/>
      <c r="D100" s="23"/>
      <c r="E100" s="23"/>
      <c r="F100" s="38">
        <v>1</v>
      </c>
      <c r="G100" s="23"/>
      <c r="H100" s="37">
        <f t="shared" si="7"/>
        <v>5.25</v>
      </c>
      <c r="I100" s="45">
        <f t="shared" si="8"/>
        <v>20.75</v>
      </c>
      <c r="J100" s="45">
        <f t="shared" si="9"/>
        <v>26</v>
      </c>
    </row>
    <row r="101" spans="1:11" s="1" customFormat="1" ht="16.5" customHeight="1">
      <c r="A101" s="34" t="s">
        <v>116</v>
      </c>
      <c r="B101" s="23"/>
      <c r="C101" s="23"/>
      <c r="D101" s="23"/>
      <c r="E101" s="23"/>
      <c r="F101" s="38">
        <v>3</v>
      </c>
      <c r="G101" s="23"/>
      <c r="H101" s="37">
        <f t="shared" si="7"/>
        <v>2.25</v>
      </c>
      <c r="I101" s="45">
        <f t="shared" si="8"/>
        <v>20.75</v>
      </c>
      <c r="J101" s="45">
        <f t="shared" si="9"/>
        <v>23</v>
      </c>
    </row>
    <row r="102" spans="1:11" s="1" customFormat="1" ht="33" customHeight="1">
      <c r="A102" s="34" t="s">
        <v>246</v>
      </c>
      <c r="B102" s="23">
        <v>1</v>
      </c>
      <c r="C102" s="23"/>
      <c r="D102" s="23"/>
      <c r="E102" s="23"/>
      <c r="F102" s="23"/>
      <c r="G102" s="23"/>
      <c r="H102" s="37">
        <f t="shared" si="7"/>
        <v>3.25</v>
      </c>
      <c r="I102" s="45">
        <f t="shared" si="8"/>
        <v>20.75</v>
      </c>
      <c r="J102" s="45">
        <f t="shared" si="9"/>
        <v>24</v>
      </c>
    </row>
    <row r="103" spans="1:11" s="1" customFormat="1" ht="33" customHeight="1">
      <c r="A103" s="34" t="s">
        <v>247</v>
      </c>
      <c r="B103" s="23">
        <v>1</v>
      </c>
      <c r="C103" s="23"/>
      <c r="D103" s="23"/>
      <c r="E103" s="23"/>
      <c r="F103" s="23"/>
      <c r="G103" s="23"/>
      <c r="H103" s="37">
        <f t="shared" si="7"/>
        <v>4.25</v>
      </c>
      <c r="I103" s="45">
        <f t="shared" si="8"/>
        <v>20.75</v>
      </c>
      <c r="J103" s="45">
        <f t="shared" si="9"/>
        <v>25</v>
      </c>
    </row>
    <row r="104" spans="1:11" s="1" customFormat="1" ht="16.5" customHeight="1">
      <c r="A104" s="39"/>
      <c r="B104" s="40"/>
      <c r="C104" s="40"/>
      <c r="D104" s="40"/>
      <c r="E104" s="40"/>
      <c r="F104" s="40"/>
      <c r="G104" s="41"/>
      <c r="H104" s="42"/>
      <c r="I104" s="42"/>
      <c r="J104" s="46"/>
    </row>
    <row r="105" spans="1:11" s="3" customFormat="1" ht="15" customHeight="1">
      <c r="G105" s="3" t="s">
        <v>170</v>
      </c>
      <c r="H105" s="42"/>
      <c r="I105" s="42"/>
      <c r="J105" s="42"/>
    </row>
    <row r="106" spans="1:11" s="3" customFormat="1" ht="15" customHeight="1"/>
    <row r="107" spans="1:11" s="3" customFormat="1" ht="15" customHeight="1">
      <c r="G107" s="43"/>
      <c r="H107" s="44" t="s">
        <v>171</v>
      </c>
    </row>
    <row r="108" spans="1:11" s="3" customFormat="1" ht="15" customHeight="1">
      <c r="H108" s="5" t="s">
        <v>172</v>
      </c>
    </row>
    <row r="109" spans="1:11" ht="15" customHeight="1">
      <c r="B109" s="1"/>
      <c r="C109" s="1"/>
      <c r="D109" s="1"/>
      <c r="E109" s="1"/>
      <c r="F109" s="1"/>
      <c r="H109" s="5" t="s">
        <v>173</v>
      </c>
      <c r="I109" s="1"/>
      <c r="J109" s="1"/>
      <c r="K109" s="1"/>
    </row>
    <row r="110" spans="1:11" ht="15.95" customHeight="1"/>
    <row r="111" spans="1:11" ht="15.95" customHeight="1"/>
    <row r="112" spans="1:11" ht="15.95" customHeight="1"/>
    <row r="113" ht="15.95" customHeight="1"/>
  </sheetData>
  <mergeCells count="12">
    <mergeCell ref="B9:C9"/>
    <mergeCell ref="A10:J10"/>
    <mergeCell ref="B11:C11"/>
    <mergeCell ref="D11:G11"/>
    <mergeCell ref="H11:I11"/>
    <mergeCell ref="A11:A12"/>
    <mergeCell ref="J11:J12"/>
    <mergeCell ref="A2:J2"/>
    <mergeCell ref="A3:J3"/>
    <mergeCell ref="A4:J4"/>
    <mergeCell ref="A5:J5"/>
    <mergeCell ref="B7:C7"/>
  </mergeCells>
  <printOptions horizontalCentered="1"/>
  <pageMargins left="0.25" right="0.25" top="0.25" bottom="0.25" header="0.3" footer="0.3"/>
  <pageSetup paperSize="9" scale="68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2021-10-07T06:10:00Z</dcterms:created>
  <dcterms:modified xsi:type="dcterms:W3CDTF">2026-01-23T05:51:26Z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BCA8EC8D2FE1409F925B2C9EFFAABAE0_12</vt:lpwstr>
  </property>
  <property fmtid="{D5CDD505-2E9C-101B-9397-08002B2CF9AE}" pid="3" name="KSOProductBuildVer">
    <vt:lpwstr>1033-12.2.0.23196</vt:lpwstr>
  </property>
</Properties>
</file>