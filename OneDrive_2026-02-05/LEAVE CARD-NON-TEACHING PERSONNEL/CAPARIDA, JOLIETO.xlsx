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as TIC" sheetId="3" r:id="rId1"/>
    <sheet name="Election &amp; NLC" sheetId="4" r:id="rId2"/>
    <sheet name="Sheet1" sheetId="1" r:id="rId3"/>
  </sheets>
  <definedNames>
    <definedName name="_xlnm.Print_Area" localSheetId="1">'Election &amp; NLC'!$A$1:$G$22</definedName>
    <definedName name="_xlnm.Print_Area" localSheetId="0">'Leave Card as TIC'!$A$1:$J$26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<sst xmlns="http://schemas.openxmlformats.org/spreadsheetml/2006/main" count="82" uniqueCount="61">
  <si>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</si>
  <si>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</si>
  <si>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</si>
  <si>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</si>
  <si>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</si>
  <si>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</si>
  <si>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</si>
  <si>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</si>
  <si>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</si>
  <si>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</si>
  <si>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</si>
  <si>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</si>
  <si>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</si>
  <si>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</si>
  <si>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</si>
  <si>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</si>
  <si>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</si>
  <si>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</si>
  <si>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</si>
  <si>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</si>
  <si>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</si>
  <si>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DESIGNATED AS TIC (NON-TEACHING): EFFECTIVE JANUARY 07, 2025</t>
  </si>
  <si>
    <r>
      <rPr>
        <sz val="11"/>
        <color theme="1"/>
        <rFont val="Calibri"/>
        <charset val="134"/>
        <scheme val="minor"/>
      </rPr>
      <t xml:space="preserve">ADD:  UNUSED VSC  </t>
    </r>
    <r>
      <rPr>
        <b/>
        <sz val="11"/>
        <color theme="1"/>
        <rFont val="Calibri"/>
        <charset val="134"/>
        <scheme val="minor"/>
      </rPr>
      <t>(20 DAYS)</t>
    </r>
    <r>
      <rPr>
        <sz val="11"/>
        <color theme="1"/>
        <rFont val="Calibri"/>
        <charset val="134"/>
        <scheme val="minor"/>
      </rPr>
      <t xml:space="preserve"> FORMULA: 30Y/69/2</t>
    </r>
  </si>
  <si>
    <t>ADD: 01/7-31/2025</t>
  </si>
  <si>
    <t>ADD: 02/1/2025-10/31/2025</t>
  </si>
  <si>
    <t>LESS: 11/28/2025</t>
  </si>
  <si>
    <t>ADD: 11/1-30/2025</t>
  </si>
  <si>
    <t>LESS: 12/22,23,26/2025</t>
  </si>
  <si>
    <t>DATE DILED: DEC 15-18,2025</t>
  </si>
  <si>
    <t xml:space="preserve">  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</si>
  <si>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CAPARIDA, JOLIETO C.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</si>
  <si>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</si>
  <si>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</si>
  <si>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</si>
  <si>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</si>
  <si>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</si>
  <si>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</si>
  <si>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</si>
  <si>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</si>
  <si>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</si>
  <si>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</si>
  <si>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No. of Days Granted</t>
  </si>
  <si>
    <t>No. of Days Used</t>
  </si>
  <si>
    <t>Balance</t>
  </si>
  <si>
    <t>COMELEC CERTIFICATION</t>
  </si>
  <si>
    <t>OCTOBER 30, 2023 BRGY. &amp; SK  ELECTION</t>
  </si>
  <si>
    <t>SO # 137, S. 2023</t>
  </si>
  <si>
    <t>OCT. 17, 2023</t>
  </si>
  <si>
    <t>NATIONAL LEARNING CAMP 2023</t>
  </si>
  <si>
    <t>NAME         :PAGONZAGA, JAPETH N.</t>
  </si>
  <si>
    <t>DISTRICT             : _______________________</t>
  </si>
  <si>
    <t>EMPLOYEE NO   : __________</t>
  </si>
  <si>
    <t>STATION CODE   : __________</t>
  </si>
  <si>
    <t xml:space="preserve">POSITION   : </t>
  </si>
  <si>
    <t>DIVISION CODE   : __________</t>
  </si>
  <si>
    <t>COMPENSATORY TIME OFF (CTO)</t>
  </si>
  <si>
    <t>Special Order No. and Date Issued</t>
  </si>
  <si>
    <t>NOTE:  Valid for one (1) year only</t>
  </si>
  <si>
    <t>MA. LUISA B. CATIGAN</t>
  </si>
  <si>
    <t>Administrative Officer IV</t>
  </si>
  <si>
    <t xml:space="preserve">               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</si>
</sst>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4" borderId="2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5" borderId="31" applyNumberFormat="0" applyAlignment="0" applyProtection="0">
      <alignment vertical="center"/>
    </xf>
    <xf numFmtId="0" fontId="28" fillId="16" borderId="32" applyNumberFormat="0" applyAlignment="0" applyProtection="0">
      <alignment vertical="center"/>
    </xf>
    <xf numFmtId="0" fontId="29" fillId="16" borderId="31" applyNumberFormat="0" applyAlignment="0" applyProtection="0">
      <alignment vertical="center"/>
    </xf>
    <xf numFmtId="0" fontId="30" fillId="17" borderId="33" applyNumberFormat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2" fillId="0" borderId="35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2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" fillId="5" borderId="0" xfId="0" applyFont="1" applyFill="1" applyAlignment="1">
      <alignment horizontal="left"/>
    </xf>
    <xf numFmtId="0" fontId="4" fillId="6" borderId="7" xfId="0" applyFont="1" applyFill="1" applyBorder="1" applyAlignment="1">
      <alignment horizontal="center" vertical="center"/>
    </xf>
    <xf numFmtId="0" fontId="10" fillId="0" borderId="0" xfId="0" applyFont="1"/>
    <xf numFmtId="0" fontId="4" fillId="6" borderId="8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7" fillId="0" borderId="0" xfId="0" applyFont="1"/>
    <xf numFmtId="0" fontId="0" fillId="5" borderId="0" xfId="49" applyFill="1"/>
    <xf numFmtId="0" fontId="10" fillId="0" borderId="0" xfId="49" applyFont="1"/>
    <xf numFmtId="0" fontId="10" fillId="0" borderId="0" xfId="50" applyFont="1"/>
    <xf numFmtId="0" fontId="7" fillId="0" borderId="0" xfId="49" applyFont="1"/>
    <xf numFmtId="0" fontId="0" fillId="0" borderId="0" xfId="49"/>
    <xf numFmtId="0" fontId="0" fillId="2" borderId="0" xfId="49" applyFill="1"/>
    <xf numFmtId="0" fontId="0" fillId="3" borderId="0" xfId="49" applyFill="1"/>
    <xf numFmtId="0" fontId="0" fillId="5" borderId="0" xfId="49" applyFill="1" applyAlignment="1">
      <alignment horizontal="center"/>
    </xf>
    <xf numFmtId="0" fontId="1" fillId="5" borderId="0" xfId="49" applyFont="1" applyFill="1" applyAlignment="1">
      <alignment horizontal="center" vertical="center"/>
    </xf>
    <xf numFmtId="0" fontId="11" fillId="5" borderId="0" xfId="49" applyFont="1" applyFill="1" applyAlignment="1">
      <alignment vertical="center"/>
    </xf>
    <xf numFmtId="0" fontId="1" fillId="5" borderId="0" xfId="49" applyFont="1" applyFill="1" applyAlignment="1">
      <alignment horizontal="left" vertical="center"/>
    </xf>
    <xf numFmtId="0" fontId="1" fillId="5" borderId="0" xfId="49" applyFont="1" applyFill="1" applyAlignment="1">
      <alignment vertical="center"/>
    </xf>
    <xf numFmtId="0" fontId="12" fillId="5" borderId="0" xfId="49" applyFont="1" applyFill="1"/>
    <xf numFmtId="0" fontId="1" fillId="5" borderId="0" xfId="49" applyFont="1" applyFill="1"/>
    <xf numFmtId="0" fontId="1" fillId="5" borderId="0" xfId="49" applyFont="1" applyFill="1" applyAlignment="1">
      <alignment horizontal="left"/>
    </xf>
    <xf numFmtId="0" fontId="3" fillId="5" borderId="9" xfId="49" applyFont="1" applyFill="1" applyBorder="1" applyAlignment="1">
      <alignment horizontal="center" vertical="center"/>
    </xf>
    <xf numFmtId="0" fontId="3" fillId="5" borderId="10" xfId="49" applyFont="1" applyFill="1" applyBorder="1" applyAlignment="1">
      <alignment horizontal="center" vertical="center"/>
    </xf>
    <xf numFmtId="0" fontId="3" fillId="5" borderId="11" xfId="49" applyFont="1" applyFill="1" applyBorder="1" applyAlignment="1">
      <alignment horizontal="center" vertical="center"/>
    </xf>
    <xf numFmtId="0" fontId="4" fillId="6" borderId="9" xfId="49" applyFont="1" applyFill="1" applyBorder="1" applyAlignment="1">
      <alignment horizontal="center" vertical="center" wrapText="1"/>
    </xf>
    <xf numFmtId="0" fontId="4" fillId="6" borderId="9" xfId="49" applyFont="1" applyFill="1" applyBorder="1" applyAlignment="1">
      <alignment horizontal="center" vertical="center"/>
    </xf>
    <xf numFmtId="0" fontId="5" fillId="8" borderId="12" xfId="49" applyFont="1" applyFill="1" applyBorder="1" applyAlignment="1">
      <alignment horizontal="center" vertical="center" wrapText="1"/>
    </xf>
    <xf numFmtId="0" fontId="5" fillId="8" borderId="13" xfId="49" applyFont="1" applyFill="1" applyBorder="1" applyAlignment="1">
      <alignment horizontal="center" vertical="center" wrapText="1"/>
    </xf>
    <xf numFmtId="0" fontId="4" fillId="6" borderId="14" xfId="49" applyFont="1" applyFill="1" applyBorder="1" applyAlignment="1">
      <alignment horizontal="center" vertical="center"/>
    </xf>
    <xf numFmtId="0" fontId="0" fillId="0" borderId="15" xfId="51" applyFont="1" applyBorder="1" applyAlignment="1">
      <alignment horizontal="center" vertical="center" wrapText="1"/>
    </xf>
    <xf numFmtId="0" fontId="0" fillId="0" borderId="8" xfId="51" applyFont="1" applyBorder="1" applyAlignment="1">
      <alignment horizontal="center" vertical="center"/>
    </xf>
    <xf numFmtId="0" fontId="5" fillId="0" borderId="6" xfId="51" applyFont="1" applyBorder="1" applyAlignment="1">
      <alignment vertical="center" wrapText="1"/>
    </xf>
    <xf numFmtId="0" fontId="5" fillId="0" borderId="6" xfId="51" applyFont="1" applyBorder="1" applyAlignment="1">
      <alignment horizontal="center" vertical="center" wrapText="1"/>
    </xf>
    <xf numFmtId="0" fontId="13" fillId="0" borderId="4" xfId="50" applyFont="1" applyBorder="1" applyAlignment="1">
      <alignment horizontal="center" vertical="center" wrapText="1"/>
    </xf>
    <xf numFmtId="0" fontId="11" fillId="0" borderId="16" xfId="50" applyFont="1" applyBorder="1" applyAlignment="1">
      <alignment horizontal="center" vertical="center" wrapText="1"/>
    </xf>
    <xf numFmtId="0" fontId="0" fillId="5" borderId="15" xfId="51" applyFont="1" applyFill="1" applyBorder="1" applyAlignment="1">
      <alignment horizontal="center" vertical="center" wrapText="1"/>
    </xf>
    <xf numFmtId="0" fontId="0" fillId="5" borderId="8" xfId="51" applyFont="1" applyFill="1" applyBorder="1" applyAlignment="1">
      <alignment horizontal="center" vertical="center"/>
    </xf>
    <xf numFmtId="0" fontId="5" fillId="5" borderId="6" xfId="51" applyFont="1" applyFill="1" applyBorder="1" applyAlignment="1">
      <alignment vertical="center" wrapText="1"/>
    </xf>
    <xf numFmtId="0" fontId="5" fillId="5" borderId="6" xfId="51" applyFont="1" applyFill="1" applyBorder="1" applyAlignment="1">
      <alignment horizontal="center" vertical="center" wrapText="1"/>
    </xf>
    <xf numFmtId="0" fontId="13" fillId="5" borderId="4" xfId="49" applyFont="1" applyFill="1" applyBorder="1" applyAlignment="1">
      <alignment horizontal="center" vertical="center" wrapText="1"/>
    </xf>
    <xf numFmtId="0" fontId="11" fillId="5" borderId="16" xfId="49" applyFont="1" applyFill="1" applyBorder="1" applyAlignment="1">
      <alignment horizontal="center" vertical="center" wrapText="1"/>
    </xf>
    <xf numFmtId="0" fontId="13" fillId="5" borderId="4" xfId="50" applyFont="1" applyFill="1" applyBorder="1" applyAlignment="1">
      <alignment horizontal="center" vertical="center" wrapText="1"/>
    </xf>
    <xf numFmtId="0" fontId="11" fillId="5" borderId="16" xfId="50" applyFont="1" applyFill="1" applyBorder="1" applyAlignment="1">
      <alignment horizontal="center" vertical="center" wrapText="1"/>
    </xf>
    <xf numFmtId="0" fontId="0" fillId="5" borderId="6" xfId="51" applyFont="1" applyFill="1" applyBorder="1" applyAlignment="1">
      <alignment horizontal="center" vertical="center" wrapText="1"/>
    </xf>
    <xf numFmtId="0" fontId="13" fillId="5" borderId="2" xfId="49" applyFont="1" applyFill="1" applyBorder="1" applyAlignment="1">
      <alignment horizontal="center" vertical="center" wrapText="1"/>
    </xf>
    <xf numFmtId="0" fontId="11" fillId="5" borderId="17" xfId="49" applyFont="1" applyFill="1" applyBorder="1" applyAlignment="1">
      <alignment horizontal="center" vertical="center" wrapText="1"/>
    </xf>
    <xf numFmtId="0" fontId="11" fillId="5" borderId="18" xfId="49" applyFont="1" applyFill="1" applyBorder="1" applyAlignment="1">
      <alignment horizontal="right" vertical="center" wrapText="1"/>
    </xf>
    <xf numFmtId="0" fontId="11" fillId="5" borderId="3" xfId="49" applyFont="1" applyFill="1" applyBorder="1" applyAlignment="1">
      <alignment horizontal="right" vertical="center" wrapText="1"/>
    </xf>
    <xf numFmtId="0" fontId="11" fillId="5" borderId="5" xfId="49" applyFont="1" applyFill="1" applyBorder="1" applyAlignment="1">
      <alignment horizontal="right" vertical="center" wrapText="1"/>
    </xf>
    <xf numFmtId="0" fontId="14" fillId="5" borderId="17" xfId="49" applyFont="1" applyFill="1" applyBorder="1" applyAlignment="1">
      <alignment horizontal="center" vertical="center" wrapText="1"/>
    </xf>
    <xf numFmtId="0" fontId="7" fillId="5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/>
    <xf numFmtId="0" fontId="3" fillId="5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11" borderId="21" xfId="0" applyFont="1" applyFill="1" applyBorder="1" applyAlignment="1">
      <alignment horizontal="center" vertical="center"/>
    </xf>
    <xf numFmtId="0" fontId="1" fillId="11" borderId="22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left" vertical="center"/>
    </xf>
    <xf numFmtId="0" fontId="1" fillId="9" borderId="10" xfId="0" applyFont="1" applyFill="1" applyBorder="1" applyAlignment="1">
      <alignment horizontal="left" vertical="center"/>
    </xf>
    <xf numFmtId="0" fontId="0" fillId="5" borderId="25" xfId="0" applyFill="1" applyBorder="1" applyAlignment="1">
      <alignment horizontal="center" vertical="center" wrapText="1"/>
    </xf>
    <xf numFmtId="176" fontId="0" fillId="5" borderId="8" xfId="0" applyNumberFormat="1" applyFill="1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vertical="center"/>
    </xf>
    <xf numFmtId="0" fontId="1" fillId="12" borderId="22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176" fontId="0" fillId="5" borderId="16" xfId="0" applyNumberFormat="1" applyFill="1" applyBorder="1" applyAlignment="1">
      <alignment horizontal="center" vertical="center"/>
    </xf>
    <xf numFmtId="176" fontId="0" fillId="5" borderId="17" xfId="0" applyNumberFormat="1" applyFill="1" applyBorder="1" applyAlignment="1">
      <alignment horizontal="center" vertical="center"/>
    </xf>
    <xf numFmtId="0" fontId="17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CAPARIDA, JOLIETO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T-III/TEACHER-IN-CHARGE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CAMBOGUI-OT NHS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20</xdr:row>
      <xdr:rowOff>53914</xdr:rowOff>
    </xdr:from>
    <xdr:to>
      <xdr:col>9</xdr:col>
      <xdr:colOff>672043</xdr:colOff>
      <xdr:row>25</xdr:row>
      <xdr:rowOff>170731</xdr:rowOff>
    </xdr:to>
    <xdr:sp>
      <xdr:nvSpPr>
        <xdr:cNvPr id="6" name="TextBox 5"/>
        <xdr:cNvSpPr txBox="1"/>
      </xdr:nvSpPr>
      <xdr:spPr>
        <a:xfrm>
          <a:off x="6030595" y="456438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639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>
      <xdr:nvSpPr>
        <xdr:cNvPr id="3" name="TextBox 2"/>
        <xdr:cNvSpPr txBox="1"/>
      </xdr:nvSpPr>
      <xdr:spPr>
        <a:xfrm>
          <a:off x="76200" y="5023485"/>
          <a:ext cx="379539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  <a:endParaRPr lang="en-US" sz="1100" baseline="0"/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>
      <xdr:nvSpPr>
        <xdr:cNvPr id="4" name="TextBox 3"/>
        <xdr:cNvSpPr txBox="1"/>
      </xdr:nvSpPr>
      <xdr:spPr>
        <a:xfrm>
          <a:off x="5386070" y="5050155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821410</xdr:colOff>
      <xdr:row>3</xdr:row>
      <xdr:rowOff>123825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571500" cy="643890"/>
        </a:xfrm>
        <a:prstGeom prst="rect">
          <a:avLst/>
        </a:prstGeom>
        <a:noFill/>
      </xdr:spPr>
    </xdr:pic>
    <xdr:clientData/>
  </xdr:twoCellAnchor>
  <xdr:twoCellAnchor>
    <xdr:from>
      <xdr:col>5</xdr:col>
      <xdr:colOff>628650</xdr:colOff>
      <xdr:row>33</xdr:row>
      <xdr:rowOff>95250</xdr:rowOff>
    </xdr:from>
    <xdr:to>
      <xdr:col>10</xdr:col>
      <xdr:colOff>295275</xdr:colOff>
      <xdr:row>34</xdr:row>
      <xdr:rowOff>95250</xdr:rowOff>
    </xdr:to>
    <xdr:sp>
      <xdr:nvSpPr>
        <xdr:cNvPr id="3" name="TextBox 2"/>
        <xdr:cNvSpPr txBox="1"/>
      </xdr:nvSpPr>
      <xdr:spPr>
        <a:xfrm>
          <a:off x="5810885" y="7860030"/>
          <a:ext cx="3173095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37807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4"/>
  <sheetViews>
    <sheetView tabSelected="1" view="pageBreakPreview" zoomScale="106" zoomScaleNormal="100" workbookViewId="0">
      <selection activeCell="A18" sqref="A18"/>
    </sheetView>
  </sheetViews>
  <sheetFormatPr defaultColWidth="9" defaultRowHeight="14.4"/>
  <cols>
    <col min="1" max="1" width="36.5740740740741" customWidth="1"/>
    <col min="2" max="5" width="11.5740740740741" customWidth="1"/>
    <col min="6" max="7" width="11.5740740740741" style="87" customWidth="1"/>
    <col min="8" max="10" width="11.5740740740741" customWidth="1"/>
    <col min="11" max="11" width="26.4259259259259" style="88" customWidth="1"/>
  </cols>
  <sheetData>
    <row r="1" s="5" customFormat="1" ht="52.5" customHeight="1"/>
    <row r="2" s="5" customFormat="1" ht="10.5" customHeight="1" spans="1:10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="5" customFormat="1" ht="15.95" customHeight="1" spans="1:10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</row>
    <row r="4" s="5" customFormat="1" ht="15.95" customHeight="1" spans="1:10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</row>
    <row r="5" s="5" customFormat="1" ht="15.95" customHeight="1" spans="1:10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</row>
    <row r="6" s="5" customFormat="1" ht="8.25" customHeight="1"/>
    <row r="7" s="5" customFormat="1" ht="12" customHeight="1" spans="1:10">
      <c r="A7" s="5" t="s">
        <v>4</v>
      </c>
      <c r="B7" s="12" t="s">
        <v>5</v>
      </c>
      <c r="C7" s="12"/>
      <c r="D7" s="12"/>
      <c r="H7" s="11" t="s">
        <v>6</v>
      </c>
      <c r="I7" s="116"/>
      <c r="J7" s="11"/>
    </row>
    <row r="8" s="5" customFormat="1" ht="12" customHeight="1" spans="2:10">
      <c r="B8" s="13"/>
      <c r="C8" s="13"/>
      <c r="H8" s="13"/>
      <c r="I8" s="13"/>
      <c r="J8" s="13"/>
    </row>
    <row r="9" s="5" customFormat="1" ht="12" customHeight="1" spans="1:10">
      <c r="A9" s="5" t="s">
        <v>7</v>
      </c>
      <c r="B9" s="12" t="s">
        <v>8</v>
      </c>
      <c r="C9" s="12"/>
      <c r="D9" s="12"/>
      <c r="H9" s="11" t="s">
        <v>9</v>
      </c>
      <c r="I9" s="117"/>
      <c r="J9" s="11"/>
    </row>
    <row r="10" ht="23.25" customHeight="1" spans="1:11">
      <c r="A10" s="89" t="s">
        <v>10</v>
      </c>
      <c r="B10" s="89"/>
      <c r="C10" s="89"/>
      <c r="D10" s="89"/>
      <c r="E10" s="89"/>
      <c r="F10" s="89"/>
      <c r="G10" s="89"/>
      <c r="H10" s="89"/>
      <c r="I10" s="89"/>
      <c r="J10" s="89"/>
      <c r="K10"/>
    </row>
    <row r="11" ht="18.75" customHeight="1" spans="1:11">
      <c r="A11" s="90" t="s">
        <v>11</v>
      </c>
      <c r="B11" s="91" t="s">
        <v>12</v>
      </c>
      <c r="C11" s="92"/>
      <c r="D11" s="93" t="s">
        <v>13</v>
      </c>
      <c r="E11" s="94"/>
      <c r="F11" s="94"/>
      <c r="G11" s="95"/>
      <c r="H11" s="96" t="s">
        <v>14</v>
      </c>
      <c r="I11" s="118"/>
      <c r="J11" s="119" t="s">
        <v>15</v>
      </c>
      <c r="K11" s="120" t="s">
        <v>16</v>
      </c>
    </row>
    <row r="12" ht="15.15" spans="1:11">
      <c r="A12" s="97"/>
      <c r="B12" s="98" t="s">
        <v>17</v>
      </c>
      <c r="C12" s="98" t="s">
        <v>18</v>
      </c>
      <c r="D12" s="98" t="s">
        <v>17</v>
      </c>
      <c r="E12" s="98" t="s">
        <v>18</v>
      </c>
      <c r="F12" s="98" t="s">
        <v>19</v>
      </c>
      <c r="G12" s="98" t="s">
        <v>20</v>
      </c>
      <c r="H12" s="98" t="s">
        <v>17</v>
      </c>
      <c r="I12" s="98" t="s">
        <v>18</v>
      </c>
      <c r="J12" s="121"/>
      <c r="K12" s="120"/>
    </row>
    <row r="13" ht="15.15" spans="1:11">
      <c r="A13" s="99" t="s">
        <v>21</v>
      </c>
      <c r="B13" s="100"/>
      <c r="C13" s="100"/>
      <c r="D13" s="100"/>
      <c r="E13" s="100"/>
      <c r="F13" s="100"/>
      <c r="G13" s="100"/>
      <c r="H13" s="100"/>
      <c r="I13" s="100"/>
      <c r="J13" s="122"/>
      <c r="K13" s="123"/>
    </row>
    <row r="14" ht="31.5" customHeight="1" spans="1:10">
      <c r="A14" s="101" t="s">
        <v>22</v>
      </c>
      <c r="B14" s="102">
        <v>4.347</v>
      </c>
      <c r="C14" s="103">
        <v>4.347</v>
      </c>
      <c r="D14" s="104"/>
      <c r="E14" s="105"/>
      <c r="F14" s="105"/>
      <c r="G14" s="105"/>
      <c r="H14" s="102">
        <f>B14</f>
        <v>4.347</v>
      </c>
      <c r="I14" s="102">
        <f>C14</f>
        <v>4.347</v>
      </c>
      <c r="J14" s="124">
        <f>SUM(H14:I14)</f>
        <v>8.694</v>
      </c>
    </row>
    <row r="15" ht="17.25" customHeight="1" spans="1:10">
      <c r="A15" s="101" t="s">
        <v>23</v>
      </c>
      <c r="B15" s="105">
        <v>1.042</v>
      </c>
      <c r="C15" s="104">
        <v>1.042</v>
      </c>
      <c r="D15" s="106"/>
      <c r="E15" s="107"/>
      <c r="F15" s="107"/>
      <c r="G15" s="107"/>
      <c r="H15" s="108">
        <f>H14-F15-D15+B15</f>
        <v>5.389</v>
      </c>
      <c r="I15" s="108">
        <f>I14-E15+C15</f>
        <v>5.389</v>
      </c>
      <c r="J15" s="125">
        <f>SUM(H15:I15)</f>
        <v>10.778</v>
      </c>
    </row>
    <row r="16" ht="15.75" customHeight="1" spans="1:10">
      <c r="A16" s="101" t="s">
        <v>24</v>
      </c>
      <c r="B16" s="108">
        <v>11.25</v>
      </c>
      <c r="C16" s="109">
        <v>11.25</v>
      </c>
      <c r="D16" s="106"/>
      <c r="E16" s="107"/>
      <c r="F16" s="29"/>
      <c r="G16" s="107"/>
      <c r="H16" s="108">
        <f t="shared" ref="H16:H17" si="0">H15-F16-D16+B16</f>
        <v>16.639</v>
      </c>
      <c r="I16" s="108">
        <f t="shared" ref="I16:I17" si="1">I15-E16+C16</f>
        <v>16.639</v>
      </c>
      <c r="J16" s="125">
        <f t="shared" ref="J16:J17" si="2">SUM(H16:I16)</f>
        <v>33.278</v>
      </c>
    </row>
    <row r="17" ht="17.25" customHeight="1" spans="1:10">
      <c r="A17" s="101" t="s">
        <v>25</v>
      </c>
      <c r="B17" s="107"/>
      <c r="C17" s="106"/>
      <c r="D17" s="106"/>
      <c r="E17" s="107"/>
      <c r="F17" s="110">
        <v>1</v>
      </c>
      <c r="G17" s="107"/>
      <c r="H17" s="108">
        <f t="shared" si="0"/>
        <v>15.639</v>
      </c>
      <c r="I17" s="108">
        <f t="shared" si="1"/>
        <v>16.639</v>
      </c>
      <c r="J17" s="125">
        <f t="shared" si="2"/>
        <v>32.278</v>
      </c>
    </row>
    <row r="18" ht="17.25" customHeight="1" spans="1:10">
      <c r="A18" s="111" t="s">
        <v>26</v>
      </c>
      <c r="B18" s="112">
        <v>1.25</v>
      </c>
      <c r="C18" s="111">
        <v>1.25</v>
      </c>
      <c r="D18" s="111"/>
      <c r="E18" s="112"/>
      <c r="F18" s="112"/>
      <c r="G18" s="112"/>
      <c r="H18" s="108">
        <f>H17-F18-D18+B18</f>
        <v>16.889</v>
      </c>
      <c r="I18" s="108">
        <f>I17-E18+C18</f>
        <v>17.889</v>
      </c>
      <c r="J18" s="125">
        <f>SUM(H18:I18)</f>
        <v>34.778</v>
      </c>
    </row>
    <row r="19" spans="1:11">
      <c r="A19" s="113" t="s">
        <v>27</v>
      </c>
      <c r="B19" s="113"/>
      <c r="C19" s="113"/>
      <c r="D19" s="113"/>
      <c r="E19" s="113"/>
      <c r="F19" s="110">
        <v>3</v>
      </c>
      <c r="G19" s="114"/>
      <c r="H19" s="108">
        <f>H18-F19-D19+B19</f>
        <v>13.889</v>
      </c>
      <c r="I19" s="108">
        <f>I18-E19+C19</f>
        <v>17.889</v>
      </c>
      <c r="J19" s="125">
        <f>SUM(H19:I19)</f>
        <v>31.778</v>
      </c>
      <c r="K19" s="126" t="s">
        <v>28</v>
      </c>
    </row>
    <row r="20" spans="8:10">
      <c r="H20" s="115"/>
      <c r="I20" s="115"/>
      <c r="J20" s="115"/>
    </row>
    <row r="24" spans="6:6">
      <c r="F24" s="87" t="s">
        <v>29</v>
      </c>
    </row>
  </sheetData>
  <mergeCells count="14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3:J13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view="pageBreakPreview" zoomScaleNormal="100" workbookViewId="0">
      <selection activeCell="G19" sqref="G19"/>
    </sheetView>
  </sheetViews>
  <sheetFormatPr defaultColWidth="9" defaultRowHeight="14.4" outlineLevelCol="6"/>
  <cols>
    <col min="1" max="1" width="23.5740740740741" style="46" customWidth="1"/>
    <col min="2" max="2" width="18.8518518518519" style="46" customWidth="1"/>
    <col min="3" max="3" width="35" style="47" customWidth="1"/>
    <col min="4" max="4" width="11.712962962963" style="48" customWidth="1"/>
    <col min="5" max="5" width="11" style="46" customWidth="1"/>
    <col min="6" max="6" width="11.8518518518519" style="48" customWidth="1"/>
    <col min="7" max="7" width="22" style="46" customWidth="1"/>
    <col min="8" max="16384" width="9" style="46"/>
  </cols>
  <sheetData>
    <row r="1" s="42" customFormat="1" ht="52.5" customHeight="1" spans="5:5">
      <c r="E1" s="49"/>
    </row>
    <row r="2" s="42" customFormat="1" ht="10.5" customHeight="1" spans="1:7">
      <c r="A2" s="50" t="s">
        <v>0</v>
      </c>
      <c r="B2" s="50"/>
      <c r="C2" s="50"/>
      <c r="D2" s="50"/>
      <c r="E2" s="50"/>
      <c r="F2" s="50"/>
      <c r="G2" s="50"/>
    </row>
    <row r="3" s="42" customFormat="1" ht="15.95" customHeight="1" spans="1:7">
      <c r="A3" s="50" t="s">
        <v>1</v>
      </c>
      <c r="B3" s="50"/>
      <c r="C3" s="50"/>
      <c r="D3" s="50"/>
      <c r="E3" s="50"/>
      <c r="F3" s="50"/>
      <c r="G3" s="50"/>
    </row>
    <row r="4" s="42" customFormat="1" ht="15.95" customHeight="1" spans="1:7">
      <c r="A4" s="50" t="s">
        <v>2</v>
      </c>
      <c r="B4" s="50"/>
      <c r="C4" s="50"/>
      <c r="D4" s="50"/>
      <c r="E4" s="50"/>
      <c r="F4" s="50"/>
      <c r="G4" s="50"/>
    </row>
    <row r="5" s="42" customFormat="1" ht="15.95" customHeight="1" spans="1:7">
      <c r="A5" s="50" t="s">
        <v>3</v>
      </c>
      <c r="B5" s="50"/>
      <c r="C5" s="50"/>
      <c r="D5" s="50"/>
      <c r="E5" s="50"/>
      <c r="F5" s="50"/>
      <c r="G5" s="50"/>
    </row>
    <row r="6" s="42" customFormat="1" ht="8.25" customHeight="1" spans="5:5">
      <c r="E6" s="49"/>
    </row>
    <row r="7" s="42" customFormat="1" ht="8.25" customHeight="1" spans="5:5">
      <c r="E7" s="49"/>
    </row>
    <row r="8" s="42" customFormat="1" ht="17.25" customHeight="1" spans="1:7">
      <c r="A8" s="51" t="s">
        <v>30</v>
      </c>
      <c r="B8" s="51"/>
      <c r="C8" s="51" t="s">
        <v>31</v>
      </c>
      <c r="D8" s="52"/>
      <c r="E8" s="51" t="s">
        <v>32</v>
      </c>
      <c r="F8" s="52"/>
      <c r="G8" s="53"/>
    </row>
    <row r="9" s="42" customFormat="1" ht="12" customHeight="1" spans="1:7">
      <c r="A9" s="54"/>
      <c r="B9" s="54"/>
      <c r="C9" s="55"/>
      <c r="E9" s="51" t="s">
        <v>33</v>
      </c>
      <c r="F9" s="56"/>
      <c r="G9" s="55"/>
    </row>
    <row r="10" s="42" customFormat="1" ht="14.25" customHeight="1" spans="1:7">
      <c r="A10" s="51" t="s">
        <v>34</v>
      </c>
      <c r="B10" s="51"/>
      <c r="C10" s="51" t="s">
        <v>35</v>
      </c>
      <c r="D10" s="52"/>
      <c r="E10" s="51" t="s">
        <v>36</v>
      </c>
      <c r="F10" s="52"/>
      <c r="G10" s="53"/>
    </row>
    <row r="11" s="42" customFormat="1" ht="12" customHeight="1" spans="1:7">
      <c r="A11" s="53"/>
      <c r="B11" s="53"/>
      <c r="C11" s="53"/>
      <c r="F11" s="52"/>
      <c r="G11" s="53"/>
    </row>
    <row r="12" ht="23.25" customHeight="1" spans="1:7">
      <c r="A12" s="57" t="s">
        <v>37</v>
      </c>
      <c r="B12" s="58"/>
      <c r="C12" s="58"/>
      <c r="D12" s="58"/>
      <c r="E12" s="58"/>
      <c r="F12" s="58"/>
      <c r="G12" s="59"/>
    </row>
    <row r="13" s="43" customFormat="1" ht="37.5" customHeight="1" spans="1:7">
      <c r="A13" s="60" t="s">
        <v>38</v>
      </c>
      <c r="B13" s="61" t="s">
        <v>39</v>
      </c>
      <c r="C13" s="62" t="s">
        <v>40</v>
      </c>
      <c r="D13" s="62" t="s">
        <v>41</v>
      </c>
      <c r="E13" s="63" t="s">
        <v>42</v>
      </c>
      <c r="F13" s="63" t="s">
        <v>43</v>
      </c>
      <c r="G13" s="64" t="s">
        <v>15</v>
      </c>
    </row>
    <row r="14" s="44" customFormat="1" ht="15.75" customHeight="1" spans="1:7">
      <c r="A14" s="65" t="s">
        <v>44</v>
      </c>
      <c r="B14" s="66"/>
      <c r="C14" s="67" t="s">
        <v>45</v>
      </c>
      <c r="D14" s="68">
        <v>5</v>
      </c>
      <c r="E14" s="69">
        <v>0</v>
      </c>
      <c r="F14" s="69">
        <v>5</v>
      </c>
      <c r="G14" s="70">
        <v>5</v>
      </c>
    </row>
    <row r="15" s="43" customFormat="1" ht="21.75" customHeight="1" spans="1:7">
      <c r="A15" s="71" t="s">
        <v>46</v>
      </c>
      <c r="B15" s="72" t="s">
        <v>47</v>
      </c>
      <c r="C15" s="73" t="s">
        <v>48</v>
      </c>
      <c r="D15" s="74">
        <v>15</v>
      </c>
      <c r="E15" s="75">
        <v>0</v>
      </c>
      <c r="F15" s="75">
        <v>15</v>
      </c>
      <c r="G15" s="76">
        <v>15</v>
      </c>
    </row>
    <row r="16" s="43" customFormat="1" ht="38.25" customHeight="1" spans="1:7">
      <c r="A16" s="71"/>
      <c r="B16" s="72"/>
      <c r="C16" s="73"/>
      <c r="D16" s="74"/>
      <c r="E16" s="77"/>
      <c r="F16" s="77"/>
      <c r="G16" s="78"/>
    </row>
    <row r="17" s="45" customFormat="1" ht="28.5" customHeight="1" spans="1:7">
      <c r="A17" s="79"/>
      <c r="B17" s="79"/>
      <c r="C17" s="73"/>
      <c r="D17" s="80"/>
      <c r="E17" s="80"/>
      <c r="F17" s="80"/>
      <c r="G17" s="76"/>
    </row>
    <row r="18" s="45" customFormat="1" ht="15.6" spans="1:7">
      <c r="A18" s="79"/>
      <c r="B18" s="79"/>
      <c r="C18" s="73"/>
      <c r="D18" s="80"/>
      <c r="E18" s="80"/>
      <c r="F18" s="80"/>
      <c r="G18" s="81"/>
    </row>
    <row r="19" s="45" customFormat="1" ht="15.6" spans="1:7">
      <c r="A19" s="82" t="s">
        <v>15</v>
      </c>
      <c r="B19" s="83"/>
      <c r="C19" s="83"/>
      <c r="D19" s="83"/>
      <c r="E19" s="83"/>
      <c r="F19" s="84"/>
      <c r="G19" s="85">
        <v>20</v>
      </c>
    </row>
    <row r="20" s="42" customFormat="1" ht="75.75" customHeight="1" spans="1:7">
      <c r="A20" s="86"/>
      <c r="B20" s="86"/>
      <c r="G20" s="86"/>
    </row>
    <row r="21" s="42" customFormat="1"/>
    <row r="22" s="42" customFormat="1"/>
  </sheetData>
  <mergeCells count="6">
    <mergeCell ref="A2:G2"/>
    <mergeCell ref="A3:G3"/>
    <mergeCell ref="A4:G4"/>
    <mergeCell ref="A5:G5"/>
    <mergeCell ref="A12:G12"/>
    <mergeCell ref="A19:F19"/>
  </mergeCells>
  <pageMargins left="0.25" right="0.25" top="0.75" bottom="0.75" header="0.3" footer="0.3"/>
  <pageSetup paperSize="9" scale="9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topLeftCell="A9" workbookViewId="0">
      <selection activeCell="A17" sqref="A17:L32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18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8.71296296296296" style="4"/>
    <col min="12" max="12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49</v>
      </c>
      <c r="B11" s="11"/>
      <c r="C11" s="12" t="s">
        <v>50</v>
      </c>
      <c r="D11" s="12"/>
      <c r="E11" s="12"/>
      <c r="F11" s="12"/>
      <c r="G11" s="12"/>
      <c r="H11" s="5"/>
      <c r="I11" s="12" t="s">
        <v>51</v>
      </c>
      <c r="J11" s="12"/>
      <c r="K11" s="12"/>
      <c r="L11" s="11"/>
      <c r="M11" s="5"/>
    </row>
    <row r="12" spans="1:13">
      <c r="A12" s="5"/>
      <c r="B12" s="13"/>
      <c r="C12" s="12" t="s">
        <v>35</v>
      </c>
      <c r="D12" s="12"/>
      <c r="E12" s="12"/>
      <c r="F12" s="12"/>
      <c r="G12" s="12"/>
      <c r="H12" s="5"/>
      <c r="I12" s="35" t="s">
        <v>52</v>
      </c>
      <c r="J12" s="35"/>
      <c r="K12" s="35"/>
      <c r="L12" s="13"/>
      <c r="M12" s="5"/>
    </row>
    <row r="13" spans="1:13">
      <c r="A13" s="11" t="s">
        <v>53</v>
      </c>
      <c r="B13" s="11"/>
      <c r="C13" s="14"/>
      <c r="D13" s="13"/>
      <c r="E13" s="13"/>
      <c r="F13" s="5"/>
      <c r="G13" s="5"/>
      <c r="H13" s="5"/>
      <c r="I13" s="12" t="s">
        <v>54</v>
      </c>
      <c r="J13" s="12"/>
      <c r="K13" s="12"/>
      <c r="L13" s="11"/>
      <c r="M13" s="5"/>
    </row>
    <row r="14" ht="21" spans="1:12">
      <c r="A14" s="15" t="s">
        <v>55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3">
      <c r="A15" s="16" t="s">
        <v>11</v>
      </c>
      <c r="B15" s="17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36" t="s">
        <v>15</v>
      </c>
      <c r="M15" s="37"/>
    </row>
    <row r="16" spans="1:13">
      <c r="A16" s="19"/>
      <c r="B16" s="20" t="s">
        <v>56</v>
      </c>
      <c r="C16" s="21"/>
      <c r="D16" s="21"/>
      <c r="E16" s="22"/>
      <c r="F16" s="20" t="s">
        <v>41</v>
      </c>
      <c r="G16" s="22"/>
      <c r="H16" s="20" t="s">
        <v>42</v>
      </c>
      <c r="I16" s="22"/>
      <c r="J16" s="20" t="s">
        <v>43</v>
      </c>
      <c r="K16" s="22"/>
      <c r="L16" s="38"/>
      <c r="M16" s="37"/>
    </row>
    <row r="17" ht="22.5" customHeight="1" spans="1:13">
      <c r="A17" s="23"/>
      <c r="B17" s="24"/>
      <c r="C17" s="25"/>
      <c r="D17" s="25"/>
      <c r="E17" s="26"/>
      <c r="F17" s="27"/>
      <c r="G17" s="28"/>
      <c r="H17" s="27"/>
      <c r="I17" s="28"/>
      <c r="J17" s="27"/>
      <c r="K17" s="28"/>
      <c r="L17" s="39"/>
      <c r="M17" s="37"/>
    </row>
    <row r="18" ht="22.5" customHeight="1" spans="1:13">
      <c r="A18" s="29"/>
      <c r="B18" s="24"/>
      <c r="C18" s="25"/>
      <c r="D18" s="25"/>
      <c r="E18" s="26"/>
      <c r="F18" s="27"/>
      <c r="G18" s="28"/>
      <c r="H18" s="27"/>
      <c r="I18" s="28"/>
      <c r="J18" s="27"/>
      <c r="K18" s="28"/>
      <c r="L18" s="39"/>
      <c r="M18" s="37"/>
    </row>
    <row r="19" ht="22.5" customHeight="1" spans="1:13">
      <c r="A19" s="29"/>
      <c r="B19" s="24"/>
      <c r="C19" s="25"/>
      <c r="D19" s="25"/>
      <c r="E19" s="26"/>
      <c r="F19" s="27"/>
      <c r="G19" s="28"/>
      <c r="H19" s="27"/>
      <c r="I19" s="28"/>
      <c r="J19" s="27"/>
      <c r="K19" s="28"/>
      <c r="L19" s="39"/>
      <c r="M19" s="37"/>
    </row>
    <row r="20" ht="22.5" customHeight="1" spans="1:13">
      <c r="A20" s="29"/>
      <c r="B20" s="24"/>
      <c r="C20" s="25"/>
      <c r="D20" s="25"/>
      <c r="E20" s="26"/>
      <c r="F20" s="27"/>
      <c r="G20" s="28"/>
      <c r="H20" s="27"/>
      <c r="I20" s="28"/>
      <c r="J20" s="27"/>
      <c r="K20" s="28"/>
      <c r="L20" s="39"/>
      <c r="M20" s="37"/>
    </row>
    <row r="21" ht="22.5" customHeight="1" spans="1:13">
      <c r="A21" s="29"/>
      <c r="B21" s="24"/>
      <c r="C21" s="25"/>
      <c r="D21" s="25"/>
      <c r="E21" s="26"/>
      <c r="F21" s="27"/>
      <c r="G21" s="28"/>
      <c r="H21" s="27"/>
      <c r="I21" s="28"/>
      <c r="J21" s="27"/>
      <c r="K21" s="28"/>
      <c r="L21" s="39"/>
      <c r="M21" s="37"/>
    </row>
    <row r="22" ht="22.5" customHeight="1" spans="1:13">
      <c r="A22" s="29"/>
      <c r="B22" s="24"/>
      <c r="C22" s="25"/>
      <c r="D22" s="25"/>
      <c r="E22" s="26"/>
      <c r="F22" s="27"/>
      <c r="G22" s="28"/>
      <c r="H22" s="27"/>
      <c r="I22" s="28"/>
      <c r="J22" s="27"/>
      <c r="K22" s="28"/>
      <c r="L22" s="39"/>
      <c r="M22" s="37"/>
    </row>
    <row r="23" ht="22.5" customHeight="1" spans="1:13">
      <c r="A23" s="29"/>
      <c r="B23" s="24"/>
      <c r="C23" s="25"/>
      <c r="D23" s="25"/>
      <c r="E23" s="26"/>
      <c r="F23" s="27"/>
      <c r="G23" s="28"/>
      <c r="H23" s="27"/>
      <c r="I23" s="28"/>
      <c r="J23" s="27"/>
      <c r="K23" s="28"/>
      <c r="L23" s="39"/>
      <c r="M23" s="37"/>
    </row>
    <row r="24" ht="22.5" customHeight="1" spans="1:13">
      <c r="A24" s="29"/>
      <c r="B24" s="24"/>
      <c r="C24" s="25"/>
      <c r="D24" s="25"/>
      <c r="E24" s="26"/>
      <c r="F24" s="27"/>
      <c r="G24" s="28"/>
      <c r="H24" s="27"/>
      <c r="I24" s="28"/>
      <c r="J24" s="27"/>
      <c r="K24" s="28"/>
      <c r="L24" s="39"/>
      <c r="M24" s="37"/>
    </row>
    <row r="25" ht="22.5" customHeight="1" spans="1:13">
      <c r="A25" s="29"/>
      <c r="B25" s="24"/>
      <c r="C25" s="25"/>
      <c r="D25" s="25"/>
      <c r="E25" s="26"/>
      <c r="F25" s="27"/>
      <c r="G25" s="28"/>
      <c r="H25" s="27"/>
      <c r="I25" s="28"/>
      <c r="J25" s="27"/>
      <c r="K25" s="28"/>
      <c r="L25" s="39"/>
      <c r="M25" s="37"/>
    </row>
    <row r="26" ht="22.5" customHeight="1" spans="1:13">
      <c r="A26" s="29"/>
      <c r="B26" s="24"/>
      <c r="C26" s="25"/>
      <c r="D26" s="25"/>
      <c r="E26" s="26"/>
      <c r="F26" s="27"/>
      <c r="G26" s="28"/>
      <c r="H26" s="27"/>
      <c r="I26" s="28"/>
      <c r="J26" s="27"/>
      <c r="K26" s="28"/>
      <c r="L26" s="39"/>
      <c r="M26" s="37"/>
    </row>
    <row r="27" ht="22.5" customHeight="1" spans="1:13">
      <c r="A27" s="29"/>
      <c r="B27" s="24"/>
      <c r="C27" s="25"/>
      <c r="D27" s="25"/>
      <c r="E27" s="26"/>
      <c r="F27" s="27"/>
      <c r="G27" s="28"/>
      <c r="H27" s="27"/>
      <c r="I27" s="28"/>
      <c r="J27" s="27"/>
      <c r="K27" s="28"/>
      <c r="L27" s="39"/>
      <c r="M27" s="37"/>
    </row>
    <row r="28" ht="22.5" customHeight="1" spans="1:13">
      <c r="A28" s="29"/>
      <c r="B28" s="24"/>
      <c r="C28" s="25"/>
      <c r="D28" s="25"/>
      <c r="E28" s="26"/>
      <c r="F28" s="27"/>
      <c r="G28" s="28"/>
      <c r="H28" s="27"/>
      <c r="I28" s="28"/>
      <c r="J28" s="27"/>
      <c r="K28" s="28"/>
      <c r="L28" s="39"/>
      <c r="M28" s="37"/>
    </row>
    <row r="29" ht="22.5" customHeight="1" spans="1:13">
      <c r="A29" s="29"/>
      <c r="B29" s="24"/>
      <c r="C29" s="25"/>
      <c r="D29" s="25"/>
      <c r="E29" s="26"/>
      <c r="F29" s="27"/>
      <c r="G29" s="28"/>
      <c r="H29" s="27"/>
      <c r="I29" s="28"/>
      <c r="J29" s="27"/>
      <c r="K29" s="28"/>
      <c r="L29" s="39"/>
      <c r="M29" s="37"/>
    </row>
    <row r="30" ht="22.5" customHeight="1" spans="1:13">
      <c r="A30" s="29"/>
      <c r="B30" s="24"/>
      <c r="C30" s="25"/>
      <c r="D30" s="25"/>
      <c r="E30" s="26"/>
      <c r="F30" s="27"/>
      <c r="G30" s="28"/>
      <c r="H30" s="27"/>
      <c r="I30" s="28"/>
      <c r="J30" s="27"/>
      <c r="K30" s="28"/>
      <c r="L30" s="39"/>
      <c r="M30" s="37"/>
    </row>
    <row r="31" ht="22.5" customHeight="1" spans="1:13">
      <c r="A31" s="29"/>
      <c r="B31" s="24"/>
      <c r="C31" s="25"/>
      <c r="D31" s="25"/>
      <c r="E31" s="26"/>
      <c r="F31" s="27"/>
      <c r="G31" s="28"/>
      <c r="H31" s="27"/>
      <c r="I31" s="28"/>
      <c r="J31" s="27"/>
      <c r="K31" s="28"/>
      <c r="L31" s="39"/>
      <c r="M31" s="37"/>
    </row>
    <row r="32" ht="22.5" customHeight="1" spans="1:13">
      <c r="A32" s="29"/>
      <c r="B32" s="24"/>
      <c r="C32" s="25"/>
      <c r="D32" s="25"/>
      <c r="E32" s="26"/>
      <c r="F32" s="27"/>
      <c r="G32" s="28"/>
      <c r="H32" s="27"/>
      <c r="I32" s="28"/>
      <c r="J32" s="27"/>
      <c r="K32" s="28"/>
      <c r="L32" s="39"/>
      <c r="M32" s="37"/>
    </row>
    <row r="33" spans="1:13">
      <c r="A33" s="30" t="s">
        <v>57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40"/>
      <c r="M33" s="41"/>
    </row>
    <row r="34" spans="1:1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3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8"/>
      <c r="D36" s="5"/>
      <c r="E36" s="5"/>
      <c r="F36" s="5"/>
      <c r="G36" s="5"/>
      <c r="H36" s="33" t="s">
        <v>58</v>
      </c>
      <c r="I36" s="5"/>
      <c r="J36" s="5"/>
      <c r="K36" s="5"/>
      <c r="L36" s="5"/>
      <c r="M36" s="5"/>
    </row>
    <row r="37" spans="2:12">
      <c r="B37" s="8"/>
      <c r="C37" s="5"/>
      <c r="D37" s="5"/>
      <c r="E37" s="5"/>
      <c r="F37" s="5"/>
      <c r="G37" s="5"/>
      <c r="H37" s="34" t="s">
        <v>59</v>
      </c>
      <c r="I37" s="5"/>
      <c r="J37" s="5"/>
      <c r="K37" s="5"/>
      <c r="L37" s="5"/>
    </row>
    <row r="38" spans="2:12">
      <c r="B38" s="8"/>
      <c r="C38" s="5"/>
      <c r="D38" s="5"/>
      <c r="E38" s="5"/>
      <c r="F38" s="5"/>
      <c r="G38" s="5"/>
      <c r="H38" s="34" t="s">
        <v>60</v>
      </c>
      <c r="I38" s="5"/>
      <c r="J38" s="5"/>
      <c r="K38" s="5"/>
      <c r="L38" s="5"/>
    </row>
    <row r="39" spans="2:12">
      <c r="B39" s="8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3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</row>
  </sheetData>
  <mergeCells count="82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A34:L34"/>
    <mergeCell ref="A15:A16"/>
    <mergeCell ref="L15:L16"/>
  </mergeCells>
  <pageMargins left="0.7" right="0.7" top="0.75" bottom="0.75" header="0.3" footer="0.3"/>
  <pageSetup paperSize="9" scale="9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as TIC</vt:lpstr>
      <vt:lpstr>Election &amp; NLC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2022-11-24T07:01:00Z</dcterms:created>
  <cp:lastPrinted>2025-12-22T07:01:00Z</cp:lastPrinted>
  <dcterms:modified xsi:type="dcterms:W3CDTF">2026-01-01T02:48:33Z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76FD4A599B81475584058397C7FEE0B2_12</vt:lpwstr>
  </property>
  <property fmtid="{D5CDD505-2E9C-101B-9397-08002B2CF9AE}" pid="3" name="KSOProductBuildVer">
    <vt:lpwstr>1033-12.2.0.23196</vt:lpwstr>
  </property>
</Properties>
</file>