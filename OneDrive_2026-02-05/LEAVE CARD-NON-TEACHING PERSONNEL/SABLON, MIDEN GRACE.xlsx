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30E39B2-E731-4730-B5EC-7CEE6B7F4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" sheetId="4" r:id="rId1"/>
    <sheet name="CTO" sheetId="1" r:id="rId2"/>
    <sheet name="NLE" sheetId="2" r:id="rId3"/>
  </sheets>
  <definedNames>
    <definedName name="_xlnm.Print_Area" localSheetId="1">CTO!$A$1:$L$38</definedName>
    <definedName name="_xlnm.Print_Area" localSheetId="0">'Leave Card '!$A$1:$J$44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4" l="1"/>
  <c r="I34" i="4"/>
  <c r="J34" i="4"/>
  <c r="H35" i="4"/>
  <c r="I35" i="4"/>
  <c r="J35" i="4"/>
  <c r="I14" i="4"/>
  <c r="I15" i="4" s="1"/>
  <c r="I16" i="4" s="1"/>
  <c r="I17" i="4" s="1"/>
  <c r="I18" i="4" s="1"/>
  <c r="I19" i="4" s="1"/>
  <c r="I20" i="4" s="1"/>
  <c r="I21" i="4" s="1"/>
  <c r="I22" i="4" s="1"/>
  <c r="I23" i="4" s="1"/>
  <c r="H14" i="4"/>
  <c r="J14" i="4" l="1"/>
  <c r="I24" i="4"/>
  <c r="I25" i="4" s="1"/>
  <c r="I26" i="4" s="1"/>
  <c r="I27" i="4" s="1"/>
  <c r="I28" i="4" s="1"/>
  <c r="I29" i="4" s="1"/>
  <c r="I30" i="4" s="1"/>
  <c r="I31" i="4" s="1"/>
  <c r="I32" i="4" s="1"/>
  <c r="I33" i="4" s="1"/>
  <c r="H15" i="4"/>
  <c r="H16" i="4" l="1"/>
  <c r="J15" i="4"/>
  <c r="J16" i="4" l="1"/>
  <c r="H17" i="4"/>
  <c r="J17" i="4" l="1"/>
  <c r="H18" i="4"/>
  <c r="J18" i="4" l="1"/>
  <c r="H19" i="4"/>
  <c r="H20" i="4" l="1"/>
  <c r="J19" i="4"/>
  <c r="J20" i="4" l="1"/>
  <c r="H21" i="4"/>
  <c r="H22" i="4" s="1"/>
  <c r="J22" i="4" l="1"/>
  <c r="H23" i="4"/>
  <c r="J21" i="4"/>
  <c r="H24" i="4" l="1"/>
  <c r="J23" i="4"/>
  <c r="H25" i="4" l="1"/>
  <c r="J24" i="4"/>
  <c r="H26" i="4" l="1"/>
  <c r="H27" i="4" s="1"/>
  <c r="J25" i="4"/>
  <c r="H28" i="4" l="1"/>
  <c r="J27" i="4"/>
  <c r="J26" i="4"/>
  <c r="H29" i="4" l="1"/>
  <c r="J28" i="4"/>
  <c r="J29" i="4" l="1"/>
  <c r="H30" i="4"/>
  <c r="H31" i="4" l="1"/>
  <c r="J30" i="4"/>
  <c r="J31" i="4" l="1"/>
  <c r="H32" i="4"/>
  <c r="J32" i="4" l="1"/>
  <c r="H33" i="4"/>
  <c r="J33" i="4" s="1"/>
</calcChain>
</file>

<file path=xl/sharedStrings.xml><?xml version="1.0" encoding="utf-8"?>
<sst xmlns="http://schemas.openxmlformats.org/spreadsheetml/2006/main" count="120" uniqueCount="89">
  <si>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</si>
  <si>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</si>
  <si>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</si>
  <si>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</si>
  <si>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</si>
  <si>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</si>
  <si>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</si>
  <si>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</si>
  <si>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</si>
  <si>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</si>
  <si>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</si>
  <si>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</si>
  <si>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</si>
  <si>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</si>
  <si>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</si>
  <si>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</si>
  <si>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</si>
  <si>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</si>
  <si>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</si>
  <si>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</si>
  <si>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         :SABLON, MIDEN GRACE</t>
  </si>
  <si>
    <t>POSITION   : MASTER TEACHER I</t>
  </si>
  <si>
    <t>SCHOOL/OFFICE : CID</t>
  </si>
  <si>
    <t>ADD: 05/05/2023</t>
  </si>
  <si>
    <t>S.0 # 052, S. 2023 PALARONG PANLALAWIGAN 2023</t>
  </si>
  <si>
    <t>LESS: 06/02/2023</t>
  </si>
  <si>
    <t>LESS: 06/13 &amp; 14/2023</t>
  </si>
  <si>
    <t>ADD: 04/12/2023</t>
  </si>
  <si>
    <t>S.0 # 047, S. 2023 WORKSHOP ON CID PERFORMANCE PLANNING &amp; COMMITMENT FOR SY 2023</t>
  </si>
  <si>
    <t>LESS: 09/08/2023</t>
  </si>
  <si>
    <t>LESS: 09/21/2023</t>
  </si>
  <si>
    <t>ADD:10/11/2023</t>
  </si>
  <si>
    <t>S.0 # 084, S. 2023 CAPACITY BUILDING OF TEACHERS ON THE IMPLEMENTATION OF THE NATIONAL LEARNING CAMP</t>
  </si>
  <si>
    <t>LESS: 10/25/2023</t>
  </si>
  <si>
    <t>LESS: 11/07/2023</t>
  </si>
  <si>
    <t>DISTRICT                : _______________________</t>
  </si>
  <si>
    <t>EMPLOYEE NO    : __________</t>
  </si>
  <si>
    <t>STATION CODE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</si>
  <si>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</si>
  <si>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</si>
  <si>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</si>
  <si>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</si>
  <si>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    </t>
  </si>
  <si>
    <t>NAME          : MIDEN GRACE SABLON</t>
  </si>
  <si>
    <t>POSITION   : MT-I</t>
  </si>
  <si>
    <t>SCHOOL/OFFICE : GPAES</t>
  </si>
  <si>
    <t>MAY 9, 2022 NATIONAL AND LOCAL ELECTION</t>
  </si>
  <si>
    <t>LESS:02/1-2/2024</t>
  </si>
  <si>
    <t>ADD: 07/01/2022</t>
  </si>
  <si>
    <t>S.O # 051, S. 2022</t>
  </si>
  <si>
    <t>03/11-12/2024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</si>
  <si>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</si>
  <si>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</si>
  <si>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</si>
  <si>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</si>
  <si>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</si>
  <si>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</si>
  <si>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</si>
  <si>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</si>
  <si>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</si>
  <si>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</si>
  <si>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</si>
  <si>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</si>
  <si>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</si>
  <si>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</si>
  <si>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</si>
  <si>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CONVERT &amp; ADD UNUSED VACATION SERVICE CREDITS (VSC)</t>
  </si>
  <si>
    <t>APPOINTMENT DATE: 06/16/2025</t>
  </si>
  <si>
    <t>ADD: 06/16-30/2025</t>
  </si>
  <si>
    <t>LESS: 07/7-9/2025</t>
  </si>
  <si>
    <t>ADD: 07/1/2025-09/30/2025</t>
  </si>
  <si>
    <t>LESS: 10/6/2025</t>
  </si>
  <si>
    <t>LESS: 11/14/2025</t>
  </si>
  <si>
    <r>
      <t xml:space="preserve">ADD: </t>
    </r>
    <r>
      <rPr>
        <b/>
        <sz val="12"/>
        <color theme="1"/>
        <rFont val="Calibri"/>
        <family val="2"/>
        <scheme val="minor"/>
      </rPr>
      <t>COMELEC Certification: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(5 days)</t>
    </r>
    <r>
      <rPr>
        <sz val="12"/>
        <color theme="1"/>
        <rFont val="Calibri"/>
        <family val="2"/>
        <scheme val="minor"/>
      </rPr>
      <t xml:space="preserve">                    Oct. 29, 2007 Brgy. &amp; SK Election</t>
    </r>
  </si>
  <si>
    <r>
      <t xml:space="preserve">ADD: </t>
    </r>
    <r>
      <rPr>
        <b/>
        <sz val="12"/>
        <color theme="1"/>
        <rFont val="Calibri"/>
        <family val="2"/>
        <scheme val="minor"/>
      </rPr>
      <t>COMELEC Certification: (5 days)</t>
    </r>
    <r>
      <rPr>
        <sz val="12"/>
        <color theme="1"/>
        <rFont val="Calibri"/>
        <family val="2"/>
        <scheme val="minor"/>
      </rPr>
      <t xml:space="preserve">                    May 10, 2010 National &amp; Local Election</t>
    </r>
  </si>
  <si>
    <r>
      <t>ADD:</t>
    </r>
    <r>
      <rPr>
        <b/>
        <sz val="12"/>
        <color theme="1"/>
        <rFont val="Calibri"/>
        <family val="2"/>
        <scheme val="minor"/>
      </rPr>
      <t xml:space="preserve"> COMELEC Certification: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(5 days)</t>
    </r>
    <r>
      <rPr>
        <sz val="12"/>
        <color theme="1"/>
        <rFont val="Calibri"/>
        <family val="2"/>
        <scheme val="minor"/>
      </rPr>
      <t xml:space="preserve">                    May 13, 2013 National &amp; Local Election</t>
    </r>
  </si>
  <si>
    <r>
      <t>ADD:</t>
    </r>
    <r>
      <rPr>
        <b/>
        <sz val="12"/>
        <color theme="1"/>
        <rFont val="Calibri"/>
        <family val="2"/>
        <scheme val="minor"/>
      </rPr>
      <t xml:space="preserve"> COMELEC Certification: (5 days)</t>
    </r>
    <r>
      <rPr>
        <sz val="12"/>
        <color theme="1"/>
        <rFont val="Calibri"/>
        <family val="2"/>
        <scheme val="minor"/>
      </rPr>
      <t xml:space="preserve">                    May 9, 2016 National &amp; Local Election</t>
    </r>
  </si>
  <si>
    <r>
      <t xml:space="preserve">ADD: COMELEC Certification: </t>
    </r>
    <r>
      <rPr>
        <b/>
        <sz val="12"/>
        <color theme="1"/>
        <rFont val="Calibri"/>
        <family val="2"/>
        <scheme val="minor"/>
      </rPr>
      <t>(5 days)</t>
    </r>
    <r>
      <rPr>
        <sz val="12"/>
        <color theme="1"/>
        <rFont val="Calibri"/>
        <family val="2"/>
        <scheme val="minor"/>
      </rPr>
      <t xml:space="preserve">                    May 14, 2018 National &amp; Local Election</t>
    </r>
  </si>
  <si>
    <r>
      <t xml:space="preserve">ADD: </t>
    </r>
    <r>
      <rPr>
        <b/>
        <sz val="12"/>
        <color theme="1"/>
        <rFont val="Calibri"/>
        <family val="2"/>
        <scheme val="minor"/>
      </rPr>
      <t>COMELEC Certification: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(5 days)</t>
    </r>
    <r>
      <rPr>
        <sz val="12"/>
        <color theme="1"/>
        <rFont val="Calibri"/>
        <family val="2"/>
        <scheme val="minor"/>
      </rPr>
      <t xml:space="preserve">                    May 13, 2019 National &amp; Local Election</t>
    </r>
  </si>
  <si>
    <r>
      <t xml:space="preserve">ADD: </t>
    </r>
    <r>
      <rPr>
        <b/>
        <sz val="12"/>
        <color theme="1"/>
        <rFont val="Calibri"/>
        <family val="2"/>
        <scheme val="minor"/>
      </rPr>
      <t>SO # 051, s, 2022: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(1 day balance)</t>
    </r>
    <r>
      <rPr>
        <sz val="12"/>
        <color theme="1"/>
        <rFont val="Calibri"/>
        <family val="2"/>
        <scheme val="minor"/>
      </rPr>
      <t xml:space="preserve">                    May 9, 2022 National &amp; Local Election</t>
    </r>
  </si>
  <si>
    <r>
      <t xml:space="preserve">ADD: </t>
    </r>
    <r>
      <rPr>
        <b/>
        <sz val="12"/>
        <color theme="1"/>
        <rFont val="Calibri"/>
        <family val="2"/>
        <scheme val="minor"/>
      </rPr>
      <t>SO # 010, s, 2024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>(5 days)</t>
    </r>
    <r>
      <rPr>
        <sz val="12"/>
        <color theme="1"/>
        <rFont val="Calibri"/>
        <family val="2"/>
        <scheme val="minor"/>
      </rPr>
      <t xml:space="preserve">                    October 30, 2023 Brgy. &amp; SK Election</t>
    </r>
  </si>
  <si>
    <r>
      <t xml:space="preserve">ADD: </t>
    </r>
    <r>
      <rPr>
        <b/>
        <sz val="12"/>
        <color theme="1"/>
        <rFont val="Calibri"/>
        <family val="2"/>
        <scheme val="minor"/>
      </rPr>
      <t>SO # 083, s, 2024: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(10 days)</t>
    </r>
    <r>
      <rPr>
        <sz val="12"/>
        <color theme="1"/>
        <rFont val="Calibri"/>
        <family val="2"/>
        <scheme val="minor"/>
      </rPr>
      <t xml:space="preserve">                    </t>
    </r>
  </si>
  <si>
    <r>
      <t xml:space="preserve">ADD: </t>
    </r>
    <r>
      <rPr>
        <b/>
        <sz val="12"/>
        <color theme="1"/>
        <rFont val="Calibri"/>
        <family val="2"/>
        <scheme val="minor"/>
      </rPr>
      <t>SO # 048, s, 2025: (4.5 days)</t>
    </r>
    <r>
      <rPr>
        <sz val="12"/>
        <color theme="1"/>
        <rFont val="Calibri"/>
        <family val="2"/>
        <scheme val="minor"/>
      </rPr>
      <t xml:space="preserve">                    </t>
    </r>
  </si>
  <si>
    <t>ADD: 10/1-31/2025</t>
  </si>
  <si>
    <t>LESS: 12/12/2025</t>
  </si>
  <si>
    <t>LESS: 11/21/2025</t>
  </si>
  <si>
    <t>LESS: 12/29/2025</t>
  </si>
  <si>
    <t>ADD: 11/1-30/2025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</si>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</sst>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13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/>
    <xf numFmtId="164" fontId="20" fillId="2" borderId="21" xfId="0" applyNumberFormat="1" applyFont="1" applyFill="1" applyBorder="1" applyAlignment="1">
      <alignment horizontal="center" vertical="center"/>
    </xf>
    <xf numFmtId="164" fontId="19" fillId="2" borderId="10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/>
    </xf>
    <xf numFmtId="164" fontId="20" fillId="2" borderId="12" xfId="0" applyNumberFormat="1" applyFont="1" applyFill="1" applyBorder="1" applyAlignment="1">
      <alignment horizontal="center" vertical="center"/>
    </xf>
    <xf numFmtId="164" fontId="19" fillId="2" borderId="11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15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9" fillId="9" borderId="18" xfId="0" applyFont="1" applyFill="1" applyBorder="1" applyAlignment="1">
      <alignment horizontal="left" vertical="center"/>
    </xf>
    <xf numFmtId="0" fontId="19" fillId="9" borderId="19" xfId="0" applyFont="1" applyFill="1" applyBorder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0" fillId="2" borderId="1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164" fontId="20" fillId="0" borderId="0" xfId="0" applyNumberFormat="1" applyFont="1" applyFill="1" applyBorder="1" applyAlignment="1">
      <alignment horizontal="center" vertical="center"/>
    </xf>
    <xf numFmtId="164" fontId="19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/>
    <xf numFmtId="0" fontId="20" fillId="0" borderId="12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/>
    </xf>
    <xf numFmtId="164" fontId="20" fillId="0" borderId="12" xfId="0" applyNumberFormat="1" applyFont="1" applyFill="1" applyBorder="1" applyAlignment="1">
      <alignment horizontal="center" vertical="center"/>
    </xf>
    <xf numFmtId="164" fontId="19" fillId="0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9164D-0EB1-44A3-AD95-37761B6E69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9B5F99-D03F-4D15-BF08-84E771DFDC3D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SABLON, MIDEN GRACE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8571E9-67DC-41D7-8F63-BBA9F66A69F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EPSVR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D119C0-D769-4222-83F1-B9735A36902A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5</xdr:col>
      <xdr:colOff>347452</xdr:colOff>
      <xdr:row>38</xdr:row>
      <xdr:rowOff>53914</xdr:rowOff>
    </xdr:from>
    <xdr:to>
      <xdr:col>9</xdr:col>
      <xdr:colOff>672043</xdr:colOff>
      <xdr:row>43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3706BC-5CA5-43A7-A3A7-5E8296FEAF5F}"/>
            </a:ext>
          </a:extLst>
        </xdr:cNvPr>
        <xdr:cNvSpPr txBox="1"/>
      </xdr:nvSpPr>
      <xdr:spPr>
        <a:xfrm>
          <a:off x="5871952" y="58260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269568</xdr:colOff>
      <xdr:row>0</xdr:row>
      <xdr:rowOff>75072</xdr:rowOff>
    </xdr:from>
    <xdr:to>
      <xdr:col>5</xdr:col>
      <xdr:colOff>410103</xdr:colOff>
      <xdr:row>3</xdr:row>
      <xdr:rowOff>170127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C02FA-4FCC-4047-8636-D717CAF721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1391" y="75072"/>
          <a:ext cx="729233" cy="6506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209550</xdr:rowOff>
    </xdr:from>
    <xdr:to>
      <xdr:col>2</xdr:col>
      <xdr:colOff>533400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E9987B-C114-40B2-B686-171E5E85CCC6}"/>
            </a:ext>
          </a:extLst>
        </xdr:cNvPr>
        <xdr:cNvSpPr txBox="1"/>
      </xdr:nvSpPr>
      <xdr:spPr>
        <a:xfrm>
          <a:off x="76200" y="37719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5C63B1-D668-49F2-8512-CAE7C67A174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536004</xdr:colOff>
      <xdr:row>0</xdr:row>
      <xdr:rowOff>114300</xdr:rowOff>
    </xdr:from>
    <xdr:to>
      <xdr:col>3</xdr:col>
      <xdr:colOff>1190625</xdr:colOff>
      <xdr:row>4</xdr:row>
      <xdr:rowOff>33143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D9350-FC22-458E-998F-53D1798859B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65129" y="114300"/>
          <a:ext cx="654621" cy="68084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43127</xdr:colOff>
      <xdr:row>22</xdr:row>
      <xdr:rowOff>13228</xdr:rowOff>
    </xdr:from>
    <xdr:to>
      <xdr:col>3</xdr:col>
      <xdr:colOff>500327</xdr:colOff>
      <xdr:row>27</xdr:row>
      <xdr:rowOff>79374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511E77-23E7-4353-926D-FDA61A15CAAD}"/>
            </a:ext>
          </a:extLst>
        </xdr:cNvPr>
        <xdr:cNvSpPr txBox="1"/>
      </xdr:nvSpPr>
      <xdr:spPr>
        <a:xfrm>
          <a:off x="43127" y="6099703"/>
          <a:ext cx="372427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731308</xdr:colOff>
      <xdr:row>10</xdr:row>
      <xdr:rowOff>187590</xdr:rowOff>
    </xdr:from>
    <xdr:to>
      <xdr:col>2</xdr:col>
      <xdr:colOff>7408</xdr:colOff>
      <xdr:row>10</xdr:row>
      <xdr:rowOff>187590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B73E8FB-8971-4605-8EC1-5DDF8DAF3CB2}"/>
            </a:ext>
          </a:extLst>
        </xdr:cNvPr>
        <xdr:cNvCxnSpPr/>
      </xdr:nvCxnSpPr>
      <xdr:spPr>
        <a:xfrm>
          <a:off x="731308" y="2092590"/>
          <a:ext cx="1809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752475</xdr:colOff>
      <xdr:row>12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6D2D7D7-83F3-4E8B-8C7C-F1D57CBEE820}"/>
            </a:ext>
          </a:extLst>
        </xdr:cNvPr>
        <xdr:cNvCxnSpPr/>
      </xdr:nvCxnSpPr>
      <xdr:spPr>
        <a:xfrm>
          <a:off x="723900" y="2457450"/>
          <a:ext cx="1295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3A72-B62F-475A-85EE-3EA9F1FB8EBF}">
  <sheetPr>
    <pageSetUpPr fitToPage="1"/>
  </sheetPr>
  <dimension ref="A1:K42"/>
  <sheetViews>
    <sheetView tabSelected="1" view="pageBreakPreview" topLeftCell="A21" zoomScale="91" zoomScaleNormal="100" zoomScaleSheetLayoutView="91" workbookViewId="0">
      <selection activeCell="C33" sqref="C33"/>
    </sheetView>
  </sheetViews>
  <sheetFormatPr defaultRowHeight="15" x14ac:dyDescent="0.25"/>
  <cols>
    <col min="1" max="1" width="40.7109375" customWidth="1"/>
    <col min="2" max="5" width="11.5703125" customWidth="1"/>
    <col min="6" max="7" width="11.5703125" style="38" customWidth="1"/>
    <col min="8" max="9" width="11.5703125" customWidth="1"/>
    <col min="10" max="10" width="11.5703125" style="44" customWidth="1"/>
    <col min="11" max="11" width="26.42578125" style="37" customWidth="1"/>
  </cols>
  <sheetData>
    <row r="1" spans="1:11" s="1" customFormat="1" ht="52.5" customHeight="1" x14ac:dyDescent="0.25">
      <c r="J1" s="7"/>
    </row>
    <row r="2" spans="1:11" s="1" customFormat="1" ht="10.5" customHeight="1" x14ac:dyDescent="0.2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</row>
    <row r="3" spans="1:11" s="1" customFormat="1" ht="15.95" customHeight="1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</row>
    <row r="4" spans="1:11" s="1" customFormat="1" ht="15.95" customHeight="1" x14ac:dyDescent="0.25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</row>
    <row r="5" spans="1:11" s="1" customFormat="1" ht="15.95" customHeight="1" x14ac:dyDescent="0.25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</row>
    <row r="6" spans="1:11" s="1" customFormat="1" ht="8.25" customHeight="1" x14ac:dyDescent="0.25">
      <c r="J6" s="7"/>
    </row>
    <row r="7" spans="1:11" s="1" customFormat="1" ht="12" customHeight="1" x14ac:dyDescent="0.25">
      <c r="A7" s="1" t="s">
        <v>51</v>
      </c>
      <c r="B7" s="58" t="s">
        <v>52</v>
      </c>
      <c r="C7" s="58"/>
      <c r="D7" s="58"/>
      <c r="H7" s="26" t="s">
        <v>53</v>
      </c>
      <c r="I7" s="33"/>
      <c r="J7" s="6"/>
    </row>
    <row r="8" spans="1:11" s="1" customFormat="1" ht="12" customHeight="1" x14ac:dyDescent="0.25">
      <c r="B8" s="27"/>
      <c r="C8" s="27"/>
      <c r="H8" s="27"/>
      <c r="I8" s="27"/>
      <c r="J8" s="7"/>
    </row>
    <row r="9" spans="1:11" s="1" customFormat="1" ht="12" customHeight="1" x14ac:dyDescent="0.25">
      <c r="A9" s="1" t="s">
        <v>54</v>
      </c>
      <c r="B9" s="58" t="s">
        <v>55</v>
      </c>
      <c r="C9" s="58"/>
      <c r="D9" s="58"/>
      <c r="H9" s="26" t="s">
        <v>56</v>
      </c>
      <c r="I9" s="34"/>
      <c r="J9" s="6"/>
    </row>
    <row r="10" spans="1:11" ht="23.25" customHeight="1" thickBot="1" x14ac:dyDescent="0.3">
      <c r="A10" s="67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/>
    </row>
    <row r="11" spans="1:11" ht="18.75" customHeight="1" x14ac:dyDescent="0.25">
      <c r="A11" s="68" t="s">
        <v>9</v>
      </c>
      <c r="B11" s="70" t="s">
        <v>10</v>
      </c>
      <c r="C11" s="71"/>
      <c r="D11" s="72" t="s">
        <v>58</v>
      </c>
      <c r="E11" s="73"/>
      <c r="F11" s="73"/>
      <c r="G11" s="74"/>
      <c r="H11" s="75" t="s">
        <v>59</v>
      </c>
      <c r="I11" s="76"/>
      <c r="J11" s="77" t="s">
        <v>11</v>
      </c>
      <c r="K11" s="60" t="s">
        <v>60</v>
      </c>
    </row>
    <row r="12" spans="1:11" ht="15.75" thickBot="1" x14ac:dyDescent="0.3">
      <c r="A12" s="69"/>
      <c r="B12" s="35" t="s">
        <v>61</v>
      </c>
      <c r="C12" s="35" t="s">
        <v>62</v>
      </c>
      <c r="D12" s="35" t="s">
        <v>61</v>
      </c>
      <c r="E12" s="35" t="s">
        <v>62</v>
      </c>
      <c r="F12" s="35" t="s">
        <v>63</v>
      </c>
      <c r="G12" s="35" t="s">
        <v>64</v>
      </c>
      <c r="H12" s="35" t="s">
        <v>61</v>
      </c>
      <c r="I12" s="35" t="s">
        <v>62</v>
      </c>
      <c r="J12" s="78"/>
      <c r="K12" s="60"/>
    </row>
    <row r="13" spans="1:11" ht="16.5" thickBot="1" x14ac:dyDescent="0.3">
      <c r="A13" s="61" t="s">
        <v>67</v>
      </c>
      <c r="B13" s="62"/>
      <c r="C13" s="62"/>
      <c r="D13" s="62"/>
      <c r="E13" s="62"/>
      <c r="F13" s="62"/>
      <c r="G13" s="62"/>
      <c r="H13" s="62"/>
      <c r="I13" s="62"/>
      <c r="J13" s="63"/>
      <c r="K13" s="36"/>
    </row>
    <row r="14" spans="1:11" ht="31.5" customHeight="1" x14ac:dyDescent="0.25">
      <c r="A14" s="64" t="s">
        <v>66</v>
      </c>
      <c r="B14" s="65"/>
      <c r="C14" s="65"/>
      <c r="D14" s="65"/>
      <c r="E14" s="65"/>
      <c r="F14" s="65"/>
      <c r="G14" s="66"/>
      <c r="H14" s="45">
        <f>B14</f>
        <v>0</v>
      </c>
      <c r="I14" s="45">
        <f>C14</f>
        <v>0</v>
      </c>
      <c r="J14" s="46">
        <f>SUM(H14:I14)</f>
        <v>0</v>
      </c>
    </row>
    <row r="15" spans="1:11" ht="28.5" customHeight="1" x14ac:dyDescent="0.25">
      <c r="A15" s="47" t="s">
        <v>73</v>
      </c>
      <c r="B15" s="48">
        <v>1.087</v>
      </c>
      <c r="C15" s="49">
        <v>1.087</v>
      </c>
      <c r="D15" s="50"/>
      <c r="E15" s="51"/>
      <c r="F15" s="51"/>
      <c r="G15" s="51"/>
      <c r="H15" s="52">
        <f>H14-F15-D15+B15</f>
        <v>1.087</v>
      </c>
      <c r="I15" s="52">
        <f>I14-E15+C15</f>
        <v>1.087</v>
      </c>
      <c r="J15" s="53">
        <f>SUM(H15:I15)</f>
        <v>2.1739999999999999</v>
      </c>
    </row>
    <row r="16" spans="1:11" ht="30" customHeight="1" x14ac:dyDescent="0.25">
      <c r="A16" s="47" t="s">
        <v>74</v>
      </c>
      <c r="B16" s="48">
        <v>1.087</v>
      </c>
      <c r="C16" s="49">
        <v>1.087</v>
      </c>
      <c r="D16" s="50"/>
      <c r="E16" s="51"/>
      <c r="F16" s="51"/>
      <c r="G16" s="51"/>
      <c r="H16" s="52">
        <f t="shared" ref="H16:H17" si="0">H15-F16-D16+B16</f>
        <v>2.1739999999999999</v>
      </c>
      <c r="I16" s="52">
        <f t="shared" ref="I16:I17" si="1">I15-E16+C16</f>
        <v>2.1739999999999999</v>
      </c>
      <c r="J16" s="53">
        <f t="shared" ref="J16:J17" si="2">SUM(H16:I16)</f>
        <v>4.3479999999999999</v>
      </c>
    </row>
    <row r="17" spans="1:10" ht="27.75" customHeight="1" x14ac:dyDescent="0.25">
      <c r="A17" s="47" t="s">
        <v>75</v>
      </c>
      <c r="B17" s="48">
        <v>1.087</v>
      </c>
      <c r="C17" s="49">
        <v>1.087</v>
      </c>
      <c r="D17" s="50"/>
      <c r="E17" s="51"/>
      <c r="F17" s="51"/>
      <c r="G17" s="51"/>
      <c r="H17" s="52">
        <f t="shared" si="0"/>
        <v>3.2610000000000001</v>
      </c>
      <c r="I17" s="52">
        <f t="shared" si="1"/>
        <v>3.2610000000000001</v>
      </c>
      <c r="J17" s="53">
        <f t="shared" si="2"/>
        <v>6.5220000000000002</v>
      </c>
    </row>
    <row r="18" spans="1:10" ht="27.75" customHeight="1" x14ac:dyDescent="0.25">
      <c r="A18" s="47" t="s">
        <v>76</v>
      </c>
      <c r="B18" s="48">
        <v>1.087</v>
      </c>
      <c r="C18" s="49">
        <v>1.087</v>
      </c>
      <c r="D18" s="50"/>
      <c r="E18" s="51"/>
      <c r="F18" s="54"/>
      <c r="G18" s="51"/>
      <c r="H18" s="52">
        <f>H17-F18-D18+B18</f>
        <v>4.3479999999999999</v>
      </c>
      <c r="I18" s="52">
        <f>I17-E18+C18</f>
        <v>4.3479999999999999</v>
      </c>
      <c r="J18" s="53">
        <f t="shared" ref="J18" si="3">SUM(H18:I18)</f>
        <v>8.6959999999999997</v>
      </c>
    </row>
    <row r="19" spans="1:10" ht="33" customHeight="1" x14ac:dyDescent="0.25">
      <c r="A19" s="47" t="s">
        <v>77</v>
      </c>
      <c r="B19" s="48">
        <v>1.087</v>
      </c>
      <c r="C19" s="49">
        <v>1.087</v>
      </c>
      <c r="D19" s="50"/>
      <c r="E19" s="51"/>
      <c r="F19" s="51"/>
      <c r="G19" s="54"/>
      <c r="H19" s="52">
        <f>H18-F19-D19+B19</f>
        <v>5.4349999999999996</v>
      </c>
      <c r="I19" s="52">
        <f>I18-E19+C19</f>
        <v>5.4349999999999996</v>
      </c>
      <c r="J19" s="53">
        <f t="shared" ref="J19" si="4">SUM(H19:I19)</f>
        <v>10.87</v>
      </c>
    </row>
    <row r="20" spans="1:10" ht="29.25" customHeight="1" x14ac:dyDescent="0.25">
      <c r="A20" s="47" t="s">
        <v>78</v>
      </c>
      <c r="B20" s="48">
        <v>1.087</v>
      </c>
      <c r="C20" s="49">
        <v>1.087</v>
      </c>
      <c r="D20" s="50"/>
      <c r="E20" s="51"/>
      <c r="F20" s="51"/>
      <c r="G20" s="51"/>
      <c r="H20" s="52">
        <f t="shared" ref="H20:H21" si="5">H19-F20-D20+B20</f>
        <v>6.5219999999999994</v>
      </c>
      <c r="I20" s="52">
        <f t="shared" ref="I20:I21" si="6">I19-E20+C20</f>
        <v>6.5219999999999994</v>
      </c>
      <c r="J20" s="53">
        <f t="shared" ref="J20:J21" si="7">SUM(H20:I20)</f>
        <v>13.043999999999999</v>
      </c>
    </row>
    <row r="21" spans="1:10" s="37" customFormat="1" ht="28.5" customHeight="1" x14ac:dyDescent="0.25">
      <c r="A21" s="47" t="s">
        <v>79</v>
      </c>
      <c r="B21" s="48">
        <v>0.217</v>
      </c>
      <c r="C21" s="49">
        <v>0.217</v>
      </c>
      <c r="D21" s="50"/>
      <c r="E21" s="51"/>
      <c r="F21" s="51"/>
      <c r="G21" s="51"/>
      <c r="H21" s="52">
        <f t="shared" si="5"/>
        <v>6.738999999999999</v>
      </c>
      <c r="I21" s="52">
        <f t="shared" si="6"/>
        <v>6.738999999999999</v>
      </c>
      <c r="J21" s="53">
        <f t="shared" si="7"/>
        <v>13.477999999999998</v>
      </c>
    </row>
    <row r="22" spans="1:10" s="37" customFormat="1" ht="31.5" customHeight="1" x14ac:dyDescent="0.25">
      <c r="A22" s="47" t="s">
        <v>80</v>
      </c>
      <c r="B22" s="48">
        <v>1.087</v>
      </c>
      <c r="C22" s="49">
        <v>1.087</v>
      </c>
      <c r="D22" s="50"/>
      <c r="E22" s="51"/>
      <c r="F22" s="51"/>
      <c r="G22" s="51"/>
      <c r="H22" s="52">
        <f t="shared" ref="H22:H26" si="8">H21-F22-D22+B22</f>
        <v>7.8259999999999987</v>
      </c>
      <c r="I22" s="52">
        <f t="shared" ref="I22:I24" si="9">I21-E22+C22</f>
        <v>7.8259999999999987</v>
      </c>
      <c r="J22" s="53">
        <f t="shared" ref="J22:J26" si="10">SUM(H22:I22)</f>
        <v>15.651999999999997</v>
      </c>
    </row>
    <row r="23" spans="1:10" s="37" customFormat="1" ht="23.25" customHeight="1" x14ac:dyDescent="0.25">
      <c r="A23" s="47" t="s">
        <v>81</v>
      </c>
      <c r="B23" s="51">
        <v>2.173</v>
      </c>
      <c r="C23" s="50">
        <v>2.173</v>
      </c>
      <c r="D23" s="50"/>
      <c r="E23" s="51"/>
      <c r="F23" s="51"/>
      <c r="G23" s="51"/>
      <c r="H23" s="52">
        <f t="shared" si="8"/>
        <v>9.9989999999999988</v>
      </c>
      <c r="I23" s="52">
        <f t="shared" si="9"/>
        <v>9.9989999999999988</v>
      </c>
      <c r="J23" s="53">
        <f t="shared" si="10"/>
        <v>19.997999999999998</v>
      </c>
    </row>
    <row r="24" spans="1:10" s="37" customFormat="1" ht="25.5" customHeight="1" x14ac:dyDescent="0.25">
      <c r="A24" s="47" t="s">
        <v>82</v>
      </c>
      <c r="B24" s="51">
        <v>0.97799999999999998</v>
      </c>
      <c r="C24" s="50">
        <v>0.97799999999999998</v>
      </c>
      <c r="D24" s="50"/>
      <c r="E24" s="51"/>
      <c r="F24" s="51"/>
      <c r="G24" s="51"/>
      <c r="H24" s="52">
        <f t="shared" si="8"/>
        <v>10.976999999999999</v>
      </c>
      <c r="I24" s="52">
        <f t="shared" si="9"/>
        <v>10.976999999999999</v>
      </c>
      <c r="J24" s="53">
        <f t="shared" si="10"/>
        <v>21.953999999999997</v>
      </c>
    </row>
    <row r="25" spans="1:10" s="37" customFormat="1" ht="28.5" customHeight="1" x14ac:dyDescent="0.25">
      <c r="A25" s="47" t="s">
        <v>68</v>
      </c>
      <c r="B25" s="51">
        <v>0.625</v>
      </c>
      <c r="C25" s="50">
        <v>0.625</v>
      </c>
      <c r="D25" s="50"/>
      <c r="E25" s="51"/>
      <c r="F25" s="51"/>
      <c r="G25" s="51"/>
      <c r="H25" s="52">
        <f t="shared" si="8"/>
        <v>11.601999999999999</v>
      </c>
      <c r="I25" s="52">
        <f>I24-E25+C25</f>
        <v>11.601999999999999</v>
      </c>
      <c r="J25" s="53">
        <f t="shared" si="10"/>
        <v>23.203999999999997</v>
      </c>
    </row>
    <row r="26" spans="1:10" s="37" customFormat="1" ht="28.5" customHeight="1" x14ac:dyDescent="0.25">
      <c r="A26" s="47" t="s">
        <v>69</v>
      </c>
      <c r="B26" s="51"/>
      <c r="C26" s="50"/>
      <c r="D26" s="50"/>
      <c r="E26" s="51">
        <v>3</v>
      </c>
      <c r="F26" s="51"/>
      <c r="G26" s="51"/>
      <c r="H26" s="52">
        <f t="shared" si="8"/>
        <v>11.601999999999999</v>
      </c>
      <c r="I26" s="52">
        <f>I25-E26+C26</f>
        <v>8.6019999999999985</v>
      </c>
      <c r="J26" s="53">
        <f t="shared" si="10"/>
        <v>20.203999999999997</v>
      </c>
    </row>
    <row r="27" spans="1:10" s="37" customFormat="1" ht="28.5" customHeight="1" x14ac:dyDescent="0.25">
      <c r="A27" s="50" t="s">
        <v>70</v>
      </c>
      <c r="B27" s="51">
        <v>3.75</v>
      </c>
      <c r="C27" s="50">
        <v>3.75</v>
      </c>
      <c r="D27" s="50"/>
      <c r="E27" s="51"/>
      <c r="F27" s="51"/>
      <c r="G27" s="51"/>
      <c r="H27" s="52">
        <f t="shared" ref="H27:H28" si="11">H26-F27-D27+B27</f>
        <v>15.351999999999999</v>
      </c>
      <c r="I27" s="52">
        <f t="shared" ref="I27:I28" si="12">I26-E27+C27</f>
        <v>12.351999999999999</v>
      </c>
      <c r="J27" s="53">
        <f t="shared" ref="J27:J28" si="13">SUM(H27:I27)</f>
        <v>27.703999999999997</v>
      </c>
    </row>
    <row r="28" spans="1:10" s="37" customFormat="1" ht="28.5" customHeight="1" x14ac:dyDescent="0.25">
      <c r="A28" s="50" t="s">
        <v>71</v>
      </c>
      <c r="B28" s="51"/>
      <c r="C28" s="50"/>
      <c r="D28" s="50"/>
      <c r="E28" s="51">
        <v>1</v>
      </c>
      <c r="F28" s="51"/>
      <c r="G28" s="51"/>
      <c r="H28" s="52">
        <f t="shared" si="11"/>
        <v>15.351999999999999</v>
      </c>
      <c r="I28" s="52">
        <f t="shared" si="12"/>
        <v>11.351999999999999</v>
      </c>
      <c r="J28" s="53">
        <f t="shared" si="13"/>
        <v>26.703999999999997</v>
      </c>
    </row>
    <row r="29" spans="1:10" s="37" customFormat="1" ht="28.5" customHeight="1" x14ac:dyDescent="0.25">
      <c r="A29" s="50" t="s">
        <v>72</v>
      </c>
      <c r="B29" s="51"/>
      <c r="C29" s="50"/>
      <c r="D29" s="50"/>
      <c r="E29" s="51"/>
      <c r="F29" s="55">
        <v>1</v>
      </c>
      <c r="G29" s="51"/>
      <c r="H29" s="52">
        <f t="shared" ref="H29" si="14">H28-F29-D29+B29</f>
        <v>14.351999999999999</v>
      </c>
      <c r="I29" s="52">
        <f t="shared" ref="I29" si="15">I28-E29+C29</f>
        <v>11.351999999999999</v>
      </c>
      <c r="J29" s="53">
        <f t="shared" ref="J29" si="16">SUM(H29:I29)</f>
        <v>25.703999999999997</v>
      </c>
    </row>
    <row r="30" spans="1:10" s="37" customFormat="1" ht="28.5" customHeight="1" x14ac:dyDescent="0.25">
      <c r="A30" s="56" t="s">
        <v>83</v>
      </c>
      <c r="B30" s="54">
        <v>1.25</v>
      </c>
      <c r="C30" s="56">
        <v>1.25</v>
      </c>
      <c r="D30" s="56"/>
      <c r="E30" s="54"/>
      <c r="F30" s="54"/>
      <c r="G30" s="54"/>
      <c r="H30" s="52">
        <f t="shared" ref="H30:H31" si="17">H29-F30-D30+B30</f>
        <v>15.601999999999999</v>
      </c>
      <c r="I30" s="52">
        <f t="shared" ref="I30:I31" si="18">I29-E30+C30</f>
        <v>12.601999999999999</v>
      </c>
      <c r="J30" s="53">
        <f t="shared" ref="J30:J31" si="19">SUM(H30:I30)</f>
        <v>28.203999999999997</v>
      </c>
    </row>
    <row r="31" spans="1:10" s="37" customFormat="1" ht="28.5" customHeight="1" x14ac:dyDescent="0.25">
      <c r="A31" s="56" t="s">
        <v>84</v>
      </c>
      <c r="B31" s="54"/>
      <c r="C31" s="56"/>
      <c r="D31" s="56"/>
      <c r="E31" s="54"/>
      <c r="F31" s="55">
        <v>1</v>
      </c>
      <c r="G31" s="54"/>
      <c r="H31" s="52">
        <f t="shared" si="17"/>
        <v>14.601999999999999</v>
      </c>
      <c r="I31" s="52">
        <f t="shared" si="18"/>
        <v>12.601999999999999</v>
      </c>
      <c r="J31" s="53">
        <f t="shared" si="19"/>
        <v>27.203999999999997</v>
      </c>
    </row>
    <row r="32" spans="1:10" s="37" customFormat="1" ht="28.5" customHeight="1" x14ac:dyDescent="0.25">
      <c r="A32" s="50" t="s">
        <v>85</v>
      </c>
      <c r="B32" s="51"/>
      <c r="C32" s="50"/>
      <c r="D32" s="50"/>
      <c r="E32" s="51"/>
      <c r="F32" s="51"/>
      <c r="G32" s="57">
        <v>1</v>
      </c>
      <c r="H32" s="52">
        <f t="shared" ref="H32" si="20">H31-F32-D32+B32</f>
        <v>14.601999999999999</v>
      </c>
      <c r="I32" s="52">
        <f t="shared" ref="I32" si="21">I31-E32+C32</f>
        <v>12.601999999999999</v>
      </c>
      <c r="J32" s="53">
        <f t="shared" ref="J32" si="22">SUM(H32:I32)</f>
        <v>27.203999999999997</v>
      </c>
    </row>
    <row r="33" spans="1:10" s="37" customFormat="1" ht="28.5" customHeight="1" x14ac:dyDescent="0.25">
      <c r="A33" s="56" t="s">
        <v>86</v>
      </c>
      <c r="B33" s="54"/>
      <c r="C33" s="56"/>
      <c r="D33" s="56"/>
      <c r="E33" s="54"/>
      <c r="F33" s="55">
        <v>1</v>
      </c>
      <c r="G33" s="54"/>
      <c r="H33" s="52">
        <f t="shared" ref="H33" si="23">H32-F33-D33+B33</f>
        <v>13.601999999999999</v>
      </c>
      <c r="I33" s="52">
        <f t="shared" ref="I33" si="24">I32-E33+C33</f>
        <v>12.601999999999999</v>
      </c>
      <c r="J33" s="53">
        <f t="shared" ref="J33" si="25">SUM(H33:I33)</f>
        <v>26.203999999999997</v>
      </c>
    </row>
    <row r="34" spans="1:10" s="106" customFormat="1" ht="28.5" customHeight="1" x14ac:dyDescent="0.25">
      <c r="A34" s="107" t="s">
        <v>87</v>
      </c>
      <c r="B34" s="108">
        <v>1.25</v>
      </c>
      <c r="C34" s="107">
        <v>1.25</v>
      </c>
      <c r="D34" s="107"/>
      <c r="E34" s="108"/>
      <c r="F34" s="108"/>
      <c r="G34" s="108"/>
      <c r="H34" s="52">
        <f t="shared" ref="H34:H35" si="26">H33-F34-D34+B34</f>
        <v>14.851999999999999</v>
      </c>
      <c r="I34" s="52">
        <f t="shared" ref="I34:I35" si="27">I33-E34+C34</f>
        <v>13.851999999999999</v>
      </c>
      <c r="J34" s="53">
        <f t="shared" ref="J34:J35" si="28">SUM(H34:I34)</f>
        <v>28.703999999999997</v>
      </c>
    </row>
    <row r="35" spans="1:10" s="106" customFormat="1" ht="28.5" customHeight="1" x14ac:dyDescent="0.25">
      <c r="A35" s="107" t="s">
        <v>88</v>
      </c>
      <c r="B35" s="108"/>
      <c r="C35" s="107"/>
      <c r="D35" s="107"/>
      <c r="E35" s="108"/>
      <c r="F35" s="108"/>
      <c r="G35" s="57">
        <v>1</v>
      </c>
      <c r="H35" s="52">
        <f t="shared" si="26"/>
        <v>14.851999999999999</v>
      </c>
      <c r="I35" s="52">
        <f t="shared" si="27"/>
        <v>13.851999999999999</v>
      </c>
      <c r="J35" s="53">
        <f t="shared" si="28"/>
        <v>28.703999999999997</v>
      </c>
    </row>
    <row r="36" spans="1:10" s="106" customFormat="1" ht="28.5" customHeight="1" x14ac:dyDescent="0.25">
      <c r="A36" s="107"/>
      <c r="B36" s="108"/>
      <c r="C36" s="107"/>
      <c r="D36" s="107"/>
      <c r="E36" s="108"/>
      <c r="F36" s="108"/>
      <c r="G36" s="108"/>
      <c r="H36" s="109"/>
      <c r="I36" s="109"/>
      <c r="J36" s="110"/>
    </row>
    <row r="37" spans="1:10" s="106" customFormat="1" ht="28.5" customHeight="1" x14ac:dyDescent="0.25">
      <c r="A37" s="102"/>
      <c r="B37" s="103"/>
      <c r="C37" s="102"/>
      <c r="D37" s="102"/>
      <c r="E37" s="103"/>
      <c r="F37" s="103"/>
      <c r="G37" s="103"/>
      <c r="H37" s="104"/>
      <c r="I37" s="104"/>
      <c r="J37" s="105"/>
    </row>
    <row r="38" spans="1:10" s="37" customFormat="1" x14ac:dyDescent="0.25">
      <c r="A38"/>
      <c r="B38"/>
      <c r="C38"/>
      <c r="D38"/>
      <c r="E38"/>
      <c r="F38" s="38"/>
      <c r="G38" s="38"/>
      <c r="H38" s="39"/>
      <c r="I38" s="39"/>
      <c r="J38" s="43"/>
    </row>
    <row r="42" spans="1:10" s="37" customFormat="1" x14ac:dyDescent="0.25">
      <c r="A42"/>
      <c r="B42"/>
      <c r="C42"/>
      <c r="D42"/>
      <c r="E42"/>
      <c r="F42" s="38" t="s">
        <v>65</v>
      </c>
      <c r="G42" s="38"/>
      <c r="H42"/>
      <c r="I42"/>
      <c r="J42" s="44"/>
    </row>
  </sheetData>
  <mergeCells count="15">
    <mergeCell ref="K11:K12"/>
    <mergeCell ref="A13:J13"/>
    <mergeCell ref="A14:G14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honeticPr fontId="18" type="noConversion"/>
  <printOptions horizontalCentered="1"/>
  <pageMargins left="0.25" right="0.25" top="0.25" bottom="0.25" header="0.3" footer="0.3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view="pageBreakPreview" topLeftCell="A10" zoomScale="96" zoomScaleNormal="100" zoomScaleSheetLayoutView="96" workbookViewId="0">
      <selection activeCell="F21" sqref="F21:G21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9" customWidth="1"/>
    <col min="5" max="5" width="8.42578125" style="18" customWidth="1"/>
    <col min="6" max="6" width="10.85546875" style="20" customWidth="1"/>
    <col min="7" max="7" width="9.7109375" style="21" customWidth="1"/>
    <col min="8" max="8" width="10.85546875" customWidth="1"/>
    <col min="9" max="9" width="9.7109375" style="18" customWidth="1"/>
    <col min="10" max="10" width="10" style="20" customWidth="1"/>
    <col min="11" max="11" width="6.140625" style="21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59" t="s">
        <v>0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1"/>
    </row>
    <row r="6" spans="1:13" x14ac:dyDescent="0.25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1"/>
    </row>
    <row r="7" spans="1:13" x14ac:dyDescent="0.25">
      <c r="A7" s="59" t="s">
        <v>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1"/>
    </row>
    <row r="8" spans="1:13" x14ac:dyDescent="0.25">
      <c r="A8" s="59" t="s">
        <v>3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20</v>
      </c>
      <c r="B11" s="6"/>
      <c r="C11" s="80" t="s">
        <v>4</v>
      </c>
      <c r="D11" s="80"/>
      <c r="E11" s="80"/>
      <c r="F11" s="80"/>
      <c r="G11" s="80"/>
      <c r="H11" s="1"/>
      <c r="I11" s="80" t="s">
        <v>5</v>
      </c>
      <c r="J11" s="80"/>
      <c r="K11" s="80"/>
      <c r="L11" s="6"/>
      <c r="M11" s="1"/>
    </row>
    <row r="12" spans="1:13" x14ac:dyDescent="0.25">
      <c r="A12" s="1"/>
      <c r="B12" s="7"/>
      <c r="C12" s="80" t="s">
        <v>22</v>
      </c>
      <c r="D12" s="80"/>
      <c r="E12" s="80"/>
      <c r="F12" s="80"/>
      <c r="G12" s="80"/>
      <c r="H12" s="1"/>
      <c r="I12" s="81" t="s">
        <v>6</v>
      </c>
      <c r="J12" s="81"/>
      <c r="K12" s="81"/>
      <c r="L12" s="7"/>
      <c r="M12" s="1"/>
    </row>
    <row r="13" spans="1:13" x14ac:dyDescent="0.25">
      <c r="A13" s="6" t="s">
        <v>21</v>
      </c>
      <c r="B13" s="6"/>
      <c r="C13" s="8"/>
      <c r="D13" s="7"/>
      <c r="E13" s="7"/>
      <c r="F13" s="1"/>
      <c r="G13" s="1"/>
      <c r="H13" s="1"/>
      <c r="I13" s="80" t="s">
        <v>7</v>
      </c>
      <c r="J13" s="80"/>
      <c r="K13" s="80"/>
      <c r="L13" s="6"/>
      <c r="M13" s="1"/>
    </row>
    <row r="14" spans="1:13" ht="21.75" thickBot="1" x14ac:dyDescent="0.3">
      <c r="A14" s="82" t="s">
        <v>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3" x14ac:dyDescent="0.25">
      <c r="A15" s="83" t="s">
        <v>9</v>
      </c>
      <c r="B15" s="85" t="s">
        <v>10</v>
      </c>
      <c r="C15" s="86"/>
      <c r="D15" s="86"/>
      <c r="E15" s="86"/>
      <c r="F15" s="86"/>
      <c r="G15" s="86"/>
      <c r="H15" s="86"/>
      <c r="I15" s="86"/>
      <c r="J15" s="86"/>
      <c r="K15" s="86"/>
      <c r="L15" s="87" t="s">
        <v>11</v>
      </c>
      <c r="M15" s="9"/>
    </row>
    <row r="16" spans="1:13" x14ac:dyDescent="0.25">
      <c r="A16" s="84"/>
      <c r="B16" s="89" t="s">
        <v>12</v>
      </c>
      <c r="C16" s="90"/>
      <c r="D16" s="90"/>
      <c r="E16" s="91"/>
      <c r="F16" s="89" t="s">
        <v>13</v>
      </c>
      <c r="G16" s="91"/>
      <c r="H16" s="89" t="s">
        <v>14</v>
      </c>
      <c r="I16" s="91"/>
      <c r="J16" s="89" t="s">
        <v>15</v>
      </c>
      <c r="K16" s="91"/>
      <c r="L16" s="88"/>
      <c r="M16" s="9"/>
    </row>
    <row r="17" spans="1:13" ht="27.75" customHeight="1" x14ac:dyDescent="0.25">
      <c r="A17" s="10" t="s">
        <v>23</v>
      </c>
      <c r="B17" s="92" t="s">
        <v>24</v>
      </c>
      <c r="C17" s="93"/>
      <c r="D17" s="93"/>
      <c r="E17" s="94"/>
      <c r="F17" s="92">
        <v>3</v>
      </c>
      <c r="G17" s="94"/>
      <c r="H17" s="92">
        <v>0</v>
      </c>
      <c r="I17" s="94"/>
      <c r="J17" s="92">
        <v>3</v>
      </c>
      <c r="K17" s="94"/>
      <c r="L17" s="22">
        <v>3</v>
      </c>
      <c r="M17" s="9"/>
    </row>
    <row r="18" spans="1:13" ht="27.75" customHeight="1" x14ac:dyDescent="0.25">
      <c r="A18" s="11" t="s">
        <v>25</v>
      </c>
      <c r="B18" s="92" t="s">
        <v>24</v>
      </c>
      <c r="C18" s="93"/>
      <c r="D18" s="93"/>
      <c r="E18" s="94"/>
      <c r="F18" s="92"/>
      <c r="G18" s="94"/>
      <c r="H18" s="92">
        <v>1</v>
      </c>
      <c r="I18" s="94"/>
      <c r="J18" s="92">
        <v>2</v>
      </c>
      <c r="K18" s="94"/>
      <c r="L18" s="23">
        <v>2</v>
      </c>
      <c r="M18" s="9"/>
    </row>
    <row r="19" spans="1:13" ht="27.75" customHeight="1" x14ac:dyDescent="0.25">
      <c r="A19" s="11" t="s">
        <v>26</v>
      </c>
      <c r="B19" s="92" t="s">
        <v>24</v>
      </c>
      <c r="C19" s="93"/>
      <c r="D19" s="93"/>
      <c r="E19" s="94"/>
      <c r="F19" s="92"/>
      <c r="G19" s="94"/>
      <c r="H19" s="92">
        <v>2</v>
      </c>
      <c r="I19" s="94"/>
      <c r="J19" s="92">
        <v>0</v>
      </c>
      <c r="K19" s="94"/>
      <c r="L19" s="40">
        <v>0</v>
      </c>
      <c r="M19" s="9"/>
    </row>
    <row r="20" spans="1:13" ht="33" customHeight="1" x14ac:dyDescent="0.25">
      <c r="A20" s="11" t="s">
        <v>27</v>
      </c>
      <c r="B20" s="79" t="s">
        <v>28</v>
      </c>
      <c r="C20" s="79"/>
      <c r="D20" s="79"/>
      <c r="E20" s="79"/>
      <c r="F20" s="79">
        <v>2</v>
      </c>
      <c r="G20" s="79"/>
      <c r="H20" s="79">
        <v>0</v>
      </c>
      <c r="I20" s="79"/>
      <c r="J20" s="79">
        <v>2</v>
      </c>
      <c r="K20" s="79"/>
      <c r="L20" s="23">
        <v>2</v>
      </c>
      <c r="M20" s="9"/>
    </row>
    <row r="21" spans="1:13" ht="33" customHeight="1" x14ac:dyDescent="0.25">
      <c r="A21" s="11" t="s">
        <v>29</v>
      </c>
      <c r="B21" s="79" t="s">
        <v>28</v>
      </c>
      <c r="C21" s="79"/>
      <c r="D21" s="79"/>
      <c r="E21" s="79"/>
      <c r="F21" s="79"/>
      <c r="G21" s="79"/>
      <c r="H21" s="79">
        <v>1</v>
      </c>
      <c r="I21" s="79"/>
      <c r="J21" s="79">
        <v>1</v>
      </c>
      <c r="K21" s="79"/>
      <c r="L21" s="23">
        <v>1</v>
      </c>
      <c r="M21" s="9"/>
    </row>
    <row r="22" spans="1:13" ht="33" customHeight="1" x14ac:dyDescent="0.25">
      <c r="A22" s="11" t="s">
        <v>30</v>
      </c>
      <c r="B22" s="79" t="s">
        <v>28</v>
      </c>
      <c r="C22" s="79"/>
      <c r="D22" s="79"/>
      <c r="E22" s="79"/>
      <c r="F22" s="79"/>
      <c r="G22" s="79"/>
      <c r="H22" s="79">
        <v>1</v>
      </c>
      <c r="I22" s="79"/>
      <c r="J22" s="79">
        <v>0</v>
      </c>
      <c r="K22" s="79"/>
      <c r="L22" s="40">
        <v>0</v>
      </c>
      <c r="M22" s="9"/>
    </row>
    <row r="23" spans="1:13" ht="33" customHeight="1" x14ac:dyDescent="0.25">
      <c r="A23" s="11" t="s">
        <v>31</v>
      </c>
      <c r="B23" s="79" t="s">
        <v>32</v>
      </c>
      <c r="C23" s="79"/>
      <c r="D23" s="79"/>
      <c r="E23" s="79"/>
      <c r="F23" s="79">
        <v>3</v>
      </c>
      <c r="G23" s="79"/>
      <c r="H23" s="79">
        <v>0</v>
      </c>
      <c r="I23" s="79"/>
      <c r="J23" s="79">
        <v>3</v>
      </c>
      <c r="K23" s="79"/>
      <c r="L23" s="23">
        <v>3</v>
      </c>
      <c r="M23" s="9"/>
    </row>
    <row r="24" spans="1:13" ht="33" customHeight="1" x14ac:dyDescent="0.25">
      <c r="A24" s="11" t="s">
        <v>33</v>
      </c>
      <c r="B24" s="79" t="s">
        <v>32</v>
      </c>
      <c r="C24" s="79"/>
      <c r="D24" s="79"/>
      <c r="E24" s="79"/>
      <c r="F24" s="79"/>
      <c r="G24" s="79"/>
      <c r="H24" s="79">
        <v>1</v>
      </c>
      <c r="I24" s="79"/>
      <c r="J24" s="79">
        <v>2</v>
      </c>
      <c r="K24" s="79"/>
      <c r="L24" s="23">
        <v>2</v>
      </c>
      <c r="M24" s="9"/>
    </row>
    <row r="25" spans="1:13" ht="33" customHeight="1" x14ac:dyDescent="0.25">
      <c r="A25" s="11" t="s">
        <v>34</v>
      </c>
      <c r="B25" s="79" t="s">
        <v>32</v>
      </c>
      <c r="C25" s="79"/>
      <c r="D25" s="79"/>
      <c r="E25" s="79"/>
      <c r="F25" s="79"/>
      <c r="G25" s="79"/>
      <c r="H25" s="79">
        <v>1</v>
      </c>
      <c r="I25" s="79"/>
      <c r="J25" s="79">
        <v>1</v>
      </c>
      <c r="K25" s="79"/>
      <c r="L25" s="41">
        <v>1</v>
      </c>
      <c r="M25" s="9"/>
    </row>
    <row r="26" spans="1:13" x14ac:dyDescent="0.25">
      <c r="A26" s="12" t="s">
        <v>16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5"/>
    </row>
    <row r="27" spans="1:13" x14ac:dyDescent="0.2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6" t="s">
        <v>17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A31" s="17" t="s">
        <v>18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A32" s="17" t="s">
        <v>19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mergeCells count="54">
    <mergeCell ref="A27:L27"/>
    <mergeCell ref="B24:E24"/>
    <mergeCell ref="F24:G24"/>
    <mergeCell ref="H24:I24"/>
    <mergeCell ref="J24:K24"/>
    <mergeCell ref="B25:E25"/>
    <mergeCell ref="F25:G25"/>
    <mergeCell ref="H25:I25"/>
    <mergeCell ref="J25:K25"/>
    <mergeCell ref="J16:K16"/>
    <mergeCell ref="B17:E17"/>
    <mergeCell ref="F17:G17"/>
    <mergeCell ref="H17:I17"/>
    <mergeCell ref="J17:K17"/>
    <mergeCell ref="H18:I18"/>
    <mergeCell ref="J18:K18"/>
    <mergeCell ref="B19:E19"/>
    <mergeCell ref="F19:G19"/>
    <mergeCell ref="H19:I19"/>
    <mergeCell ref="J19:K19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0:I20"/>
    <mergeCell ref="J20:K20"/>
    <mergeCell ref="B18:E18"/>
    <mergeCell ref="F18:G18"/>
    <mergeCell ref="A5:L5"/>
    <mergeCell ref="A6:L6"/>
    <mergeCell ref="A7:L7"/>
    <mergeCell ref="A8:L8"/>
    <mergeCell ref="C11:G11"/>
    <mergeCell ref="I11:K11"/>
    <mergeCell ref="B21:E21"/>
    <mergeCell ref="F21:G21"/>
    <mergeCell ref="H21:I21"/>
    <mergeCell ref="J21:K21"/>
    <mergeCell ref="B23:E23"/>
    <mergeCell ref="F23:G23"/>
    <mergeCell ref="H23:I23"/>
    <mergeCell ref="J23:K23"/>
    <mergeCell ref="B22:E22"/>
    <mergeCell ref="F22:G22"/>
    <mergeCell ref="H22:I22"/>
    <mergeCell ref="J22:K22"/>
  </mergeCells>
  <printOptions horizontalCentered="1"/>
  <pageMargins left="0.7" right="0.7" top="0.75" bottom="0.75" header="0.3" footer="0.3"/>
  <pageSetup paperSize="9" scale="79" orientation="landscape" r:id="rId1"/>
  <rowBreaks count="2" manualBreakCount="2">
    <brk id="32" max="11" man="1"/>
    <brk id="36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K23" sqref="K23"/>
    </sheetView>
  </sheetViews>
  <sheetFormatPr defaultRowHeight="15" x14ac:dyDescent="0.25"/>
  <cols>
    <col min="1" max="1" width="22.85546875" customWidth="1"/>
    <col min="2" max="2" width="22.28515625" customWidth="1"/>
    <col min="3" max="4" width="21.28515625" customWidth="1"/>
    <col min="7" max="12" width="7.28515625" customWidth="1"/>
  </cols>
  <sheetData>
    <row r="1" spans="1:13" x14ac:dyDescent="0.25">
      <c r="A1" s="1"/>
      <c r="B1" s="1"/>
      <c r="C1" s="1"/>
      <c r="D1" s="24"/>
      <c r="E1" s="25"/>
      <c r="F1" s="1"/>
      <c r="G1" s="1"/>
      <c r="H1" s="1"/>
      <c r="I1" s="4"/>
      <c r="J1" s="1"/>
      <c r="K1" s="1"/>
      <c r="L1" s="1"/>
      <c r="M1" s="1"/>
    </row>
    <row r="2" spans="1:13" x14ac:dyDescent="0.25">
      <c r="A2" s="1"/>
      <c r="B2" s="1"/>
      <c r="C2" s="1"/>
      <c r="D2" s="24"/>
      <c r="E2" s="25"/>
      <c r="F2" s="1"/>
      <c r="G2" s="1"/>
      <c r="H2" s="1"/>
      <c r="I2" s="4"/>
      <c r="J2" s="1"/>
      <c r="K2" s="1"/>
      <c r="L2" s="1"/>
      <c r="M2" s="1"/>
    </row>
    <row r="3" spans="1:13" x14ac:dyDescent="0.25">
      <c r="A3" s="1"/>
      <c r="B3" s="1"/>
      <c r="C3" s="1"/>
      <c r="D3" s="24"/>
      <c r="E3" s="25"/>
      <c r="F3" s="1"/>
      <c r="G3" s="1"/>
      <c r="H3" s="1"/>
      <c r="I3" s="4"/>
      <c r="J3" s="1"/>
      <c r="K3" s="1"/>
      <c r="L3" s="1"/>
      <c r="M3" s="1"/>
    </row>
    <row r="4" spans="1:13" x14ac:dyDescent="0.25">
      <c r="A4" s="1"/>
      <c r="B4" s="1"/>
      <c r="C4" s="1"/>
      <c r="D4" s="24"/>
      <c r="E4" s="25"/>
      <c r="F4" s="1"/>
      <c r="G4" s="1"/>
      <c r="H4" s="1"/>
      <c r="I4" s="4"/>
      <c r="J4" s="1"/>
      <c r="K4" s="1"/>
      <c r="L4" s="1"/>
      <c r="M4" s="1"/>
    </row>
    <row r="5" spans="1:13" x14ac:dyDescent="0.25">
      <c r="A5" s="59" t="s">
        <v>0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x14ac:dyDescent="0.25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</row>
    <row r="7" spans="1:13" x14ac:dyDescent="0.25">
      <c r="A7" s="59" t="s">
        <v>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spans="1:13" x14ac:dyDescent="0.25">
      <c r="A8" s="59" t="s">
        <v>3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</row>
    <row r="9" spans="1:13" x14ac:dyDescent="0.25">
      <c r="A9" s="1"/>
      <c r="B9" s="1"/>
      <c r="C9" s="1"/>
      <c r="D9" s="4"/>
      <c r="E9" s="1"/>
      <c r="F9" s="1"/>
      <c r="G9" s="1"/>
      <c r="H9" s="1"/>
      <c r="I9" s="4"/>
      <c r="J9" s="1"/>
      <c r="K9" s="1"/>
      <c r="L9" s="1"/>
      <c r="M9" s="1"/>
    </row>
    <row r="10" spans="1:13" x14ac:dyDescent="0.25">
      <c r="A10" s="1"/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</row>
    <row r="11" spans="1:13" x14ac:dyDescent="0.25">
      <c r="A11" s="26" t="s">
        <v>43</v>
      </c>
      <c r="B11" s="26"/>
      <c r="C11" s="26"/>
      <c r="D11" s="58" t="s">
        <v>35</v>
      </c>
      <c r="E11" s="58"/>
      <c r="F11" s="58"/>
      <c r="G11" s="58"/>
      <c r="H11" s="58"/>
      <c r="I11" s="1"/>
      <c r="J11" s="58" t="s">
        <v>36</v>
      </c>
      <c r="K11" s="58"/>
      <c r="L11" s="58"/>
      <c r="M11" s="26"/>
    </row>
    <row r="12" spans="1:13" x14ac:dyDescent="0.25">
      <c r="A12" s="1"/>
      <c r="B12" s="1"/>
      <c r="C12" s="27"/>
      <c r="D12" s="58" t="s">
        <v>45</v>
      </c>
      <c r="E12" s="58"/>
      <c r="F12" s="58"/>
      <c r="G12" s="58"/>
      <c r="H12" s="58"/>
      <c r="I12" s="1"/>
      <c r="J12" s="99" t="s">
        <v>37</v>
      </c>
      <c r="K12" s="99"/>
      <c r="L12" s="99"/>
      <c r="M12" s="27"/>
    </row>
    <row r="13" spans="1:13" x14ac:dyDescent="0.25">
      <c r="A13" s="26" t="s">
        <v>44</v>
      </c>
      <c r="B13" s="26"/>
      <c r="C13" s="26"/>
      <c r="D13" s="28"/>
      <c r="E13" s="27"/>
      <c r="F13" s="27"/>
      <c r="G13" s="1"/>
      <c r="H13" s="1"/>
      <c r="I13" s="1"/>
      <c r="J13" s="58" t="s">
        <v>7</v>
      </c>
      <c r="K13" s="58"/>
      <c r="L13" s="58"/>
      <c r="M13" s="26"/>
    </row>
    <row r="14" spans="1:13" ht="21" x14ac:dyDescent="0.25">
      <c r="A14" s="100" t="s">
        <v>38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</row>
    <row r="15" spans="1:13" x14ac:dyDescent="0.25">
      <c r="A15" s="101" t="s">
        <v>39</v>
      </c>
      <c r="B15" s="98" t="s">
        <v>9</v>
      </c>
      <c r="C15" s="97" t="s">
        <v>40</v>
      </c>
      <c r="D15" s="97"/>
      <c r="E15" s="97" t="s">
        <v>41</v>
      </c>
      <c r="F15" s="97"/>
      <c r="G15" s="97" t="s">
        <v>13</v>
      </c>
      <c r="H15" s="97"/>
      <c r="I15" s="97" t="s">
        <v>14</v>
      </c>
      <c r="J15" s="97"/>
      <c r="K15" s="97" t="s">
        <v>15</v>
      </c>
      <c r="L15" s="97"/>
      <c r="M15" s="98" t="s">
        <v>11</v>
      </c>
    </row>
    <row r="16" spans="1:13" x14ac:dyDescent="0.25">
      <c r="A16" s="101"/>
      <c r="B16" s="98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8"/>
    </row>
    <row r="17" spans="1:13" x14ac:dyDescent="0.25">
      <c r="A17" s="101"/>
      <c r="B17" s="98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8"/>
    </row>
    <row r="18" spans="1:13" ht="21" customHeight="1" x14ac:dyDescent="0.25">
      <c r="A18" s="29" t="s">
        <v>49</v>
      </c>
      <c r="B18" s="29" t="s">
        <v>48</v>
      </c>
      <c r="C18" s="96" t="s">
        <v>46</v>
      </c>
      <c r="D18" s="96"/>
      <c r="E18" s="96"/>
      <c r="F18" s="96"/>
      <c r="G18" s="96">
        <v>5</v>
      </c>
      <c r="H18" s="96"/>
      <c r="I18" s="96">
        <v>0</v>
      </c>
      <c r="J18" s="96"/>
      <c r="K18" s="96">
        <v>5</v>
      </c>
      <c r="L18" s="96"/>
      <c r="M18" s="42">
        <v>5</v>
      </c>
    </row>
    <row r="19" spans="1:13" ht="22.5" customHeight="1" x14ac:dyDescent="0.25">
      <c r="A19" s="29" t="s">
        <v>49</v>
      </c>
      <c r="B19" s="29" t="s">
        <v>47</v>
      </c>
      <c r="C19" s="96" t="s">
        <v>46</v>
      </c>
      <c r="D19" s="96"/>
      <c r="E19" s="96"/>
      <c r="F19" s="96"/>
      <c r="G19" s="96"/>
      <c r="H19" s="96"/>
      <c r="I19" s="96">
        <v>2</v>
      </c>
      <c r="J19" s="96"/>
      <c r="K19" s="96">
        <v>3</v>
      </c>
      <c r="L19" s="96"/>
      <c r="M19" s="42">
        <v>3</v>
      </c>
    </row>
    <row r="20" spans="1:13" ht="22.5" customHeight="1" x14ac:dyDescent="0.25">
      <c r="A20" s="29" t="s">
        <v>49</v>
      </c>
      <c r="B20" s="29" t="s">
        <v>50</v>
      </c>
      <c r="C20" s="96" t="s">
        <v>46</v>
      </c>
      <c r="D20" s="96"/>
      <c r="E20" s="96"/>
      <c r="F20" s="96"/>
      <c r="G20" s="96"/>
      <c r="H20" s="96"/>
      <c r="I20" s="96">
        <v>2</v>
      </c>
      <c r="J20" s="96"/>
      <c r="K20" s="96">
        <v>1</v>
      </c>
      <c r="L20" s="96"/>
      <c r="M20" s="42">
        <v>1</v>
      </c>
    </row>
    <row r="21" spans="1:13" ht="22.5" customHeight="1" x14ac:dyDescent="0.25">
      <c r="A21" s="29"/>
      <c r="B21" s="29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42"/>
    </row>
    <row r="22" spans="1:13" ht="22.5" customHeight="1" x14ac:dyDescent="0.25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</row>
    <row r="23" spans="1:13" ht="21" customHeight="1" x14ac:dyDescent="0.25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I25" t="s">
        <v>42</v>
      </c>
    </row>
  </sheetData>
  <mergeCells count="38">
    <mergeCell ref="K19:L19"/>
    <mergeCell ref="C19:D19"/>
    <mergeCell ref="E18:F18"/>
    <mergeCell ref="G18:H18"/>
    <mergeCell ref="E19:F19"/>
    <mergeCell ref="G19:H19"/>
    <mergeCell ref="I18:J18"/>
    <mergeCell ref="I19:J19"/>
    <mergeCell ref="C18:D18"/>
    <mergeCell ref="K18:L18"/>
    <mergeCell ref="K15:L17"/>
    <mergeCell ref="M15:M17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A5:M5"/>
    <mergeCell ref="A6:M6"/>
    <mergeCell ref="A7:M7"/>
    <mergeCell ref="A8:M8"/>
    <mergeCell ref="D11:H11"/>
    <mergeCell ref="J11:L11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</mergeCells>
  <pageMargins left="0.7" right="0.7" top="0.75" bottom="0.75" header="0.3" footer="0.3"/>
  <pageSetup paperSize="9" scale="75" fitToWidth="0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</vt:lpstr>
      <vt:lpstr>CTO</vt:lpstr>
      <vt:lpstr>NLE</vt:lpstr>
      <vt:lpstr>CTO!Print_Area</vt:lpstr>
      <vt:lpstr>'Leave Card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2026-01-14T05:00:15Z</cp:lastPrinted>
  <dcterms:created xsi:type="dcterms:W3CDTF">2022-11-25T08:30:02Z</dcterms:created>
  <dcterms:modified xsi:type="dcterms:W3CDTF">2026-01-14T05:04:24Z</dcterms:modified>
</cp:coreProperties>
</file>