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as TIC" sheetId="12" r:id="rId1"/>
    <sheet name="Election &amp; NLC" sheetId="13" r:id="rId2"/>
  </sheets>
  <definedNames>
    <definedName name="_xlnm.Print_Area" localSheetId="1">'Election &amp; NLC'!$A$1:$G$26</definedName>
    <definedName name="_xlnm.Print_Area" localSheetId="0">'Leave Card as TIC'!$A$1:$J$37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<sst xmlns="http://schemas.openxmlformats.org/spreadsheetml/2006/main" count="70" uniqueCount="61">
  <si>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</si>
  <si>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</si>
  <si>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</si>
  <si>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</si>
  <si>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</si>
  <si>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</si>
  <si>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</si>
  <si>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</si>
  <si>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</si>
  <si>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</si>
  <si>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</si>
  <si>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</si>
  <si>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</si>
  <si>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</si>
  <si>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</si>
  <si>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</si>
  <si>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</si>
  <si>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</si>
  <si>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</si>
  <si>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</si>
  <si>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</si>
  <si>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DESIGNATED AS TIC: EFFECTIVE JULY 29, 2024</t>
  </si>
  <si>
    <t>PROMOTED TO PRINCIPAL I: JANUARY 06, 2025</t>
  </si>
  <si>
    <r>
      <rPr>
        <sz val="11"/>
        <color theme="1"/>
        <rFont val="Calibri"/>
        <charset val="134"/>
        <scheme val="minor"/>
      </rPr>
      <t xml:space="preserve">ADD: UNUSED VSC </t>
    </r>
    <r>
      <rPr>
        <b/>
        <sz val="11"/>
        <color theme="1"/>
        <rFont val="Calibri"/>
        <charset val="134"/>
        <scheme val="minor"/>
      </rPr>
      <t xml:space="preserve">20 DAYS:                   </t>
    </r>
    <r>
      <rPr>
        <sz val="11"/>
        <color theme="1"/>
        <rFont val="Calibri"/>
        <charset val="134"/>
        <scheme val="minor"/>
      </rPr>
      <t xml:space="preserve"> FORMULA: 30Y/69/2 </t>
    </r>
  </si>
  <si>
    <t>ADD: 07/29-31/2024</t>
  </si>
  <si>
    <t>ADD: 08/1/2024-11/30/2024</t>
  </si>
  <si>
    <t>LESS: 12/27/2024</t>
  </si>
  <si>
    <t>ADD: 12/1-31/2024</t>
  </si>
  <si>
    <t>ADD: 01/1/2025-03/31/2025</t>
  </si>
  <si>
    <t>LESS: 05/19-21/2025</t>
  </si>
  <si>
    <t>ADD: 04/1-30/2025</t>
  </si>
  <si>
    <t>LESS: 05/5/2025</t>
  </si>
  <si>
    <t>ADD: 05/1/2025-07/31/2025</t>
  </si>
  <si>
    <t>LESS: 09/4-5/2025</t>
  </si>
  <si>
    <t>ADD: 08/1/2025-09/30/2025</t>
  </si>
  <si>
    <t>LESS: 10/8/2025</t>
  </si>
  <si>
    <t>ADD: 10/1/2025-11/30/2025</t>
  </si>
  <si>
    <t>LESS: 12/15-17/2025</t>
  </si>
  <si>
    <t>LESS: 12/22,23,26/2025</t>
  </si>
  <si>
    <t xml:space="preserve">  </t>
  </si>
  <si>
    <t>REGION VI-WESTERN VISAYAS</t>
  </si>
  <si>
    <r>
      <rPr>
        <b/>
        <sz val="12"/>
        <color theme="1"/>
        <rFont val="Calibri"/>
        <charset val="134"/>
        <scheme val="minor"/>
      </rPr>
      <t>NAME          :</t>
    </r>
    <r>
      <rPr>
        <b/>
        <u/>
        <sz val="12"/>
        <color theme="1"/>
        <rFont val="Calibri"/>
        <charset val="134"/>
        <scheme val="minor"/>
      </rPr>
      <t xml:space="preserve"> </t>
    </r>
  </si>
  <si>
    <t xml:space="preserve">DISTRICT : </t>
  </si>
  <si>
    <t xml:space="preserve">EMPLOYEE NO.: </t>
  </si>
  <si>
    <t xml:space="preserve">STATION CODE: </t>
  </si>
  <si>
    <r>
      <rPr>
        <b/>
        <sz val="12"/>
        <color theme="1"/>
        <rFont val="Calibri"/>
        <charset val="134"/>
        <scheme val="minor"/>
      </rPr>
      <t xml:space="preserve">POSITION   : </t>
    </r>
    <r>
      <rPr>
        <b/>
        <u/>
        <sz val="12"/>
        <color theme="1"/>
        <rFont val="Calibri"/>
        <charset val="134"/>
        <scheme val="minor"/>
      </rPr>
      <t>T-I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</si>
  <si>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</si>
  <si>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</si>
  <si>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</si>
  <si>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</si>
  <si>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</si>
  <si>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</si>
  <si>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No. of Days Granted</t>
  </si>
  <si>
    <t>No. of Days Used</t>
  </si>
  <si>
    <t>Balance</t>
  </si>
  <si>
    <t>S.O. # 051, S. 2022.</t>
  </si>
  <si>
    <t>MAY 9, 2022 ELECTION</t>
  </si>
  <si>
    <t>S.O. # 137, S. 2023</t>
  </si>
  <si>
    <t>10/17/2023</t>
  </si>
  <si>
    <t>NATIONAL LEARNING CAMP 2023</t>
  </si>
  <si>
    <t>20 DAYS-CONVERTED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</si>
</sst>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3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4" applyNumberFormat="0" applyFill="0" applyAlignment="0" applyProtection="0">
      <alignment vertical="center"/>
    </xf>
    <xf numFmtId="0" fontId="20" fillId="0" borderId="34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36" applyNumberFormat="0" applyAlignment="0" applyProtection="0">
      <alignment vertical="center"/>
    </xf>
    <xf numFmtId="0" fontId="23" fillId="15" borderId="37" applyNumberFormat="0" applyAlignment="0" applyProtection="0">
      <alignment vertical="center"/>
    </xf>
    <xf numFmtId="0" fontId="24" fillId="15" borderId="36" applyNumberFormat="0" applyAlignment="0" applyProtection="0">
      <alignment vertical="center"/>
    </xf>
    <xf numFmtId="0" fontId="25" fillId="16" borderId="38" applyNumberFormat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7" fillId="0" borderId="40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9">
    <xf numFmtId="0" fontId="0" fillId="0" borderId="0" xfId="0"/>
    <xf numFmtId="0" fontId="1" fillId="2" borderId="0" xfId="50" applyFill="1"/>
    <xf numFmtId="0" fontId="2" fillId="0" borderId="0" xfId="50" applyFont="1"/>
    <xf numFmtId="0" fontId="3" fillId="0" borderId="0" xfId="50" applyFont="1"/>
    <xf numFmtId="0" fontId="1" fillId="0" borderId="0" xfId="50"/>
    <xf numFmtId="0" fontId="1" fillId="3" borderId="0" xfId="50" applyFill="1"/>
    <xf numFmtId="0" fontId="1" fillId="4" borderId="0" xfId="50" applyFill="1"/>
    <xf numFmtId="0" fontId="1" fillId="2" borderId="0" xfId="50" applyFill="1" applyAlignment="1">
      <alignment horizontal="center"/>
    </xf>
    <xf numFmtId="0" fontId="4" fillId="2" borderId="0" xfId="50" applyFont="1" applyFill="1" applyAlignment="1">
      <alignment horizontal="center" vertical="center"/>
    </xf>
    <xf numFmtId="0" fontId="5" fillId="2" borderId="0" xfId="50" applyFont="1" applyFill="1" applyAlignment="1">
      <alignment vertical="center"/>
    </xf>
    <xf numFmtId="0" fontId="4" fillId="2" borderId="0" xfId="50" applyFont="1" applyFill="1" applyAlignment="1">
      <alignment horizontal="left" vertical="center"/>
    </xf>
    <xf numFmtId="0" fontId="4" fillId="2" borderId="0" xfId="50" applyFont="1" applyFill="1" applyAlignment="1">
      <alignment vertical="center"/>
    </xf>
    <xf numFmtId="0" fontId="6" fillId="2" borderId="0" xfId="50" applyFont="1" applyFill="1"/>
    <xf numFmtId="0" fontId="4" fillId="2" borderId="0" xfId="50" applyFont="1" applyFill="1"/>
    <xf numFmtId="0" fontId="4" fillId="2" borderId="0" xfId="50" applyFont="1" applyFill="1" applyAlignment="1">
      <alignment horizontal="left"/>
    </xf>
    <xf numFmtId="0" fontId="7" fillId="2" borderId="1" xfId="50" applyFont="1" applyFill="1" applyBorder="1" applyAlignment="1">
      <alignment horizontal="center" vertical="center"/>
    </xf>
    <xf numFmtId="0" fontId="7" fillId="2" borderId="2" xfId="50" applyFont="1" applyFill="1" applyBorder="1" applyAlignment="1">
      <alignment horizontal="center" vertical="center"/>
    </xf>
    <xf numFmtId="0" fontId="7" fillId="2" borderId="3" xfId="50" applyFont="1" applyFill="1" applyBorder="1" applyAlignment="1">
      <alignment horizontal="center" vertical="center"/>
    </xf>
    <xf numFmtId="0" fontId="8" fillId="5" borderId="1" xfId="50" applyFont="1" applyFill="1" applyBorder="1" applyAlignment="1">
      <alignment horizontal="center" vertical="center" wrapText="1"/>
    </xf>
    <xf numFmtId="0" fontId="8" fillId="5" borderId="1" xfId="50" applyFont="1" applyFill="1" applyBorder="1" applyAlignment="1">
      <alignment horizontal="center" vertical="center"/>
    </xf>
    <xf numFmtId="0" fontId="9" fillId="6" borderId="4" xfId="50" applyFont="1" applyFill="1" applyBorder="1" applyAlignment="1">
      <alignment horizontal="center" vertical="center" wrapText="1"/>
    </xf>
    <xf numFmtId="0" fontId="9" fillId="6" borderId="5" xfId="50" applyFont="1" applyFill="1" applyBorder="1" applyAlignment="1">
      <alignment horizontal="center" vertical="center" wrapText="1"/>
    </xf>
    <xf numFmtId="0" fontId="8" fillId="5" borderId="6" xfId="50" applyFont="1" applyFill="1" applyBorder="1" applyAlignment="1">
      <alignment horizontal="center" vertical="center"/>
    </xf>
    <xf numFmtId="0" fontId="1" fillId="2" borderId="7" xfId="52" applyFont="1" applyFill="1" applyBorder="1" applyAlignment="1">
      <alignment horizontal="center" vertical="center" wrapText="1"/>
    </xf>
    <xf numFmtId="58" fontId="1" fillId="2" borderId="8" xfId="52" applyNumberFormat="1" applyFill="1" applyBorder="1" applyAlignment="1">
      <alignment horizontal="center" vertical="center"/>
    </xf>
    <xf numFmtId="0" fontId="9" fillId="2" borderId="9" xfId="52" applyFont="1" applyFill="1" applyBorder="1" applyAlignment="1">
      <alignment vertical="center" wrapText="1"/>
    </xf>
    <xf numFmtId="0" fontId="9" fillId="2" borderId="9" xfId="52" applyFont="1" applyFill="1" applyBorder="1" applyAlignment="1">
      <alignment horizontal="center" vertical="center" wrapText="1"/>
    </xf>
    <xf numFmtId="0" fontId="10" fillId="2" borderId="10" xfId="50" applyFont="1" applyFill="1" applyBorder="1" applyAlignment="1">
      <alignment horizontal="center" vertical="center" wrapText="1"/>
    </xf>
    <xf numFmtId="0" fontId="5" fillId="2" borderId="11" xfId="50" applyFont="1" applyFill="1" applyBorder="1" applyAlignment="1">
      <alignment horizontal="center" vertical="center" wrapText="1"/>
    </xf>
    <xf numFmtId="58" fontId="1" fillId="2" borderId="8" xfId="52" applyNumberFormat="1" applyFont="1" applyFill="1" applyBorder="1" applyAlignment="1">
      <alignment horizontal="center" vertical="center"/>
    </xf>
    <xf numFmtId="0" fontId="1" fillId="2" borderId="12" xfId="52" applyFont="1" applyFill="1" applyBorder="1" applyAlignment="1">
      <alignment horizontal="center" vertical="center" wrapText="1"/>
    </xf>
    <xf numFmtId="0" fontId="1" fillId="2" borderId="8" xfId="52" applyFont="1" applyFill="1" applyBorder="1" applyAlignment="1">
      <alignment horizontal="center" vertical="center"/>
    </xf>
    <xf numFmtId="0" fontId="1" fillId="2" borderId="8" xfId="52" applyFill="1" applyBorder="1" applyAlignment="1">
      <alignment horizontal="center" vertical="center"/>
    </xf>
    <xf numFmtId="0" fontId="1" fillId="2" borderId="7" xfId="52" applyFill="1" applyBorder="1" applyAlignment="1">
      <alignment horizontal="center" vertical="center" wrapText="1"/>
    </xf>
    <xf numFmtId="0" fontId="1" fillId="2" borderId="12" xfId="52" applyFill="1" applyBorder="1" applyAlignment="1">
      <alignment horizontal="center" vertical="center" wrapText="1"/>
    </xf>
    <xf numFmtId="0" fontId="1" fillId="2" borderId="9" xfId="52" applyFill="1" applyBorder="1" applyAlignment="1">
      <alignment horizontal="center" vertical="center" wrapText="1"/>
    </xf>
    <xf numFmtId="0" fontId="10" fillId="2" borderId="13" xfId="50" applyFont="1" applyFill="1" applyBorder="1" applyAlignment="1">
      <alignment horizontal="center" vertical="center" wrapText="1"/>
    </xf>
    <xf numFmtId="0" fontId="5" fillId="2" borderId="14" xfId="50" applyFont="1" applyFill="1" applyBorder="1" applyAlignment="1">
      <alignment horizontal="center" vertical="center" wrapText="1"/>
    </xf>
    <xf numFmtId="0" fontId="5" fillId="2" borderId="15" xfId="50" applyFont="1" applyFill="1" applyBorder="1" applyAlignment="1">
      <alignment horizontal="right" vertical="center" wrapText="1"/>
    </xf>
    <xf numFmtId="0" fontId="5" fillId="2" borderId="16" xfId="50" applyFont="1" applyFill="1" applyBorder="1" applyAlignment="1">
      <alignment horizontal="right" vertical="center" wrapText="1"/>
    </xf>
    <xf numFmtId="0" fontId="5" fillId="2" borderId="17" xfId="50" applyFont="1" applyFill="1" applyBorder="1" applyAlignment="1">
      <alignment horizontal="right" vertical="center" wrapText="1"/>
    </xf>
    <xf numFmtId="0" fontId="11" fillId="2" borderId="14" xfId="50" applyFont="1" applyFill="1" applyBorder="1" applyAlignment="1">
      <alignment horizontal="center" vertical="center" wrapText="1"/>
    </xf>
    <xf numFmtId="0" fontId="3" fillId="2" borderId="0" xfId="50" applyFont="1" applyFill="1" applyAlignment="1">
      <alignment horizontal="center" vertical="center"/>
    </xf>
    <xf numFmtId="0" fontId="1" fillId="2" borderId="0" xfId="51" applyFill="1"/>
    <xf numFmtId="0" fontId="1" fillId="0" borderId="0" xfId="51" applyFill="1"/>
    <xf numFmtId="0" fontId="1" fillId="0" borderId="0" xfId="51"/>
    <xf numFmtId="0" fontId="1" fillId="0" borderId="0" xfId="51" applyAlignment="1">
      <alignment horizontal="center" vertical="center"/>
    </xf>
    <xf numFmtId="0" fontId="12" fillId="0" borderId="0" xfId="51" applyFont="1"/>
    <xf numFmtId="0" fontId="1" fillId="2" borderId="0" xfId="51" applyFill="1" applyAlignment="1">
      <alignment horizontal="center" vertical="center"/>
    </xf>
    <xf numFmtId="0" fontId="1" fillId="2" borderId="0" xfId="51" applyFont="1" applyFill="1" applyAlignment="1">
      <alignment horizontal="center" vertical="center"/>
    </xf>
    <xf numFmtId="0" fontId="4" fillId="2" borderId="0" xfId="51" applyFont="1" applyFill="1" applyAlignment="1">
      <alignment horizontal="left" vertical="center"/>
    </xf>
    <xf numFmtId="0" fontId="4" fillId="2" borderId="0" xfId="51" applyFont="1" applyFill="1" applyAlignment="1">
      <alignment vertical="center"/>
    </xf>
    <xf numFmtId="0" fontId="4" fillId="2" borderId="0" xfId="51" applyFont="1" applyFill="1"/>
    <xf numFmtId="0" fontId="7" fillId="2" borderId="18" xfId="51" applyFont="1" applyFill="1" applyBorder="1" applyAlignment="1">
      <alignment horizontal="center" vertical="center"/>
    </xf>
    <xf numFmtId="0" fontId="4" fillId="7" borderId="19" xfId="51" applyFont="1" applyFill="1" applyBorder="1" applyAlignment="1">
      <alignment horizontal="center" vertical="center"/>
    </xf>
    <xf numFmtId="0" fontId="4" fillId="8" borderId="20" xfId="51" applyFont="1" applyFill="1" applyBorder="1" applyAlignment="1">
      <alignment horizontal="center" vertical="center"/>
    </xf>
    <xf numFmtId="0" fontId="4" fillId="8" borderId="21" xfId="51" applyFont="1" applyFill="1" applyBorder="1" applyAlignment="1">
      <alignment horizontal="center" vertical="center"/>
    </xf>
    <xf numFmtId="0" fontId="4" fillId="9" borderId="20" xfId="51" applyFont="1" applyFill="1" applyBorder="1" applyAlignment="1">
      <alignment horizontal="center" vertical="center"/>
    </xf>
    <xf numFmtId="0" fontId="4" fillId="9" borderId="21" xfId="51" applyFont="1" applyFill="1" applyBorder="1" applyAlignment="1">
      <alignment horizontal="center" vertical="center"/>
    </xf>
    <xf numFmtId="0" fontId="4" fillId="9" borderId="22" xfId="51" applyFont="1" applyFill="1" applyBorder="1" applyAlignment="1">
      <alignment horizontal="center" vertical="center"/>
    </xf>
    <xf numFmtId="0" fontId="4" fillId="10" borderId="20" xfId="51" applyFont="1" applyFill="1" applyBorder="1" applyAlignment="1">
      <alignment horizontal="center" vertical="center"/>
    </xf>
    <xf numFmtId="0" fontId="4" fillId="7" borderId="23" xfId="51" applyFont="1" applyFill="1" applyBorder="1" applyAlignment="1">
      <alignment horizontal="center" vertical="center"/>
    </xf>
    <xf numFmtId="0" fontId="4" fillId="2" borderId="24" xfId="51" applyFont="1" applyFill="1" applyBorder="1" applyAlignment="1">
      <alignment horizontal="center" vertical="center"/>
    </xf>
    <xf numFmtId="0" fontId="4" fillId="7" borderId="25" xfId="51" applyFont="1" applyFill="1" applyBorder="1" applyAlignment="1">
      <alignment horizontal="left" vertical="center"/>
    </xf>
    <xf numFmtId="0" fontId="4" fillId="7" borderId="26" xfId="51" applyFont="1" applyFill="1" applyBorder="1" applyAlignment="1">
      <alignment horizontal="left" vertical="center"/>
    </xf>
    <xf numFmtId="0" fontId="4" fillId="7" borderId="27" xfId="51" applyFont="1" applyFill="1" applyBorder="1" applyAlignment="1">
      <alignment horizontal="left" vertical="center"/>
    </xf>
    <xf numFmtId="0" fontId="4" fillId="7" borderId="28" xfId="51" applyFont="1" applyFill="1" applyBorder="1" applyAlignment="1">
      <alignment horizontal="left" vertical="center"/>
    </xf>
    <xf numFmtId="0" fontId="1" fillId="2" borderId="7" xfId="51" applyFont="1" applyFill="1" applyBorder="1" applyAlignment="1">
      <alignment horizontal="center" vertical="center" wrapText="1"/>
    </xf>
    <xf numFmtId="0" fontId="1" fillId="2" borderId="8" xfId="51" applyFill="1" applyBorder="1" applyAlignment="1">
      <alignment horizontal="center" vertical="center"/>
    </xf>
    <xf numFmtId="0" fontId="1" fillId="2" borderId="8" xfId="51" applyFill="1" applyBorder="1" applyAlignment="1">
      <alignment horizontal="center" vertical="center" wrapText="1"/>
    </xf>
    <xf numFmtId="176" fontId="1" fillId="2" borderId="8" xfId="51" applyNumberFormat="1" applyFill="1" applyBorder="1" applyAlignment="1">
      <alignment horizontal="center" vertical="center"/>
    </xf>
    <xf numFmtId="0" fontId="1" fillId="2" borderId="7" xfId="51" applyFill="1" applyBorder="1" applyAlignment="1">
      <alignment horizontal="center" vertical="center" wrapText="1"/>
    </xf>
    <xf numFmtId="0" fontId="1" fillId="2" borderId="9" xfId="51" applyFill="1" applyBorder="1" applyAlignment="1">
      <alignment horizontal="center" vertical="center" wrapText="1"/>
    </xf>
    <xf numFmtId="0" fontId="1" fillId="2" borderId="9" xfId="51" applyFill="1" applyBorder="1" applyAlignment="1">
      <alignment horizontal="center" vertical="center"/>
    </xf>
    <xf numFmtId="176" fontId="1" fillId="2" borderId="9" xfId="51" applyNumberFormat="1" applyFill="1" applyBorder="1" applyAlignment="1">
      <alignment horizontal="center" vertical="center"/>
    </xf>
    <xf numFmtId="0" fontId="1" fillId="0" borderId="9" xfId="51" applyBorder="1" applyAlignment="1">
      <alignment horizontal="center" vertical="center"/>
    </xf>
    <xf numFmtId="0" fontId="1" fillId="0" borderId="9" xfId="51" applyFont="1" applyBorder="1" applyAlignment="1">
      <alignment horizontal="center" vertical="center" wrapText="1"/>
    </xf>
    <xf numFmtId="0" fontId="1" fillId="0" borderId="9" xfId="51" applyBorder="1" applyAlignment="1">
      <alignment horizontal="center" vertical="center" wrapText="1"/>
    </xf>
    <xf numFmtId="0" fontId="1" fillId="11" borderId="9" xfId="51" applyFill="1" applyBorder="1" applyAlignment="1">
      <alignment horizontal="center" vertical="center"/>
    </xf>
    <xf numFmtId="0" fontId="1" fillId="0" borderId="9" xfId="51" applyFont="1" applyFill="1" applyBorder="1" applyAlignment="1">
      <alignment horizontal="center" vertical="center" wrapText="1"/>
    </xf>
    <xf numFmtId="0" fontId="1" fillId="0" borderId="9" xfId="51" applyFill="1" applyBorder="1" applyAlignment="1">
      <alignment horizontal="center" vertical="center"/>
    </xf>
    <xf numFmtId="0" fontId="1" fillId="0" borderId="9" xfId="51" applyFill="1" applyBorder="1" applyAlignment="1">
      <alignment horizontal="center" vertical="center" wrapText="1"/>
    </xf>
    <xf numFmtId="0" fontId="1" fillId="0" borderId="9" xfId="51" applyBorder="1" applyAlignment="1">
      <alignment horizontal="center"/>
    </xf>
    <xf numFmtId="0" fontId="1" fillId="0" borderId="9" xfId="51" applyBorder="1"/>
    <xf numFmtId="0" fontId="1" fillId="0" borderId="9" xfId="51" applyBorder="1" applyAlignment="1">
      <alignment horizontal="center" vertical="center"/>
    </xf>
    <xf numFmtId="0" fontId="1" fillId="12" borderId="9" xfId="51" applyFill="1" applyBorder="1" applyAlignment="1">
      <alignment horizontal="center" vertical="center"/>
    </xf>
    <xf numFmtId="176" fontId="1" fillId="2" borderId="0" xfId="51" applyNumberFormat="1" applyFill="1" applyAlignment="1">
      <alignment horizontal="center" vertical="center"/>
    </xf>
    <xf numFmtId="0" fontId="4" fillId="2" borderId="12" xfId="51" applyFont="1" applyFill="1" applyBorder="1" applyAlignment="1">
      <alignment horizontal="center" vertical="center"/>
    </xf>
    <xf numFmtId="0" fontId="4" fillId="2" borderId="12" xfId="51" applyFont="1" applyFill="1" applyBorder="1" applyAlignment="1">
      <alignment vertical="center"/>
    </xf>
    <xf numFmtId="0" fontId="4" fillId="10" borderId="21" xfId="51" applyFont="1" applyFill="1" applyBorder="1" applyAlignment="1">
      <alignment horizontal="center" vertical="center"/>
    </xf>
    <xf numFmtId="0" fontId="4" fillId="7" borderId="29" xfId="51" applyFont="1" applyFill="1" applyBorder="1" applyAlignment="1">
      <alignment horizontal="center" vertical="center"/>
    </xf>
    <xf numFmtId="0" fontId="13" fillId="0" borderId="23" xfId="51" applyFont="1" applyBorder="1" applyAlignment="1">
      <alignment horizontal="center" vertical="center"/>
    </xf>
    <xf numFmtId="0" fontId="4" fillId="7" borderId="30" xfId="51" applyFont="1" applyFill="1" applyBorder="1" applyAlignment="1">
      <alignment horizontal="center" vertical="center"/>
    </xf>
    <xf numFmtId="0" fontId="4" fillId="7" borderId="31" xfId="51" applyFont="1" applyFill="1" applyBorder="1" applyAlignment="1">
      <alignment horizontal="left" vertical="center"/>
    </xf>
    <xf numFmtId="0" fontId="13" fillId="0" borderId="0" xfId="51" applyFont="1" applyAlignment="1">
      <alignment horizontal="center" vertical="center"/>
    </xf>
    <xf numFmtId="0" fontId="4" fillId="7" borderId="32" xfId="51" applyFont="1" applyFill="1" applyBorder="1" applyAlignment="1">
      <alignment horizontal="left" vertical="center"/>
    </xf>
    <xf numFmtId="176" fontId="1" fillId="2" borderId="11" xfId="51" applyNumberFormat="1" applyFill="1" applyBorder="1" applyAlignment="1">
      <alignment horizontal="center" vertical="center"/>
    </xf>
    <xf numFmtId="176" fontId="1" fillId="2" borderId="14" xfId="51" applyNumberFormat="1" applyFill="1" applyBorder="1" applyAlignment="1">
      <alignment horizontal="center" vertical="center"/>
    </xf>
    <xf numFmtId="0" fontId="12" fillId="0" borderId="0" xfId="51" applyFont="1" applyFill="1"/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  <cellStyle name="Normal 3 2" xfId="52"/>
    <cellStyle name="Normal 4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45635" y="24765"/>
          <a:ext cx="61976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573941</xdr:colOff>
      <xdr:row>4</xdr:row>
      <xdr:rowOff>170961</xdr:rowOff>
    </xdr:from>
    <xdr:to>
      <xdr:col>1</xdr:col>
      <xdr:colOff>134787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206946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VALLOTA,</a:t>
          </a:r>
          <a:r>
            <a:rPr lang="en-US" sz="1100" baseline="0"/>
            <a:t> JOVELYN V.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89166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TIC to P-I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5" name="TextBox 4"/>
        <xdr:cNvSpPr txBox="1"/>
      </xdr:nvSpPr>
      <xdr:spPr>
        <a:xfrm>
          <a:off x="371665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VISTA</a:t>
          </a:r>
          <a:r>
            <a:rPr lang="en-US" sz="1100" baseline="0"/>
            <a:t> IS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31</xdr:row>
      <xdr:rowOff>53914</xdr:rowOff>
    </xdr:from>
    <xdr:to>
      <xdr:col>9</xdr:col>
      <xdr:colOff>672043</xdr:colOff>
      <xdr:row>36</xdr:row>
      <xdr:rowOff>170731</xdr:rowOff>
    </xdr:to>
    <xdr:sp>
      <xdr:nvSpPr>
        <xdr:cNvPr id="6" name="TextBox 5"/>
        <xdr:cNvSpPr txBox="1"/>
      </xdr:nvSpPr>
      <xdr:spPr>
        <a:xfrm>
          <a:off x="6030595" y="6885305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endParaRPr lang="en-PH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5445" y="4762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209550</xdr:rowOff>
    </xdr:from>
    <xdr:to>
      <xdr:col>2</xdr:col>
      <xdr:colOff>962025</xdr:colOff>
      <xdr:row>25</xdr:row>
      <xdr:rowOff>123825</xdr:rowOff>
    </xdr:to>
    <xdr:sp>
      <xdr:nvSpPr>
        <xdr:cNvPr id="3" name="TextBox 2"/>
        <xdr:cNvSpPr txBox="1"/>
      </xdr:nvSpPr>
      <xdr:spPr>
        <a:xfrm>
          <a:off x="76200" y="5431155"/>
          <a:ext cx="381444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  <a:endParaRPr lang="en-US" sz="1100" baseline="0"/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23</xdr:row>
      <xdr:rowOff>236220</xdr:rowOff>
    </xdr:from>
    <xdr:to>
      <xdr:col>6</xdr:col>
      <xdr:colOff>476250</xdr:colOff>
      <xdr:row>25</xdr:row>
      <xdr:rowOff>150495</xdr:rowOff>
    </xdr:to>
    <xdr:sp>
      <xdr:nvSpPr>
        <xdr:cNvPr id="4" name="TextBox 3"/>
        <xdr:cNvSpPr txBox="1"/>
      </xdr:nvSpPr>
      <xdr:spPr>
        <a:xfrm>
          <a:off x="5405120" y="5457825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5"/>
  <sheetViews>
    <sheetView tabSelected="1" view="pageBreakPreview" zoomScale="106" zoomScaleNormal="100" topLeftCell="A17" workbookViewId="0">
      <selection activeCell="A28" sqref="$A28:$XFD28"/>
    </sheetView>
  </sheetViews>
  <sheetFormatPr defaultColWidth="9" defaultRowHeight="14.4"/>
  <cols>
    <col min="1" max="1" width="36.5740740740741" style="45" customWidth="1"/>
    <col min="2" max="5" width="11.5740740740741" style="45" customWidth="1"/>
    <col min="6" max="7" width="11.5740740740741" style="46" customWidth="1"/>
    <col min="8" max="10" width="11.5740740740741" style="45" customWidth="1"/>
    <col min="11" max="11" width="26.4259259259259" style="47" customWidth="1"/>
    <col min="12" max="16384" width="9.13888888888889" style="45"/>
  </cols>
  <sheetData>
    <row r="1" s="43" customFormat="1" ht="52.5" customHeight="1"/>
    <row r="2" s="43" customFormat="1" ht="10.5" customHeight="1" spans="1:10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</row>
    <row r="3" s="43" customFormat="1" ht="15.95" customHeight="1" spans="1:10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</row>
    <row r="4" s="43" customFormat="1" ht="15.95" customHeight="1" spans="1:10">
      <c r="A4" s="49" t="s">
        <v>2</v>
      </c>
      <c r="B4" s="48"/>
      <c r="C4" s="48"/>
      <c r="D4" s="48"/>
      <c r="E4" s="48"/>
      <c r="F4" s="48"/>
      <c r="G4" s="48"/>
      <c r="H4" s="48"/>
      <c r="I4" s="48"/>
      <c r="J4" s="48"/>
    </row>
    <row r="5" s="43" customFormat="1" ht="15.95" customHeight="1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s="43" customFormat="1" ht="8.25" customHeight="1"/>
    <row r="7" s="43" customFormat="1" ht="12" customHeight="1" spans="1:10">
      <c r="A7" s="43" t="s">
        <v>4</v>
      </c>
      <c r="B7" s="50" t="s">
        <v>5</v>
      </c>
      <c r="C7" s="50"/>
      <c r="D7" s="50"/>
      <c r="H7" s="51" t="s">
        <v>6</v>
      </c>
      <c r="I7" s="87"/>
      <c r="J7" s="51"/>
    </row>
    <row r="8" s="43" customFormat="1" ht="12" customHeight="1" spans="2:10">
      <c r="B8" s="52"/>
      <c r="C8" s="52"/>
      <c r="H8" s="52"/>
      <c r="I8" s="52"/>
      <c r="J8" s="52"/>
    </row>
    <row r="9" s="43" customFormat="1" ht="12" customHeight="1" spans="1:10">
      <c r="A9" s="43" t="s">
        <v>7</v>
      </c>
      <c r="B9" s="50" t="s">
        <v>8</v>
      </c>
      <c r="C9" s="50"/>
      <c r="D9" s="50"/>
      <c r="H9" s="51" t="s">
        <v>9</v>
      </c>
      <c r="I9" s="88"/>
      <c r="J9" s="51"/>
    </row>
    <row r="10" ht="23.25" customHeight="1" spans="1:11">
      <c r="A10" s="53" t="s">
        <v>10</v>
      </c>
      <c r="B10" s="53"/>
      <c r="C10" s="53"/>
      <c r="D10" s="53"/>
      <c r="E10" s="53"/>
      <c r="F10" s="53"/>
      <c r="G10" s="53"/>
      <c r="H10" s="53"/>
      <c r="I10" s="53"/>
      <c r="J10" s="53"/>
      <c r="K10" s="45"/>
    </row>
    <row r="11" ht="18.75" customHeight="1" spans="1:11">
      <c r="A11" s="54" t="s">
        <v>11</v>
      </c>
      <c r="B11" s="55" t="s">
        <v>12</v>
      </c>
      <c r="C11" s="56"/>
      <c r="D11" s="57" t="s">
        <v>13</v>
      </c>
      <c r="E11" s="58"/>
      <c r="F11" s="58"/>
      <c r="G11" s="59"/>
      <c r="H11" s="60" t="s">
        <v>14</v>
      </c>
      <c r="I11" s="89"/>
      <c r="J11" s="90" t="s">
        <v>15</v>
      </c>
      <c r="K11" s="91" t="s">
        <v>16</v>
      </c>
    </row>
    <row r="12" ht="15.15" spans="1:11">
      <c r="A12" s="61"/>
      <c r="B12" s="62" t="s">
        <v>17</v>
      </c>
      <c r="C12" s="62" t="s">
        <v>18</v>
      </c>
      <c r="D12" s="62" t="s">
        <v>17</v>
      </c>
      <c r="E12" s="62" t="s">
        <v>18</v>
      </c>
      <c r="F12" s="62" t="s">
        <v>19</v>
      </c>
      <c r="G12" s="62" t="s">
        <v>20</v>
      </c>
      <c r="H12" s="62" t="s">
        <v>17</v>
      </c>
      <c r="I12" s="62" t="s">
        <v>18</v>
      </c>
      <c r="J12" s="92"/>
      <c r="K12" s="91"/>
    </row>
    <row r="13" spans="1:11">
      <c r="A13" s="63" t="s">
        <v>21</v>
      </c>
      <c r="B13" s="64"/>
      <c r="C13" s="64"/>
      <c r="D13" s="64"/>
      <c r="E13" s="64"/>
      <c r="F13" s="64"/>
      <c r="G13" s="64"/>
      <c r="H13" s="64"/>
      <c r="I13" s="64"/>
      <c r="J13" s="93"/>
      <c r="K13" s="94"/>
    </row>
    <row r="14" ht="15.15" spans="1:11">
      <c r="A14" s="65" t="s">
        <v>22</v>
      </c>
      <c r="B14" s="66"/>
      <c r="C14" s="66"/>
      <c r="D14" s="66"/>
      <c r="E14" s="66"/>
      <c r="F14" s="66"/>
      <c r="G14" s="66"/>
      <c r="H14" s="66"/>
      <c r="I14" s="66"/>
      <c r="J14" s="95"/>
      <c r="K14" s="94"/>
    </row>
    <row r="15" ht="27" customHeight="1" spans="1:10">
      <c r="A15" s="67" t="s">
        <v>23</v>
      </c>
      <c r="B15" s="68">
        <v>4.347</v>
      </c>
      <c r="C15" s="69">
        <v>4.347</v>
      </c>
      <c r="D15" s="69"/>
      <c r="E15" s="68"/>
      <c r="F15" s="68"/>
      <c r="G15" s="68"/>
      <c r="H15" s="70">
        <f>B15</f>
        <v>4.347</v>
      </c>
      <c r="I15" s="70">
        <f>C15</f>
        <v>4.347</v>
      </c>
      <c r="J15" s="96">
        <f>SUM(H15:I15)</f>
        <v>8.694</v>
      </c>
    </row>
    <row r="16" ht="17.25" customHeight="1" spans="1:10">
      <c r="A16" s="71" t="s">
        <v>24</v>
      </c>
      <c r="B16" s="68">
        <v>0.125</v>
      </c>
      <c r="C16" s="69">
        <v>0.125</v>
      </c>
      <c r="D16" s="72"/>
      <c r="E16" s="73"/>
      <c r="F16" s="73"/>
      <c r="G16" s="73"/>
      <c r="H16" s="74">
        <f>H15-F16-D16+B16</f>
        <v>4.472</v>
      </c>
      <c r="I16" s="74">
        <f>I15-E16+C16</f>
        <v>4.472</v>
      </c>
      <c r="J16" s="97">
        <f>SUM(H16:I16)</f>
        <v>8.944</v>
      </c>
    </row>
    <row r="17" ht="15.75" customHeight="1" spans="1:10">
      <c r="A17" s="67" t="s">
        <v>25</v>
      </c>
      <c r="B17" s="73">
        <v>5</v>
      </c>
      <c r="C17" s="72">
        <v>5</v>
      </c>
      <c r="D17" s="72"/>
      <c r="E17" s="73"/>
      <c r="F17" s="73"/>
      <c r="G17" s="73"/>
      <c r="H17" s="74">
        <f t="shared" ref="H17" si="0">H16-F17-D17+B17</f>
        <v>9.472</v>
      </c>
      <c r="I17" s="74">
        <f t="shared" ref="I17" si="1">I16-E17+C17</f>
        <v>9.472</v>
      </c>
      <c r="J17" s="97">
        <f t="shared" ref="J17" si="2">SUM(H17:I17)</f>
        <v>18.944</v>
      </c>
    </row>
    <row r="18" ht="17.25" customHeight="1" spans="1:10">
      <c r="A18" s="67" t="s">
        <v>26</v>
      </c>
      <c r="B18" s="73"/>
      <c r="C18" s="72"/>
      <c r="D18" s="72"/>
      <c r="E18" s="73"/>
      <c r="F18" s="73"/>
      <c r="G18" s="75">
        <v>1</v>
      </c>
      <c r="H18" s="74">
        <f t="shared" ref="H18" si="3">H17-F18-D18+B18</f>
        <v>9.472</v>
      </c>
      <c r="I18" s="74">
        <f t="shared" ref="I18" si="4">I17-E18+C18</f>
        <v>9.472</v>
      </c>
      <c r="J18" s="97">
        <f t="shared" ref="J18" si="5">SUM(H18:I18)</f>
        <v>18.944</v>
      </c>
    </row>
    <row r="19" ht="17.25" customHeight="1" spans="1:10">
      <c r="A19" s="76" t="s">
        <v>27</v>
      </c>
      <c r="B19" s="75">
        <v>1.25</v>
      </c>
      <c r="C19" s="77">
        <v>1.25</v>
      </c>
      <c r="D19" s="77"/>
      <c r="E19" s="75"/>
      <c r="F19" s="75"/>
      <c r="G19" s="75"/>
      <c r="H19" s="74">
        <f t="shared" ref="H19:H21" si="6">H18-F19-D19+B19</f>
        <v>10.722</v>
      </c>
      <c r="I19" s="74">
        <f t="shared" ref="I19:I21" si="7">I18-E19+C19</f>
        <v>10.722</v>
      </c>
      <c r="J19" s="97">
        <f t="shared" ref="J19:J21" si="8">SUM(H19:I19)</f>
        <v>21.444</v>
      </c>
    </row>
    <row r="20" ht="17.25" customHeight="1" spans="1:10">
      <c r="A20" s="76" t="s">
        <v>28</v>
      </c>
      <c r="B20" s="75">
        <v>3.75</v>
      </c>
      <c r="C20" s="77">
        <v>3.75</v>
      </c>
      <c r="D20" s="77"/>
      <c r="E20" s="75"/>
      <c r="F20" s="75"/>
      <c r="G20" s="75"/>
      <c r="H20" s="74">
        <f t="shared" si="6"/>
        <v>14.472</v>
      </c>
      <c r="I20" s="74">
        <f t="shared" si="7"/>
        <v>14.472</v>
      </c>
      <c r="J20" s="97">
        <f t="shared" si="8"/>
        <v>28.944</v>
      </c>
    </row>
    <row r="21" ht="17.25" customHeight="1" spans="1:10">
      <c r="A21" s="76" t="s">
        <v>29</v>
      </c>
      <c r="B21" s="75"/>
      <c r="C21" s="77"/>
      <c r="D21" s="77"/>
      <c r="E21" s="75"/>
      <c r="F21" s="78">
        <v>3</v>
      </c>
      <c r="G21" s="75"/>
      <c r="H21" s="74">
        <f t="shared" si="6"/>
        <v>11.472</v>
      </c>
      <c r="I21" s="74">
        <f t="shared" si="7"/>
        <v>14.472</v>
      </c>
      <c r="J21" s="97">
        <f t="shared" si="8"/>
        <v>25.944</v>
      </c>
    </row>
    <row r="22" ht="17.25" customHeight="1" spans="1:10">
      <c r="A22" s="76" t="s">
        <v>30</v>
      </c>
      <c r="B22" s="75">
        <v>1.25</v>
      </c>
      <c r="C22" s="77">
        <v>1.25</v>
      </c>
      <c r="D22" s="77"/>
      <c r="E22" s="75"/>
      <c r="F22" s="75"/>
      <c r="G22" s="75"/>
      <c r="H22" s="74">
        <f t="shared" ref="H22" si="9">H21-F22-D22+B22</f>
        <v>12.722</v>
      </c>
      <c r="I22" s="74">
        <f t="shared" ref="I22" si="10">I21-E22+C22</f>
        <v>15.722</v>
      </c>
      <c r="J22" s="97">
        <f t="shared" ref="J22" si="11">SUM(H22:I22)</f>
        <v>28.444</v>
      </c>
    </row>
    <row r="23" ht="17.25" customHeight="1" spans="1:10">
      <c r="A23" s="76" t="s">
        <v>31</v>
      </c>
      <c r="B23" s="75"/>
      <c r="C23" s="77"/>
      <c r="D23" s="77"/>
      <c r="E23" s="75">
        <v>1</v>
      </c>
      <c r="F23" s="75"/>
      <c r="G23" s="75"/>
      <c r="H23" s="74">
        <f t="shared" ref="H23" si="12">H22-F23-D23+B23</f>
        <v>12.722</v>
      </c>
      <c r="I23" s="74">
        <f t="shared" ref="I23" si="13">I22-E23+C23</f>
        <v>14.722</v>
      </c>
      <c r="J23" s="97">
        <f t="shared" ref="J23" si="14">SUM(H23:I23)</f>
        <v>27.444</v>
      </c>
    </row>
    <row r="24" ht="17.25" customHeight="1" spans="1:10">
      <c r="A24" s="76" t="s">
        <v>32</v>
      </c>
      <c r="B24" s="75">
        <v>3.75</v>
      </c>
      <c r="C24" s="77">
        <v>3.75</v>
      </c>
      <c r="D24" s="77"/>
      <c r="E24" s="75"/>
      <c r="F24" s="75"/>
      <c r="G24" s="75"/>
      <c r="H24" s="74">
        <f t="shared" ref="H24:H25" si="15">H23-F24-D24+B24</f>
        <v>16.472</v>
      </c>
      <c r="I24" s="74">
        <f t="shared" ref="I24:I25" si="16">I23-E24+C24</f>
        <v>18.472</v>
      </c>
      <c r="J24" s="97">
        <f t="shared" ref="J24:J25" si="17">SUM(H24:I24)</f>
        <v>34.944</v>
      </c>
    </row>
    <row r="25" ht="17.25" customHeight="1" spans="1:10">
      <c r="A25" s="76" t="s">
        <v>33</v>
      </c>
      <c r="B25" s="75"/>
      <c r="C25" s="77"/>
      <c r="D25" s="77"/>
      <c r="E25" s="75"/>
      <c r="F25" s="78">
        <v>2</v>
      </c>
      <c r="G25" s="75"/>
      <c r="H25" s="74">
        <f t="shared" si="15"/>
        <v>14.472</v>
      </c>
      <c r="I25" s="74">
        <f t="shared" si="16"/>
        <v>18.472</v>
      </c>
      <c r="J25" s="97">
        <f t="shared" si="17"/>
        <v>32.944</v>
      </c>
    </row>
    <row r="26" s="44" customFormat="1" ht="17.25" customHeight="1" spans="1:11">
      <c r="A26" s="79" t="s">
        <v>34</v>
      </c>
      <c r="B26" s="80">
        <v>2.5</v>
      </c>
      <c r="C26" s="81">
        <v>2.5</v>
      </c>
      <c r="D26" s="81"/>
      <c r="E26" s="80"/>
      <c r="F26" s="80"/>
      <c r="G26" s="80"/>
      <c r="H26" s="74">
        <f t="shared" ref="H26:H27" si="18">H25-F26-D26+B26</f>
        <v>16.972</v>
      </c>
      <c r="I26" s="74">
        <f t="shared" ref="I26:I27" si="19">I25-E26+C26</f>
        <v>20.972</v>
      </c>
      <c r="J26" s="97">
        <f t="shared" ref="J26:J27" si="20">SUM(H26:I26)</f>
        <v>37.944</v>
      </c>
      <c r="K26" s="98"/>
    </row>
    <row r="27" s="44" customFormat="1" ht="17.25" customHeight="1" spans="1:11">
      <c r="A27" s="79" t="s">
        <v>35</v>
      </c>
      <c r="B27" s="80"/>
      <c r="C27" s="81"/>
      <c r="D27" s="81"/>
      <c r="E27" s="80">
        <v>1</v>
      </c>
      <c r="F27" s="80"/>
      <c r="G27" s="80"/>
      <c r="H27" s="74">
        <f t="shared" si="18"/>
        <v>16.972</v>
      </c>
      <c r="I27" s="74">
        <f t="shared" si="19"/>
        <v>19.972</v>
      </c>
      <c r="J27" s="97">
        <f t="shared" si="20"/>
        <v>36.944</v>
      </c>
      <c r="K27" s="98"/>
    </row>
    <row r="28" s="44" customFormat="1" ht="17.25" customHeight="1" spans="1:11">
      <c r="A28" s="79" t="s">
        <v>36</v>
      </c>
      <c r="B28" s="80">
        <v>2.5</v>
      </c>
      <c r="C28" s="81">
        <v>2.5</v>
      </c>
      <c r="D28" s="81"/>
      <c r="E28" s="80"/>
      <c r="F28" s="80"/>
      <c r="G28" s="80"/>
      <c r="H28" s="74">
        <f>H27-F28-D28+B28</f>
        <v>19.472</v>
      </c>
      <c r="I28" s="74">
        <f>I27-E28+C28</f>
        <v>22.472</v>
      </c>
      <c r="J28" s="97">
        <f>SUM(H28:I28)</f>
        <v>41.944</v>
      </c>
      <c r="K28" s="98"/>
    </row>
    <row r="29" ht="16" customHeight="1" spans="1:10">
      <c r="A29" s="82" t="s">
        <v>37</v>
      </c>
      <c r="B29" s="83"/>
      <c r="C29" s="83"/>
      <c r="D29" s="82">
        <v>3</v>
      </c>
      <c r="E29" s="83"/>
      <c r="F29" s="84"/>
      <c r="G29" s="84"/>
      <c r="H29" s="74">
        <f>H28-F29-D29+B29</f>
        <v>16.472</v>
      </c>
      <c r="I29" s="74">
        <f>I28-E29+C29</f>
        <v>22.472</v>
      </c>
      <c r="J29" s="97">
        <f>SUM(H29:I29)</f>
        <v>38.944</v>
      </c>
    </row>
    <row r="30" ht="16" customHeight="1" spans="1:10">
      <c r="A30" s="82" t="s">
        <v>38</v>
      </c>
      <c r="B30" s="83"/>
      <c r="C30" s="83"/>
      <c r="D30" s="82"/>
      <c r="E30" s="83"/>
      <c r="F30" s="84"/>
      <c r="G30" s="85">
        <v>3</v>
      </c>
      <c r="H30" s="74">
        <f>H29-F30-D30+B30</f>
        <v>16.472</v>
      </c>
      <c r="I30" s="74">
        <f>I29-E30+C30</f>
        <v>22.472</v>
      </c>
      <c r="J30" s="97">
        <f>SUM(H30:I30)</f>
        <v>38.944</v>
      </c>
    </row>
    <row r="31" spans="8:10">
      <c r="H31" s="86"/>
      <c r="I31" s="86"/>
      <c r="J31" s="86"/>
    </row>
    <row r="35" spans="6:6">
      <c r="F35" s="46" t="s">
        <v>39</v>
      </c>
    </row>
  </sheetData>
  <mergeCells count="14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3:J13"/>
    <mergeCell ref="A11:A12"/>
    <mergeCell ref="J11:J12"/>
    <mergeCell ref="K11:K12"/>
  </mergeCells>
  <printOptions horizontalCentered="1"/>
  <pageMargins left="0.25" right="0.25" top="0.25" bottom="0.25" header="0.3" footer="0.3"/>
  <pageSetup paperSize="9" scale="70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view="pageBreakPreview" zoomScaleNormal="100" topLeftCell="A4" workbookViewId="0">
      <selection activeCell="G20" sqref="G20"/>
    </sheetView>
  </sheetViews>
  <sheetFormatPr defaultColWidth="9" defaultRowHeight="14.4" outlineLevelCol="6"/>
  <cols>
    <col min="1" max="1" width="23.8518518518519" style="4" customWidth="1"/>
    <col min="2" max="2" width="18.8518518518519" style="4" customWidth="1"/>
    <col min="3" max="3" width="35" style="5" customWidth="1"/>
    <col min="4" max="4" width="11.712962962963" style="6" customWidth="1"/>
    <col min="5" max="5" width="11" style="4" customWidth="1"/>
    <col min="6" max="6" width="11.8518518518519" style="6" customWidth="1"/>
    <col min="7" max="7" width="22" style="4" customWidth="1"/>
    <col min="8" max="16384" width="9" style="4"/>
  </cols>
  <sheetData>
    <row r="1" s="1" customFormat="1" ht="52.5" customHeight="1" spans="5:5">
      <c r="E1" s="7"/>
    </row>
    <row r="2" s="1" customFormat="1" ht="10.5" customHeight="1" spans="1:7">
      <c r="A2" s="8" t="s">
        <v>0</v>
      </c>
      <c r="B2" s="8"/>
      <c r="C2" s="8"/>
      <c r="D2" s="8"/>
      <c r="E2" s="8"/>
      <c r="F2" s="8"/>
      <c r="G2" s="8"/>
    </row>
    <row r="3" s="1" customFormat="1" ht="15.95" customHeight="1" spans="1:7">
      <c r="A3" s="8" t="s">
        <v>1</v>
      </c>
      <c r="B3" s="8"/>
      <c r="C3" s="8"/>
      <c r="D3" s="8"/>
      <c r="E3" s="8"/>
      <c r="F3" s="8"/>
      <c r="G3" s="8"/>
    </row>
    <row r="4" s="1" customFormat="1" ht="15.95" customHeight="1" spans="1:7">
      <c r="A4" s="8" t="s">
        <v>40</v>
      </c>
      <c r="B4" s="8"/>
      <c r="C4" s="8"/>
      <c r="D4" s="8"/>
      <c r="E4" s="8"/>
      <c r="F4" s="8"/>
      <c r="G4" s="8"/>
    </row>
    <row r="5" s="1" customFormat="1" ht="15.95" customHeight="1" spans="1:7">
      <c r="A5" s="8" t="s">
        <v>3</v>
      </c>
      <c r="B5" s="8"/>
      <c r="C5" s="8"/>
      <c r="D5" s="8"/>
      <c r="E5" s="8"/>
      <c r="F5" s="8"/>
      <c r="G5" s="8"/>
    </row>
    <row r="6" s="1" customFormat="1" ht="8.25" customHeight="1" spans="5:5">
      <c r="E6" s="7"/>
    </row>
    <row r="7" s="1" customFormat="1" ht="8.25" customHeight="1" spans="5:5">
      <c r="E7" s="7"/>
    </row>
    <row r="8" s="1" customFormat="1" ht="17.25" customHeight="1" spans="1:7">
      <c r="A8" s="9" t="s">
        <v>41</v>
      </c>
      <c r="B8" s="9"/>
      <c r="C8" s="9" t="s">
        <v>42</v>
      </c>
      <c r="D8" s="10"/>
      <c r="E8" s="9" t="s">
        <v>43</v>
      </c>
      <c r="F8" s="10"/>
      <c r="G8" s="11"/>
    </row>
    <row r="9" s="1" customFormat="1" ht="12" customHeight="1" spans="1:7">
      <c r="A9" s="12"/>
      <c r="B9" s="12"/>
      <c r="C9" s="13"/>
      <c r="E9" s="9" t="s">
        <v>44</v>
      </c>
      <c r="F9" s="14"/>
      <c r="G9" s="13"/>
    </row>
    <row r="10" s="1" customFormat="1" ht="14.25" customHeight="1" spans="1:7">
      <c r="A10" s="9" t="s">
        <v>45</v>
      </c>
      <c r="B10" s="9"/>
      <c r="C10" s="9" t="s">
        <v>46</v>
      </c>
      <c r="D10" s="10"/>
      <c r="E10" s="9" t="s">
        <v>47</v>
      </c>
      <c r="F10" s="10"/>
      <c r="G10" s="11"/>
    </row>
    <row r="11" s="1" customFormat="1" ht="12" customHeight="1" spans="1:7">
      <c r="A11" s="11"/>
      <c r="B11" s="11"/>
      <c r="C11" s="11"/>
      <c r="F11" s="10"/>
      <c r="G11" s="11"/>
    </row>
    <row r="12" ht="23.25" customHeight="1" spans="1:7">
      <c r="A12" s="15" t="s">
        <v>48</v>
      </c>
      <c r="B12" s="16"/>
      <c r="C12" s="16"/>
      <c r="D12" s="16"/>
      <c r="E12" s="16"/>
      <c r="F12" s="16"/>
      <c r="G12" s="17"/>
    </row>
    <row r="13" s="2" customFormat="1" ht="37.5" customHeight="1" spans="1:7">
      <c r="A13" s="18" t="s">
        <v>49</v>
      </c>
      <c r="B13" s="19" t="s">
        <v>50</v>
      </c>
      <c r="C13" s="20" t="s">
        <v>51</v>
      </c>
      <c r="D13" s="20" t="s">
        <v>52</v>
      </c>
      <c r="E13" s="21" t="s">
        <v>53</v>
      </c>
      <c r="F13" s="21" t="s">
        <v>54</v>
      </c>
      <c r="G13" s="22" t="s">
        <v>15</v>
      </c>
    </row>
    <row r="14" s="2" customFormat="1" ht="18.75" customHeight="1" spans="1:7">
      <c r="A14" s="23" t="s">
        <v>55</v>
      </c>
      <c r="B14" s="24">
        <v>44568</v>
      </c>
      <c r="C14" s="25" t="s">
        <v>56</v>
      </c>
      <c r="D14" s="26">
        <v>5</v>
      </c>
      <c r="E14" s="27">
        <v>0</v>
      </c>
      <c r="F14" s="27">
        <v>5</v>
      </c>
      <c r="G14" s="28">
        <v>5</v>
      </c>
    </row>
    <row r="15" s="2" customFormat="1" ht="23.25" customHeight="1" spans="1:7">
      <c r="A15" s="23" t="s">
        <v>57</v>
      </c>
      <c r="B15" s="29" t="s">
        <v>58</v>
      </c>
      <c r="C15" s="25" t="s">
        <v>59</v>
      </c>
      <c r="D15" s="26">
        <v>15</v>
      </c>
      <c r="E15" s="27">
        <v>0</v>
      </c>
      <c r="F15" s="27">
        <v>15</v>
      </c>
      <c r="G15" s="28">
        <v>15</v>
      </c>
    </row>
    <row r="16" s="2" customFormat="1" ht="15.75" customHeight="1" spans="1:7">
      <c r="A16" s="30"/>
      <c r="B16" s="31"/>
      <c r="C16" s="25"/>
      <c r="D16" s="26"/>
      <c r="E16" s="27"/>
      <c r="F16" s="27"/>
      <c r="G16" s="28"/>
    </row>
    <row r="17" s="2" customFormat="1" ht="15.75" customHeight="1" spans="1:7">
      <c r="A17" s="30"/>
      <c r="B17" s="31"/>
      <c r="C17" s="25"/>
      <c r="D17" s="26"/>
      <c r="E17" s="27"/>
      <c r="F17" s="27"/>
      <c r="G17" s="28"/>
    </row>
    <row r="18" s="2" customFormat="1" ht="15.75" customHeight="1" spans="1:7">
      <c r="A18" s="30"/>
      <c r="B18" s="32"/>
      <c r="C18" s="25"/>
      <c r="D18" s="26"/>
      <c r="E18" s="27"/>
      <c r="F18" s="27"/>
      <c r="G18" s="28"/>
    </row>
    <row r="19" s="2" customFormat="1" ht="15.75" customHeight="1" spans="1:7">
      <c r="A19" s="33"/>
      <c r="B19" s="32"/>
      <c r="C19" s="25"/>
      <c r="D19" s="26"/>
      <c r="E19" s="27"/>
      <c r="F19" s="27"/>
      <c r="G19" s="28"/>
    </row>
    <row r="20" s="2" customFormat="1" ht="15.75" customHeight="1" spans="1:7">
      <c r="A20" s="34"/>
      <c r="B20" s="32"/>
      <c r="C20" s="25"/>
      <c r="D20" s="26"/>
      <c r="E20" s="27"/>
      <c r="F20" s="27"/>
      <c r="G20" s="28"/>
    </row>
    <row r="21" s="3" customFormat="1" ht="15.6" spans="1:7">
      <c r="A21" s="35"/>
      <c r="B21" s="35"/>
      <c r="C21" s="25"/>
      <c r="D21" s="36"/>
      <c r="E21" s="36"/>
      <c r="F21" s="36"/>
      <c r="G21" s="28"/>
    </row>
    <row r="22" s="3" customFormat="1" ht="15.6" spans="1:7">
      <c r="A22" s="35"/>
      <c r="B22" s="35"/>
      <c r="C22" s="25"/>
      <c r="D22" s="36"/>
      <c r="E22" s="36"/>
      <c r="F22" s="36"/>
      <c r="G22" s="37"/>
    </row>
    <row r="23" s="3" customFormat="1" ht="15.6" spans="1:7">
      <c r="A23" s="38" t="s">
        <v>15</v>
      </c>
      <c r="B23" s="39"/>
      <c r="C23" s="39"/>
      <c r="D23" s="39"/>
      <c r="E23" s="39"/>
      <c r="F23" s="40"/>
      <c r="G23" s="41" t="s">
        <v>60</v>
      </c>
    </row>
    <row r="24" s="1" customFormat="1" ht="75.75" customHeight="1" spans="1:7">
      <c r="A24" s="42"/>
      <c r="B24" s="42"/>
      <c r="G24" s="42"/>
    </row>
    <row r="25" s="1" customFormat="1"/>
    <row r="26" s="1" customFormat="1"/>
  </sheetData>
  <mergeCells count="6">
    <mergeCell ref="A2:G2"/>
    <mergeCell ref="A3:G3"/>
    <mergeCell ref="A4:G4"/>
    <mergeCell ref="A5:G5"/>
    <mergeCell ref="A12:G12"/>
    <mergeCell ref="A23:F23"/>
  </mergeCells>
  <pageMargins left="0.25" right="0.25" top="0.75" bottom="0.75" header="0.3" footer="0.3"/>
  <pageSetup paperSize="9" scale="9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Leave Card as TIC</vt:lpstr>
      <vt:lpstr>Election &amp; NLC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2025-10-29T07:31:00Z</cp:lastPrinted>
  <dcterms:modified xsi:type="dcterms:W3CDTF">2026-01-02T07:41:07Z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