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04FBD68-76D4-4318-9444-D075E2CEA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CTO" sheetId="9" r:id="rId3"/>
  </sheets>
  <definedNames>
    <definedName name="_xlnm.Print_Area" localSheetId="1">'Election &amp; NLC'!$A$1:$G$22</definedName>
    <definedName name="_xlnm.Print_Area" localSheetId="0">'Leave Card as TIC'!$A$1:$J$54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H14" i="3"/>
  <c r="H15" i="3" l="1"/>
  <c r="H16" i="3" s="1"/>
  <c r="J16" i="3" s="1"/>
  <c r="J14" i="3"/>
  <c r="H17" i="3" l="1"/>
  <c r="H18" i="3" s="1"/>
  <c r="J15" i="3"/>
  <c r="J17" i="3" l="1"/>
  <c r="J18" i="3"/>
  <c r="H19" i="3"/>
  <c r="H20" i="3" l="1"/>
  <c r="J19" i="3"/>
  <c r="J20" i="3" l="1"/>
  <c r="H21" i="3"/>
  <c r="H22" i="3" l="1"/>
  <c r="J21" i="3"/>
  <c r="J22" i="3" l="1"/>
  <c r="H23" i="3"/>
  <c r="H24" i="3" l="1"/>
  <c r="J23" i="3"/>
  <c r="J24" i="3" l="1"/>
  <c r="H25" i="3"/>
  <c r="H26" i="3" l="1"/>
  <c r="J25" i="3"/>
  <c r="J26" i="3" l="1"/>
  <c r="H27" i="3"/>
  <c r="H28" i="3" l="1"/>
  <c r="J27" i="3"/>
  <c r="J28" i="3" l="1"/>
  <c r="H29" i="3"/>
  <c r="H30" i="3" l="1"/>
  <c r="J29" i="3"/>
  <c r="J30" i="3" l="1"/>
  <c r="H31" i="3"/>
  <c r="H32" i="3" l="1"/>
  <c r="J31" i="3"/>
  <c r="J32" i="3" l="1"/>
  <c r="H33" i="3"/>
  <c r="H34" i="3" l="1"/>
  <c r="J33" i="3"/>
  <c r="J34" i="3" l="1"/>
  <c r="H35" i="3"/>
  <c r="H36" i="3" l="1"/>
  <c r="J35" i="3"/>
  <c r="J36" i="3" l="1"/>
  <c r="H37" i="3"/>
  <c r="H38" i="3" l="1"/>
  <c r="J37" i="3"/>
  <c r="J38" i="3" l="1"/>
  <c r="H39" i="3"/>
  <c r="H40" i="3" l="1"/>
  <c r="J39" i="3"/>
  <c r="J40" i="3" l="1"/>
  <c r="H41" i="3"/>
  <c r="H42" i="3" l="1"/>
  <c r="J41" i="3"/>
  <c r="J42" i="3" l="1"/>
  <c r="H43" i="3"/>
  <c r="H44" i="3" l="1"/>
  <c r="J43" i="3"/>
  <c r="J44" i="3" l="1"/>
  <c r="H45" i="3"/>
  <c r="H46" i="3" l="1"/>
  <c r="J46" i="3" s="1"/>
  <c r="J45" i="3"/>
</calcChain>
</file>

<file path=xl/sharedStrings.xml><?xml version="1.0" encoding="utf-8"?>
<sst xmlns="http://schemas.openxmlformats.org/spreadsheetml/2006/main" count="91" uniqueCount="71">
  <si>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</si>
  <si>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</si>
  <si>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</si>
  <si>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</si>
  <si>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</si>
  <si>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</si>
  <si>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</si>
  <si>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</si>
  <si>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</si>
  <si>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</si>
  <si>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</si>
  <si>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</si>
  <si>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</si>
  <si>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</si>
  <si>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</si>
  <si>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</si>
  <si>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</si>
  <si>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LESS: 07/01/2024</t>
  </si>
  <si>
    <t>ADD: OCTOBER 17, 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</si>
  <si>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</si>
  <si>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</si>
  <si>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</si>
  <si>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</si>
  <si>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</si>
  <si>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</si>
  <si>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</si>
  <si>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</si>
  <si>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</si>
  <si>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</si>
  <si>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</si>
  <si>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</si>
  <si>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</si>
  <si>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</si>
  <si>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</si>
  <si>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</si>
  <si>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</si>
  <si>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</si>
  <si>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</si>
  <si>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</si>
  <si>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</si>
  <si>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</si>
  <si>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</si>
  <si>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</si>
  <si>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</si>
  <si>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</si>
  <si>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051, S. 2022</t>
  </si>
  <si>
    <t>JULY 01, 2022</t>
  </si>
  <si>
    <t>MAY 9, 2022 NATIONAL &amp; LOCAL ELECTION</t>
  </si>
  <si>
    <t>POSITION   : TEACHER III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</si>
  <si>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ZAPRA, ANNABELLE</t>
    </r>
  </si>
  <si>
    <t>NAME         : ZAPRA, ANNABELLE M.</t>
  </si>
  <si>
    <t>SCHOOL/OFFICE : PATAG MAGBANUA ES</t>
  </si>
  <si>
    <t>LESS: 11/24/2023</t>
  </si>
  <si>
    <t xml:space="preserve">   </t>
  </si>
  <si>
    <t>. NATIONAL LEARNING CAMP 2023</t>
  </si>
  <si>
    <t>S.O. # 153 S. 2023</t>
  </si>
  <si>
    <t>OCT. 17,2023</t>
  </si>
  <si>
    <t>NLC 2023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</si>
  <si>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</si>
  <si>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024, S. 2024</t>
  </si>
  <si>
    <t>06/26/2024</t>
  </si>
  <si>
    <t>126TH PHIL. INDEPENDENCE DAY CELEBRATION</t>
  </si>
  <si>
    <t>022, S. 2024</t>
  </si>
  <si>
    <t>SCHOOL PROPERTY CUSTODIAN SY 2022-2023</t>
  </si>
  <si>
    <t>003, S. 2024</t>
  </si>
  <si>
    <t>01/31/2024</t>
  </si>
  <si>
    <t>MTAP-WV REGIONAL TRAINING WORKSHOP &amp; CONFERENCE 2023</t>
  </si>
  <si>
    <t>28 DAYS-CONVERTED</t>
  </si>
  <si>
    <r>
      <t xml:space="preserve">ADD: CONVERTED VSC </t>
    </r>
    <r>
      <rPr>
        <b/>
        <sz val="11"/>
        <color theme="4" tint="-0.499984740745262"/>
        <rFont val="Calibri"/>
        <family val="2"/>
        <scheme val="minor"/>
      </rPr>
      <t xml:space="preserve">28 DAYS: </t>
    </r>
    <r>
      <rPr>
        <sz val="11"/>
        <color theme="1"/>
        <rFont val="Calibri"/>
        <family val="2"/>
        <scheme val="minor"/>
      </rPr>
      <t xml:space="preserve">                              FORMULA: 30Y/69/2 </t>
    </r>
  </si>
  <si>
    <t>RELIEVED AS TIC: 01/6/2025</t>
  </si>
  <si>
    <t>ADD: 08/1/2024-12/31/2024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</si>
</sst>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7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6" fillId="2" borderId="6" xfId="3" applyFont="1" applyFill="1" applyBorder="1" applyAlignment="1">
      <alignment horizontal="center" vertical="center" wrapText="1"/>
    </xf>
    <xf numFmtId="0" fontId="13" fillId="2" borderId="15" xfId="3" applyFont="1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ZAPRA, ANNABELLE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CAMBOGUI-OT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48</xdr:row>
      <xdr:rowOff>53914</xdr:rowOff>
    </xdr:from>
    <xdr:to>
      <xdr:col>9</xdr:col>
      <xdr:colOff>672043</xdr:colOff>
      <xdr:row>53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  <xdr:twoCellAnchor>
    <xdr:from>
      <xdr:col>0</xdr:col>
      <xdr:colOff>44930</xdr:colOff>
      <xdr:row>48</xdr:row>
      <xdr:rowOff>17970</xdr:rowOff>
    </xdr:from>
    <xdr:to>
      <xdr:col>3</xdr:col>
      <xdr:colOff>71888</xdr:colOff>
      <xdr:row>53</xdr:row>
      <xdr:rowOff>98843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1C8646-675F-4A6E-8C6D-258C97135B64}"/>
            </a:ext>
          </a:extLst>
        </xdr:cNvPr>
        <xdr:cNvSpPr txBox="1"/>
      </xdr:nvSpPr>
      <xdr:spPr>
        <a:xfrm>
          <a:off x="44930" y="8399970"/>
          <a:ext cx="4008408" cy="10333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  </a:t>
          </a:r>
          <a:r>
            <a:rPr lang="en-US" sz="1100" b="1" u="sng" baseline="0"/>
            <a:t>JOCELYN M. PLOTEÑA</a:t>
          </a: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0</xdr:row>
      <xdr:rowOff>114495</xdr:rowOff>
    </xdr:from>
    <xdr:to>
      <xdr:col>5</xdr:col>
      <xdr:colOff>164185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54121-88B2-495C-94D7-A2568BA1ED6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114495"/>
          <a:ext cx="51661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20</xdr:row>
      <xdr:rowOff>142875</xdr:rowOff>
    </xdr:from>
    <xdr:to>
      <xdr:col>12</xdr:col>
      <xdr:colOff>104775</xdr:colOff>
      <xdr:row>52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ACAF0E-ACCD-45B9-BDB0-19787D2356F6}"/>
            </a:ext>
          </a:extLst>
        </xdr:cNvPr>
        <xdr:cNvSpPr txBox="1"/>
      </xdr:nvSpPr>
      <xdr:spPr>
        <a:xfrm>
          <a:off x="5781675" y="45243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0</xdr:rowOff>
    </xdr:from>
    <xdr:to>
      <xdr:col>1</xdr:col>
      <xdr:colOff>28575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59EA2D8-A6A4-4089-AC60-17BDDD9679FD}"/>
            </a:ext>
          </a:extLst>
        </xdr:cNvPr>
        <xdr:cNvCxnSpPr/>
      </xdr:nvCxnSpPr>
      <xdr:spPr>
        <a:xfrm>
          <a:off x="752475" y="24765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52"/>
  <sheetViews>
    <sheetView tabSelected="1" view="pageBreakPreview" zoomScale="106" zoomScaleNormal="100" zoomScaleSheetLayoutView="106" workbookViewId="0">
      <selection activeCell="A17" sqref="A17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1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</row>
    <row r="3" spans="1:11" s="1" customFormat="1" ht="15.95" customHeight="1" x14ac:dyDescent="0.25">
      <c r="A3" s="89" t="s">
        <v>1</v>
      </c>
      <c r="B3" s="89"/>
      <c r="C3" s="89"/>
      <c r="D3" s="89"/>
      <c r="E3" s="89"/>
      <c r="F3" s="89"/>
      <c r="G3" s="89"/>
      <c r="H3" s="89"/>
      <c r="I3" s="89"/>
      <c r="J3" s="89"/>
    </row>
    <row r="4" spans="1:11" s="1" customFormat="1" ht="15.95" customHeight="1" x14ac:dyDescent="0.25">
      <c r="A4" s="89" t="s">
        <v>2</v>
      </c>
      <c r="B4" s="89"/>
      <c r="C4" s="89"/>
      <c r="D4" s="89"/>
      <c r="E4" s="89"/>
      <c r="F4" s="89"/>
      <c r="G4" s="89"/>
      <c r="H4" s="89"/>
      <c r="I4" s="89"/>
      <c r="J4" s="89"/>
    </row>
    <row r="5" spans="1:11" s="1" customFormat="1" ht="15.9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</row>
    <row r="6" spans="1:11" s="1" customFormat="1" ht="8.25" customHeight="1" x14ac:dyDescent="0.25"/>
    <row r="7" spans="1:11" s="1" customFormat="1" ht="12" customHeight="1" x14ac:dyDescent="0.25">
      <c r="A7" s="1" t="s">
        <v>19</v>
      </c>
      <c r="B7" s="88" t="s">
        <v>20</v>
      </c>
      <c r="C7" s="88"/>
      <c r="D7" s="88"/>
      <c r="H7" s="5" t="s">
        <v>21</v>
      </c>
      <c r="I7" s="19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22</v>
      </c>
      <c r="B9" s="88" t="s">
        <v>23</v>
      </c>
      <c r="C9" s="88"/>
      <c r="D9" s="88"/>
      <c r="H9" s="5" t="s">
        <v>24</v>
      </c>
      <c r="I9" s="20"/>
      <c r="J9" s="5"/>
    </row>
    <row r="10" spans="1:11" ht="23.25" customHeight="1" thickBot="1" x14ac:dyDescent="0.3">
      <c r="A10" s="76" t="s">
        <v>25</v>
      </c>
      <c r="B10" s="76"/>
      <c r="C10" s="76"/>
      <c r="D10" s="76"/>
      <c r="E10" s="76"/>
      <c r="F10" s="76"/>
      <c r="G10" s="76"/>
      <c r="H10" s="76"/>
      <c r="I10" s="76"/>
      <c r="J10" s="76"/>
      <c r="K10"/>
    </row>
    <row r="11" spans="1:11" ht="18.75" customHeight="1" x14ac:dyDescent="0.25">
      <c r="A11" s="77" t="s">
        <v>9</v>
      </c>
      <c r="B11" s="79" t="s">
        <v>10</v>
      </c>
      <c r="C11" s="80"/>
      <c r="D11" s="81" t="s">
        <v>26</v>
      </c>
      <c r="E11" s="82"/>
      <c r="F11" s="82"/>
      <c r="G11" s="83"/>
      <c r="H11" s="84" t="s">
        <v>27</v>
      </c>
      <c r="I11" s="85"/>
      <c r="J11" s="86" t="s">
        <v>11</v>
      </c>
      <c r="K11" s="72" t="s">
        <v>28</v>
      </c>
    </row>
    <row r="12" spans="1:11" ht="15.75" thickBot="1" x14ac:dyDescent="0.3">
      <c r="A12" s="78"/>
      <c r="B12" s="21" t="s">
        <v>29</v>
      </c>
      <c r="C12" s="21" t="s">
        <v>30</v>
      </c>
      <c r="D12" s="21" t="s">
        <v>29</v>
      </c>
      <c r="E12" s="21" t="s">
        <v>30</v>
      </c>
      <c r="F12" s="21" t="s">
        <v>31</v>
      </c>
      <c r="G12" s="21" t="s">
        <v>32</v>
      </c>
      <c r="H12" s="21" t="s">
        <v>29</v>
      </c>
      <c r="I12" s="21" t="s">
        <v>30</v>
      </c>
      <c r="J12" s="87"/>
      <c r="K12" s="72"/>
    </row>
    <row r="13" spans="1:11" ht="15.75" thickBot="1" x14ac:dyDescent="0.3">
      <c r="A13" s="73" t="s">
        <v>44</v>
      </c>
      <c r="B13" s="74"/>
      <c r="C13" s="74"/>
      <c r="D13" s="74"/>
      <c r="E13" s="74"/>
      <c r="F13" s="74"/>
      <c r="G13" s="74"/>
      <c r="H13" s="74"/>
      <c r="I13" s="74"/>
      <c r="J13" s="75"/>
      <c r="K13" s="22"/>
    </row>
    <row r="14" spans="1:11" ht="33" customHeight="1" x14ac:dyDescent="0.25">
      <c r="A14" s="23" t="s">
        <v>68</v>
      </c>
      <c r="B14" s="33">
        <v>6.0860000000000003</v>
      </c>
      <c r="C14" s="34">
        <v>6.0860000000000003</v>
      </c>
      <c r="D14" s="34"/>
      <c r="E14" s="33"/>
      <c r="F14" s="33"/>
      <c r="G14" s="33"/>
      <c r="H14" s="25">
        <f>B14</f>
        <v>6.0860000000000003</v>
      </c>
      <c r="I14" s="25">
        <f>C14</f>
        <v>6.0860000000000003</v>
      </c>
      <c r="J14" s="26">
        <f>SUM(H14:I14)</f>
        <v>12.172000000000001</v>
      </c>
    </row>
    <row r="15" spans="1:11" ht="17.25" customHeight="1" x14ac:dyDescent="0.25">
      <c r="A15" s="23" t="s">
        <v>34</v>
      </c>
      <c r="B15" s="33">
        <v>0.125</v>
      </c>
      <c r="C15" s="34">
        <v>0.125</v>
      </c>
      <c r="D15" s="24"/>
      <c r="E15" s="17"/>
      <c r="F15" s="17"/>
      <c r="G15" s="17"/>
      <c r="H15" s="28">
        <f>H14-F15-D15+B15</f>
        <v>6.2110000000000003</v>
      </c>
      <c r="I15" s="28">
        <f>I14-E15+C15</f>
        <v>6.2110000000000003</v>
      </c>
      <c r="J15" s="29">
        <f>SUM(H15:I15)</f>
        <v>12.422000000000001</v>
      </c>
    </row>
    <row r="16" spans="1:11" ht="17.25" customHeight="1" x14ac:dyDescent="0.25">
      <c r="A16" s="23" t="s">
        <v>70</v>
      </c>
      <c r="B16" s="33">
        <v>6.25</v>
      </c>
      <c r="C16" s="34">
        <v>6.25</v>
      </c>
      <c r="D16" s="24"/>
      <c r="E16" s="17"/>
      <c r="F16" s="17"/>
      <c r="G16" s="17"/>
      <c r="H16" s="28">
        <f t="shared" ref="H16:H46" si="0">H15-F16-D16+B16</f>
        <v>12.461</v>
      </c>
      <c r="I16" s="28">
        <f t="shared" ref="I16:I46" si="1">I15-E16+C16</f>
        <v>12.461</v>
      </c>
      <c r="J16" s="29">
        <f t="shared" ref="J16:J46" si="2">SUM(H16:I16)</f>
        <v>24.922000000000001</v>
      </c>
    </row>
    <row r="17" spans="1:10" ht="15.75" customHeight="1" x14ac:dyDescent="0.25">
      <c r="A17" s="112" t="s">
        <v>69</v>
      </c>
      <c r="B17" s="17"/>
      <c r="C17" s="24"/>
      <c r="D17" s="24"/>
      <c r="E17" s="17"/>
      <c r="F17" s="17"/>
      <c r="G17" s="17"/>
      <c r="H17" s="28">
        <f t="shared" si="0"/>
        <v>12.461</v>
      </c>
      <c r="I17" s="28">
        <f t="shared" si="1"/>
        <v>12.461</v>
      </c>
      <c r="J17" s="29">
        <f t="shared" si="2"/>
        <v>24.922000000000001</v>
      </c>
    </row>
    <row r="18" spans="1:10" ht="15.75" customHeight="1" x14ac:dyDescent="0.25">
      <c r="A18" s="23"/>
      <c r="B18" s="17"/>
      <c r="C18" s="24"/>
      <c r="D18" s="24"/>
      <c r="E18" s="17"/>
      <c r="F18" s="111"/>
      <c r="G18" s="17"/>
      <c r="H18" s="28">
        <f t="shared" si="0"/>
        <v>12.461</v>
      </c>
      <c r="I18" s="28">
        <f t="shared" si="1"/>
        <v>12.461</v>
      </c>
      <c r="J18" s="29">
        <f t="shared" si="2"/>
        <v>24.922000000000001</v>
      </c>
    </row>
    <row r="19" spans="1:10" ht="17.25" customHeight="1" x14ac:dyDescent="0.25">
      <c r="A19" s="23"/>
      <c r="B19" s="17"/>
      <c r="C19" s="24"/>
      <c r="D19" s="24"/>
      <c r="E19" s="17"/>
      <c r="F19" s="111"/>
      <c r="G19" s="17"/>
      <c r="H19" s="28">
        <f t="shared" si="0"/>
        <v>12.461</v>
      </c>
      <c r="I19" s="28">
        <f t="shared" si="1"/>
        <v>12.461</v>
      </c>
      <c r="J19" s="29">
        <f t="shared" si="2"/>
        <v>24.922000000000001</v>
      </c>
    </row>
    <row r="20" spans="1:10" ht="17.25" customHeight="1" x14ac:dyDescent="0.25">
      <c r="A20" s="23"/>
      <c r="B20" s="17"/>
      <c r="C20" s="24"/>
      <c r="D20" s="24"/>
      <c r="E20" s="17"/>
      <c r="F20" s="111"/>
      <c r="G20" s="17"/>
      <c r="H20" s="28">
        <f t="shared" si="0"/>
        <v>12.461</v>
      </c>
      <c r="I20" s="28">
        <f t="shared" si="1"/>
        <v>12.461</v>
      </c>
      <c r="J20" s="29">
        <f t="shared" si="2"/>
        <v>24.922000000000001</v>
      </c>
    </row>
    <row r="21" spans="1:10" ht="13.5" customHeight="1" x14ac:dyDescent="0.25">
      <c r="A21" s="23"/>
      <c r="B21" s="17"/>
      <c r="C21" s="24"/>
      <c r="D21" s="24"/>
      <c r="E21" s="17"/>
      <c r="F21" s="17"/>
      <c r="G21" s="17"/>
      <c r="H21" s="28">
        <f t="shared" si="0"/>
        <v>12.461</v>
      </c>
      <c r="I21" s="28">
        <f t="shared" si="1"/>
        <v>12.461</v>
      </c>
      <c r="J21" s="29">
        <f t="shared" si="2"/>
        <v>24.922000000000001</v>
      </c>
    </row>
    <row r="22" spans="1:10" ht="12" customHeight="1" x14ac:dyDescent="0.25">
      <c r="A22" s="23"/>
      <c r="B22" s="17"/>
      <c r="C22" s="24"/>
      <c r="D22" s="24"/>
      <c r="E22" s="17"/>
      <c r="F22" s="17"/>
      <c r="G22" s="17"/>
      <c r="H22" s="28">
        <f t="shared" si="0"/>
        <v>12.461</v>
      </c>
      <c r="I22" s="28">
        <f t="shared" si="1"/>
        <v>12.461</v>
      </c>
      <c r="J22" s="29">
        <f t="shared" si="2"/>
        <v>24.922000000000001</v>
      </c>
    </row>
    <row r="23" spans="1:10" ht="12" customHeight="1" x14ac:dyDescent="0.25">
      <c r="A23" s="23"/>
      <c r="B23" s="17"/>
      <c r="C23" s="24"/>
      <c r="D23" s="24"/>
      <c r="E23" s="17"/>
      <c r="F23" s="17"/>
      <c r="G23" s="17"/>
      <c r="H23" s="28">
        <f t="shared" si="0"/>
        <v>12.461</v>
      </c>
      <c r="I23" s="28">
        <f t="shared" si="1"/>
        <v>12.461</v>
      </c>
      <c r="J23" s="29">
        <f t="shared" si="2"/>
        <v>24.922000000000001</v>
      </c>
    </row>
    <row r="24" spans="1:10" ht="12" customHeight="1" x14ac:dyDescent="0.25">
      <c r="A24" s="23"/>
      <c r="B24" s="17"/>
      <c r="C24" s="24"/>
      <c r="D24" s="24"/>
      <c r="E24" s="17"/>
      <c r="F24" s="17"/>
      <c r="G24" s="17"/>
      <c r="H24" s="28">
        <f t="shared" si="0"/>
        <v>12.461</v>
      </c>
      <c r="I24" s="28">
        <f t="shared" si="1"/>
        <v>12.461</v>
      </c>
      <c r="J24" s="29">
        <f t="shared" si="2"/>
        <v>24.922000000000001</v>
      </c>
    </row>
    <row r="25" spans="1:10" ht="12" customHeight="1" x14ac:dyDescent="0.25">
      <c r="A25" s="23"/>
      <c r="B25" s="17"/>
      <c r="C25" s="24"/>
      <c r="D25" s="24"/>
      <c r="E25" s="17"/>
      <c r="F25" s="17"/>
      <c r="G25" s="17"/>
      <c r="H25" s="28">
        <f t="shared" si="0"/>
        <v>12.461</v>
      </c>
      <c r="I25" s="28">
        <f t="shared" si="1"/>
        <v>12.461</v>
      </c>
      <c r="J25" s="29">
        <f t="shared" si="2"/>
        <v>24.922000000000001</v>
      </c>
    </row>
    <row r="26" spans="1:10" ht="12" customHeight="1" x14ac:dyDescent="0.25">
      <c r="A26" s="23"/>
      <c r="B26" s="17"/>
      <c r="C26" s="24"/>
      <c r="D26" s="24"/>
      <c r="E26" s="17"/>
      <c r="F26" s="17"/>
      <c r="G26" s="17"/>
      <c r="H26" s="28">
        <f t="shared" si="0"/>
        <v>12.461</v>
      </c>
      <c r="I26" s="28">
        <f t="shared" si="1"/>
        <v>12.461</v>
      </c>
      <c r="J26" s="29">
        <f t="shared" si="2"/>
        <v>24.922000000000001</v>
      </c>
    </row>
    <row r="27" spans="1:10" ht="12" customHeight="1" x14ac:dyDescent="0.25">
      <c r="A27" s="23"/>
      <c r="B27" s="17"/>
      <c r="C27" s="24"/>
      <c r="D27" s="24"/>
      <c r="E27" s="17"/>
      <c r="F27" s="17"/>
      <c r="G27" s="17"/>
      <c r="H27" s="28">
        <f t="shared" si="0"/>
        <v>12.461</v>
      </c>
      <c r="I27" s="28">
        <f t="shared" si="1"/>
        <v>12.461</v>
      </c>
      <c r="J27" s="29">
        <f t="shared" si="2"/>
        <v>24.922000000000001</v>
      </c>
    </row>
    <row r="28" spans="1:10" ht="16.5" customHeight="1" x14ac:dyDescent="0.25">
      <c r="A28" s="23"/>
      <c r="B28" s="17"/>
      <c r="C28" s="24"/>
      <c r="D28" s="24"/>
      <c r="E28" s="17"/>
      <c r="F28" s="17"/>
      <c r="G28" s="17"/>
      <c r="H28" s="28">
        <f t="shared" si="0"/>
        <v>12.461</v>
      </c>
      <c r="I28" s="28">
        <f t="shared" si="1"/>
        <v>12.461</v>
      </c>
      <c r="J28" s="29">
        <f t="shared" si="2"/>
        <v>24.922000000000001</v>
      </c>
    </row>
    <row r="29" spans="1:10" ht="12" customHeight="1" x14ac:dyDescent="0.25">
      <c r="A29" s="23"/>
      <c r="B29" s="17"/>
      <c r="C29" s="24"/>
      <c r="D29" s="24"/>
      <c r="E29" s="17"/>
      <c r="F29" s="17"/>
      <c r="G29" s="17"/>
      <c r="H29" s="28">
        <f t="shared" si="0"/>
        <v>12.461</v>
      </c>
      <c r="I29" s="28">
        <f t="shared" si="1"/>
        <v>12.461</v>
      </c>
      <c r="J29" s="29">
        <f t="shared" si="2"/>
        <v>24.922000000000001</v>
      </c>
    </row>
    <row r="30" spans="1:10" ht="12" customHeight="1" x14ac:dyDescent="0.25">
      <c r="A30" s="23"/>
      <c r="B30" s="17"/>
      <c r="C30" s="24"/>
      <c r="D30" s="24"/>
      <c r="E30" s="17"/>
      <c r="F30" s="17"/>
      <c r="G30" s="17"/>
      <c r="H30" s="28">
        <f t="shared" si="0"/>
        <v>12.461</v>
      </c>
      <c r="I30" s="28">
        <f t="shared" si="1"/>
        <v>12.461</v>
      </c>
      <c r="J30" s="29">
        <f t="shared" si="2"/>
        <v>24.922000000000001</v>
      </c>
    </row>
    <row r="31" spans="1:10" ht="12" customHeight="1" x14ac:dyDescent="0.25">
      <c r="A31" s="23"/>
      <c r="B31" s="17"/>
      <c r="C31" s="24"/>
      <c r="D31" s="24"/>
      <c r="E31" s="17"/>
      <c r="F31" s="17"/>
      <c r="G31" s="17"/>
      <c r="H31" s="28">
        <f t="shared" si="0"/>
        <v>12.461</v>
      </c>
      <c r="I31" s="28">
        <f t="shared" si="1"/>
        <v>12.461</v>
      </c>
      <c r="J31" s="29">
        <f t="shared" si="2"/>
        <v>24.922000000000001</v>
      </c>
    </row>
    <row r="32" spans="1:10" ht="12" customHeight="1" x14ac:dyDescent="0.25">
      <c r="A32" s="23"/>
      <c r="B32" s="17"/>
      <c r="C32" s="24"/>
      <c r="D32" s="24"/>
      <c r="E32" s="17"/>
      <c r="F32" s="17"/>
      <c r="G32" s="17"/>
      <c r="H32" s="28">
        <f t="shared" si="0"/>
        <v>12.461</v>
      </c>
      <c r="I32" s="28">
        <f t="shared" si="1"/>
        <v>12.461</v>
      </c>
      <c r="J32" s="29">
        <f t="shared" si="2"/>
        <v>24.922000000000001</v>
      </c>
    </row>
    <row r="33" spans="1:11" ht="12" customHeight="1" x14ac:dyDescent="0.25">
      <c r="A33" s="23"/>
      <c r="B33" s="17"/>
      <c r="C33" s="24"/>
      <c r="D33" s="24"/>
      <c r="E33" s="17"/>
      <c r="F33" s="17"/>
      <c r="G33" s="17"/>
      <c r="H33" s="28">
        <f t="shared" si="0"/>
        <v>12.461</v>
      </c>
      <c r="I33" s="28">
        <f t="shared" si="1"/>
        <v>12.461</v>
      </c>
      <c r="J33" s="29">
        <f t="shared" si="2"/>
        <v>24.922000000000001</v>
      </c>
    </row>
    <row r="34" spans="1:11" ht="12" customHeight="1" x14ac:dyDescent="0.25">
      <c r="A34" s="23"/>
      <c r="B34" s="17"/>
      <c r="C34" s="17"/>
      <c r="D34" s="24"/>
      <c r="E34" s="17"/>
      <c r="F34" s="17"/>
      <c r="G34" s="17"/>
      <c r="H34" s="28">
        <f t="shared" si="0"/>
        <v>12.461</v>
      </c>
      <c r="I34" s="28">
        <f t="shared" si="1"/>
        <v>12.461</v>
      </c>
      <c r="J34" s="29">
        <f t="shared" si="2"/>
        <v>24.922000000000001</v>
      </c>
    </row>
    <row r="35" spans="1:11" s="10" customFormat="1" ht="12" customHeight="1" x14ac:dyDescent="0.25">
      <c r="A35" s="23"/>
      <c r="B35" s="17"/>
      <c r="C35" s="24"/>
      <c r="D35" s="24"/>
      <c r="E35" s="17"/>
      <c r="F35" s="17"/>
      <c r="G35" s="17"/>
      <c r="H35" s="28">
        <f t="shared" si="0"/>
        <v>12.461</v>
      </c>
      <c r="I35" s="28">
        <f t="shared" si="1"/>
        <v>12.461</v>
      </c>
      <c r="J35" s="29">
        <f t="shared" si="2"/>
        <v>24.922000000000001</v>
      </c>
      <c r="K35" s="30"/>
    </row>
    <row r="36" spans="1:11" s="10" customFormat="1" ht="12" customHeight="1" x14ac:dyDescent="0.25">
      <c r="A36" s="23"/>
      <c r="B36" s="17"/>
      <c r="C36" s="17"/>
      <c r="D36" s="24"/>
      <c r="E36" s="17"/>
      <c r="F36" s="17"/>
      <c r="G36" s="17"/>
      <c r="H36" s="28">
        <f t="shared" si="0"/>
        <v>12.461</v>
      </c>
      <c r="I36" s="28">
        <f t="shared" si="1"/>
        <v>12.461</v>
      </c>
      <c r="J36" s="29">
        <f t="shared" si="2"/>
        <v>24.922000000000001</v>
      </c>
      <c r="K36" s="30"/>
    </row>
    <row r="37" spans="1:11" s="10" customFormat="1" ht="12" customHeight="1" x14ac:dyDescent="0.25">
      <c r="A37" s="23"/>
      <c r="B37" s="17"/>
      <c r="C37" s="24"/>
      <c r="D37" s="24"/>
      <c r="E37" s="17"/>
      <c r="F37" s="17"/>
      <c r="G37" s="17"/>
      <c r="H37" s="28">
        <f t="shared" si="0"/>
        <v>12.461</v>
      </c>
      <c r="I37" s="28">
        <f t="shared" si="1"/>
        <v>12.461</v>
      </c>
      <c r="J37" s="29">
        <f t="shared" si="2"/>
        <v>24.922000000000001</v>
      </c>
      <c r="K37" s="30"/>
    </row>
    <row r="38" spans="1:11" s="10" customFormat="1" ht="12.75" customHeight="1" x14ac:dyDescent="0.25">
      <c r="A38" s="23"/>
      <c r="B38" s="17"/>
      <c r="C38" s="24"/>
      <c r="D38" s="24"/>
      <c r="E38" s="17"/>
      <c r="F38" s="17"/>
      <c r="G38" s="17"/>
      <c r="H38" s="28">
        <f t="shared" si="0"/>
        <v>12.461</v>
      </c>
      <c r="I38" s="28">
        <f t="shared" si="1"/>
        <v>12.461</v>
      </c>
      <c r="J38" s="29">
        <f t="shared" si="2"/>
        <v>24.922000000000001</v>
      </c>
      <c r="K38" s="30"/>
    </row>
    <row r="39" spans="1:11" ht="12" customHeight="1" x14ac:dyDescent="0.25">
      <c r="A39" s="23"/>
      <c r="B39" s="17"/>
      <c r="C39" s="24"/>
      <c r="D39" s="24"/>
      <c r="E39" s="17"/>
      <c r="F39" s="17"/>
      <c r="G39" s="17"/>
      <c r="H39" s="28">
        <f t="shared" si="0"/>
        <v>12.461</v>
      </c>
      <c r="I39" s="28">
        <f t="shared" si="1"/>
        <v>12.461</v>
      </c>
      <c r="J39" s="29">
        <f t="shared" si="2"/>
        <v>24.922000000000001</v>
      </c>
    </row>
    <row r="40" spans="1:11" s="10" customFormat="1" ht="12" customHeight="1" x14ac:dyDescent="0.25">
      <c r="A40" s="23"/>
      <c r="B40" s="17"/>
      <c r="C40" s="24"/>
      <c r="D40" s="24"/>
      <c r="E40" s="17"/>
      <c r="F40" s="17"/>
      <c r="G40" s="17"/>
      <c r="H40" s="28">
        <f t="shared" si="0"/>
        <v>12.461</v>
      </c>
      <c r="I40" s="28">
        <f t="shared" si="1"/>
        <v>12.461</v>
      </c>
      <c r="J40" s="29">
        <f t="shared" si="2"/>
        <v>24.922000000000001</v>
      </c>
      <c r="K40" s="30"/>
    </row>
    <row r="41" spans="1:11" s="10" customFormat="1" ht="15" customHeight="1" x14ac:dyDescent="0.25">
      <c r="A41" s="23"/>
      <c r="B41" s="17"/>
      <c r="C41" s="24"/>
      <c r="D41" s="24"/>
      <c r="E41" s="17"/>
      <c r="F41" s="17"/>
      <c r="G41" s="17"/>
      <c r="H41" s="28">
        <f t="shared" si="0"/>
        <v>12.461</v>
      </c>
      <c r="I41" s="28">
        <f t="shared" si="1"/>
        <v>12.461</v>
      </c>
      <c r="J41" s="29">
        <f t="shared" si="2"/>
        <v>24.922000000000001</v>
      </c>
      <c r="K41" s="30"/>
    </row>
    <row r="42" spans="1:11" s="10" customFormat="1" ht="16.5" customHeight="1" x14ac:dyDescent="0.25">
      <c r="A42" s="23"/>
      <c r="B42" s="17"/>
      <c r="C42" s="24"/>
      <c r="D42" s="24"/>
      <c r="E42" s="17"/>
      <c r="F42" s="17"/>
      <c r="G42" s="17"/>
      <c r="H42" s="28">
        <f t="shared" si="0"/>
        <v>12.461</v>
      </c>
      <c r="I42" s="28">
        <f t="shared" si="1"/>
        <v>12.461</v>
      </c>
      <c r="J42" s="29">
        <f t="shared" si="2"/>
        <v>24.922000000000001</v>
      </c>
      <c r="K42" s="30"/>
    </row>
    <row r="43" spans="1:11" s="10" customFormat="1" ht="16.5" customHeight="1" x14ac:dyDescent="0.25">
      <c r="A43" s="23"/>
      <c r="B43" s="17"/>
      <c r="C43" s="24"/>
      <c r="D43" s="24"/>
      <c r="E43" s="17"/>
      <c r="F43" s="17"/>
      <c r="G43" s="17"/>
      <c r="H43" s="28">
        <f t="shared" si="0"/>
        <v>12.461</v>
      </c>
      <c r="I43" s="28">
        <f t="shared" si="1"/>
        <v>12.461</v>
      </c>
      <c r="J43" s="29">
        <f t="shared" si="2"/>
        <v>24.922000000000001</v>
      </c>
      <c r="K43" s="30"/>
    </row>
    <row r="44" spans="1:11" x14ac:dyDescent="0.25">
      <c r="A44" s="23"/>
      <c r="B44" s="17"/>
      <c r="C44" s="24"/>
      <c r="D44" s="24"/>
      <c r="E44" s="17"/>
      <c r="F44" s="17"/>
      <c r="G44" s="17"/>
      <c r="H44" s="28">
        <f t="shared" si="0"/>
        <v>12.461</v>
      </c>
      <c r="I44" s="28">
        <f t="shared" si="1"/>
        <v>12.461</v>
      </c>
      <c r="J44" s="29">
        <f t="shared" si="2"/>
        <v>24.922000000000001</v>
      </c>
    </row>
    <row r="45" spans="1:11" x14ac:dyDescent="0.25">
      <c r="A45" s="23"/>
      <c r="B45" s="17"/>
      <c r="C45" s="24"/>
      <c r="D45" s="24"/>
      <c r="E45" s="17"/>
      <c r="F45" s="17"/>
      <c r="G45" s="17"/>
      <c r="H45" s="28">
        <f t="shared" si="0"/>
        <v>12.461</v>
      </c>
      <c r="I45" s="28">
        <f t="shared" si="1"/>
        <v>12.461</v>
      </c>
      <c r="J45" s="29">
        <f t="shared" si="2"/>
        <v>24.922000000000001</v>
      </c>
    </row>
    <row r="46" spans="1:11" x14ac:dyDescent="0.25">
      <c r="A46" s="23"/>
      <c r="B46" s="17"/>
      <c r="C46" s="24"/>
      <c r="D46" s="24"/>
      <c r="E46" s="17"/>
      <c r="F46" s="17"/>
      <c r="G46" s="17"/>
      <c r="H46" s="28">
        <f t="shared" si="0"/>
        <v>12.461</v>
      </c>
      <c r="I46" s="28">
        <f t="shared" si="1"/>
        <v>12.461</v>
      </c>
      <c r="J46" s="29">
        <f t="shared" si="2"/>
        <v>24.922000000000001</v>
      </c>
    </row>
    <row r="47" spans="1:11" x14ac:dyDescent="0.25">
      <c r="H47" s="32"/>
      <c r="I47" s="32"/>
      <c r="J47" s="32"/>
    </row>
    <row r="48" spans="1:11" x14ac:dyDescent="0.25">
      <c r="H48" s="32"/>
      <c r="I48" s="32"/>
      <c r="J48" s="32"/>
    </row>
    <row r="52" spans="6:6" x14ac:dyDescent="0.25">
      <c r="F52" s="31" t="s">
        <v>33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2"/>
  <sheetViews>
    <sheetView view="pageBreakPreview" zoomScaleNormal="100" workbookViewId="0">
      <selection activeCell="G19" sqref="G19"/>
    </sheetView>
  </sheetViews>
  <sheetFormatPr defaultColWidth="9" defaultRowHeight="15" x14ac:dyDescent="0.25"/>
  <cols>
    <col min="1" max="1" width="23.5703125" style="44" customWidth="1"/>
    <col min="2" max="2" width="18.85546875" style="44" customWidth="1"/>
    <col min="3" max="3" width="37.5703125" style="55" customWidth="1"/>
    <col min="4" max="4" width="11.7109375" style="56" customWidth="1"/>
    <col min="5" max="5" width="11" style="44" customWidth="1"/>
    <col min="6" max="6" width="11.85546875" style="56" customWidth="1"/>
    <col min="7" max="7" width="22" style="44" customWidth="1"/>
    <col min="8" max="16384" width="9" style="44"/>
  </cols>
  <sheetData>
    <row r="1" spans="1:7" s="36" customFormat="1" ht="52.5" customHeight="1" x14ac:dyDescent="0.25">
      <c r="E1" s="37"/>
    </row>
    <row r="2" spans="1:7" s="36" customFormat="1" ht="10.5" customHeight="1" x14ac:dyDescent="0.25">
      <c r="A2" s="93" t="s">
        <v>0</v>
      </c>
      <c r="B2" s="93"/>
      <c r="C2" s="93"/>
      <c r="D2" s="93"/>
      <c r="E2" s="93"/>
      <c r="F2" s="93"/>
      <c r="G2" s="93"/>
    </row>
    <row r="3" spans="1:7" s="36" customFormat="1" ht="15.95" customHeight="1" x14ac:dyDescent="0.25">
      <c r="A3" s="93" t="s">
        <v>1</v>
      </c>
      <c r="B3" s="93"/>
      <c r="C3" s="93"/>
      <c r="D3" s="93"/>
      <c r="E3" s="93"/>
      <c r="F3" s="93"/>
      <c r="G3" s="93"/>
    </row>
    <row r="4" spans="1:7" s="36" customFormat="1" ht="15.95" customHeight="1" x14ac:dyDescent="0.25">
      <c r="A4" s="93" t="s">
        <v>2</v>
      </c>
      <c r="B4" s="93"/>
      <c r="C4" s="93"/>
      <c r="D4" s="93"/>
      <c r="E4" s="93"/>
      <c r="F4" s="93"/>
      <c r="G4" s="93"/>
    </row>
    <row r="5" spans="1:7" s="36" customFormat="1" ht="15.95" customHeight="1" x14ac:dyDescent="0.25">
      <c r="A5" s="93" t="s">
        <v>3</v>
      </c>
      <c r="B5" s="93"/>
      <c r="C5" s="93"/>
      <c r="D5" s="93"/>
      <c r="E5" s="93"/>
      <c r="F5" s="93"/>
      <c r="G5" s="93"/>
    </row>
    <row r="6" spans="1:7" s="36" customFormat="1" ht="8.25" customHeight="1" x14ac:dyDescent="0.25">
      <c r="E6" s="37"/>
    </row>
    <row r="7" spans="1:7" s="36" customFormat="1" ht="8.25" customHeight="1" x14ac:dyDescent="0.25">
      <c r="E7" s="37"/>
    </row>
    <row r="8" spans="1:7" s="36" customFormat="1" ht="17.25" customHeight="1" x14ac:dyDescent="0.25">
      <c r="A8" s="38" t="s">
        <v>49</v>
      </c>
      <c r="B8" s="38"/>
      <c r="C8" s="38" t="s">
        <v>35</v>
      </c>
      <c r="D8" s="39"/>
      <c r="E8" s="38" t="s">
        <v>36</v>
      </c>
      <c r="F8" s="39"/>
      <c r="G8" s="40"/>
    </row>
    <row r="9" spans="1:7" s="36" customFormat="1" ht="12" customHeight="1" x14ac:dyDescent="0.25">
      <c r="A9" s="41"/>
      <c r="B9" s="41"/>
      <c r="C9" s="42"/>
      <c r="E9" s="38" t="s">
        <v>37</v>
      </c>
      <c r="F9" s="43"/>
      <c r="G9" s="42"/>
    </row>
    <row r="10" spans="1:7" s="36" customFormat="1" ht="14.25" customHeight="1" x14ac:dyDescent="0.25">
      <c r="A10" s="38" t="s">
        <v>58</v>
      </c>
      <c r="B10" s="38"/>
      <c r="C10" s="38" t="s">
        <v>38</v>
      </c>
      <c r="D10" s="39"/>
      <c r="E10" s="38" t="s">
        <v>39</v>
      </c>
      <c r="F10" s="39"/>
      <c r="G10" s="40"/>
    </row>
    <row r="11" spans="1:7" s="36" customFormat="1" ht="12" customHeight="1" thickBot="1" x14ac:dyDescent="0.3">
      <c r="A11" s="40"/>
      <c r="B11" s="40"/>
      <c r="C11" s="40"/>
      <c r="F11" s="39"/>
      <c r="G11" s="40"/>
    </row>
    <row r="12" spans="1:7" ht="23.25" customHeight="1" thickBot="1" x14ac:dyDescent="0.3">
      <c r="A12" s="94" t="s">
        <v>40</v>
      </c>
      <c r="B12" s="95"/>
      <c r="C12" s="95"/>
      <c r="D12" s="95"/>
      <c r="E12" s="95"/>
      <c r="F12" s="95"/>
      <c r="G12" s="96"/>
    </row>
    <row r="13" spans="1:7" s="49" customFormat="1" ht="37.5" customHeight="1" thickBot="1" x14ac:dyDescent="0.25">
      <c r="A13" s="45" t="s">
        <v>41</v>
      </c>
      <c r="B13" s="46" t="s">
        <v>42</v>
      </c>
      <c r="C13" s="57" t="s">
        <v>43</v>
      </c>
      <c r="D13" s="57" t="s">
        <v>13</v>
      </c>
      <c r="E13" s="47" t="s">
        <v>14</v>
      </c>
      <c r="F13" s="47" t="s">
        <v>15</v>
      </c>
      <c r="G13" s="48" t="s">
        <v>11</v>
      </c>
    </row>
    <row r="14" spans="1:7" s="49" customFormat="1" ht="15.75" customHeight="1" x14ac:dyDescent="0.2">
      <c r="A14" s="60" t="s">
        <v>45</v>
      </c>
      <c r="B14" s="61" t="s">
        <v>46</v>
      </c>
      <c r="C14" s="58" t="s">
        <v>47</v>
      </c>
      <c r="D14" s="35">
        <v>5</v>
      </c>
      <c r="E14" s="50">
        <v>0</v>
      </c>
      <c r="F14" s="50">
        <v>5</v>
      </c>
      <c r="G14" s="51">
        <v>5</v>
      </c>
    </row>
    <row r="15" spans="1:7" s="53" customFormat="1" ht="27" customHeight="1" x14ac:dyDescent="0.2">
      <c r="A15" s="18" t="s">
        <v>55</v>
      </c>
      <c r="B15" s="18" t="s">
        <v>56</v>
      </c>
      <c r="C15" s="65" t="s">
        <v>57</v>
      </c>
      <c r="D15" s="52">
        <v>15</v>
      </c>
      <c r="E15" s="52">
        <v>2</v>
      </c>
      <c r="F15" s="52">
        <v>13</v>
      </c>
      <c r="G15" s="51">
        <v>13</v>
      </c>
    </row>
    <row r="16" spans="1:7" s="53" customFormat="1" ht="27" customHeight="1" x14ac:dyDescent="0.2">
      <c r="A16" s="60" t="s">
        <v>64</v>
      </c>
      <c r="B16" s="71" t="s">
        <v>65</v>
      </c>
      <c r="C16" s="65" t="s">
        <v>66</v>
      </c>
      <c r="D16" s="52">
        <v>2</v>
      </c>
      <c r="E16" s="50">
        <v>0</v>
      </c>
      <c r="F16" s="50">
        <v>2</v>
      </c>
      <c r="G16" s="51">
        <v>2</v>
      </c>
    </row>
    <row r="17" spans="1:7" s="53" customFormat="1" ht="30.75" customHeight="1" x14ac:dyDescent="0.2">
      <c r="A17" s="60" t="s">
        <v>62</v>
      </c>
      <c r="B17" s="70">
        <v>45571</v>
      </c>
      <c r="C17" s="65" t="s">
        <v>63</v>
      </c>
      <c r="D17" s="52">
        <v>7</v>
      </c>
      <c r="E17" s="50">
        <v>0</v>
      </c>
      <c r="F17" s="50">
        <v>7</v>
      </c>
      <c r="G17" s="51">
        <v>7</v>
      </c>
    </row>
    <row r="18" spans="1:7" s="53" customFormat="1" ht="24" x14ac:dyDescent="0.2">
      <c r="A18" s="60" t="s">
        <v>59</v>
      </c>
      <c r="B18" s="61" t="s">
        <v>60</v>
      </c>
      <c r="C18" s="66" t="s">
        <v>61</v>
      </c>
      <c r="D18" s="67">
        <v>1</v>
      </c>
      <c r="E18" s="68">
        <v>0</v>
      </c>
      <c r="F18" s="68">
        <v>1</v>
      </c>
      <c r="G18" s="69">
        <v>1</v>
      </c>
    </row>
    <row r="19" spans="1:7" s="53" customFormat="1" ht="15.75" x14ac:dyDescent="0.2">
      <c r="A19" s="90" t="s">
        <v>11</v>
      </c>
      <c r="B19" s="91"/>
      <c r="C19" s="91"/>
      <c r="D19" s="91"/>
      <c r="E19" s="91"/>
      <c r="F19" s="92"/>
      <c r="G19" s="59" t="s">
        <v>67</v>
      </c>
    </row>
    <row r="20" spans="1:7" s="36" customFormat="1" ht="75.75" customHeight="1" x14ac:dyDescent="0.25">
      <c r="A20" s="54"/>
      <c r="B20" s="54"/>
      <c r="G20" s="54"/>
    </row>
    <row r="21" spans="1:7" s="36" customFormat="1" x14ac:dyDescent="0.25"/>
    <row r="22" spans="1:7" s="36" customFormat="1" x14ac:dyDescent="0.25"/>
  </sheetData>
  <mergeCells count="6">
    <mergeCell ref="A19:F19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5D7A-4B22-4EBC-A0CA-ADC992F771DF}">
  <sheetPr>
    <pageSetUpPr fitToPage="1"/>
  </sheetPr>
  <dimension ref="A1:M86"/>
  <sheetViews>
    <sheetView workbookViewId="0">
      <selection activeCell="B19" sqref="B19:E19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6.425781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1"/>
    </row>
    <row r="6" spans="1:13" x14ac:dyDescent="0.25">
      <c r="A6" s="89" t="s">
        <v>1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1"/>
    </row>
    <row r="7" spans="1:13" x14ac:dyDescent="0.25">
      <c r="A7" s="89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1"/>
    </row>
    <row r="8" spans="1:13" x14ac:dyDescent="0.25">
      <c r="A8" s="89" t="s">
        <v>3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50</v>
      </c>
      <c r="B11" s="5"/>
      <c r="C11" s="88" t="s">
        <v>4</v>
      </c>
      <c r="D11" s="88"/>
      <c r="E11" s="88"/>
      <c r="F11" s="88"/>
      <c r="G11" s="88"/>
      <c r="H11" s="1"/>
      <c r="I11" s="88" t="s">
        <v>5</v>
      </c>
      <c r="J11" s="88"/>
      <c r="K11" s="88"/>
      <c r="L11" s="5"/>
      <c r="M11" s="1"/>
    </row>
    <row r="12" spans="1:13" x14ac:dyDescent="0.25">
      <c r="A12" s="1"/>
      <c r="B12" s="6"/>
      <c r="C12" s="88" t="s">
        <v>51</v>
      </c>
      <c r="D12" s="88"/>
      <c r="E12" s="88"/>
      <c r="F12" s="88"/>
      <c r="G12" s="88"/>
      <c r="H12" s="1"/>
      <c r="I12" s="97" t="s">
        <v>6</v>
      </c>
      <c r="J12" s="97"/>
      <c r="K12" s="97"/>
      <c r="L12" s="6"/>
      <c r="M12" s="1"/>
    </row>
    <row r="13" spans="1:13" x14ac:dyDescent="0.25">
      <c r="A13" s="5" t="s">
        <v>48</v>
      </c>
      <c r="B13" s="5"/>
      <c r="C13" s="7"/>
      <c r="D13" s="6"/>
      <c r="E13" s="6"/>
      <c r="F13" s="1"/>
      <c r="G13" s="1"/>
      <c r="H13" s="1"/>
      <c r="I13" s="88" t="s">
        <v>7</v>
      </c>
      <c r="J13" s="88"/>
      <c r="K13" s="88"/>
      <c r="L13" s="5"/>
      <c r="M13" s="1"/>
    </row>
    <row r="14" spans="1:13" ht="21.75" thickBot="1" x14ac:dyDescent="0.3">
      <c r="A14" s="76" t="s">
        <v>8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</row>
    <row r="15" spans="1:13" x14ac:dyDescent="0.25">
      <c r="A15" s="98" t="s">
        <v>9</v>
      </c>
      <c r="B15" s="100" t="s">
        <v>10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2" t="s">
        <v>11</v>
      </c>
      <c r="M15" s="8"/>
    </row>
    <row r="16" spans="1:13" x14ac:dyDescent="0.25">
      <c r="A16" s="99"/>
      <c r="B16" s="104" t="s">
        <v>12</v>
      </c>
      <c r="C16" s="105"/>
      <c r="D16" s="105"/>
      <c r="E16" s="106"/>
      <c r="F16" s="104" t="s">
        <v>13</v>
      </c>
      <c r="G16" s="106"/>
      <c r="H16" s="104" t="s">
        <v>14</v>
      </c>
      <c r="I16" s="106"/>
      <c r="J16" s="104" t="s">
        <v>15</v>
      </c>
      <c r="K16" s="106"/>
      <c r="L16" s="103"/>
      <c r="M16" s="8"/>
    </row>
    <row r="17" spans="1:13" ht="27.75" customHeight="1" x14ac:dyDescent="0.25">
      <c r="A17" s="62" t="s">
        <v>18</v>
      </c>
      <c r="B17" s="108" t="s">
        <v>54</v>
      </c>
      <c r="C17" s="110"/>
      <c r="D17" s="110"/>
      <c r="E17" s="109"/>
      <c r="F17" s="108">
        <v>15</v>
      </c>
      <c r="G17" s="109"/>
      <c r="H17" s="108">
        <v>0</v>
      </c>
      <c r="I17" s="109"/>
      <c r="J17" s="108">
        <v>15</v>
      </c>
      <c r="K17" s="109"/>
      <c r="L17" s="63">
        <v>15</v>
      </c>
      <c r="M17" s="8"/>
    </row>
    <row r="18" spans="1:13" ht="27.75" customHeight="1" x14ac:dyDescent="0.25">
      <c r="A18" s="23" t="s">
        <v>52</v>
      </c>
      <c r="B18" s="108"/>
      <c r="C18" s="110"/>
      <c r="D18" s="110"/>
      <c r="E18" s="109"/>
      <c r="F18" s="108"/>
      <c r="G18" s="109"/>
      <c r="H18" s="108">
        <v>1</v>
      </c>
      <c r="I18" s="109"/>
      <c r="J18" s="108">
        <v>14</v>
      </c>
      <c r="K18" s="109"/>
      <c r="L18" s="64">
        <v>14</v>
      </c>
      <c r="M18" s="9"/>
    </row>
    <row r="19" spans="1:13" ht="27.75" customHeight="1" x14ac:dyDescent="0.25">
      <c r="A19" s="23" t="s">
        <v>17</v>
      </c>
      <c r="B19" s="108"/>
      <c r="C19" s="110"/>
      <c r="D19" s="110"/>
      <c r="E19" s="109"/>
      <c r="F19" s="108"/>
      <c r="G19" s="109"/>
      <c r="H19" s="108">
        <v>1</v>
      </c>
      <c r="I19" s="109"/>
      <c r="J19" s="108">
        <v>13</v>
      </c>
      <c r="K19" s="109"/>
      <c r="L19" s="64">
        <v>13</v>
      </c>
      <c r="M19" s="9"/>
    </row>
    <row r="20" spans="1:13" x14ac:dyDescent="0.25">
      <c r="A20" s="10" t="s">
        <v>16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/>
      <c r="M20" s="9"/>
    </row>
    <row r="21" spans="1:13" x14ac:dyDescent="0.25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B48"/>
      <c r="E48"/>
      <c r="F48"/>
      <c r="G48"/>
      <c r="I48"/>
      <c r="J48"/>
      <c r="K48"/>
    </row>
    <row r="49" spans="3:7" customFormat="1" x14ac:dyDescent="0.25">
      <c r="C49" s="14"/>
      <c r="G49" t="s">
        <v>53</v>
      </c>
    </row>
    <row r="50" spans="3:7" customFormat="1" x14ac:dyDescent="0.25">
      <c r="C50" s="14"/>
    </row>
    <row r="51" spans="3:7" customFormat="1" x14ac:dyDescent="0.25">
      <c r="C51" s="14"/>
    </row>
    <row r="52" spans="3:7" customFormat="1" x14ac:dyDescent="0.25">
      <c r="C52" s="14"/>
    </row>
    <row r="53" spans="3:7" customFormat="1" x14ac:dyDescent="0.25">
      <c r="C53" s="14"/>
    </row>
    <row r="54" spans="3:7" customFormat="1" x14ac:dyDescent="0.25">
      <c r="C54" s="14"/>
    </row>
    <row r="55" spans="3:7" customFormat="1" x14ac:dyDescent="0.25">
      <c r="C55" s="14"/>
    </row>
    <row r="56" spans="3:7" customFormat="1" x14ac:dyDescent="0.25">
      <c r="C56" s="14"/>
    </row>
    <row r="57" spans="3:7" customFormat="1" x14ac:dyDescent="0.25">
      <c r="C57" s="14"/>
    </row>
    <row r="58" spans="3:7" customFormat="1" x14ac:dyDescent="0.25">
      <c r="C58" s="14"/>
    </row>
    <row r="59" spans="3:7" customFormat="1" x14ac:dyDescent="0.25">
      <c r="C59" s="14"/>
    </row>
    <row r="60" spans="3:7" customFormat="1" x14ac:dyDescent="0.25">
      <c r="C60" s="14"/>
    </row>
    <row r="61" spans="3:7" customFormat="1" x14ac:dyDescent="0.25">
      <c r="C61" s="14"/>
    </row>
    <row r="62" spans="3:7" customFormat="1" x14ac:dyDescent="0.25">
      <c r="C62" s="14"/>
    </row>
    <row r="63" spans="3:7" customFormat="1" x14ac:dyDescent="0.25">
      <c r="C63" s="14"/>
    </row>
    <row r="64" spans="3:7" customFormat="1" x14ac:dyDescent="0.25">
      <c r="C64" s="14"/>
    </row>
    <row r="65" spans="3:3" customFormat="1" x14ac:dyDescent="0.25">
      <c r="C65" s="14"/>
    </row>
    <row r="66" spans="3:3" customFormat="1" x14ac:dyDescent="0.25">
      <c r="C66" s="14"/>
    </row>
    <row r="67" spans="3:3" customFormat="1" x14ac:dyDescent="0.25">
      <c r="C67" s="14"/>
    </row>
    <row r="68" spans="3:3" customFormat="1" x14ac:dyDescent="0.25">
      <c r="C68" s="14"/>
    </row>
    <row r="69" spans="3:3" customFormat="1" x14ac:dyDescent="0.25">
      <c r="C69" s="14"/>
    </row>
    <row r="70" spans="3:3" customFormat="1" x14ac:dyDescent="0.25">
      <c r="C70" s="14"/>
    </row>
    <row r="71" spans="3:3" customFormat="1" x14ac:dyDescent="0.25">
      <c r="C71" s="14"/>
    </row>
    <row r="72" spans="3:3" customFormat="1" x14ac:dyDescent="0.25">
      <c r="C72" s="14"/>
    </row>
    <row r="73" spans="3:3" customFormat="1" x14ac:dyDescent="0.25">
      <c r="C73" s="14"/>
    </row>
    <row r="74" spans="3:3" customFormat="1" x14ac:dyDescent="0.25">
      <c r="C74" s="14"/>
    </row>
    <row r="75" spans="3:3" customFormat="1" x14ac:dyDescent="0.25">
      <c r="C75" s="14"/>
    </row>
    <row r="76" spans="3:3" customFormat="1" x14ac:dyDescent="0.25">
      <c r="C76" s="14"/>
    </row>
    <row r="77" spans="3:3" customFormat="1" x14ac:dyDescent="0.25">
      <c r="C77" s="14"/>
    </row>
    <row r="78" spans="3:3" customFormat="1" x14ac:dyDescent="0.25">
      <c r="C78" s="14"/>
    </row>
    <row r="79" spans="3:3" customFormat="1" x14ac:dyDescent="0.25">
      <c r="C79" s="14"/>
    </row>
    <row r="80" spans="3:3" customFormat="1" x14ac:dyDescent="0.25">
      <c r="C80" s="14"/>
    </row>
    <row r="81" spans="3:3" customFormat="1" x14ac:dyDescent="0.25">
      <c r="C81" s="14"/>
    </row>
    <row r="82" spans="3:3" customFormat="1" x14ac:dyDescent="0.25">
      <c r="C82" s="14"/>
    </row>
    <row r="83" spans="3:3" customFormat="1" x14ac:dyDescent="0.25">
      <c r="C83" s="14"/>
    </row>
    <row r="84" spans="3:3" customFormat="1" x14ac:dyDescent="0.25">
      <c r="C84" s="14"/>
    </row>
    <row r="85" spans="3:3" customFormat="1" x14ac:dyDescent="0.25">
      <c r="C85" s="14"/>
    </row>
    <row r="86" spans="3:3" customFormat="1" x14ac:dyDescent="0.25">
      <c r="C86" s="14"/>
    </row>
  </sheetData>
  <mergeCells count="30">
    <mergeCell ref="A21:L21"/>
    <mergeCell ref="F17:G17"/>
    <mergeCell ref="H17:I17"/>
    <mergeCell ref="J17:K17"/>
    <mergeCell ref="B19:E19"/>
    <mergeCell ref="F19:G19"/>
    <mergeCell ref="H19:I19"/>
    <mergeCell ref="J19:K19"/>
    <mergeCell ref="B18:E18"/>
    <mergeCell ref="F18:G18"/>
    <mergeCell ref="H18:I18"/>
    <mergeCell ref="J18:K18"/>
    <mergeCell ref="B17:E17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14" scale="6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CTO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2024-03-04T07:27:54Z</cp:lastPrinted>
  <dcterms:created xsi:type="dcterms:W3CDTF">2022-11-24T07:01:13Z</dcterms:created>
  <dcterms:modified xsi:type="dcterms:W3CDTF">2025-07-11T05:10:34Z</dcterms:modified>
</cp:coreProperties>
</file>