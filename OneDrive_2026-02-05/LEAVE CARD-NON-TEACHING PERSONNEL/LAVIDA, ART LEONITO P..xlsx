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7DE6DCD7-3FD9-486B-A3BE-A1F5E53661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Election &amp; NLC" sheetId="4" r:id="rId2"/>
    <sheet name="CTO" sheetId="11" r:id="rId3"/>
  </sheets>
  <definedNames>
    <definedName name="_xlnm.Print_Area" localSheetId="2">CTO!$A$1:$L$20</definedName>
    <definedName name="_xlnm.Print_Area" localSheetId="1">'Election &amp; NLC'!$A$1:$G$21</definedName>
    <definedName name="_xlnm.Print_Area" localSheetId="0">'Leave Card as TIC'!$A$1:$J$60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3" l="1"/>
  <c r="H53" i="3" s="1"/>
  <c r="I52" i="3"/>
  <c r="I53" i="3" s="1"/>
  <c r="J52" i="3"/>
  <c r="H50" i="3"/>
  <c r="H51" i="3" s="1"/>
  <c r="J51" i="3" s="1"/>
  <c r="I50" i="3"/>
  <c r="I51" i="3" s="1"/>
  <c r="J50" i="3"/>
  <c r="I18" i="3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14" i="3"/>
  <c r="I15" i="3" s="1"/>
  <c r="I16" i="3" s="1"/>
  <c r="I17" i="3" s="1"/>
  <c r="H14" i="3"/>
  <c r="J53" i="3" l="1"/>
  <c r="H15" i="3"/>
  <c r="H16" i="3" s="1"/>
  <c r="J16" i="3" s="1"/>
  <c r="J14" i="3"/>
  <c r="H17" i="3" l="1"/>
  <c r="H18" i="3" s="1"/>
  <c r="J15" i="3"/>
  <c r="H19" i="3" l="1"/>
  <c r="J18" i="3"/>
  <c r="J17" i="3"/>
  <c r="J19" i="3" l="1"/>
  <c r="H20" i="3"/>
  <c r="H21" i="3" l="1"/>
  <c r="J20" i="3"/>
  <c r="J21" i="3" l="1"/>
  <c r="H22" i="3"/>
  <c r="J22" i="3" l="1"/>
  <c r="H23" i="3"/>
  <c r="J23" i="3" l="1"/>
  <c r="H24" i="3"/>
  <c r="H25" i="3" l="1"/>
  <c r="J24" i="3"/>
  <c r="H26" i="3" l="1"/>
  <c r="J25" i="3"/>
  <c r="H27" i="3" l="1"/>
  <c r="J26" i="3"/>
  <c r="H28" i="3" l="1"/>
  <c r="J27" i="3"/>
  <c r="J28" i="3" l="1"/>
  <c r="H29" i="3"/>
  <c r="J29" i="3" l="1"/>
  <c r="H30" i="3"/>
  <c r="H31" i="3" l="1"/>
  <c r="J30" i="3"/>
  <c r="J31" i="3" l="1"/>
  <c r="H32" i="3"/>
  <c r="H33" i="3" l="1"/>
  <c r="J32" i="3"/>
  <c r="J33" i="3" l="1"/>
  <c r="H34" i="3"/>
  <c r="H35" i="3" l="1"/>
  <c r="J34" i="3"/>
  <c r="J35" i="3" l="1"/>
  <c r="H36" i="3"/>
  <c r="H37" i="3" l="1"/>
  <c r="J36" i="3"/>
  <c r="J37" i="3" l="1"/>
  <c r="H38" i="3"/>
  <c r="H39" i="3" l="1"/>
  <c r="J38" i="3"/>
  <c r="J39" i="3" l="1"/>
  <c r="H40" i="3"/>
  <c r="H41" i="3" l="1"/>
  <c r="J40" i="3"/>
  <c r="J41" i="3" l="1"/>
  <c r="H42" i="3"/>
  <c r="H43" i="3" l="1"/>
  <c r="J42" i="3"/>
  <c r="J43" i="3" l="1"/>
  <c r="H44" i="3"/>
  <c r="H45" i="3" l="1"/>
  <c r="J44" i="3"/>
  <c r="J45" i="3" l="1"/>
  <c r="H46" i="3"/>
  <c r="H47" i="3" l="1"/>
  <c r="J46" i="3"/>
  <c r="J47" i="3" l="1"/>
  <c r="H48" i="3"/>
  <c r="H49" i="3" l="1"/>
  <c r="J49" i="3" s="1"/>
  <c r="J48" i="3"/>
</calcChain>
</file>

<file path=xl/sharedStrings.xml><?xml version="1.0" encoding="utf-8"?>
<sst xmlns="http://schemas.openxmlformats.org/spreadsheetml/2006/main" count="93" uniqueCount="71">
  <si>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</si>
  <si>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</si>
  <si>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</si>
  <si>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</si>
  <si>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</si>
  <si>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</si>
  <si>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</si>
  <si>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</si>
  <si>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</si>
  <si>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</si>
  <si>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</si>
  <si>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</si>
  <si>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</si>
  <si>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</si>
  <si>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</si>
  <si>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</si>
  <si>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</si>
  <si>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</si>
  <si>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</si>
  <si>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</si>
  <si>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</si>
  <si>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</si>
  <si>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</si>
  <si>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</si>
  <si>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</si>
  <si>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</si>
  <si>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</si>
  <si>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</si>
  <si>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</si>
  <si>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</si>
  <si>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</si>
  <si>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</si>
  <si>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</si>
  <si>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</si>
  <si>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</si>
  <si>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</si>
  <si>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</si>
  <si>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</si>
  <si>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</si>
  <si>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</si>
  <si>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</si>
  <si>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</si>
  <si>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DESIGNATED AS TIC (NON-TEACHING): EFFECTIVE JULY 29, 2024</t>
  </si>
  <si>
    <t>SO # 029, S. 2024</t>
  </si>
  <si>
    <t>NLC 2024</t>
  </si>
  <si>
    <t>POSITION   : TEACHER III</t>
  </si>
  <si>
    <t xml:space="preserve">  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</si>
  <si>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  <r>
      <rPr>
        <b/>
        <sz val="12"/>
        <color theme="1"/>
        <rFont val="Calibri"/>
        <family val="2"/>
        <scheme val="minor"/>
      </rPr>
      <t>II</t>
    </r>
  </si>
  <si>
    <t>BRIGADA ESKWELA 2023</t>
  </si>
  <si>
    <r>
      <t>NAME          :</t>
    </r>
    <r>
      <rPr>
        <b/>
        <u/>
        <sz val="12"/>
        <color theme="1"/>
        <rFont val="Calibri"/>
        <family val="2"/>
        <scheme val="minor"/>
      </rPr>
      <t>LAVIDA, ART LEONITO P.</t>
    </r>
  </si>
  <si>
    <t>NAME         : LAVIDA, ART LEONITO</t>
  </si>
  <si>
    <t>SCHOOL/OFFICE : CANSAURO ES</t>
  </si>
  <si>
    <t>ADD: NOVEMBER 10, 2023</t>
  </si>
  <si>
    <t>S.O. # 177, S. 2023 BE &amp; OBE 2023</t>
  </si>
  <si>
    <t>LESS: 03/01/2024</t>
  </si>
  <si>
    <t>LESS:04/4-5/2024</t>
  </si>
  <si>
    <t>S.O. # 177, S. 2023</t>
  </si>
  <si>
    <t>09/24/2024</t>
  </si>
  <si>
    <t>034, S. 2024</t>
  </si>
  <si>
    <t>DEPED ACTIVITIES &amp; TRAININGS 2024-2025</t>
  </si>
  <si>
    <t>38 DAYS-CONVERTED</t>
  </si>
  <si>
    <r>
      <t xml:space="preserve">ADD: UNUSED VSC </t>
    </r>
    <r>
      <rPr>
        <b/>
        <sz val="11"/>
        <color rgb="FF002060"/>
        <rFont val="Calibri"/>
        <family val="2"/>
        <scheme val="minor"/>
      </rPr>
      <t>38 DAYS</t>
    </r>
    <r>
      <rPr>
        <sz val="11"/>
        <color theme="1"/>
        <rFont val="Calibri"/>
        <family val="2"/>
        <scheme val="minor"/>
      </rPr>
      <t xml:space="preserve">:                         FORMULA: 30Y/69/2 </t>
    </r>
  </si>
  <si>
    <t>ADD: 08/1/2024-10/31/2024</t>
  </si>
  <si>
    <t>LESS: 11/22/2024</t>
  </si>
  <si>
    <t>ADD: 11/1/2024-12/31/2024</t>
  </si>
  <si>
    <t>ADD: 01/1/2025-06/30/2025</t>
  </si>
  <si>
    <t>LESS: 07/14-15/2025</t>
  </si>
  <si>
    <t>ADD: 07/1/2025-09/30/2025</t>
  </si>
  <si>
    <t>LESS: 10/8/2025</t>
  </si>
  <si>
    <t>ADD: 10/1/2025-11/30/2025</t>
  </si>
  <si>
    <t>LESS: 12/22, 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</si>
</sst>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4">
    <xf numFmtId="0" fontId="0" fillId="0" borderId="0"/>
    <xf numFmtId="0" fontId="8" fillId="0" borderId="0"/>
    <xf numFmtId="0" fontId="11" fillId="0" borderId="0"/>
    <xf numFmtId="0" fontId="8" fillId="0" borderId="0"/>
  </cellStyleXfs>
  <cellXfs count="1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4" xfId="0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10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1" fillId="2" borderId="0" xfId="2" applyFill="1"/>
    <xf numFmtId="0" fontId="11" fillId="2" borderId="0" xfId="2" applyFill="1" applyAlignment="1">
      <alignment horizontal="center"/>
    </xf>
    <xf numFmtId="0" fontId="12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4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1" fillId="0" borderId="0" xfId="2"/>
    <xf numFmtId="0" fontId="3" fillId="3" borderId="21" xfId="2" applyFont="1" applyFill="1" applyBorder="1" applyAlignment="1">
      <alignment horizontal="center" vertical="center" wrapText="1"/>
    </xf>
    <xf numFmtId="0" fontId="3" fillId="3" borderId="21" xfId="2" applyFont="1" applyFill="1" applyBorder="1" applyAlignment="1">
      <alignment horizontal="center" vertical="center"/>
    </xf>
    <xf numFmtId="0" fontId="5" fillId="5" borderId="24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 vertical="center"/>
    </xf>
    <xf numFmtId="0" fontId="4" fillId="0" borderId="0" xfId="2" applyFont="1"/>
    <xf numFmtId="0" fontId="15" fillId="2" borderId="6" xfId="2" applyFont="1" applyFill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12" fillId="2" borderId="16" xfId="2" applyFont="1" applyFill="1" applyBorder="1" applyAlignment="1">
      <alignment horizontal="center" vertical="center" wrapText="1"/>
    </xf>
    <xf numFmtId="0" fontId="6" fillId="0" borderId="0" xfId="2" applyFont="1"/>
    <xf numFmtId="0" fontId="6" fillId="2" borderId="0" xfId="2" applyFont="1" applyFill="1" applyAlignment="1">
      <alignment horizontal="center" vertical="center"/>
    </xf>
    <xf numFmtId="0" fontId="11" fillId="6" borderId="0" xfId="2" applyFill="1"/>
    <xf numFmtId="0" fontId="11" fillId="7" borderId="0" xfId="2" applyFill="1"/>
    <xf numFmtId="0" fontId="5" fillId="5" borderId="10" xfId="2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vertical="center" wrapText="1"/>
    </xf>
    <xf numFmtId="0" fontId="17" fillId="2" borderId="16" xfId="2" applyFont="1" applyFill="1" applyBorder="1" applyAlignment="1">
      <alignment horizontal="center" vertical="center" wrapText="1"/>
    </xf>
    <xf numFmtId="0" fontId="0" fillId="2" borderId="17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14" fontId="0" fillId="2" borderId="7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" fillId="9" borderId="21" xfId="0" applyFont="1" applyFill="1" applyBorder="1" applyAlignment="1">
      <alignment horizontal="left" vertical="center"/>
    </xf>
    <xf numFmtId="0" fontId="1" fillId="9" borderId="23" xfId="0" applyFont="1" applyFill="1" applyBorder="1" applyAlignment="1">
      <alignment horizontal="left" vertical="center"/>
    </xf>
    <xf numFmtId="0" fontId="1" fillId="9" borderId="2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2" fillId="2" borderId="26" xfId="2" applyFont="1" applyFill="1" applyBorder="1" applyAlignment="1">
      <alignment horizontal="right" vertical="center" wrapText="1"/>
    </xf>
    <xf numFmtId="0" fontId="12" fillId="2" borderId="2" xfId="2" applyFont="1" applyFill="1" applyBorder="1" applyAlignment="1">
      <alignment horizontal="right" vertical="center" wrapText="1"/>
    </xf>
    <xf numFmtId="0" fontId="12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</cellXfs>
  <cellStyles count="4">
    <cellStyle name="Normal" xfId="0" builtinId="0"/>
    <cellStyle name="Normal 2" xfId="2" xr:uid="{29DC33C2-ED34-47D9-B6FD-D61DD017D699}"/>
    <cellStyle name="Normal 2 2" xfId="3" xr:uid="{21219274-95D8-49BC-93E5-5A5DFD6A046E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LAVIDA, ART LEONITO P.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T-III-HT1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3141" y="1696137"/>
          <a:ext cx="1903156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CANSAURO ES</a:t>
          </a:r>
        </a:p>
      </xdr:txBody>
    </xdr:sp>
    <xdr:clientData/>
  </xdr:twoCellAnchor>
  <xdr:twoCellAnchor>
    <xdr:from>
      <xdr:col>5</xdr:col>
      <xdr:colOff>347452</xdr:colOff>
      <xdr:row>54</xdr:row>
      <xdr:rowOff>53914</xdr:rowOff>
    </xdr:from>
    <xdr:to>
      <xdr:col>9</xdr:col>
      <xdr:colOff>672043</xdr:colOff>
      <xdr:row>59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962025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18</xdr:row>
      <xdr:rowOff>236220</xdr:rowOff>
    </xdr:from>
    <xdr:to>
      <xdr:col>6</xdr:col>
      <xdr:colOff>476250</xdr:colOff>
      <xdr:row>20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70926-7847-4852-BDE3-C218C6565EA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300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285741-CE5A-4CB7-8666-EFAD3922B257}"/>
            </a:ext>
          </a:extLst>
        </xdr:cNvPr>
        <xdr:cNvSpPr txBox="1"/>
      </xdr:nvSpPr>
      <xdr:spPr>
        <a:xfrm>
          <a:off x="76200" y="3790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718457</xdr:colOff>
      <xdr:row>10</xdr:row>
      <xdr:rowOff>6804</xdr:rowOff>
    </xdr:from>
    <xdr:to>
      <xdr:col>0</xdr:col>
      <xdr:colOff>2075316</xdr:colOff>
      <xdr:row>10</xdr:row>
      <xdr:rowOff>6804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B61C5F1-40C3-4980-8B5A-A0EC1FA04254}"/>
            </a:ext>
          </a:extLst>
        </xdr:cNvPr>
        <xdr:cNvCxnSpPr/>
      </xdr:nvCxnSpPr>
      <xdr:spPr>
        <a:xfrm>
          <a:off x="718457" y="2073729"/>
          <a:ext cx="127113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58"/>
  <sheetViews>
    <sheetView tabSelected="1" view="pageBreakPreview" topLeftCell="A8" zoomScale="106" zoomScaleNormal="100" zoomScaleSheetLayoutView="106" workbookViewId="0">
      <selection activeCell="A53" sqref="A53:XFD53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31" customWidth="1"/>
    <col min="8" max="10" width="11.5703125" customWidth="1"/>
    <col min="11" max="11" width="26.42578125" style="27" customWidth="1"/>
  </cols>
  <sheetData>
    <row r="1" spans="1:11" s="1" customFormat="1" ht="52.5" customHeight="1" x14ac:dyDescent="0.25"/>
    <row r="2" spans="1:11" s="1" customFormat="1" ht="10.5" customHeight="1" x14ac:dyDescent="0.25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</row>
    <row r="3" spans="1:11" s="1" customFormat="1" ht="15.95" customHeight="1" x14ac:dyDescent="0.25">
      <c r="A3" s="75" t="s">
        <v>1</v>
      </c>
      <c r="B3" s="75"/>
      <c r="C3" s="75"/>
      <c r="D3" s="75"/>
      <c r="E3" s="75"/>
      <c r="F3" s="75"/>
      <c r="G3" s="75"/>
      <c r="H3" s="75"/>
      <c r="I3" s="75"/>
      <c r="J3" s="75"/>
    </row>
    <row r="4" spans="1:11" s="1" customFormat="1" ht="15.95" customHeight="1" x14ac:dyDescent="0.25">
      <c r="A4" s="75" t="s">
        <v>2</v>
      </c>
      <c r="B4" s="75"/>
      <c r="C4" s="75"/>
      <c r="D4" s="75"/>
      <c r="E4" s="75"/>
      <c r="F4" s="75"/>
      <c r="G4" s="75"/>
      <c r="H4" s="75"/>
      <c r="I4" s="75"/>
      <c r="J4" s="75"/>
    </row>
    <row r="5" spans="1:11" s="1" customFormat="1" ht="15.95" customHeight="1" x14ac:dyDescent="0.25">
      <c r="A5" s="75" t="s">
        <v>3</v>
      </c>
      <c r="B5" s="75"/>
      <c r="C5" s="75"/>
      <c r="D5" s="75"/>
      <c r="E5" s="75"/>
      <c r="F5" s="75"/>
      <c r="G5" s="75"/>
      <c r="H5" s="75"/>
      <c r="I5" s="75"/>
      <c r="J5" s="75"/>
    </row>
    <row r="6" spans="1:11" s="1" customFormat="1" ht="8.25" customHeight="1" x14ac:dyDescent="0.25"/>
    <row r="7" spans="1:11" s="1" customFormat="1" ht="12" customHeight="1" x14ac:dyDescent="0.25">
      <c r="A7" s="1" t="s">
        <v>17</v>
      </c>
      <c r="B7" s="74" t="s">
        <v>18</v>
      </c>
      <c r="C7" s="74"/>
      <c r="D7" s="74"/>
      <c r="H7" s="5" t="s">
        <v>19</v>
      </c>
      <c r="I7" s="19"/>
      <c r="J7" s="5"/>
    </row>
    <row r="8" spans="1:11" s="1" customFormat="1" ht="12" customHeight="1" x14ac:dyDescent="0.25">
      <c r="B8" s="6"/>
      <c r="C8" s="6"/>
      <c r="H8" s="6"/>
      <c r="I8" s="6"/>
      <c r="J8" s="6"/>
    </row>
    <row r="9" spans="1:11" s="1" customFormat="1" ht="12" customHeight="1" x14ac:dyDescent="0.25">
      <c r="A9" s="1" t="s">
        <v>20</v>
      </c>
      <c r="B9" s="74" t="s">
        <v>21</v>
      </c>
      <c r="C9" s="74"/>
      <c r="D9" s="74"/>
      <c r="H9" s="5" t="s">
        <v>22</v>
      </c>
      <c r="I9" s="20"/>
      <c r="J9" s="5"/>
    </row>
    <row r="10" spans="1:11" ht="23.25" customHeight="1" thickBot="1" x14ac:dyDescent="0.3">
      <c r="A10" s="80" t="s">
        <v>23</v>
      </c>
      <c r="B10" s="80"/>
      <c r="C10" s="80"/>
      <c r="D10" s="80"/>
      <c r="E10" s="80"/>
      <c r="F10" s="80"/>
      <c r="G10" s="80"/>
      <c r="H10" s="80"/>
      <c r="I10" s="80"/>
      <c r="J10" s="80"/>
      <c r="K10"/>
    </row>
    <row r="11" spans="1:11" ht="18.75" customHeight="1" x14ac:dyDescent="0.25">
      <c r="A11" s="81" t="s">
        <v>9</v>
      </c>
      <c r="B11" s="83" t="s">
        <v>10</v>
      </c>
      <c r="C11" s="84"/>
      <c r="D11" s="85" t="s">
        <v>24</v>
      </c>
      <c r="E11" s="86"/>
      <c r="F11" s="86"/>
      <c r="G11" s="87"/>
      <c r="H11" s="88" t="s">
        <v>25</v>
      </c>
      <c r="I11" s="89"/>
      <c r="J11" s="90" t="s">
        <v>11</v>
      </c>
      <c r="K11" s="76" t="s">
        <v>26</v>
      </c>
    </row>
    <row r="12" spans="1:11" ht="15.75" thickBot="1" x14ac:dyDescent="0.3">
      <c r="A12" s="82"/>
      <c r="B12" s="21" t="s">
        <v>27</v>
      </c>
      <c r="C12" s="21" t="s">
        <v>28</v>
      </c>
      <c r="D12" s="21" t="s">
        <v>27</v>
      </c>
      <c r="E12" s="21" t="s">
        <v>28</v>
      </c>
      <c r="F12" s="21" t="s">
        <v>29</v>
      </c>
      <c r="G12" s="21" t="s">
        <v>30</v>
      </c>
      <c r="H12" s="21" t="s">
        <v>27</v>
      </c>
      <c r="I12" s="21" t="s">
        <v>28</v>
      </c>
      <c r="J12" s="91"/>
      <c r="K12" s="76"/>
    </row>
    <row r="13" spans="1:11" ht="15.75" thickBot="1" x14ac:dyDescent="0.3">
      <c r="A13" s="77" t="s">
        <v>42</v>
      </c>
      <c r="B13" s="78"/>
      <c r="C13" s="78"/>
      <c r="D13" s="78"/>
      <c r="E13" s="78"/>
      <c r="F13" s="78"/>
      <c r="G13" s="78"/>
      <c r="H13" s="78"/>
      <c r="I13" s="78"/>
      <c r="J13" s="79"/>
      <c r="K13" s="22"/>
    </row>
    <row r="14" spans="1:11" ht="32.25" customHeight="1" x14ac:dyDescent="0.25">
      <c r="A14" s="23" t="s">
        <v>61</v>
      </c>
      <c r="B14" s="33">
        <v>8.26</v>
      </c>
      <c r="C14" s="34">
        <v>8.26</v>
      </c>
      <c r="D14" s="34"/>
      <c r="E14" s="33"/>
      <c r="F14" s="33"/>
      <c r="G14" s="33"/>
      <c r="H14" s="25">
        <f>B14</f>
        <v>8.26</v>
      </c>
      <c r="I14" s="25">
        <f>C14</f>
        <v>8.26</v>
      </c>
      <c r="J14" s="26">
        <f>SUM(H14:I14)</f>
        <v>16.52</v>
      </c>
    </row>
    <row r="15" spans="1:11" ht="17.25" customHeight="1" x14ac:dyDescent="0.25">
      <c r="A15" s="23" t="s">
        <v>32</v>
      </c>
      <c r="B15" s="33">
        <v>0.125</v>
      </c>
      <c r="C15" s="34">
        <v>0.125</v>
      </c>
      <c r="D15" s="24"/>
      <c r="E15" s="17"/>
      <c r="F15" s="17"/>
      <c r="G15" s="17"/>
      <c r="H15" s="28">
        <f>H14-F15-D15+B15</f>
        <v>8.3849999999999998</v>
      </c>
      <c r="I15" s="28">
        <f>I14-E15+C15</f>
        <v>8.3849999999999998</v>
      </c>
      <c r="J15" s="29">
        <f>SUM(H15:I15)</f>
        <v>16.77</v>
      </c>
    </row>
    <row r="16" spans="1:11" ht="17.25" customHeight="1" x14ac:dyDescent="0.25">
      <c r="A16" s="23" t="s">
        <v>62</v>
      </c>
      <c r="B16" s="25">
        <v>3.75</v>
      </c>
      <c r="C16" s="69">
        <v>3.75</v>
      </c>
      <c r="D16" s="24"/>
      <c r="E16" s="17"/>
      <c r="F16" s="17"/>
      <c r="G16" s="17"/>
      <c r="H16" s="28">
        <f t="shared" ref="H16:H17" si="0">H15-F16-D16+B16</f>
        <v>12.135</v>
      </c>
      <c r="I16" s="28">
        <f t="shared" ref="I16:I17" si="1">I15-E16+C16</f>
        <v>12.135</v>
      </c>
      <c r="J16" s="29">
        <f t="shared" ref="J16:J17" si="2">SUM(H16:I16)</f>
        <v>24.27</v>
      </c>
    </row>
    <row r="17" spans="1:10" ht="15.75" customHeight="1" x14ac:dyDescent="0.25">
      <c r="A17" s="23" t="s">
        <v>63</v>
      </c>
      <c r="B17" s="28"/>
      <c r="C17" s="70"/>
      <c r="D17" s="24"/>
      <c r="E17" s="17"/>
      <c r="F17" s="68">
        <v>1</v>
      </c>
      <c r="G17" s="17"/>
      <c r="H17" s="28">
        <f t="shared" si="0"/>
        <v>11.135</v>
      </c>
      <c r="I17" s="28">
        <f t="shared" si="1"/>
        <v>12.135</v>
      </c>
      <c r="J17" s="29">
        <f t="shared" si="2"/>
        <v>23.27</v>
      </c>
    </row>
    <row r="18" spans="1:10" ht="15.75" hidden="1" customHeight="1" x14ac:dyDescent="0.25">
      <c r="A18" s="23"/>
      <c r="B18" s="28"/>
      <c r="C18" s="70"/>
      <c r="D18" s="24"/>
      <c r="E18" s="17"/>
      <c r="F18" s="68"/>
      <c r="G18" s="17"/>
      <c r="H18" s="28">
        <f t="shared" ref="H18:H49" si="3">H17-F18-D18+B18</f>
        <v>11.135</v>
      </c>
      <c r="I18" s="28">
        <f t="shared" ref="I18:I49" si="4">I17-E18+C18</f>
        <v>12.135</v>
      </c>
      <c r="J18" s="29">
        <f t="shared" ref="J18:J49" si="5">SUM(H18:I18)</f>
        <v>23.27</v>
      </c>
    </row>
    <row r="19" spans="1:10" ht="17.25" hidden="1" customHeight="1" x14ac:dyDescent="0.25">
      <c r="A19" s="23"/>
      <c r="B19" s="28"/>
      <c r="C19" s="70"/>
      <c r="D19" s="24"/>
      <c r="E19" s="17"/>
      <c r="F19" s="68"/>
      <c r="G19" s="17"/>
      <c r="H19" s="28">
        <f t="shared" si="3"/>
        <v>11.135</v>
      </c>
      <c r="I19" s="28">
        <f t="shared" si="4"/>
        <v>12.135</v>
      </c>
      <c r="J19" s="29">
        <f t="shared" si="5"/>
        <v>23.27</v>
      </c>
    </row>
    <row r="20" spans="1:10" ht="17.25" hidden="1" customHeight="1" x14ac:dyDescent="0.25">
      <c r="A20" s="23"/>
      <c r="B20" s="28"/>
      <c r="C20" s="70"/>
      <c r="D20" s="24"/>
      <c r="E20" s="17"/>
      <c r="F20" s="68"/>
      <c r="G20" s="17"/>
      <c r="H20" s="28">
        <f t="shared" si="3"/>
        <v>11.135</v>
      </c>
      <c r="I20" s="28">
        <f t="shared" si="4"/>
        <v>12.135</v>
      </c>
      <c r="J20" s="29">
        <f t="shared" si="5"/>
        <v>23.27</v>
      </c>
    </row>
    <row r="21" spans="1:10" ht="13.5" hidden="1" customHeight="1" x14ac:dyDescent="0.25">
      <c r="A21" s="23"/>
      <c r="B21" s="28"/>
      <c r="C21" s="70"/>
      <c r="D21" s="24"/>
      <c r="E21" s="17"/>
      <c r="F21" s="17"/>
      <c r="G21" s="17"/>
      <c r="H21" s="28">
        <f t="shared" si="3"/>
        <v>11.135</v>
      </c>
      <c r="I21" s="28">
        <f t="shared" si="4"/>
        <v>12.135</v>
      </c>
      <c r="J21" s="29">
        <f t="shared" si="5"/>
        <v>23.27</v>
      </c>
    </row>
    <row r="22" spans="1:10" ht="12" hidden="1" customHeight="1" x14ac:dyDescent="0.25">
      <c r="A22" s="23"/>
      <c r="B22" s="28"/>
      <c r="C22" s="70"/>
      <c r="D22" s="24"/>
      <c r="E22" s="17"/>
      <c r="F22" s="17"/>
      <c r="G22" s="17"/>
      <c r="H22" s="28">
        <f t="shared" si="3"/>
        <v>11.135</v>
      </c>
      <c r="I22" s="28">
        <f t="shared" si="4"/>
        <v>12.135</v>
      </c>
      <c r="J22" s="29">
        <f t="shared" si="5"/>
        <v>23.27</v>
      </c>
    </row>
    <row r="23" spans="1:10" ht="12" hidden="1" customHeight="1" x14ac:dyDescent="0.25">
      <c r="A23" s="23"/>
      <c r="B23" s="28"/>
      <c r="C23" s="70"/>
      <c r="D23" s="24"/>
      <c r="E23" s="17"/>
      <c r="F23" s="17"/>
      <c r="G23" s="17"/>
      <c r="H23" s="28">
        <f t="shared" si="3"/>
        <v>11.135</v>
      </c>
      <c r="I23" s="28">
        <f t="shared" si="4"/>
        <v>12.135</v>
      </c>
      <c r="J23" s="29">
        <f t="shared" si="5"/>
        <v>23.27</v>
      </c>
    </row>
    <row r="24" spans="1:10" ht="12" hidden="1" customHeight="1" x14ac:dyDescent="0.25">
      <c r="A24" s="23"/>
      <c r="B24" s="28"/>
      <c r="C24" s="70"/>
      <c r="D24" s="24"/>
      <c r="E24" s="17"/>
      <c r="F24" s="17"/>
      <c r="G24" s="17"/>
      <c r="H24" s="28">
        <f t="shared" si="3"/>
        <v>11.135</v>
      </c>
      <c r="I24" s="28">
        <f t="shared" si="4"/>
        <v>12.135</v>
      </c>
      <c r="J24" s="29">
        <f t="shared" si="5"/>
        <v>23.27</v>
      </c>
    </row>
    <row r="25" spans="1:10" ht="12" hidden="1" customHeight="1" x14ac:dyDescent="0.25">
      <c r="A25" s="23"/>
      <c r="B25" s="28"/>
      <c r="C25" s="70"/>
      <c r="D25" s="24"/>
      <c r="E25" s="17"/>
      <c r="F25" s="17"/>
      <c r="G25" s="17"/>
      <c r="H25" s="28">
        <f t="shared" si="3"/>
        <v>11.135</v>
      </c>
      <c r="I25" s="28">
        <f t="shared" si="4"/>
        <v>12.135</v>
      </c>
      <c r="J25" s="29">
        <f t="shared" si="5"/>
        <v>23.27</v>
      </c>
    </row>
    <row r="26" spans="1:10" ht="12" hidden="1" customHeight="1" x14ac:dyDescent="0.25">
      <c r="A26" s="23"/>
      <c r="B26" s="28"/>
      <c r="C26" s="70"/>
      <c r="D26" s="24"/>
      <c r="E26" s="17"/>
      <c r="F26" s="17"/>
      <c r="G26" s="17"/>
      <c r="H26" s="28">
        <f t="shared" si="3"/>
        <v>11.135</v>
      </c>
      <c r="I26" s="28">
        <f t="shared" si="4"/>
        <v>12.135</v>
      </c>
      <c r="J26" s="29">
        <f t="shared" si="5"/>
        <v>23.27</v>
      </c>
    </row>
    <row r="27" spans="1:10" ht="12" hidden="1" customHeight="1" x14ac:dyDescent="0.25">
      <c r="A27" s="23"/>
      <c r="B27" s="28"/>
      <c r="C27" s="70"/>
      <c r="D27" s="24"/>
      <c r="E27" s="17"/>
      <c r="F27" s="17"/>
      <c r="G27" s="17"/>
      <c r="H27" s="28">
        <f t="shared" si="3"/>
        <v>11.135</v>
      </c>
      <c r="I27" s="28">
        <f t="shared" si="4"/>
        <v>12.135</v>
      </c>
      <c r="J27" s="29">
        <f t="shared" si="5"/>
        <v>23.27</v>
      </c>
    </row>
    <row r="28" spans="1:10" ht="16.5" hidden="1" customHeight="1" x14ac:dyDescent="0.25">
      <c r="A28" s="23"/>
      <c r="B28" s="28"/>
      <c r="C28" s="70"/>
      <c r="D28" s="24"/>
      <c r="E28" s="17"/>
      <c r="F28" s="17"/>
      <c r="G28" s="17"/>
      <c r="H28" s="28">
        <f t="shared" si="3"/>
        <v>11.135</v>
      </c>
      <c r="I28" s="28">
        <f t="shared" si="4"/>
        <v>12.135</v>
      </c>
      <c r="J28" s="29">
        <f t="shared" si="5"/>
        <v>23.27</v>
      </c>
    </row>
    <row r="29" spans="1:10" ht="12" hidden="1" customHeight="1" x14ac:dyDescent="0.25">
      <c r="A29" s="23"/>
      <c r="B29" s="28"/>
      <c r="C29" s="70"/>
      <c r="D29" s="24"/>
      <c r="E29" s="17"/>
      <c r="F29" s="17"/>
      <c r="G29" s="17"/>
      <c r="H29" s="28">
        <f t="shared" si="3"/>
        <v>11.135</v>
      </c>
      <c r="I29" s="28">
        <f t="shared" si="4"/>
        <v>12.135</v>
      </c>
      <c r="J29" s="29">
        <f t="shared" si="5"/>
        <v>23.27</v>
      </c>
    </row>
    <row r="30" spans="1:10" ht="12" hidden="1" customHeight="1" x14ac:dyDescent="0.25">
      <c r="A30" s="23"/>
      <c r="B30" s="28"/>
      <c r="C30" s="70"/>
      <c r="D30" s="24"/>
      <c r="E30" s="17"/>
      <c r="F30" s="17"/>
      <c r="G30" s="17"/>
      <c r="H30" s="28">
        <f t="shared" si="3"/>
        <v>11.135</v>
      </c>
      <c r="I30" s="28">
        <f t="shared" si="4"/>
        <v>12.135</v>
      </c>
      <c r="J30" s="29">
        <f t="shared" si="5"/>
        <v>23.27</v>
      </c>
    </row>
    <row r="31" spans="1:10" ht="12" hidden="1" customHeight="1" x14ac:dyDescent="0.25">
      <c r="A31" s="23"/>
      <c r="B31" s="28"/>
      <c r="C31" s="70"/>
      <c r="D31" s="24"/>
      <c r="E31" s="17"/>
      <c r="F31" s="17"/>
      <c r="G31" s="17"/>
      <c r="H31" s="28">
        <f t="shared" si="3"/>
        <v>11.135</v>
      </c>
      <c r="I31" s="28">
        <f t="shared" si="4"/>
        <v>12.135</v>
      </c>
      <c r="J31" s="29">
        <f t="shared" si="5"/>
        <v>23.27</v>
      </c>
    </row>
    <row r="32" spans="1:10" ht="12" hidden="1" customHeight="1" x14ac:dyDescent="0.25">
      <c r="A32" s="23"/>
      <c r="B32" s="17"/>
      <c r="C32" s="24"/>
      <c r="D32" s="24"/>
      <c r="E32" s="17"/>
      <c r="F32" s="17"/>
      <c r="G32" s="17"/>
      <c r="H32" s="28">
        <f t="shared" si="3"/>
        <v>11.135</v>
      </c>
      <c r="I32" s="28">
        <f t="shared" si="4"/>
        <v>12.135</v>
      </c>
      <c r="J32" s="29">
        <f t="shared" si="5"/>
        <v>23.27</v>
      </c>
    </row>
    <row r="33" spans="1:11" ht="12" hidden="1" customHeight="1" x14ac:dyDescent="0.25">
      <c r="A33" s="23"/>
      <c r="B33" s="17"/>
      <c r="C33" s="24"/>
      <c r="D33" s="24"/>
      <c r="E33" s="17"/>
      <c r="F33" s="17"/>
      <c r="G33" s="17"/>
      <c r="H33" s="28">
        <f t="shared" si="3"/>
        <v>11.135</v>
      </c>
      <c r="I33" s="28">
        <f t="shared" si="4"/>
        <v>12.135</v>
      </c>
      <c r="J33" s="29">
        <f t="shared" si="5"/>
        <v>23.27</v>
      </c>
    </row>
    <row r="34" spans="1:11" ht="12" hidden="1" customHeight="1" x14ac:dyDescent="0.25">
      <c r="A34" s="23"/>
      <c r="B34" s="17"/>
      <c r="C34" s="17"/>
      <c r="D34" s="24"/>
      <c r="E34" s="17"/>
      <c r="F34" s="17"/>
      <c r="G34" s="17"/>
      <c r="H34" s="28">
        <f t="shared" si="3"/>
        <v>11.135</v>
      </c>
      <c r="I34" s="28">
        <f t="shared" si="4"/>
        <v>12.135</v>
      </c>
      <c r="J34" s="29">
        <f t="shared" si="5"/>
        <v>23.27</v>
      </c>
    </row>
    <row r="35" spans="1:11" s="10" customFormat="1" ht="12" hidden="1" customHeight="1" x14ac:dyDescent="0.25">
      <c r="A35" s="23"/>
      <c r="B35" s="17"/>
      <c r="C35" s="24"/>
      <c r="D35" s="24"/>
      <c r="E35" s="17"/>
      <c r="F35" s="17"/>
      <c r="G35" s="17"/>
      <c r="H35" s="28">
        <f t="shared" si="3"/>
        <v>11.135</v>
      </c>
      <c r="I35" s="28">
        <f t="shared" si="4"/>
        <v>12.135</v>
      </c>
      <c r="J35" s="29">
        <f t="shared" si="5"/>
        <v>23.27</v>
      </c>
      <c r="K35" s="30"/>
    </row>
    <row r="36" spans="1:11" s="10" customFormat="1" ht="12" hidden="1" customHeight="1" x14ac:dyDescent="0.25">
      <c r="A36" s="23"/>
      <c r="B36" s="17"/>
      <c r="C36" s="17"/>
      <c r="D36" s="24"/>
      <c r="E36" s="17"/>
      <c r="F36" s="17"/>
      <c r="G36" s="17"/>
      <c r="H36" s="28">
        <f t="shared" si="3"/>
        <v>11.135</v>
      </c>
      <c r="I36" s="28">
        <f t="shared" si="4"/>
        <v>12.135</v>
      </c>
      <c r="J36" s="29">
        <f t="shared" si="5"/>
        <v>23.27</v>
      </c>
      <c r="K36" s="30"/>
    </row>
    <row r="37" spans="1:11" s="10" customFormat="1" ht="12" hidden="1" customHeight="1" x14ac:dyDescent="0.25">
      <c r="A37" s="23"/>
      <c r="B37" s="17"/>
      <c r="C37" s="24"/>
      <c r="D37" s="24"/>
      <c r="E37" s="17"/>
      <c r="F37" s="17"/>
      <c r="G37" s="17"/>
      <c r="H37" s="28">
        <f t="shared" si="3"/>
        <v>11.135</v>
      </c>
      <c r="I37" s="28">
        <f t="shared" si="4"/>
        <v>12.135</v>
      </c>
      <c r="J37" s="29">
        <f t="shared" si="5"/>
        <v>23.27</v>
      </c>
      <c r="K37" s="30"/>
    </row>
    <row r="38" spans="1:11" s="10" customFormat="1" ht="12.75" hidden="1" customHeight="1" x14ac:dyDescent="0.25">
      <c r="A38" s="23"/>
      <c r="B38" s="17"/>
      <c r="C38" s="24"/>
      <c r="D38" s="24"/>
      <c r="E38" s="17"/>
      <c r="F38" s="17"/>
      <c r="G38" s="17"/>
      <c r="H38" s="28">
        <f t="shared" si="3"/>
        <v>11.135</v>
      </c>
      <c r="I38" s="28">
        <f t="shared" si="4"/>
        <v>12.135</v>
      </c>
      <c r="J38" s="29">
        <f t="shared" si="5"/>
        <v>23.27</v>
      </c>
      <c r="K38" s="30"/>
    </row>
    <row r="39" spans="1:11" ht="12" hidden="1" customHeight="1" x14ac:dyDescent="0.25">
      <c r="A39" s="23"/>
      <c r="B39" s="17"/>
      <c r="C39" s="24"/>
      <c r="D39" s="24"/>
      <c r="E39" s="17"/>
      <c r="F39" s="17"/>
      <c r="G39" s="17"/>
      <c r="H39" s="28">
        <f t="shared" si="3"/>
        <v>11.135</v>
      </c>
      <c r="I39" s="28">
        <f t="shared" si="4"/>
        <v>12.135</v>
      </c>
      <c r="J39" s="29">
        <f t="shared" si="5"/>
        <v>23.27</v>
      </c>
    </row>
    <row r="40" spans="1:11" s="10" customFormat="1" ht="12" hidden="1" customHeight="1" x14ac:dyDescent="0.25">
      <c r="A40" s="23"/>
      <c r="B40" s="17"/>
      <c r="C40" s="24"/>
      <c r="D40" s="24"/>
      <c r="E40" s="17"/>
      <c r="F40" s="17"/>
      <c r="G40" s="17"/>
      <c r="H40" s="28">
        <f t="shared" si="3"/>
        <v>11.135</v>
      </c>
      <c r="I40" s="28">
        <f t="shared" si="4"/>
        <v>12.135</v>
      </c>
      <c r="J40" s="29">
        <f t="shared" si="5"/>
        <v>23.27</v>
      </c>
      <c r="K40" s="30"/>
    </row>
    <row r="41" spans="1:11" s="10" customFormat="1" ht="15" hidden="1" customHeight="1" x14ac:dyDescent="0.25">
      <c r="A41" s="23"/>
      <c r="B41" s="17"/>
      <c r="C41" s="24"/>
      <c r="D41" s="24"/>
      <c r="E41" s="17"/>
      <c r="F41" s="17"/>
      <c r="G41" s="17"/>
      <c r="H41" s="28">
        <f t="shared" si="3"/>
        <v>11.135</v>
      </c>
      <c r="I41" s="28">
        <f t="shared" si="4"/>
        <v>12.135</v>
      </c>
      <c r="J41" s="29">
        <f t="shared" si="5"/>
        <v>23.27</v>
      </c>
      <c r="K41" s="30"/>
    </row>
    <row r="42" spans="1:11" s="10" customFormat="1" ht="16.5" hidden="1" customHeight="1" x14ac:dyDescent="0.25">
      <c r="A42" s="23"/>
      <c r="B42" s="17"/>
      <c r="C42" s="24"/>
      <c r="D42" s="24"/>
      <c r="E42" s="17"/>
      <c r="F42" s="17"/>
      <c r="G42" s="17"/>
      <c r="H42" s="28">
        <f t="shared" si="3"/>
        <v>11.135</v>
      </c>
      <c r="I42" s="28">
        <f t="shared" si="4"/>
        <v>12.135</v>
      </c>
      <c r="J42" s="29">
        <f t="shared" si="5"/>
        <v>23.27</v>
      </c>
      <c r="K42" s="30"/>
    </row>
    <row r="43" spans="1:11" s="10" customFormat="1" ht="16.5" hidden="1" customHeight="1" x14ac:dyDescent="0.25">
      <c r="A43" s="23"/>
      <c r="B43" s="17"/>
      <c r="C43" s="24"/>
      <c r="D43" s="24"/>
      <c r="E43" s="17"/>
      <c r="F43" s="17"/>
      <c r="G43" s="17"/>
      <c r="H43" s="28">
        <f t="shared" si="3"/>
        <v>11.135</v>
      </c>
      <c r="I43" s="28">
        <f t="shared" si="4"/>
        <v>12.135</v>
      </c>
      <c r="J43" s="29">
        <f t="shared" si="5"/>
        <v>23.27</v>
      </c>
      <c r="K43" s="30"/>
    </row>
    <row r="44" spans="1:11" hidden="1" x14ac:dyDescent="0.25">
      <c r="A44" s="23"/>
      <c r="B44" s="17"/>
      <c r="C44" s="24"/>
      <c r="D44" s="24"/>
      <c r="E44" s="17"/>
      <c r="F44" s="17"/>
      <c r="G44" s="17"/>
      <c r="H44" s="28">
        <f t="shared" si="3"/>
        <v>11.135</v>
      </c>
      <c r="I44" s="28">
        <f t="shared" si="4"/>
        <v>12.135</v>
      </c>
      <c r="J44" s="29">
        <f t="shared" si="5"/>
        <v>23.27</v>
      </c>
    </row>
    <row r="45" spans="1:11" hidden="1" x14ac:dyDescent="0.25">
      <c r="A45" s="23"/>
      <c r="B45" s="17"/>
      <c r="C45" s="24"/>
      <c r="D45" s="24"/>
      <c r="E45" s="17"/>
      <c r="F45" s="17"/>
      <c r="G45" s="17"/>
      <c r="H45" s="28">
        <f t="shared" si="3"/>
        <v>11.135</v>
      </c>
      <c r="I45" s="28">
        <f t="shared" si="4"/>
        <v>12.135</v>
      </c>
      <c r="J45" s="29">
        <f t="shared" si="5"/>
        <v>23.27</v>
      </c>
    </row>
    <row r="46" spans="1:11" hidden="1" x14ac:dyDescent="0.25">
      <c r="A46" s="23"/>
      <c r="B46" s="17"/>
      <c r="C46" s="24"/>
      <c r="D46" s="24"/>
      <c r="E46" s="17"/>
      <c r="F46" s="17"/>
      <c r="G46" s="17"/>
      <c r="H46" s="28">
        <f t="shared" si="3"/>
        <v>11.135</v>
      </c>
      <c r="I46" s="28">
        <f t="shared" si="4"/>
        <v>12.135</v>
      </c>
      <c r="J46" s="29">
        <f t="shared" si="5"/>
        <v>23.27</v>
      </c>
    </row>
    <row r="47" spans="1:11" x14ac:dyDescent="0.25">
      <c r="A47" s="24" t="s">
        <v>64</v>
      </c>
      <c r="B47" s="17">
        <v>2.5</v>
      </c>
      <c r="C47" s="24">
        <v>2.5</v>
      </c>
      <c r="D47" s="24"/>
      <c r="E47" s="17"/>
      <c r="F47" s="17"/>
      <c r="G47" s="17"/>
      <c r="H47" s="28">
        <f t="shared" si="3"/>
        <v>13.635</v>
      </c>
      <c r="I47" s="28">
        <f t="shared" si="4"/>
        <v>14.635</v>
      </c>
      <c r="J47" s="29">
        <f t="shared" si="5"/>
        <v>28.27</v>
      </c>
    </row>
    <row r="48" spans="1:11" x14ac:dyDescent="0.25">
      <c r="A48" s="24" t="s">
        <v>65</v>
      </c>
      <c r="B48" s="17">
        <v>7.5</v>
      </c>
      <c r="C48" s="24">
        <v>7.5</v>
      </c>
      <c r="D48" s="24"/>
      <c r="E48" s="17"/>
      <c r="F48" s="17"/>
      <c r="G48" s="17"/>
      <c r="H48" s="28">
        <f t="shared" si="3"/>
        <v>21.134999999999998</v>
      </c>
      <c r="I48" s="28">
        <f t="shared" si="4"/>
        <v>22.134999999999998</v>
      </c>
      <c r="J48" s="29">
        <f t="shared" si="5"/>
        <v>43.269999999999996</v>
      </c>
    </row>
    <row r="49" spans="1:10" x14ac:dyDescent="0.25">
      <c r="A49" s="24" t="s">
        <v>66</v>
      </c>
      <c r="B49" s="17"/>
      <c r="C49" s="24"/>
      <c r="D49" s="24"/>
      <c r="E49" s="17"/>
      <c r="F49" s="71">
        <v>2</v>
      </c>
      <c r="G49" s="17"/>
      <c r="H49" s="28">
        <f t="shared" si="3"/>
        <v>19.134999999999998</v>
      </c>
      <c r="I49" s="28">
        <f t="shared" si="4"/>
        <v>22.134999999999998</v>
      </c>
      <c r="J49" s="29">
        <f t="shared" si="5"/>
        <v>41.269999999999996</v>
      </c>
    </row>
    <row r="50" spans="1:10" x14ac:dyDescent="0.25">
      <c r="A50" s="72" t="s">
        <v>67</v>
      </c>
      <c r="B50" s="68">
        <v>3.75</v>
      </c>
      <c r="C50" s="72">
        <v>3.75</v>
      </c>
      <c r="D50" s="72"/>
      <c r="E50" s="68"/>
      <c r="F50" s="68"/>
      <c r="G50" s="68"/>
      <c r="H50" s="28">
        <f t="shared" ref="H50:H51" si="6">H49-F50-D50+B50</f>
        <v>22.884999999999998</v>
      </c>
      <c r="I50" s="28">
        <f t="shared" ref="I50:I51" si="7">I49-E50+C50</f>
        <v>25.884999999999998</v>
      </c>
      <c r="J50" s="29">
        <f t="shared" ref="J50:J51" si="8">SUM(H50:I50)</f>
        <v>48.769999999999996</v>
      </c>
    </row>
    <row r="51" spans="1:10" x14ac:dyDescent="0.25">
      <c r="A51" s="72" t="s">
        <v>68</v>
      </c>
      <c r="B51" s="68"/>
      <c r="C51" s="72"/>
      <c r="D51" s="72"/>
      <c r="E51" s="68">
        <v>1</v>
      </c>
      <c r="F51" s="68"/>
      <c r="G51" s="68"/>
      <c r="H51" s="28">
        <f t="shared" si="6"/>
        <v>22.884999999999998</v>
      </c>
      <c r="I51" s="28">
        <f t="shared" si="7"/>
        <v>24.884999999999998</v>
      </c>
      <c r="J51" s="29">
        <f t="shared" si="8"/>
        <v>47.769999999999996</v>
      </c>
    </row>
    <row r="52" spans="1:10" x14ac:dyDescent="0.25">
      <c r="A52" s="72" t="s">
        <v>69</v>
      </c>
      <c r="B52" s="68">
        <v>2.5</v>
      </c>
      <c r="C52" s="72">
        <v>2.5</v>
      </c>
      <c r="D52" s="72"/>
      <c r="E52" s="68"/>
      <c r="F52" s="68"/>
      <c r="G52" s="68"/>
      <c r="H52" s="28">
        <f t="shared" ref="H52:H53" si="9">H51-F52-D52+B52</f>
        <v>25.384999999999998</v>
      </c>
      <c r="I52" s="28">
        <f t="shared" ref="I52:I53" si="10">I51-E52+C52</f>
        <v>27.384999999999998</v>
      </c>
      <c r="J52" s="29">
        <f t="shared" ref="J52:J53" si="11">SUM(H52:I52)</f>
        <v>52.769999999999996</v>
      </c>
    </row>
    <row r="53" spans="1:10" x14ac:dyDescent="0.25">
      <c r="A53" s="113" t="s">
        <v>70</v>
      </c>
      <c r="B53" s="73"/>
      <c r="C53" s="73"/>
      <c r="D53" s="73"/>
      <c r="E53" s="73"/>
      <c r="F53" s="71">
        <v>3</v>
      </c>
      <c r="G53" s="68"/>
      <c r="H53" s="28">
        <f t="shared" si="9"/>
        <v>22.384999999999998</v>
      </c>
      <c r="I53" s="28">
        <f t="shared" si="10"/>
        <v>27.384999999999998</v>
      </c>
      <c r="J53" s="29">
        <f t="shared" si="11"/>
        <v>49.769999999999996</v>
      </c>
    </row>
    <row r="54" spans="1:10" x14ac:dyDescent="0.25">
      <c r="H54" s="32"/>
      <c r="I54" s="32"/>
      <c r="J54" s="32"/>
    </row>
    <row r="58" spans="1:10" x14ac:dyDescent="0.25">
      <c r="F58" s="31" t="s">
        <v>31</v>
      </c>
    </row>
  </sheetData>
  <mergeCells count="14">
    <mergeCell ref="K11:K12"/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1"/>
  <sheetViews>
    <sheetView view="pageBreakPreview" zoomScaleNormal="100" workbookViewId="0">
      <selection activeCell="B30" sqref="B30"/>
    </sheetView>
  </sheetViews>
  <sheetFormatPr defaultColWidth="9" defaultRowHeight="15" x14ac:dyDescent="0.25"/>
  <cols>
    <col min="1" max="1" width="23.5703125" style="44" customWidth="1"/>
    <col min="2" max="2" width="18.85546875" style="44" customWidth="1"/>
    <col min="3" max="3" width="35" style="56" customWidth="1"/>
    <col min="4" max="4" width="11.7109375" style="57" customWidth="1"/>
    <col min="5" max="5" width="11" style="44" customWidth="1"/>
    <col min="6" max="6" width="11.85546875" style="57" customWidth="1"/>
    <col min="7" max="7" width="22" style="44" customWidth="1"/>
    <col min="8" max="16384" width="9" style="44"/>
  </cols>
  <sheetData>
    <row r="1" spans="1:7" s="36" customFormat="1" ht="52.5" customHeight="1" x14ac:dyDescent="0.25">
      <c r="E1" s="37"/>
    </row>
    <row r="2" spans="1:7" s="36" customFormat="1" ht="10.5" customHeight="1" x14ac:dyDescent="0.25">
      <c r="A2" s="95" t="s">
        <v>0</v>
      </c>
      <c r="B2" s="95"/>
      <c r="C2" s="95"/>
      <c r="D2" s="95"/>
      <c r="E2" s="95"/>
      <c r="F2" s="95"/>
      <c r="G2" s="95"/>
    </row>
    <row r="3" spans="1:7" s="36" customFormat="1" ht="15.95" customHeight="1" x14ac:dyDescent="0.25">
      <c r="A3" s="95" t="s">
        <v>1</v>
      </c>
      <c r="B3" s="95"/>
      <c r="C3" s="95"/>
      <c r="D3" s="95"/>
      <c r="E3" s="95"/>
      <c r="F3" s="95"/>
      <c r="G3" s="95"/>
    </row>
    <row r="4" spans="1:7" s="36" customFormat="1" ht="15.95" customHeight="1" x14ac:dyDescent="0.25">
      <c r="A4" s="95" t="s">
        <v>2</v>
      </c>
      <c r="B4" s="95"/>
      <c r="C4" s="95"/>
      <c r="D4" s="95"/>
      <c r="E4" s="95"/>
      <c r="F4" s="95"/>
      <c r="G4" s="95"/>
    </row>
    <row r="5" spans="1:7" s="36" customFormat="1" ht="15.95" customHeight="1" x14ac:dyDescent="0.25">
      <c r="A5" s="95" t="s">
        <v>3</v>
      </c>
      <c r="B5" s="95"/>
      <c r="C5" s="95"/>
      <c r="D5" s="95"/>
      <c r="E5" s="95"/>
      <c r="F5" s="95"/>
      <c r="G5" s="95"/>
    </row>
    <row r="6" spans="1:7" s="36" customFormat="1" ht="8.25" customHeight="1" x14ac:dyDescent="0.25">
      <c r="E6" s="37"/>
    </row>
    <row r="7" spans="1:7" s="36" customFormat="1" ht="8.25" customHeight="1" x14ac:dyDescent="0.25">
      <c r="E7" s="37"/>
    </row>
    <row r="8" spans="1:7" s="36" customFormat="1" ht="17.25" customHeight="1" x14ac:dyDescent="0.25">
      <c r="A8" s="38" t="s">
        <v>49</v>
      </c>
      <c r="B8" s="38"/>
      <c r="C8" s="38" t="s">
        <v>33</v>
      </c>
      <c r="D8" s="39"/>
      <c r="E8" s="38" t="s">
        <v>34</v>
      </c>
      <c r="F8" s="39"/>
      <c r="G8" s="40"/>
    </row>
    <row r="9" spans="1:7" s="36" customFormat="1" ht="12" customHeight="1" x14ac:dyDescent="0.25">
      <c r="A9" s="41"/>
      <c r="B9" s="41"/>
      <c r="C9" s="42"/>
      <c r="E9" s="38" t="s">
        <v>35</v>
      </c>
      <c r="F9" s="43"/>
      <c r="G9" s="42"/>
    </row>
    <row r="10" spans="1:7" s="36" customFormat="1" ht="14.25" customHeight="1" x14ac:dyDescent="0.25">
      <c r="A10" s="38" t="s">
        <v>47</v>
      </c>
      <c r="B10" s="38"/>
      <c r="C10" s="38" t="s">
        <v>36</v>
      </c>
      <c r="D10" s="39"/>
      <c r="E10" s="38" t="s">
        <v>37</v>
      </c>
      <c r="F10" s="39"/>
      <c r="G10" s="40"/>
    </row>
    <row r="11" spans="1:7" s="36" customFormat="1" ht="12" customHeight="1" thickBot="1" x14ac:dyDescent="0.3">
      <c r="A11" s="40"/>
      <c r="B11" s="40"/>
      <c r="C11" s="40"/>
      <c r="F11" s="39"/>
      <c r="G11" s="40"/>
    </row>
    <row r="12" spans="1:7" ht="23.25" customHeight="1" thickBot="1" x14ac:dyDescent="0.3">
      <c r="A12" s="96" t="s">
        <v>38</v>
      </c>
      <c r="B12" s="97"/>
      <c r="C12" s="97"/>
      <c r="D12" s="97"/>
      <c r="E12" s="97"/>
      <c r="F12" s="97"/>
      <c r="G12" s="98"/>
    </row>
    <row r="13" spans="1:7" s="49" customFormat="1" ht="37.5" customHeight="1" thickBot="1" x14ac:dyDescent="0.25">
      <c r="A13" s="45" t="s">
        <v>39</v>
      </c>
      <c r="B13" s="46" t="s">
        <v>40</v>
      </c>
      <c r="C13" s="58" t="s">
        <v>41</v>
      </c>
      <c r="D13" s="58" t="s">
        <v>13</v>
      </c>
      <c r="E13" s="47" t="s">
        <v>14</v>
      </c>
      <c r="F13" s="47" t="s">
        <v>15</v>
      </c>
      <c r="G13" s="48" t="s">
        <v>11</v>
      </c>
    </row>
    <row r="14" spans="1:7" s="49" customFormat="1" ht="15.75" customHeight="1" x14ac:dyDescent="0.2">
      <c r="A14" s="61" t="s">
        <v>56</v>
      </c>
      <c r="B14" s="67">
        <v>45210</v>
      </c>
      <c r="C14" s="59" t="s">
        <v>48</v>
      </c>
      <c r="D14" s="35">
        <v>11</v>
      </c>
      <c r="E14" s="50">
        <v>3</v>
      </c>
      <c r="F14" s="50">
        <v>8</v>
      </c>
      <c r="G14" s="51">
        <v>8</v>
      </c>
    </row>
    <row r="15" spans="1:7" s="49" customFormat="1" ht="15.75" customHeight="1" x14ac:dyDescent="0.2">
      <c r="A15" s="61" t="s">
        <v>43</v>
      </c>
      <c r="B15" s="62" t="s">
        <v>57</v>
      </c>
      <c r="C15" s="65" t="s">
        <v>44</v>
      </c>
      <c r="D15" s="66">
        <v>15</v>
      </c>
      <c r="E15" s="50">
        <v>0</v>
      </c>
      <c r="F15" s="50">
        <v>15</v>
      </c>
      <c r="G15" s="51">
        <v>15</v>
      </c>
    </row>
    <row r="16" spans="1:7" s="49" customFormat="1" ht="15.75" customHeight="1" x14ac:dyDescent="0.2">
      <c r="A16" s="61" t="s">
        <v>58</v>
      </c>
      <c r="B16" s="67">
        <v>45545</v>
      </c>
      <c r="C16" s="59" t="s">
        <v>59</v>
      </c>
      <c r="D16" s="35">
        <v>15</v>
      </c>
      <c r="E16" s="50">
        <v>0</v>
      </c>
      <c r="F16" s="50">
        <v>15</v>
      </c>
      <c r="G16" s="51">
        <v>15</v>
      </c>
    </row>
    <row r="17" spans="1:7" s="54" customFormat="1" ht="15.75" x14ac:dyDescent="0.2">
      <c r="A17" s="18"/>
      <c r="B17" s="18"/>
      <c r="C17" s="59"/>
      <c r="D17" s="52"/>
      <c r="E17" s="52"/>
      <c r="F17" s="52"/>
      <c r="G17" s="53"/>
    </row>
    <row r="18" spans="1:7" s="54" customFormat="1" ht="15.75" x14ac:dyDescent="0.2">
      <c r="A18" s="92" t="s">
        <v>11</v>
      </c>
      <c r="B18" s="93"/>
      <c r="C18" s="93"/>
      <c r="D18" s="93"/>
      <c r="E18" s="93"/>
      <c r="F18" s="94"/>
      <c r="G18" s="60" t="s">
        <v>60</v>
      </c>
    </row>
    <row r="19" spans="1:7" s="36" customFormat="1" ht="75.75" customHeight="1" x14ac:dyDescent="0.25">
      <c r="A19" s="55"/>
      <c r="B19" s="55"/>
      <c r="G19" s="55"/>
    </row>
    <row r="20" spans="1:7" s="36" customFormat="1" x14ac:dyDescent="0.25"/>
    <row r="21" spans="1:7" s="36" customFormat="1" x14ac:dyDescent="0.25"/>
  </sheetData>
  <mergeCells count="6">
    <mergeCell ref="A18:F18"/>
    <mergeCell ref="A2:G2"/>
    <mergeCell ref="A3:G3"/>
    <mergeCell ref="A4:G4"/>
    <mergeCell ref="A5:G5"/>
    <mergeCell ref="A12:G12"/>
  </mergeCells>
  <phoneticPr fontId="7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2EE9-530F-42DD-88F1-41AD886DAB8B}">
  <dimension ref="A1:L22"/>
  <sheetViews>
    <sheetView view="pageBreakPreview" zoomScale="112" zoomScaleNormal="100" workbookViewId="0">
      <selection activeCell="B14" sqref="B14:E14"/>
    </sheetView>
  </sheetViews>
  <sheetFormatPr defaultColWidth="9"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8.7109375" style="16" customWidth="1"/>
    <col min="12" max="12" width="7.5703125" customWidth="1"/>
  </cols>
  <sheetData>
    <row r="1" spans="1:12" s="1" customFormat="1" ht="52.5" customHeight="1" x14ac:dyDescent="0.25">
      <c r="C1" s="2"/>
      <c r="D1" s="3"/>
      <c r="H1" s="4"/>
    </row>
    <row r="2" spans="1:12" s="1" customFormat="1" ht="10.5" customHeight="1" x14ac:dyDescent="0.25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 s="1" customFormat="1" ht="15.95" customHeight="1" x14ac:dyDescent="0.25">
      <c r="A3" s="75" t="s">
        <v>1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2" s="1" customFormat="1" ht="15.95" customHeight="1" x14ac:dyDescent="0.25">
      <c r="A4" s="75" t="s">
        <v>2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s="1" customFormat="1" ht="15.95" customHeight="1" x14ac:dyDescent="0.25">
      <c r="A5" s="75" t="s">
        <v>3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s="1" customFormat="1" ht="8.25" customHeight="1" x14ac:dyDescent="0.25">
      <c r="C6" s="4"/>
      <c r="H6" s="4"/>
    </row>
    <row r="7" spans="1:12" s="1" customFormat="1" ht="8.25" customHeight="1" x14ac:dyDescent="0.25">
      <c r="C7" s="4"/>
      <c r="H7" s="4"/>
    </row>
    <row r="8" spans="1:12" s="1" customFormat="1" ht="12" customHeight="1" x14ac:dyDescent="0.25">
      <c r="A8" s="5" t="s">
        <v>50</v>
      </c>
      <c r="B8" s="5"/>
      <c r="C8" s="74" t="s">
        <v>4</v>
      </c>
      <c r="D8" s="74"/>
      <c r="E8" s="74"/>
      <c r="F8" s="74"/>
      <c r="G8" s="74"/>
      <c r="I8" s="74" t="s">
        <v>5</v>
      </c>
      <c r="J8" s="74"/>
      <c r="K8" s="74"/>
      <c r="L8" s="5"/>
    </row>
    <row r="9" spans="1:12" s="1" customFormat="1" ht="12" customHeight="1" x14ac:dyDescent="0.25">
      <c r="B9" s="6"/>
      <c r="C9" s="74" t="s">
        <v>51</v>
      </c>
      <c r="D9" s="74"/>
      <c r="E9" s="74"/>
      <c r="F9" s="74"/>
      <c r="G9" s="74"/>
      <c r="I9" s="103" t="s">
        <v>6</v>
      </c>
      <c r="J9" s="103"/>
      <c r="K9" s="103"/>
      <c r="L9" s="6"/>
    </row>
    <row r="10" spans="1:12" s="1" customFormat="1" ht="12" customHeight="1" x14ac:dyDescent="0.25">
      <c r="A10" s="5" t="s">
        <v>45</v>
      </c>
      <c r="B10" s="5"/>
      <c r="C10" s="7"/>
      <c r="D10" s="6"/>
      <c r="E10" s="6"/>
      <c r="I10" s="74" t="s">
        <v>7</v>
      </c>
      <c r="J10" s="74"/>
      <c r="K10" s="74"/>
      <c r="L10" s="5"/>
    </row>
    <row r="11" spans="1:12" ht="16.5" customHeight="1" thickBot="1" x14ac:dyDescent="0.3">
      <c r="A11" s="80" t="s">
        <v>8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</row>
    <row r="12" spans="1:12" s="8" customFormat="1" ht="18.75" customHeight="1" x14ac:dyDescent="0.2">
      <c r="A12" s="104" t="s">
        <v>9</v>
      </c>
      <c r="B12" s="106" t="s">
        <v>10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8" t="s">
        <v>11</v>
      </c>
    </row>
    <row r="13" spans="1:12" s="8" customFormat="1" ht="24" customHeight="1" x14ac:dyDescent="0.2">
      <c r="A13" s="105"/>
      <c r="B13" s="110" t="s">
        <v>12</v>
      </c>
      <c r="C13" s="111"/>
      <c r="D13" s="111"/>
      <c r="E13" s="112"/>
      <c r="F13" s="110" t="s">
        <v>13</v>
      </c>
      <c r="G13" s="112"/>
      <c r="H13" s="110" t="s">
        <v>14</v>
      </c>
      <c r="I13" s="112"/>
      <c r="J13" s="110" t="s">
        <v>15</v>
      </c>
      <c r="K13" s="112"/>
      <c r="L13" s="109"/>
    </row>
    <row r="14" spans="1:12" s="8" customFormat="1" x14ac:dyDescent="0.2">
      <c r="A14" s="63" t="s">
        <v>52</v>
      </c>
      <c r="B14" s="100" t="s">
        <v>53</v>
      </c>
      <c r="C14" s="102"/>
      <c r="D14" s="102"/>
      <c r="E14" s="101"/>
      <c r="F14" s="100">
        <v>11</v>
      </c>
      <c r="G14" s="101"/>
      <c r="H14" s="100">
        <v>0</v>
      </c>
      <c r="I14" s="101"/>
      <c r="J14" s="100">
        <v>11</v>
      </c>
      <c r="K14" s="101"/>
      <c r="L14" s="64">
        <v>11</v>
      </c>
    </row>
    <row r="15" spans="1:12" s="9" customFormat="1" ht="15" customHeight="1" x14ac:dyDescent="0.2">
      <c r="A15" s="23" t="s">
        <v>54</v>
      </c>
      <c r="B15" s="100" t="s">
        <v>53</v>
      </c>
      <c r="C15" s="102"/>
      <c r="D15" s="102"/>
      <c r="E15" s="101"/>
      <c r="F15" s="100">
        <v>11</v>
      </c>
      <c r="G15" s="101"/>
      <c r="H15" s="100">
        <v>1</v>
      </c>
      <c r="I15" s="101"/>
      <c r="J15" s="100">
        <v>10</v>
      </c>
      <c r="K15" s="101"/>
      <c r="L15" s="64">
        <v>10</v>
      </c>
    </row>
    <row r="16" spans="1:12" s="9" customFormat="1" ht="15" customHeight="1" x14ac:dyDescent="0.2">
      <c r="A16" s="23" t="s">
        <v>55</v>
      </c>
      <c r="B16" s="100" t="s">
        <v>53</v>
      </c>
      <c r="C16" s="102"/>
      <c r="D16" s="102"/>
      <c r="E16" s="101"/>
      <c r="F16" s="100">
        <v>10</v>
      </c>
      <c r="G16" s="101"/>
      <c r="H16" s="100">
        <v>2</v>
      </c>
      <c r="I16" s="101"/>
      <c r="J16" s="100">
        <v>8</v>
      </c>
      <c r="K16" s="101"/>
      <c r="L16" s="64">
        <v>8</v>
      </c>
    </row>
    <row r="17" spans="1:12" s="9" customFormat="1" x14ac:dyDescent="0.2">
      <c r="A17" s="10" t="s">
        <v>16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2"/>
    </row>
    <row r="18" spans="1:12" ht="75.75" customHeight="1" x14ac:dyDescent="0.25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</row>
    <row r="19" spans="1:12" s="1" customFormat="1" x14ac:dyDescent="0.25">
      <c r="C19" s="4"/>
    </row>
    <row r="20" spans="1:12" s="1" customFormat="1" x14ac:dyDescent="0.25">
      <c r="C20" s="4"/>
    </row>
    <row r="22" spans="1:12" x14ac:dyDescent="0.25">
      <c r="G22" s="16" t="s">
        <v>46</v>
      </c>
    </row>
  </sheetData>
  <mergeCells count="30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A18:L18"/>
    <mergeCell ref="F14:G14"/>
    <mergeCell ref="H14:I14"/>
    <mergeCell ref="J14:K14"/>
    <mergeCell ref="B16:E16"/>
    <mergeCell ref="F16:G16"/>
    <mergeCell ref="H16:I16"/>
    <mergeCell ref="J16:K16"/>
    <mergeCell ref="B15:E15"/>
    <mergeCell ref="F15:G15"/>
    <mergeCell ref="H15:I15"/>
    <mergeCell ref="J15:K15"/>
    <mergeCell ref="B14:E14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as TIC</vt:lpstr>
      <vt:lpstr>Election &amp; NLC</vt:lpstr>
      <vt:lpstr>CTO</vt:lpstr>
      <vt:lpstr>CTO!Print_Area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2026-01-14T01:46:19Z</cp:lastPrinted>
  <dcterms:created xsi:type="dcterms:W3CDTF">2022-11-24T07:01:13Z</dcterms:created>
  <dcterms:modified xsi:type="dcterms:W3CDTF">2026-01-14T01:48:01Z</dcterms:modified>
</cp:coreProperties>
</file>