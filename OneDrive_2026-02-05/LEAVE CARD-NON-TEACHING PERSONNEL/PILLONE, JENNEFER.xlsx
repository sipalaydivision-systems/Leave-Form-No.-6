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1" documentId="13_ncr:1_{4066EEDA-94F0-4702-ABB2-7DCF9471993F}" xr6:coauthVersionLast="47" xr6:coauthVersionMax="47" xr10:uidLastSave="{54D24A07-D194-4373-8D5B-090A098F252F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8" r:id="rId2"/>
    <sheet name="Other types of leave" sheetId="9" r:id="rId3"/>
  </sheets>
  <definedNames>
    <definedName name="_xlnm.Print_Area" localSheetId="0">'Leave Card (NE)'!$A$1:$J$124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0" i="9" l="1"/>
  <c r="L19" i="9"/>
  <c r="L18" i="9"/>
  <c r="L17" i="9"/>
  <c r="L16" i="9"/>
  <c r="L15" i="9"/>
  <c r="L14" i="9"/>
  <c r="L13" i="9"/>
  <c r="B14" i="6"/>
  <c r="I13" i="6"/>
  <c r="I14" i="6" s="1"/>
  <c r="I15" i="6" s="1"/>
  <c r="I16" i="6" s="1"/>
  <c r="I17" i="6" s="1"/>
  <c r="I18" i="6" s="1"/>
  <c r="I19" i="6" s="1"/>
  <c r="I20" i="6" s="1"/>
  <c r="I21" i="6" s="1"/>
  <c r="I22" i="6" s="1"/>
  <c r="I23" i="6" s="1"/>
  <c r="I24" i="6" s="1"/>
  <c r="I25" i="6" s="1"/>
  <c r="I26" i="6" s="1"/>
  <c r="I27" i="6" s="1"/>
  <c r="I28" i="6" s="1"/>
  <c r="I29" i="6" s="1"/>
  <c r="I30" i="6" s="1"/>
  <c r="I31" i="6" s="1"/>
  <c r="I32" i="6" s="1"/>
  <c r="I33" i="6" s="1"/>
  <c r="I34" i="6" s="1"/>
  <c r="I35" i="6" s="1"/>
  <c r="I36" i="6" s="1"/>
  <c r="I37" i="6" s="1"/>
  <c r="I38" i="6" s="1"/>
  <c r="I39" i="6" s="1"/>
  <c r="I40" i="6" s="1"/>
  <c r="I41" i="6" s="1"/>
  <c r="I42" i="6" s="1"/>
  <c r="I43" i="6" s="1"/>
  <c r="I44" i="6" s="1"/>
  <c r="I45" i="6" s="1"/>
  <c r="I46" i="6" s="1"/>
  <c r="I47" i="6" s="1"/>
  <c r="I48" i="6" s="1"/>
  <c r="I49" i="6" s="1"/>
  <c r="I50" i="6" s="1"/>
  <c r="I51" i="6" s="1"/>
  <c r="I52" i="6" s="1"/>
  <c r="I53" i="6" s="1"/>
  <c r="I54" i="6" s="1"/>
  <c r="I55" i="6" s="1"/>
  <c r="I56" i="6" s="1"/>
  <c r="I57" i="6" s="1"/>
  <c r="I58" i="6" s="1"/>
  <c r="I59" i="6" s="1"/>
  <c r="I60" i="6" s="1"/>
  <c r="I61" i="6" s="1"/>
  <c r="I62" i="6" s="1"/>
  <c r="I63" i="6" s="1"/>
  <c r="I64" i="6" s="1"/>
  <c r="I65" i="6" s="1"/>
  <c r="I66" i="6" s="1"/>
  <c r="I67" i="6" s="1"/>
  <c r="I68" i="6" s="1"/>
  <c r="I69" i="6" s="1"/>
  <c r="I70" i="6" s="1"/>
  <c r="I71" i="6" s="1"/>
  <c r="I72" i="6" s="1"/>
  <c r="I73" i="6" s="1"/>
  <c r="I74" i="6" s="1"/>
  <c r="I75" i="6" s="1"/>
  <c r="I76" i="6" s="1"/>
  <c r="I77" i="6" s="1"/>
  <c r="I78" i="6" s="1"/>
  <c r="I79" i="6" s="1"/>
  <c r="I80" i="6" s="1"/>
  <c r="I81" i="6" s="1"/>
  <c r="I82" i="6" s="1"/>
  <c r="I83" i="6" s="1"/>
  <c r="I84" i="6" s="1"/>
  <c r="I85" i="6" s="1"/>
  <c r="I86" i="6" s="1"/>
  <c r="I87" i="6" s="1"/>
  <c r="I88" i="6" s="1"/>
  <c r="I89" i="6" s="1"/>
  <c r="I90" i="6" s="1"/>
  <c r="I91" i="6" s="1"/>
  <c r="I92" i="6" s="1"/>
  <c r="I93" i="6" s="1"/>
  <c r="I94" i="6" s="1"/>
  <c r="I95" i="6" s="1"/>
  <c r="I96" i="6" s="1"/>
  <c r="I97" i="6" s="1"/>
  <c r="I98" i="6" s="1"/>
  <c r="I99" i="6" s="1"/>
  <c r="I100" i="6" s="1"/>
  <c r="I101" i="6" s="1"/>
  <c r="I102" i="6" s="1"/>
  <c r="I103" i="6" s="1"/>
  <c r="I104" i="6" s="1"/>
  <c r="I105" i="6" s="1"/>
  <c r="I106" i="6" s="1"/>
  <c r="I107" i="6" s="1"/>
  <c r="I108" i="6" s="1"/>
  <c r="I109" i="6" s="1"/>
  <c r="I110" i="6" s="1"/>
  <c r="I111" i="6" s="1"/>
  <c r="I112" i="6" s="1"/>
  <c r="I113" i="6" s="1"/>
  <c r="I114" i="6" s="1"/>
  <c r="I115" i="6" s="1"/>
  <c r="H13" i="6"/>
  <c r="H14" i="6" s="1"/>
  <c r="J14" i="6" s="1"/>
  <c r="H15" i="6" l="1"/>
  <c r="H16" i="6" s="1"/>
  <c r="H17" i="6" s="1"/>
  <c r="J13" i="6"/>
  <c r="J16" i="6"/>
  <c r="J15" i="6"/>
  <c r="J17" i="6" l="1"/>
  <c r="H18" i="6"/>
  <c r="H19" i="6" l="1"/>
  <c r="J18" i="6"/>
  <c r="H20" i="6" l="1"/>
  <c r="J19" i="6"/>
  <c r="J20" i="6" l="1"/>
  <c r="H21" i="6"/>
  <c r="H22" i="6" l="1"/>
  <c r="J21" i="6"/>
  <c r="H23" i="6" l="1"/>
  <c r="J22" i="6"/>
  <c r="J23" i="6" l="1"/>
  <c r="H24" i="6"/>
  <c r="H25" i="6" l="1"/>
  <c r="J24" i="6"/>
  <c r="H26" i="6" l="1"/>
  <c r="J25" i="6"/>
  <c r="J26" i="6" l="1"/>
  <c r="H27" i="6"/>
  <c r="H28" i="6" l="1"/>
  <c r="J27" i="6"/>
  <c r="H29" i="6" l="1"/>
  <c r="J28" i="6"/>
  <c r="J29" i="6" l="1"/>
  <c r="H30" i="6"/>
  <c r="H31" i="6" l="1"/>
  <c r="J30" i="6"/>
  <c r="H32" i="6" l="1"/>
  <c r="J31" i="6"/>
  <c r="J32" i="6" l="1"/>
  <c r="H33" i="6"/>
  <c r="H34" i="6" l="1"/>
  <c r="J33" i="6"/>
  <c r="H35" i="6" l="1"/>
  <c r="J34" i="6"/>
  <c r="J35" i="6" l="1"/>
  <c r="H36" i="6"/>
  <c r="H37" i="6" l="1"/>
  <c r="J36" i="6"/>
  <c r="H38" i="6" l="1"/>
  <c r="J37" i="6"/>
  <c r="J38" i="6" l="1"/>
  <c r="H39" i="6"/>
  <c r="H40" i="6" l="1"/>
  <c r="J39" i="6"/>
  <c r="H41" i="6" l="1"/>
  <c r="J40" i="6"/>
  <c r="J41" i="6" l="1"/>
  <c r="H42" i="6"/>
  <c r="H43" i="6" l="1"/>
  <c r="J42" i="6"/>
  <c r="H44" i="6" l="1"/>
  <c r="J43" i="6"/>
  <c r="J44" i="6" l="1"/>
  <c r="H45" i="6"/>
  <c r="H46" i="6" l="1"/>
  <c r="J45" i="6"/>
  <c r="H47" i="6" l="1"/>
  <c r="J46" i="6"/>
  <c r="H48" i="6" l="1"/>
  <c r="J47" i="6"/>
  <c r="J48" i="6" l="1"/>
  <c r="H49" i="6"/>
  <c r="H50" i="6" l="1"/>
  <c r="J49" i="6"/>
  <c r="H51" i="6" l="1"/>
  <c r="J50" i="6"/>
  <c r="H52" i="6" l="1"/>
  <c r="J51" i="6"/>
  <c r="H53" i="6" l="1"/>
  <c r="J52" i="6"/>
  <c r="H54" i="6" l="1"/>
  <c r="J53" i="6"/>
  <c r="H55" i="6" l="1"/>
  <c r="J54" i="6"/>
  <c r="H56" i="6" l="1"/>
  <c r="J55" i="6"/>
  <c r="J56" i="6" l="1"/>
  <c r="H57" i="6"/>
  <c r="H58" i="6" l="1"/>
  <c r="J57" i="6"/>
  <c r="H59" i="6" l="1"/>
  <c r="J58" i="6"/>
  <c r="H60" i="6" l="1"/>
  <c r="J59" i="6"/>
  <c r="H61" i="6" l="1"/>
  <c r="J60" i="6"/>
  <c r="H62" i="6" l="1"/>
  <c r="J61" i="6"/>
  <c r="H63" i="6" l="1"/>
  <c r="J62" i="6"/>
  <c r="H64" i="6" l="1"/>
  <c r="J63" i="6"/>
  <c r="J64" i="6" l="1"/>
  <c r="H65" i="6"/>
  <c r="H66" i="6" l="1"/>
  <c r="J65" i="6"/>
  <c r="H67" i="6" l="1"/>
  <c r="J66" i="6"/>
  <c r="H68" i="6" l="1"/>
  <c r="J67" i="6"/>
  <c r="H69" i="6" l="1"/>
  <c r="J68" i="6"/>
  <c r="H70" i="6" l="1"/>
  <c r="J69" i="6"/>
  <c r="H71" i="6" l="1"/>
  <c r="J70" i="6"/>
  <c r="H72" i="6" l="1"/>
  <c r="J71" i="6"/>
  <c r="J72" i="6" l="1"/>
  <c r="H73" i="6"/>
  <c r="H74" i="6" l="1"/>
  <c r="J73" i="6"/>
  <c r="H75" i="6" l="1"/>
  <c r="J74" i="6"/>
  <c r="H76" i="6" l="1"/>
  <c r="J75" i="6"/>
  <c r="H77" i="6" l="1"/>
  <c r="J76" i="6"/>
  <c r="H78" i="6" l="1"/>
  <c r="J77" i="6"/>
  <c r="J78" i="6" l="1"/>
  <c r="H79" i="6"/>
  <c r="H80" i="6" l="1"/>
  <c r="J79" i="6"/>
  <c r="H81" i="6" l="1"/>
  <c r="J80" i="6"/>
  <c r="H82" i="6" l="1"/>
  <c r="J81" i="6"/>
  <c r="J82" i="6" l="1"/>
  <c r="H83" i="6"/>
  <c r="H84" i="6" l="1"/>
  <c r="J83" i="6"/>
  <c r="H85" i="6" l="1"/>
  <c r="J84" i="6"/>
  <c r="H86" i="6" l="1"/>
  <c r="J85" i="6"/>
  <c r="J86" i="6" l="1"/>
  <c r="H87" i="6"/>
  <c r="H88" i="6" l="1"/>
  <c r="J87" i="6"/>
  <c r="H89" i="6" l="1"/>
  <c r="J88" i="6"/>
  <c r="H90" i="6" l="1"/>
  <c r="J89" i="6"/>
  <c r="J90" i="6" l="1"/>
  <c r="H91" i="6"/>
  <c r="H92" i="6" l="1"/>
  <c r="J91" i="6"/>
  <c r="H93" i="6" l="1"/>
  <c r="J92" i="6"/>
  <c r="H94" i="6" l="1"/>
  <c r="J93" i="6"/>
  <c r="J94" i="6" l="1"/>
  <c r="H95" i="6"/>
  <c r="H96" i="6" l="1"/>
  <c r="J95" i="6"/>
  <c r="H97" i="6" l="1"/>
  <c r="J96" i="6"/>
  <c r="H98" i="6" l="1"/>
  <c r="J97" i="6"/>
  <c r="J98" i="6" l="1"/>
  <c r="H99" i="6"/>
  <c r="H100" i="6" l="1"/>
  <c r="J99" i="6"/>
  <c r="H101" i="6" l="1"/>
  <c r="J100" i="6"/>
  <c r="H102" i="6" l="1"/>
  <c r="J101" i="6"/>
  <c r="J102" i="6" l="1"/>
  <c r="H103" i="6"/>
  <c r="H104" i="6" l="1"/>
  <c r="J103" i="6"/>
  <c r="H105" i="6" l="1"/>
  <c r="J104" i="6"/>
  <c r="H106" i="6" l="1"/>
  <c r="J105" i="6"/>
  <c r="J106" i="6" l="1"/>
  <c r="H107" i="6"/>
  <c r="H108" i="6" l="1"/>
  <c r="J107" i="6"/>
  <c r="J108" i="6" l="1"/>
  <c r="H109" i="6"/>
  <c r="H110" i="6" l="1"/>
  <c r="J109" i="6"/>
  <c r="J110" i="6" l="1"/>
  <c r="H111" i="6"/>
  <c r="H112" i="6" l="1"/>
  <c r="J111" i="6"/>
  <c r="H113" i="6" l="1"/>
  <c r="J112" i="6"/>
  <c r="H114" i="6" l="1"/>
  <c r="J113" i="6"/>
  <c r="J114" i="6" l="1"/>
  <c r="H115" i="6"/>
  <c r="J115" i="6" s="1"/>
</calcChain>
</file>

<file path=xl/sharedStrings.xml><?xml version="1.0" encoding="utf-8"?>
<sst xmlns="http://schemas.openxmlformats.org/spreadsheetml/2006/main" count="207" uniqueCount="175">
  <si>
    <t>Republic of the Philippines</t>
  </si>
  <si>
    <t>Department of Education</t>
  </si>
  <si>
    <t>NEGROS ISLAND REGION</t>
  </si>
  <si>
    <t>SCHOOLS DIVISION OF SIPALAY CITY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</si>
  <si>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</si>
  <si>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</si>
  <si>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</si>
  <si>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</si>
  <si>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</si>
  <si>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</si>
  <si>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SERVICE LEAVE CARD</t>
  </si>
  <si>
    <t>PERIOD COVERED</t>
  </si>
  <si>
    <t>LEAVE EARNED</t>
  </si>
  <si>
    <t>LEAVE SPENT</t>
  </si>
  <si>
    <t>BALANCE</t>
  </si>
  <si>
    <t>TOTAL</t>
  </si>
  <si>
    <t>DATE FILED/RECEIVED</t>
  </si>
  <si>
    <t>VACATION</t>
  </si>
  <si>
    <t>SICK</t>
  </si>
  <si>
    <t>FORCED</t>
  </si>
  <si>
    <t>SPECIAL PRIVILEGE LEAVE</t>
  </si>
  <si>
    <t>ADD: 03/27/2019 - 03/31/2019</t>
  </si>
  <si>
    <t>ADD: 04/01/2019 - 12/31/2019</t>
  </si>
  <si>
    <t>LESS: 07/11/2019</t>
  </si>
  <si>
    <t>LESS: 07/17 - 19/2019</t>
  </si>
  <si>
    <t>LESS: 12/19/2019</t>
  </si>
  <si>
    <t>LESS: FL 2019</t>
  </si>
  <si>
    <t>ADD: 01/01/2020 - 12/31/2020</t>
  </si>
  <si>
    <t>LESS: 02/11, 13 &amp; 19/2020</t>
  </si>
  <si>
    <t>LESS: 03/09/2020</t>
  </si>
  <si>
    <t>LESS: FL 2020</t>
  </si>
  <si>
    <t>ADD: 01/01/2021 - 12/31/2021</t>
  </si>
  <si>
    <t>LESS: 05/19/2021</t>
  </si>
  <si>
    <t>LESS: MONETIZATION 2021</t>
  </si>
  <si>
    <t>LESS: FL 2021</t>
  </si>
  <si>
    <t>LESS: 02/21/22</t>
  </si>
  <si>
    <t>ADD: 01/01/22 - 01/31/22</t>
  </si>
  <si>
    <t>ADD: 02/01/22 - 02/28/22</t>
  </si>
  <si>
    <t>ADD: 03/01/22 - 05/31/22</t>
  </si>
  <si>
    <t>LESS: 06/24/22</t>
  </si>
  <si>
    <t>LESS: 06/30/22</t>
  </si>
  <si>
    <t>ADD: 06/01/22 - 06/30/22</t>
  </si>
  <si>
    <t>LESS: 07/29/22</t>
  </si>
  <si>
    <t>ADD: 07/01/22 - 08/31/22</t>
  </si>
  <si>
    <t>LESS: MONETIZATION 2022</t>
  </si>
  <si>
    <t>ADD: 09/01/22 - 09/30/22</t>
  </si>
  <si>
    <t>LESS: 10/13/22</t>
  </si>
  <si>
    <t>ADD: 10/01/22 - 10/31/22</t>
  </si>
  <si>
    <t>ADD: 11/01/22 - 11/30/22</t>
  </si>
  <si>
    <t>LESS: 12/09/2022</t>
  </si>
  <si>
    <t>LESS: 12/29/22</t>
  </si>
  <si>
    <t>LESS: 11/14/2022</t>
  </si>
  <si>
    <t>ADD: 12/01/22 - 12/31/22</t>
  </si>
  <si>
    <t>LESS: 12/28/22</t>
  </si>
  <si>
    <t>LESS: 1/16/23</t>
  </si>
  <si>
    <t>LESS: 03/22 &amp; 23/23</t>
  </si>
  <si>
    <t>ADD: 01/01/23 - 01/31/23</t>
  </si>
  <si>
    <t>LESS: 3/28/23</t>
  </si>
  <si>
    <t>ADD: 02/01/23 - 03/31/23</t>
  </si>
  <si>
    <t>LESS: 3/27/23</t>
  </si>
  <si>
    <t>ADD: 04/01/23 - 04/30/23</t>
  </si>
  <si>
    <t>LESS: 05/10/2023</t>
  </si>
  <si>
    <t>ADD: 05/01/23 - 05/31/23</t>
  </si>
  <si>
    <t>LESS: 06/7-9/23</t>
  </si>
  <si>
    <t>LESS: 06/15/23</t>
  </si>
  <si>
    <t>ADD: 06/01/23 - 06/30/23</t>
  </si>
  <si>
    <t>ADD: 07/01/23 - 08/31/23</t>
  </si>
  <si>
    <t>LESS: 08/07/23</t>
  </si>
  <si>
    <t>LESS: MONETIZATION 2023</t>
  </si>
  <si>
    <t>LESS:08/29/2023</t>
  </si>
  <si>
    <t>LESS: 12/28&amp;29/2023</t>
  </si>
  <si>
    <t>ADD: 09/01/2023-09/30/2023</t>
  </si>
  <si>
    <t>LESS: 10/2&amp;6/2023</t>
  </si>
  <si>
    <t>LESS: 12/15&amp;22/2023</t>
  </si>
  <si>
    <t>ADD: 10/01/2023-10/31/2023</t>
  </si>
  <si>
    <t>LESS: 11/13/2023</t>
  </si>
  <si>
    <t>LESS: 12/21&amp;27/2023</t>
  </si>
  <si>
    <t>ADD: 11/01/2023-11/30/2023</t>
  </si>
  <si>
    <t>LESS: 12/19/2023</t>
  </si>
  <si>
    <t>LESS: 12/07/2023</t>
  </si>
  <si>
    <t>ADD: 12/01/2023-12/31/2023</t>
  </si>
  <si>
    <t>LESS: MANDATORY FL 2023</t>
  </si>
  <si>
    <t>LESS: 01/03/2024</t>
  </si>
  <si>
    <t>LESS: 01/4-5/2024</t>
  </si>
  <si>
    <t>ADD: 01/01-31/2024</t>
  </si>
  <si>
    <t>ADD: 02/01/2024-02/29/2024</t>
  </si>
  <si>
    <t>LESS: 02/19/2024</t>
  </si>
  <si>
    <t>LESS: 03/18/2024</t>
  </si>
  <si>
    <t>ADD: 03/1-31/2024</t>
  </si>
  <si>
    <t>LESS: 04/08/2024</t>
  </si>
  <si>
    <t>LESS: 04/11-12/2024</t>
  </si>
  <si>
    <t>ADD: 04/1/2024-05/31/2024</t>
  </si>
  <si>
    <t>LESS: 06/24/2024 (HALF DAY: PM)</t>
  </si>
  <si>
    <t>ADD: 06/1-30/2024</t>
  </si>
  <si>
    <t>LESS: 07/9/2024</t>
  </si>
  <si>
    <t>ADD: 07/1-31/2024</t>
  </si>
  <si>
    <t>ADD: 08/1-31/2024</t>
  </si>
  <si>
    <t>LESS: MONETIZATION 2024</t>
  </si>
  <si>
    <t>LESS: 09/12 &amp; 16/2024</t>
  </si>
  <si>
    <t>ADD: 09/1-30/2024</t>
  </si>
  <si>
    <t>LESS: 10/30/2024</t>
  </si>
  <si>
    <t>ADD: 10/1-31/2024</t>
  </si>
  <si>
    <t>LESS: 12/19, 23, 26, 27/2024</t>
  </si>
  <si>
    <t>LESS: 11/25/2024</t>
  </si>
  <si>
    <t>ADD: 11/1/2024-12/31/2024</t>
  </si>
  <si>
    <t>LESS: 01/2-3/2025</t>
  </si>
  <si>
    <t>ADD: 01/1-31/2025</t>
  </si>
  <si>
    <t>LESS: 02/19-21/2025</t>
  </si>
  <si>
    <t>ADD: 02/1/2025-03/31/2025</t>
  </si>
  <si>
    <t>LESS: 04/30, 05/2, &amp; 5/5/2025</t>
  </si>
  <si>
    <t>ADD: 04/1/2025-06/30/2025</t>
  </si>
  <si>
    <t>LESS: 06/13, 27 &amp; 30/2025</t>
  </si>
  <si>
    <t>ADD: 07/1-31/2025</t>
  </si>
  <si>
    <t>LESS: 07/30-31/2025</t>
  </si>
  <si>
    <t>LESS: 08/11/2025</t>
  </si>
  <si>
    <t>ADD: 08/1/2025-09/30/2025</t>
  </si>
  <si>
    <t>LESS: 10/13/2025</t>
  </si>
  <si>
    <t>ADD: 10/1-31/2025</t>
  </si>
  <si>
    <t>LESS: MONETIZATION 2025</t>
  </si>
  <si>
    <t>ADD: 11/1-30/2025</t>
  </si>
  <si>
    <t>LESS: 12/9, 10,/2025</t>
  </si>
  <si>
    <t>LESS: 12/12/2025</t>
  </si>
  <si>
    <t>LESS: 12/26/2025</t>
  </si>
  <si>
    <t>Certified Correct:</t>
  </si>
  <si>
    <t>MA. LUISA B. CATIGAN</t>
  </si>
  <si>
    <t>Administrative Officer IV</t>
  </si>
  <si>
    <t>HRMO</t>
  </si>
  <si>
    <t>REGION VI-WESTERN VISAYAS</t>
  </si>
  <si>
    <t>COMPENSATORY TIME OFF (CTO)</t>
  </si>
  <si>
    <t>Special Order No. and Date Issued</t>
  </si>
  <si>
    <t>No. of Days Granted</t>
  </si>
  <si>
    <t>No. of Days Used</t>
  </si>
  <si>
    <t>Balance</t>
  </si>
  <si>
    <t>ADD: JJULY 13, 2022</t>
  </si>
  <si>
    <t>S.O. # 052, S. 2022. 124TH PHILIPPINE INDEPENDENCE DAY CELEBRATION</t>
  </si>
  <si>
    <t>LESS: MARCH 24, 2023</t>
  </si>
  <si>
    <t>ADD:OCT. 17, 2023</t>
  </si>
  <si>
    <t>S.O. # 159, S. 2023. 125TH PHILIPPINE INDEPENDENCE DAY CELEBRATION</t>
  </si>
  <si>
    <t>LESS: 01/02/2024</t>
  </si>
  <si>
    <t>ADD: 06/26/2024</t>
  </si>
  <si>
    <t>S.O. # 024, S. 2024. 126TH PHILIPPINE INDEPENDENCE DAY CELEBRATION</t>
  </si>
  <si>
    <t>LESS: 07/10/2024</t>
  </si>
  <si>
    <t>ADD: 02/5/2025</t>
  </si>
  <si>
    <t>S.O. # 002, S. 2025. RIZAL DAY 2024</t>
  </si>
  <si>
    <t>LESS: 07/21/2025</t>
  </si>
  <si>
    <t>ADD: 06/5/2025</t>
  </si>
  <si>
    <t xml:space="preserve">S.O. # 024, S. 2025. A &amp; E TEST </t>
  </si>
  <si>
    <t>1.5 &amp; 3 HRS</t>
  </si>
  <si>
    <t>NOTE:  Valid for one (1) year only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</si>
  <si>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</si>
  <si>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</si>
  <si>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</si>
  <si>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</si>
  <si>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</si>
  <si>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</si>
  <si>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</si>
  <si>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</si>
  <si>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</si>
  <si>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</si>
  <si>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</si>
  <si>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</si>
  <si>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</si>
  <si>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</si>
  <si>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</si>
  <si>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</si>
  <si>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</si>
  <si>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</si>
  <si>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LESS: 3/28/2022</t>
  </si>
  <si>
    <t>LESS: 09/19 &amp; 20/22</t>
  </si>
  <si>
    <t>LESS: 11/23/22</t>
  </si>
  <si>
    <t>LESS: 12/16&amp;23/2022</t>
  </si>
  <si>
    <t>LESS:12/26/2022</t>
  </si>
  <si>
    <t>LESS: 04/14/2023</t>
  </si>
  <si>
    <t>LESS:05/31/2023</t>
  </si>
  <si>
    <t>LESS:07/07/2023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</si>
</sst>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 d\,\ yyyy;@"/>
    <numFmt numFmtId="165" formatCode="0.000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8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u/>
      <sz val="11"/>
      <color theme="1"/>
      <name val="Calibri"/>
      <charset val="134"/>
      <scheme val="minor"/>
    </font>
    <font>
      <b/>
      <u/>
      <sz val="11"/>
      <color rgb="FF000000"/>
      <name val="Calibri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auto="1"/>
      </left>
      <right/>
      <top style="medium">
        <color rgb="FF000000"/>
      </top>
      <bottom style="thin">
        <color auto="1"/>
      </bottom>
      <diagonal/>
    </border>
    <border>
      <left/>
      <right/>
      <top style="medium">
        <color rgb="FF000000"/>
      </top>
      <bottom style="thin">
        <color auto="1"/>
      </bottom>
      <diagonal/>
    </border>
    <border>
      <left style="thin">
        <color auto="1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auto="1"/>
      </left>
      <right/>
      <top style="thin">
        <color auto="1"/>
      </top>
      <bottom style="medium">
        <color rgb="FF000000"/>
      </bottom>
      <diagonal/>
    </border>
    <border>
      <left/>
      <right/>
      <top style="thin">
        <color auto="1"/>
      </top>
      <bottom style="medium">
        <color rgb="FF000000"/>
      </bottom>
      <diagonal/>
    </border>
    <border>
      <left/>
      <right style="thin">
        <color auto="1"/>
      </right>
      <top style="thin">
        <color auto="1"/>
      </top>
      <bottom style="medium">
        <color rgb="FF000000"/>
      </bottom>
      <diagonal/>
    </border>
    <border>
      <left style="thin">
        <color auto="1"/>
      </left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19">
    <xf numFmtId="0" fontId="0" fillId="0" borderId="0" xfId="0"/>
    <xf numFmtId="0" fontId="1" fillId="2" borderId="0" xfId="1" applyFill="1"/>
    <xf numFmtId="0" fontId="2" fillId="0" borderId="0" xfId="1" applyFont="1"/>
    <xf numFmtId="0" fontId="3" fillId="0" borderId="0" xfId="1" applyFont="1"/>
    <xf numFmtId="0" fontId="1" fillId="0" borderId="0" xfId="1"/>
    <xf numFmtId="0" fontId="4" fillId="2" borderId="0" xfId="1" applyFont="1" applyFill="1" applyAlignment="1">
      <alignment horizontal="center" wrapText="1"/>
    </xf>
    <xf numFmtId="0" fontId="4" fillId="2" borderId="0" xfId="1" applyFont="1" applyFill="1" applyAlignment="1">
      <alignment wrapText="1"/>
    </xf>
    <xf numFmtId="0" fontId="1" fillId="2" borderId="0" xfId="1" applyFill="1" applyAlignment="1">
      <alignment horizontal="center"/>
    </xf>
    <xf numFmtId="0" fontId="4" fillId="2" borderId="0" xfId="1" applyFont="1" applyFill="1" applyAlignment="1">
      <alignment vertical="center"/>
    </xf>
    <xf numFmtId="0" fontId="4" fillId="2" borderId="0" xfId="1" applyFont="1" applyFill="1"/>
    <xf numFmtId="0" fontId="4" fillId="2" borderId="0" xfId="1" applyFont="1" applyFill="1" applyAlignment="1">
      <alignment horizontal="center"/>
    </xf>
    <xf numFmtId="0" fontId="6" fillId="3" borderId="2" xfId="1" applyFont="1" applyFill="1" applyBorder="1" applyAlignment="1">
      <alignment horizontal="center" vertical="center"/>
    </xf>
    <xf numFmtId="0" fontId="7" fillId="4" borderId="3" xfId="1" applyFont="1" applyFill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center" vertical="center"/>
    </xf>
    <xf numFmtId="0" fontId="1" fillId="2" borderId="3" xfId="1" applyFill="1" applyBorder="1" applyAlignment="1">
      <alignment horizontal="center" vertical="center"/>
    </xf>
    <xf numFmtId="0" fontId="1" fillId="2" borderId="3" xfId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4" xfId="1" applyBorder="1" applyAlignment="1">
      <alignment vertical="center"/>
    </xf>
    <xf numFmtId="0" fontId="6" fillId="3" borderId="7" xfId="1" applyFont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65" fontId="1" fillId="2" borderId="3" xfId="1" applyNumberFormat="1" applyFill="1" applyBorder="1" applyAlignment="1">
      <alignment horizontal="center" vertical="center"/>
    </xf>
    <xf numFmtId="0" fontId="0" fillId="2" borderId="0" xfId="0" applyFill="1"/>
    <xf numFmtId="0" fontId="2" fillId="0" borderId="0" xfId="0" applyFont="1"/>
    <xf numFmtId="0" fontId="3" fillId="0" borderId="0" xfId="0" applyFont="1"/>
    <xf numFmtId="0" fontId="3" fillId="0" borderId="0" xfId="2" applyFont="1"/>
    <xf numFmtId="0" fontId="0" fillId="2" borderId="0" xfId="0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0" xfId="0" applyFont="1" applyFill="1"/>
    <xf numFmtId="0" fontId="4" fillId="2" borderId="9" xfId="0" applyFont="1" applyFill="1" applyBorder="1" applyAlignment="1">
      <alignment vertical="center"/>
    </xf>
    <xf numFmtId="0" fontId="0" fillId="2" borderId="13" xfId="0" applyFill="1" applyBorder="1" applyAlignment="1">
      <alignment horizontal="center" vertical="center" wrapText="1"/>
    </xf>
    <xf numFmtId="0" fontId="7" fillId="2" borderId="6" xfId="0" applyFont="1" applyFill="1" applyBorder="1" applyAlignment="1">
      <alignment vertical="center" wrapText="1"/>
    </xf>
    <xf numFmtId="0" fontId="7" fillId="2" borderId="15" xfId="0" applyFont="1" applyFill="1" applyBorder="1" applyAlignment="1">
      <alignment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3" xfId="2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7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8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6" borderId="8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1" fillId="0" borderId="3" xfId="2" applyBorder="1" applyAlignment="1">
      <alignment horizontal="center" vertical="center" wrapText="1"/>
    </xf>
    <xf numFmtId="0" fontId="1" fillId="6" borderId="3" xfId="2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1" fillId="0" borderId="0" xfId="0" applyFont="1"/>
    <xf numFmtId="0" fontId="0" fillId="2" borderId="0" xfId="0" applyFill="1" applyAlignment="1">
      <alignment vertical="center"/>
    </xf>
    <xf numFmtId="0" fontId="9" fillId="0" borderId="0" xfId="0" applyFont="1"/>
    <xf numFmtId="0" fontId="4" fillId="2" borderId="20" xfId="0" applyFont="1" applyFill="1" applyBorder="1" applyAlignment="1">
      <alignment horizontal="center" vertical="center"/>
    </xf>
    <xf numFmtId="0" fontId="10" fillId="2" borderId="20" xfId="0" applyFont="1" applyFill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/>
    </xf>
    <xf numFmtId="165" fontId="1" fillId="2" borderId="21" xfId="0" applyNumberFormat="1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65" fontId="1" fillId="2" borderId="3" xfId="0" applyNumberFormat="1" applyFont="1" applyFill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4" fillId="2" borderId="3" xfId="0" applyNumberFormat="1" applyFont="1" applyFill="1" applyBorder="1" applyAlignment="1">
      <alignment horizontal="center" vertical="center" wrapText="1"/>
    </xf>
    <xf numFmtId="165" fontId="1" fillId="2" borderId="3" xfId="0" applyNumberFormat="1" applyFont="1" applyFill="1" applyBorder="1" applyAlignment="1">
      <alignment horizontal="center" vertical="center" wrapText="1"/>
    </xf>
    <xf numFmtId="165" fontId="1" fillId="0" borderId="3" xfId="0" applyNumberFormat="1" applyFont="1" applyBorder="1" applyAlignment="1">
      <alignment horizontal="center" vertical="center"/>
    </xf>
    <xf numFmtId="0" fontId="0" fillId="0" borderId="3" xfId="0" applyBorder="1"/>
    <xf numFmtId="165" fontId="0" fillId="0" borderId="3" xfId="0" applyNumberFormat="1" applyBorder="1" applyAlignment="1">
      <alignment horizontal="center" vertical="center"/>
    </xf>
    <xf numFmtId="0" fontId="1" fillId="0" borderId="3" xfId="0" applyFont="1" applyBorder="1"/>
    <xf numFmtId="0" fontId="1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0" fillId="11" borderId="3" xfId="0" applyFill="1" applyBorder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0" fontId="12" fillId="2" borderId="0" xfId="0" applyFont="1" applyFill="1" applyAlignment="1">
      <alignment vertical="center"/>
    </xf>
    <xf numFmtId="0" fontId="13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11" fillId="0" borderId="22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7" borderId="17" xfId="0" applyFont="1" applyFill="1" applyBorder="1" applyAlignment="1">
      <alignment horizontal="center" vertical="center"/>
    </xf>
    <xf numFmtId="0" fontId="4" fillId="8" borderId="11" xfId="0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0" fontId="4" fillId="8" borderId="18" xfId="0" applyFont="1" applyFill="1" applyBorder="1" applyAlignment="1">
      <alignment horizontal="center" vertical="center"/>
    </xf>
    <xf numFmtId="0" fontId="4" fillId="9" borderId="17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4" fillId="3" borderId="23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7" fillId="2" borderId="6" xfId="2" applyFont="1" applyFill="1" applyBorder="1" applyAlignment="1">
      <alignment horizontal="center" vertical="center" wrapText="1"/>
    </xf>
    <xf numFmtId="0" fontId="7" fillId="2" borderId="14" xfId="2" applyFont="1" applyFill="1" applyBorder="1" applyAlignment="1">
      <alignment horizontal="center" vertical="center" wrapText="1"/>
    </xf>
    <xf numFmtId="0" fontId="7" fillId="2" borderId="15" xfId="2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1" applyFill="1" applyAlignment="1">
      <alignment horizontal="center" vertical="center"/>
    </xf>
    <xf numFmtId="0" fontId="4" fillId="2" borderId="0" xfId="1" applyFont="1" applyFill="1" applyAlignment="1">
      <alignment horizontal="left" vertical="center"/>
    </xf>
    <xf numFmtId="0" fontId="4" fillId="2" borderId="0" xfId="1" applyFont="1" applyFill="1" applyAlignment="1">
      <alignment horizontal="left"/>
    </xf>
    <xf numFmtId="0" fontId="5" fillId="2" borderId="1" xfId="1" applyFont="1" applyFill="1" applyBorder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6" fillId="3" borderId="24" xfId="0" applyFont="1" applyFill="1" applyBorder="1" applyAlignment="1">
      <alignment horizontal="center" vertical="center"/>
    </xf>
    <xf numFmtId="0" fontId="6" fillId="5" borderId="25" xfId="0" applyFont="1" applyFill="1" applyBorder="1" applyAlignment="1">
      <alignment horizontal="center" vertical="center"/>
    </xf>
    <xf numFmtId="0" fontId="6" fillId="5" borderId="26" xfId="0" applyFont="1" applyFill="1" applyBorder="1" applyAlignment="1">
      <alignment horizontal="center" vertical="center"/>
    </xf>
    <xf numFmtId="0" fontId="6" fillId="3" borderId="27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/>
    </xf>
    <xf numFmtId="0" fontId="7" fillId="4" borderId="29" xfId="0" applyFont="1" applyFill="1" applyBorder="1" applyAlignment="1">
      <alignment horizontal="center" vertical="center" wrapText="1"/>
    </xf>
    <xf numFmtId="0" fontId="7" fillId="4" borderId="30" xfId="0" applyFont="1" applyFill="1" applyBorder="1" applyAlignment="1">
      <alignment horizontal="center" vertical="center" wrapText="1"/>
    </xf>
    <xf numFmtId="0" fontId="7" fillId="4" borderId="31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7" fillId="2" borderId="33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34" xfId="0" applyFont="1" applyFill="1" applyBorder="1" applyAlignment="1">
      <alignment horizontal="center" vertical="center" wrapText="1"/>
    </xf>
    <xf numFmtId="0" fontId="7" fillId="2" borderId="33" xfId="0" applyFont="1" applyFill="1" applyBorder="1" applyAlignment="1">
      <alignment vertical="center" wrapText="1"/>
    </xf>
    <xf numFmtId="0" fontId="7" fillId="2" borderId="34" xfId="0" applyFont="1" applyFill="1" applyBorder="1" applyAlignment="1">
      <alignment vertical="center" wrapText="1"/>
    </xf>
    <xf numFmtId="0" fontId="0" fillId="2" borderId="7" xfId="0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31000000}"/>
    <cellStyle name="Normal 2 2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371474</xdr:colOff>
      <xdr:row>0</xdr:row>
      <xdr:rowOff>101600</xdr:rowOff>
    </xdr:from>
    <xdr:to>
      <xdr:col>4</xdr:col>
      <xdr:colOff>301754</xdr:colOff>
      <xdr:row>0</xdr:row>
      <xdr:rowOff>631825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35170" y="101600"/>
          <a:ext cx="724535" cy="530225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573405" y="1376045"/>
          <a:ext cx="2003425" cy="2520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PILLONE,</a:t>
          </a:r>
          <a:r>
            <a:rPr lang="en-US" sz="1100" baseline="0"/>
            <a:t> JENNEFER</a:t>
          </a:r>
          <a:endParaRPr lang="en-US" sz="1100"/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16585" y="1725930"/>
          <a:ext cx="1960245" cy="2495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EPS II</a:t>
          </a:r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3785235" y="1707515"/>
          <a:ext cx="1776730" cy="2501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SDO SIPALAY CITY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74159</xdr:colOff>
      <xdr:row>0</xdr:row>
      <xdr:rowOff>46039</xdr:rowOff>
    </xdr:from>
    <xdr:to>
      <xdr:col>5</xdr:col>
      <xdr:colOff>170962</xdr:colOff>
      <xdr:row>0</xdr:row>
      <xdr:rowOff>647212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29405" y="45720"/>
          <a:ext cx="714375" cy="601345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1</xdr:col>
      <xdr:colOff>946150</xdr:colOff>
      <xdr:row>6</xdr:row>
      <xdr:rowOff>88900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573405" y="1376045"/>
          <a:ext cx="2047875" cy="225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PILLONE, JENNEFER</a:t>
          </a:r>
        </a:p>
      </xdr:txBody>
    </xdr:sp>
    <xdr:clientData/>
  </xdr:twoCellAnchor>
  <xdr:twoCellAnchor>
    <xdr:from>
      <xdr:col>0</xdr:col>
      <xdr:colOff>654051</xdr:colOff>
      <xdr:row>7</xdr:row>
      <xdr:rowOff>19051</xdr:rowOff>
    </xdr:from>
    <xdr:to>
      <xdr:col>0</xdr:col>
      <xdr:colOff>1720850</xdr:colOff>
      <xdr:row>8</xdr:row>
      <xdr:rowOff>114301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654050" y="1684020"/>
          <a:ext cx="102108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AO</a:t>
          </a:r>
          <a:r>
            <a:rPr lang="en-US" sz="1100" baseline="0"/>
            <a:t> II</a:t>
          </a:r>
          <a:endParaRPr lang="en-US" sz="1100"/>
        </a:p>
      </xdr:txBody>
    </xdr:sp>
    <xdr:clientData/>
  </xdr:twoCellAnchor>
  <xdr:twoCellAnchor>
    <xdr:from>
      <xdr:col>3</xdr:col>
      <xdr:colOff>526823</xdr:colOff>
      <xdr:row>7</xdr:row>
      <xdr:rowOff>42410</xdr:rowOff>
    </xdr:from>
    <xdr:to>
      <xdr:col>5</xdr:col>
      <xdr:colOff>463323</xdr:colOff>
      <xdr:row>9</xdr:row>
      <xdr:rowOff>10714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3964940" y="1706880"/>
          <a:ext cx="1170940" cy="273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OSDS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265662</xdr:colOff>
      <xdr:row>0</xdr:row>
      <xdr:rowOff>28769</xdr:rowOff>
    </xdr:from>
    <xdr:to>
      <xdr:col>5</xdr:col>
      <xdr:colOff>293071</xdr:colOff>
      <xdr:row>0</xdr:row>
      <xdr:rowOff>654439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96385" y="28575"/>
          <a:ext cx="683895" cy="6254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2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749165"/>
          <a:ext cx="2974975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777551</xdr:colOff>
      <xdr:row>5</xdr:row>
      <xdr:rowOff>77755</xdr:rowOff>
    </xdr:from>
    <xdr:to>
      <xdr:col>1</xdr:col>
      <xdr:colOff>414694</xdr:colOff>
      <xdr:row>7</xdr:row>
      <xdr:rowOff>116633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777240" y="1485265"/>
          <a:ext cx="1498600" cy="2482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PILLONE, JENNEFER</a:t>
          </a:r>
        </a:p>
      </xdr:txBody>
    </xdr:sp>
    <xdr:clientData/>
  </xdr:twoCellAnchor>
  <xdr:twoCellAnchor>
    <xdr:from>
      <xdr:col>0</xdr:col>
      <xdr:colOff>751632</xdr:colOff>
      <xdr:row>8</xdr:row>
      <xdr:rowOff>38877</xdr:rowOff>
    </xdr:from>
    <xdr:to>
      <xdr:col>1</xdr:col>
      <xdr:colOff>213827</xdr:colOff>
      <xdr:row>9</xdr:row>
      <xdr:rowOff>116632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751205" y="1808480"/>
          <a:ext cx="1323340" cy="2298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</a:t>
          </a:r>
          <a:r>
            <a:rPr lang="en-US" sz="1100" baseline="0"/>
            <a:t>O </a:t>
          </a:r>
          <a:r>
            <a:rPr lang="en-US" sz="1100"/>
            <a:t>II</a:t>
          </a:r>
        </a:p>
      </xdr:txBody>
    </xdr:sp>
    <xdr:clientData/>
  </xdr:twoCellAnchor>
  <xdr:twoCellAnchor>
    <xdr:from>
      <xdr:col>3</xdr:col>
      <xdr:colOff>498928</xdr:colOff>
      <xdr:row>7</xdr:row>
      <xdr:rowOff>97194</xdr:rowOff>
    </xdr:from>
    <xdr:to>
      <xdr:col>6</xdr:col>
      <xdr:colOff>9843</xdr:colOff>
      <xdr:row>9</xdr:row>
      <xdr:rowOff>36510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3672840" y="1714500"/>
          <a:ext cx="1480820" cy="2438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SDO SIPALAY CITY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22"/>
  <sheetViews>
    <sheetView view="pageBreakPreview" topLeftCell="A103" zoomScaleNormal="100" workbookViewId="0">
      <selection activeCell="A116" sqref="A116"/>
    </sheetView>
  </sheetViews>
  <sheetFormatPr defaultColWidth="9" defaultRowHeight="15"/>
  <cols>
    <col min="1" max="1" width="37.625" customWidth="1"/>
    <col min="2" max="10" width="11.625" customWidth="1"/>
    <col min="11" max="11" width="26.375" style="53" customWidth="1"/>
  </cols>
  <sheetData>
    <row r="1" spans="1:11" s="25" customFormat="1" ht="52.5" customHeight="1"/>
    <row r="2" spans="1:11" s="25" customFormat="1" ht="10.5" customHeight="1">
      <c r="A2" s="77" t="s">
        <v>0</v>
      </c>
      <c r="B2" s="77"/>
      <c r="C2" s="77"/>
      <c r="D2" s="77"/>
      <c r="E2" s="77"/>
      <c r="F2" s="77"/>
      <c r="G2" s="77"/>
      <c r="H2" s="77"/>
      <c r="I2" s="77"/>
      <c r="J2" s="77"/>
    </row>
    <row r="3" spans="1:11" s="25" customFormat="1" ht="15.95" customHeight="1">
      <c r="A3" s="77" t="s">
        <v>1</v>
      </c>
      <c r="B3" s="77"/>
      <c r="C3" s="77"/>
      <c r="D3" s="77"/>
      <c r="E3" s="77"/>
      <c r="F3" s="77"/>
      <c r="G3" s="77"/>
      <c r="H3" s="77"/>
      <c r="I3" s="77"/>
      <c r="J3" s="77"/>
    </row>
    <row r="4" spans="1:11" s="25" customFormat="1" ht="15.95" customHeight="1">
      <c r="A4" s="77" t="s">
        <v>2</v>
      </c>
      <c r="B4" s="77"/>
      <c r="C4" s="77"/>
      <c r="D4" s="77"/>
      <c r="E4" s="77"/>
      <c r="F4" s="77"/>
      <c r="G4" s="77"/>
      <c r="H4" s="77"/>
      <c r="I4" s="77"/>
      <c r="J4" s="77"/>
    </row>
    <row r="5" spans="1:11" s="25" customFormat="1" ht="15.95" customHeight="1">
      <c r="A5" s="77" t="s">
        <v>3</v>
      </c>
      <c r="B5" s="77"/>
      <c r="C5" s="77"/>
      <c r="D5" s="77"/>
      <c r="E5" s="77"/>
      <c r="F5" s="77"/>
      <c r="G5" s="77"/>
      <c r="H5" s="77"/>
      <c r="I5" s="77"/>
      <c r="J5" s="77"/>
    </row>
    <row r="6" spans="1:11" s="25" customFormat="1" ht="8.25" customHeight="1"/>
    <row r="7" spans="1:11" s="25" customFormat="1" ht="12" customHeight="1">
      <c r="A7" s="25" t="s">
        <v>4</v>
      </c>
      <c r="B7" s="78" t="s">
        <v>5</v>
      </c>
      <c r="C7" s="78"/>
      <c r="D7" s="78"/>
      <c r="H7" s="30" t="s">
        <v>6</v>
      </c>
      <c r="I7" s="31"/>
      <c r="J7" s="30"/>
    </row>
    <row r="8" spans="1:11" s="25" customFormat="1" ht="12" customHeight="1">
      <c r="B8" s="32"/>
      <c r="C8" s="32"/>
      <c r="H8" s="32"/>
      <c r="I8" s="32"/>
      <c r="J8" s="32"/>
    </row>
    <row r="9" spans="1:11" s="25" customFormat="1" ht="12" customHeight="1">
      <c r="A9" s="25" t="s">
        <v>7</v>
      </c>
      <c r="B9" s="78" t="s">
        <v>8</v>
      </c>
      <c r="C9" s="78"/>
      <c r="D9" s="78"/>
      <c r="H9" s="30" t="s">
        <v>9</v>
      </c>
      <c r="I9" s="33"/>
      <c r="J9" s="30"/>
    </row>
    <row r="10" spans="1:11" ht="16.5" customHeight="1">
      <c r="A10" s="80" t="s">
        <v>10</v>
      </c>
      <c r="B10" s="80"/>
      <c r="C10" s="80"/>
      <c r="D10" s="80"/>
      <c r="E10" s="80"/>
      <c r="F10" s="80"/>
      <c r="G10" s="80"/>
      <c r="H10" s="80"/>
      <c r="I10" s="80"/>
      <c r="J10" s="80"/>
      <c r="K10"/>
    </row>
    <row r="11" spans="1:11" ht="18.75" customHeight="1">
      <c r="A11" s="86" t="s">
        <v>11</v>
      </c>
      <c r="B11" s="81" t="s">
        <v>12</v>
      </c>
      <c r="C11" s="81"/>
      <c r="D11" s="82" t="s">
        <v>13</v>
      </c>
      <c r="E11" s="83"/>
      <c r="F11" s="83"/>
      <c r="G11" s="84"/>
      <c r="H11" s="85" t="s">
        <v>14</v>
      </c>
      <c r="I11" s="85"/>
      <c r="J11" s="88" t="s">
        <v>15</v>
      </c>
      <c r="K11" s="79" t="s">
        <v>16</v>
      </c>
    </row>
    <row r="12" spans="1:11" ht="21.75" customHeight="1">
      <c r="A12" s="87"/>
      <c r="B12" s="54" t="s">
        <v>17</v>
      </c>
      <c r="C12" s="54" t="s">
        <v>18</v>
      </c>
      <c r="D12" s="54" t="s">
        <v>17</v>
      </c>
      <c r="E12" s="54" t="s">
        <v>18</v>
      </c>
      <c r="F12" s="54" t="s">
        <v>19</v>
      </c>
      <c r="G12" s="55" t="s">
        <v>20</v>
      </c>
      <c r="H12" s="54" t="s">
        <v>17</v>
      </c>
      <c r="I12" s="54" t="s">
        <v>18</v>
      </c>
      <c r="J12" s="89"/>
      <c r="K12" s="79"/>
    </row>
    <row r="13" spans="1:11" ht="18.75" customHeight="1">
      <c r="A13" s="56" t="s">
        <v>21</v>
      </c>
      <c r="B13" s="57">
        <v>0.20799999999999999</v>
      </c>
      <c r="C13" s="57">
        <v>0.20799999999999999</v>
      </c>
      <c r="D13" s="57"/>
      <c r="E13" s="57"/>
      <c r="F13" s="57"/>
      <c r="G13" s="57"/>
      <c r="H13" s="57">
        <f>B13</f>
        <v>0.20799999999999999</v>
      </c>
      <c r="I13" s="57">
        <f>C13</f>
        <v>0.20799999999999999</v>
      </c>
      <c r="J13" s="57">
        <f>SUM(H13:I13)</f>
        <v>0.41599999999999998</v>
      </c>
    </row>
    <row r="14" spans="1:11" ht="18.75" customHeight="1">
      <c r="A14" s="58" t="s">
        <v>22</v>
      </c>
      <c r="B14" s="59">
        <f>9*1.25</f>
        <v>11.25</v>
      </c>
      <c r="C14" s="59">
        <v>11.25</v>
      </c>
      <c r="D14" s="59"/>
      <c r="E14" s="59"/>
      <c r="F14" s="59"/>
      <c r="G14" s="59"/>
      <c r="H14" s="59">
        <f>H13-F14-D14+B14</f>
        <v>11.458</v>
      </c>
      <c r="I14" s="59">
        <f>I13-E14+C14</f>
        <v>11.458</v>
      </c>
      <c r="J14" s="59">
        <f t="shared" ref="J14" si="0">SUM(H14:I14)</f>
        <v>22.916</v>
      </c>
    </row>
    <row r="15" spans="1:11" ht="18.75" customHeight="1">
      <c r="A15" s="58" t="s">
        <v>23</v>
      </c>
      <c r="B15" s="59"/>
      <c r="C15" s="59"/>
      <c r="D15" s="59"/>
      <c r="E15" s="59"/>
      <c r="F15" s="59">
        <v>1</v>
      </c>
      <c r="G15" s="59"/>
      <c r="H15" s="59">
        <f t="shared" ref="H15:H17" si="1">H14-F15-D15+B15</f>
        <v>10.458</v>
      </c>
      <c r="I15" s="59">
        <f t="shared" ref="I15:I17" si="2">I14-E15+C15</f>
        <v>11.458</v>
      </c>
      <c r="J15" s="59">
        <f t="shared" ref="J15:J17" si="3">SUM(H15:I15)</f>
        <v>21.916</v>
      </c>
    </row>
    <row r="16" spans="1:11" ht="18.75" customHeight="1">
      <c r="A16" s="58" t="s">
        <v>24</v>
      </c>
      <c r="B16" s="59"/>
      <c r="C16" s="59"/>
      <c r="D16" s="59"/>
      <c r="E16" s="59">
        <v>3</v>
      </c>
      <c r="F16" s="59"/>
      <c r="G16" s="59"/>
      <c r="H16" s="59">
        <f t="shared" si="1"/>
        <v>10.458</v>
      </c>
      <c r="I16" s="59">
        <f t="shared" si="2"/>
        <v>8.4580000000000002</v>
      </c>
      <c r="J16" s="59">
        <f t="shared" si="3"/>
        <v>18.916</v>
      </c>
    </row>
    <row r="17" spans="1:10" ht="18.75" customHeight="1">
      <c r="A17" s="58" t="s">
        <v>25</v>
      </c>
      <c r="B17" s="59"/>
      <c r="C17" s="59"/>
      <c r="D17" s="59"/>
      <c r="E17" s="59"/>
      <c r="F17" s="59">
        <v>1</v>
      </c>
      <c r="G17" s="59"/>
      <c r="H17" s="59">
        <f t="shared" si="1"/>
        <v>9.4580000000000002</v>
      </c>
      <c r="I17" s="59">
        <f t="shared" si="2"/>
        <v>8.4580000000000002</v>
      </c>
      <c r="J17" s="59">
        <f t="shared" si="3"/>
        <v>17.916</v>
      </c>
    </row>
    <row r="18" spans="1:10" ht="18.75" customHeight="1">
      <c r="A18" s="58" t="s">
        <v>26</v>
      </c>
      <c r="B18" s="59"/>
      <c r="C18" s="59"/>
      <c r="D18" s="59"/>
      <c r="E18" s="59"/>
      <c r="F18" s="59">
        <v>3</v>
      </c>
      <c r="G18" s="59"/>
      <c r="H18" s="59">
        <f t="shared" ref="H18:H81" si="4">H17-F18-D18+B18</f>
        <v>6.4580000000000002</v>
      </c>
      <c r="I18" s="59">
        <f t="shared" ref="I18:I81" si="5">I17-E18+C18</f>
        <v>8.4580000000000002</v>
      </c>
      <c r="J18" s="59">
        <f t="shared" ref="J18:J81" si="6">SUM(H18:I18)</f>
        <v>14.916</v>
      </c>
    </row>
    <row r="19" spans="1:10" ht="18.75" customHeight="1">
      <c r="A19" s="58" t="s">
        <v>27</v>
      </c>
      <c r="B19" s="59">
        <v>15</v>
      </c>
      <c r="C19" s="59">
        <v>15</v>
      </c>
      <c r="D19" s="59"/>
      <c r="E19" s="59"/>
      <c r="F19" s="59"/>
      <c r="G19" s="59"/>
      <c r="H19" s="59">
        <f t="shared" si="4"/>
        <v>21.457999999999998</v>
      </c>
      <c r="I19" s="59">
        <f t="shared" si="5"/>
        <v>23.457999999999998</v>
      </c>
      <c r="J19" s="59">
        <f t="shared" si="6"/>
        <v>44.915999999999997</v>
      </c>
    </row>
    <row r="20" spans="1:10" ht="18.75" customHeight="1">
      <c r="A20" s="58" t="s">
        <v>28</v>
      </c>
      <c r="B20" s="59"/>
      <c r="C20" s="59"/>
      <c r="D20" s="59"/>
      <c r="E20" s="59"/>
      <c r="F20" s="59">
        <v>3</v>
      </c>
      <c r="G20" s="59"/>
      <c r="H20" s="59">
        <f t="shared" si="4"/>
        <v>18.457999999999998</v>
      </c>
      <c r="I20" s="59">
        <f t="shared" si="5"/>
        <v>23.457999999999998</v>
      </c>
      <c r="J20" s="59">
        <f t="shared" si="6"/>
        <v>41.915999999999997</v>
      </c>
    </row>
    <row r="21" spans="1:10" ht="18.75" customHeight="1">
      <c r="A21" s="58" t="s">
        <v>29</v>
      </c>
      <c r="B21" s="59"/>
      <c r="C21" s="59"/>
      <c r="D21" s="59"/>
      <c r="E21" s="59"/>
      <c r="F21" s="59">
        <v>1</v>
      </c>
      <c r="G21" s="59"/>
      <c r="H21" s="59">
        <f t="shared" si="4"/>
        <v>17.457999999999998</v>
      </c>
      <c r="I21" s="59">
        <f t="shared" si="5"/>
        <v>23.457999999999998</v>
      </c>
      <c r="J21" s="59">
        <f t="shared" si="6"/>
        <v>40.915999999999997</v>
      </c>
    </row>
    <row r="22" spans="1:10" ht="18.75" customHeight="1">
      <c r="A22" s="58" t="s">
        <v>30</v>
      </c>
      <c r="B22" s="59"/>
      <c r="C22" s="59"/>
      <c r="D22" s="59"/>
      <c r="E22" s="59"/>
      <c r="F22" s="59">
        <v>1</v>
      </c>
      <c r="G22" s="59"/>
      <c r="H22" s="59">
        <f t="shared" si="4"/>
        <v>16.457999999999998</v>
      </c>
      <c r="I22" s="59">
        <f t="shared" si="5"/>
        <v>23.457999999999998</v>
      </c>
      <c r="J22" s="59">
        <f t="shared" si="6"/>
        <v>39.915999999999997</v>
      </c>
    </row>
    <row r="23" spans="1:10" ht="18.75" customHeight="1">
      <c r="A23" s="58" t="s">
        <v>31</v>
      </c>
      <c r="B23" s="59">
        <v>15</v>
      </c>
      <c r="C23" s="59">
        <v>15</v>
      </c>
      <c r="D23" s="59"/>
      <c r="E23" s="59"/>
      <c r="F23" s="59"/>
      <c r="G23" s="59"/>
      <c r="H23" s="59">
        <f t="shared" si="4"/>
        <v>31.457999999999998</v>
      </c>
      <c r="I23" s="59">
        <f t="shared" si="5"/>
        <v>38.457999999999998</v>
      </c>
      <c r="J23" s="59">
        <f t="shared" si="6"/>
        <v>69.915999999999997</v>
      </c>
    </row>
    <row r="24" spans="1:10" ht="18.75" customHeight="1">
      <c r="A24" s="58" t="s">
        <v>32</v>
      </c>
      <c r="B24" s="59"/>
      <c r="C24" s="59"/>
      <c r="D24" s="59"/>
      <c r="E24" s="59"/>
      <c r="F24" s="59">
        <v>1</v>
      </c>
      <c r="G24" s="59"/>
      <c r="H24" s="59">
        <f t="shared" si="4"/>
        <v>30.457999999999998</v>
      </c>
      <c r="I24" s="59">
        <f t="shared" si="5"/>
        <v>38.457999999999998</v>
      </c>
      <c r="J24" s="59">
        <f t="shared" si="6"/>
        <v>68.915999999999997</v>
      </c>
    </row>
    <row r="25" spans="1:10" ht="18.75" customHeight="1">
      <c r="A25" s="58" t="s">
        <v>33</v>
      </c>
      <c r="B25" s="59"/>
      <c r="C25" s="59"/>
      <c r="D25" s="59">
        <v>15</v>
      </c>
      <c r="E25" s="59"/>
      <c r="F25" s="59"/>
      <c r="G25" s="59"/>
      <c r="H25" s="59">
        <f t="shared" si="4"/>
        <v>15.457999999999998</v>
      </c>
      <c r="I25" s="59">
        <f t="shared" si="5"/>
        <v>38.457999999999998</v>
      </c>
      <c r="J25" s="59">
        <f t="shared" si="6"/>
        <v>53.915999999999997</v>
      </c>
    </row>
    <row r="26" spans="1:10" ht="18.75" customHeight="1">
      <c r="A26" s="58" t="s">
        <v>34</v>
      </c>
      <c r="B26" s="59"/>
      <c r="C26" s="59"/>
      <c r="D26" s="59"/>
      <c r="E26" s="59"/>
      <c r="F26" s="59">
        <v>4</v>
      </c>
      <c r="G26" s="59"/>
      <c r="H26" s="59">
        <f t="shared" si="4"/>
        <v>11.457999999999998</v>
      </c>
      <c r="I26" s="59">
        <f t="shared" si="5"/>
        <v>38.457999999999998</v>
      </c>
      <c r="J26" s="59">
        <f t="shared" si="6"/>
        <v>49.915999999999997</v>
      </c>
    </row>
    <row r="27" spans="1:10" ht="18.75" customHeight="1">
      <c r="A27" s="60" t="s">
        <v>35</v>
      </c>
      <c r="B27" s="59"/>
      <c r="C27" s="59"/>
      <c r="D27" s="59"/>
      <c r="E27" s="59"/>
      <c r="F27" s="59">
        <v>1</v>
      </c>
      <c r="G27" s="59"/>
      <c r="H27" s="59">
        <f t="shared" si="4"/>
        <v>10.457999999999998</v>
      </c>
      <c r="I27" s="59">
        <f t="shared" si="5"/>
        <v>38.457999999999998</v>
      </c>
      <c r="J27" s="59">
        <f t="shared" si="6"/>
        <v>48.915999999999997</v>
      </c>
    </row>
    <row r="28" spans="1:10" ht="18.75" customHeight="1">
      <c r="A28" s="61" t="s">
        <v>36</v>
      </c>
      <c r="B28" s="59">
        <v>1.25</v>
      </c>
      <c r="C28" s="59">
        <v>1.25</v>
      </c>
      <c r="D28" s="59"/>
      <c r="E28" s="59"/>
      <c r="F28" s="59"/>
      <c r="G28" s="59"/>
      <c r="H28" s="59">
        <f t="shared" si="4"/>
        <v>11.707999999999998</v>
      </c>
      <c r="I28" s="59">
        <f t="shared" si="5"/>
        <v>39.707999999999998</v>
      </c>
      <c r="J28" s="59">
        <f t="shared" si="6"/>
        <v>51.415999999999997</v>
      </c>
    </row>
    <row r="29" spans="1:10" ht="18.75" customHeight="1">
      <c r="A29" s="60">
        <v>44601</v>
      </c>
      <c r="B29" s="59"/>
      <c r="C29" s="59"/>
      <c r="D29" s="59"/>
      <c r="E29" s="59"/>
      <c r="F29" s="59"/>
      <c r="G29" s="59">
        <v>1</v>
      </c>
      <c r="H29" s="59">
        <f t="shared" si="4"/>
        <v>11.707999999999998</v>
      </c>
      <c r="I29" s="59">
        <f t="shared" si="5"/>
        <v>39.707999999999998</v>
      </c>
      <c r="J29" s="59">
        <f t="shared" si="6"/>
        <v>51.415999999999997</v>
      </c>
    </row>
    <row r="30" spans="1:10" ht="18.75" customHeight="1">
      <c r="A30" s="61" t="s">
        <v>37</v>
      </c>
      <c r="B30" s="59">
        <v>1.25</v>
      </c>
      <c r="C30" s="59">
        <v>1.25</v>
      </c>
      <c r="D30" s="59"/>
      <c r="E30" s="59"/>
      <c r="F30" s="59"/>
      <c r="G30" s="59"/>
      <c r="H30" s="59">
        <f t="shared" si="4"/>
        <v>12.957999999999998</v>
      </c>
      <c r="I30" s="59">
        <f t="shared" si="5"/>
        <v>40.957999999999998</v>
      </c>
      <c r="J30" s="59">
        <f t="shared" si="6"/>
        <v>53.915999999999997</v>
      </c>
    </row>
    <row r="31" spans="1:10" ht="18.75" customHeight="1">
      <c r="A31" s="61" t="s">
        <v>38</v>
      </c>
      <c r="B31" s="59">
        <v>3.75</v>
      </c>
      <c r="C31" s="59">
        <v>3.75</v>
      </c>
      <c r="D31" s="59"/>
      <c r="E31" s="59"/>
      <c r="F31" s="59"/>
      <c r="G31" s="59"/>
      <c r="H31" s="59">
        <f t="shared" si="4"/>
        <v>16.707999999999998</v>
      </c>
      <c r="I31" s="59">
        <f t="shared" si="5"/>
        <v>44.707999999999998</v>
      </c>
      <c r="J31" s="59">
        <f t="shared" si="6"/>
        <v>61.415999999999997</v>
      </c>
    </row>
    <row r="32" spans="1:10" ht="18.75" customHeight="1">
      <c r="A32" s="60" t="s">
        <v>39</v>
      </c>
      <c r="B32" s="59"/>
      <c r="C32" s="59"/>
      <c r="D32" s="59"/>
      <c r="E32" s="59"/>
      <c r="F32" s="59">
        <v>1</v>
      </c>
      <c r="G32" s="59"/>
      <c r="H32" s="59">
        <f t="shared" si="4"/>
        <v>15.707999999999998</v>
      </c>
      <c r="I32" s="59">
        <f t="shared" si="5"/>
        <v>44.707999999999998</v>
      </c>
      <c r="J32" s="59">
        <f t="shared" si="6"/>
        <v>60.415999999999997</v>
      </c>
    </row>
    <row r="33" spans="1:10" ht="18.75" customHeight="1">
      <c r="A33" s="60" t="s">
        <v>40</v>
      </c>
      <c r="B33" s="59"/>
      <c r="C33" s="59"/>
      <c r="D33" s="59"/>
      <c r="E33" s="59"/>
      <c r="F33" s="59">
        <v>1</v>
      </c>
      <c r="G33" s="59"/>
      <c r="H33" s="59">
        <f t="shared" si="4"/>
        <v>14.707999999999998</v>
      </c>
      <c r="I33" s="59">
        <f t="shared" si="5"/>
        <v>44.707999999999998</v>
      </c>
      <c r="J33" s="59">
        <f t="shared" si="6"/>
        <v>59.415999999999997</v>
      </c>
    </row>
    <row r="34" spans="1:10" ht="18.75" customHeight="1">
      <c r="A34" s="61" t="s">
        <v>41</v>
      </c>
      <c r="B34" s="59">
        <v>1.25</v>
      </c>
      <c r="C34" s="59">
        <v>1.25</v>
      </c>
      <c r="D34" s="59"/>
      <c r="E34" s="59"/>
      <c r="F34" s="59"/>
      <c r="G34" s="59"/>
      <c r="H34" s="59">
        <f t="shared" si="4"/>
        <v>15.957999999999998</v>
      </c>
      <c r="I34" s="59">
        <f t="shared" si="5"/>
        <v>45.957999999999998</v>
      </c>
      <c r="J34" s="59">
        <f t="shared" si="6"/>
        <v>61.915999999999997</v>
      </c>
    </row>
    <row r="35" spans="1:10" ht="18.75" customHeight="1">
      <c r="A35" s="60" t="s">
        <v>42</v>
      </c>
      <c r="B35" s="59"/>
      <c r="C35" s="59"/>
      <c r="D35" s="59"/>
      <c r="E35" s="59"/>
      <c r="F35" s="59">
        <v>1</v>
      </c>
      <c r="G35" s="59"/>
      <c r="H35" s="59">
        <f t="shared" si="4"/>
        <v>14.957999999999998</v>
      </c>
      <c r="I35" s="59">
        <f t="shared" si="5"/>
        <v>45.957999999999998</v>
      </c>
      <c r="J35" s="59">
        <f t="shared" si="6"/>
        <v>60.915999999999997</v>
      </c>
    </row>
    <row r="36" spans="1:10" ht="18.75" customHeight="1">
      <c r="A36" s="61" t="s">
        <v>43</v>
      </c>
      <c r="B36" s="59">
        <v>2.5</v>
      </c>
      <c r="C36" s="59">
        <v>2.5</v>
      </c>
      <c r="D36" s="59"/>
      <c r="E36" s="59"/>
      <c r="F36" s="59"/>
      <c r="G36" s="59"/>
      <c r="H36" s="59">
        <f t="shared" si="4"/>
        <v>17.457999999999998</v>
      </c>
      <c r="I36" s="59">
        <f t="shared" si="5"/>
        <v>48.457999999999998</v>
      </c>
      <c r="J36" s="59">
        <f t="shared" si="6"/>
        <v>65.915999999999997</v>
      </c>
    </row>
    <row r="37" spans="1:10" ht="18.75" customHeight="1">
      <c r="A37" s="61" t="s">
        <v>44</v>
      </c>
      <c r="B37" s="59"/>
      <c r="C37" s="59"/>
      <c r="D37" s="59">
        <v>17</v>
      </c>
      <c r="E37" s="59">
        <v>12</v>
      </c>
      <c r="F37" s="59"/>
      <c r="G37" s="59"/>
      <c r="H37" s="59">
        <f t="shared" si="4"/>
        <v>0.45799999999999841</v>
      </c>
      <c r="I37" s="59">
        <f t="shared" si="5"/>
        <v>36.457999999999998</v>
      </c>
      <c r="J37" s="59">
        <f t="shared" si="6"/>
        <v>36.915999999999997</v>
      </c>
    </row>
    <row r="38" spans="1:10" ht="18.75" customHeight="1">
      <c r="A38" s="61" t="s">
        <v>45</v>
      </c>
      <c r="B38" s="59">
        <v>1.25</v>
      </c>
      <c r="C38" s="59">
        <v>1.25</v>
      </c>
      <c r="D38" s="59"/>
      <c r="E38" s="59"/>
      <c r="F38" s="59"/>
      <c r="G38" s="59"/>
      <c r="H38" s="59">
        <f t="shared" si="4"/>
        <v>1.7079999999999984</v>
      </c>
      <c r="I38" s="59">
        <f t="shared" si="5"/>
        <v>37.707999999999998</v>
      </c>
      <c r="J38" s="59">
        <f t="shared" si="6"/>
        <v>39.415999999999997</v>
      </c>
    </row>
    <row r="39" spans="1:10" ht="18.75" customHeight="1">
      <c r="A39" s="60" t="s">
        <v>46</v>
      </c>
      <c r="B39" s="59"/>
      <c r="C39" s="59"/>
      <c r="D39" s="59"/>
      <c r="E39" s="59"/>
      <c r="F39" s="59"/>
      <c r="G39" s="59">
        <v>1</v>
      </c>
      <c r="H39" s="59">
        <f t="shared" si="4"/>
        <v>1.7079999999999984</v>
      </c>
      <c r="I39" s="59">
        <f t="shared" si="5"/>
        <v>37.707999999999998</v>
      </c>
      <c r="J39" s="59">
        <f t="shared" si="6"/>
        <v>39.415999999999997</v>
      </c>
    </row>
    <row r="40" spans="1:10" ht="18.75" customHeight="1">
      <c r="A40" s="61" t="s">
        <v>47</v>
      </c>
      <c r="B40" s="59">
        <v>1.25</v>
      </c>
      <c r="C40" s="59">
        <v>1.25</v>
      </c>
      <c r="D40" s="59"/>
      <c r="E40" s="59"/>
      <c r="F40" s="59"/>
      <c r="G40" s="59"/>
      <c r="H40" s="59">
        <f t="shared" si="4"/>
        <v>2.9579999999999984</v>
      </c>
      <c r="I40" s="59">
        <f t="shared" si="5"/>
        <v>38.957999999999998</v>
      </c>
      <c r="J40" s="59">
        <f t="shared" si="6"/>
        <v>41.915999999999997</v>
      </c>
    </row>
    <row r="41" spans="1:10" ht="18.75" customHeight="1">
      <c r="A41" s="61" t="s">
        <v>48</v>
      </c>
      <c r="B41" s="59">
        <v>1.25</v>
      </c>
      <c r="C41" s="59">
        <v>1.25</v>
      </c>
      <c r="D41" s="59"/>
      <c r="E41" s="59"/>
      <c r="F41" s="59"/>
      <c r="G41" s="59"/>
      <c r="H41" s="59">
        <f t="shared" si="4"/>
        <v>4.2079999999999984</v>
      </c>
      <c r="I41" s="59">
        <f t="shared" si="5"/>
        <v>40.207999999999998</v>
      </c>
      <c r="J41" s="59">
        <f t="shared" si="6"/>
        <v>44.415999999999997</v>
      </c>
    </row>
    <row r="42" spans="1:10" ht="18.75" customHeight="1">
      <c r="A42" s="61" t="s">
        <v>49</v>
      </c>
      <c r="B42" s="59"/>
      <c r="C42" s="59"/>
      <c r="D42" s="59"/>
      <c r="E42" s="59"/>
      <c r="F42" s="59">
        <v>1</v>
      </c>
      <c r="G42" s="59"/>
      <c r="H42" s="59">
        <f t="shared" si="4"/>
        <v>3.2079999999999984</v>
      </c>
      <c r="I42" s="59">
        <f t="shared" si="5"/>
        <v>40.207999999999998</v>
      </c>
      <c r="J42" s="59">
        <f t="shared" si="6"/>
        <v>43.415999999999997</v>
      </c>
    </row>
    <row r="43" spans="1:10" ht="18.75" customHeight="1">
      <c r="A43" s="61" t="s">
        <v>50</v>
      </c>
      <c r="B43" s="62"/>
      <c r="C43" s="62"/>
      <c r="D43" s="62"/>
      <c r="E43" s="62"/>
      <c r="F43" s="62"/>
      <c r="G43" s="63">
        <v>1</v>
      </c>
      <c r="H43" s="59">
        <f t="shared" si="4"/>
        <v>3.2079999999999984</v>
      </c>
      <c r="I43" s="59">
        <f t="shared" si="5"/>
        <v>40.207999999999998</v>
      </c>
      <c r="J43" s="59">
        <f t="shared" si="6"/>
        <v>43.415999999999997</v>
      </c>
    </row>
    <row r="44" spans="1:10">
      <c r="A44" s="61" t="s">
        <v>51</v>
      </c>
      <c r="B44" s="59"/>
      <c r="C44" s="59"/>
      <c r="D44" s="59"/>
      <c r="E44" s="59">
        <v>1</v>
      </c>
      <c r="F44" s="59"/>
      <c r="G44" s="59"/>
      <c r="H44" s="59">
        <f t="shared" si="4"/>
        <v>3.2079999999999984</v>
      </c>
      <c r="I44" s="59">
        <f t="shared" si="5"/>
        <v>39.207999999999998</v>
      </c>
      <c r="J44" s="59">
        <f t="shared" si="6"/>
        <v>42.415999999999997</v>
      </c>
    </row>
    <row r="45" spans="1:10">
      <c r="A45" s="61" t="s">
        <v>52</v>
      </c>
      <c r="B45" s="59">
        <v>1.25</v>
      </c>
      <c r="C45" s="59">
        <v>1.25</v>
      </c>
      <c r="D45" s="59"/>
      <c r="E45" s="59"/>
      <c r="F45" s="59"/>
      <c r="G45" s="59"/>
      <c r="H45" s="59">
        <f t="shared" si="4"/>
        <v>4.4579999999999984</v>
      </c>
      <c r="I45" s="59">
        <f t="shared" si="5"/>
        <v>40.457999999999998</v>
      </c>
      <c r="J45" s="59">
        <f t="shared" si="6"/>
        <v>44.915999999999997</v>
      </c>
    </row>
    <row r="46" spans="1:10">
      <c r="A46" s="61" t="s">
        <v>53</v>
      </c>
      <c r="B46" s="59"/>
      <c r="C46" s="59"/>
      <c r="D46" s="59"/>
      <c r="E46" s="59">
        <v>1</v>
      </c>
      <c r="F46" s="59"/>
      <c r="G46" s="59"/>
      <c r="H46" s="59">
        <f t="shared" si="4"/>
        <v>4.4579999999999984</v>
      </c>
      <c r="I46" s="59">
        <f t="shared" si="5"/>
        <v>39.457999999999998</v>
      </c>
      <c r="J46" s="59">
        <f t="shared" si="6"/>
        <v>43.915999999999997</v>
      </c>
    </row>
    <row r="47" spans="1:10">
      <c r="A47" s="61" t="s">
        <v>54</v>
      </c>
      <c r="B47" s="59"/>
      <c r="C47" s="59"/>
      <c r="D47" s="59"/>
      <c r="E47" s="59">
        <v>1</v>
      </c>
      <c r="F47" s="59"/>
      <c r="G47" s="59"/>
      <c r="H47" s="59">
        <f t="shared" si="4"/>
        <v>4.4579999999999984</v>
      </c>
      <c r="I47" s="59">
        <f t="shared" si="5"/>
        <v>38.457999999999998</v>
      </c>
      <c r="J47" s="59">
        <f t="shared" si="6"/>
        <v>42.915999999999997</v>
      </c>
    </row>
    <row r="48" spans="1:10">
      <c r="A48" s="61" t="s">
        <v>55</v>
      </c>
      <c r="B48" s="59"/>
      <c r="C48" s="59"/>
      <c r="D48" s="59"/>
      <c r="E48" s="59"/>
      <c r="F48" s="59">
        <v>2</v>
      </c>
      <c r="G48" s="59"/>
      <c r="H48" s="59">
        <f t="shared" si="4"/>
        <v>2.4579999999999984</v>
      </c>
      <c r="I48" s="59">
        <f t="shared" si="5"/>
        <v>38.457999999999998</v>
      </c>
      <c r="J48" s="59">
        <f t="shared" si="6"/>
        <v>40.915999999999997</v>
      </c>
    </row>
    <row r="49" spans="1:10">
      <c r="A49" s="61" t="s">
        <v>56</v>
      </c>
      <c r="B49" s="59">
        <v>1.25</v>
      </c>
      <c r="C49" s="59">
        <v>1.25</v>
      </c>
      <c r="D49" s="59"/>
      <c r="E49" s="59"/>
      <c r="F49" s="59"/>
      <c r="G49" s="59"/>
      <c r="H49" s="59">
        <f t="shared" si="4"/>
        <v>3.7079999999999984</v>
      </c>
      <c r="I49" s="59">
        <f t="shared" si="5"/>
        <v>39.707999999999998</v>
      </c>
      <c r="J49" s="59">
        <f t="shared" si="6"/>
        <v>43.415999999999997</v>
      </c>
    </row>
    <row r="50" spans="1:10">
      <c r="A50" s="61" t="s">
        <v>57</v>
      </c>
      <c r="B50" s="59"/>
      <c r="C50" s="59"/>
      <c r="D50" s="59"/>
      <c r="E50" s="59"/>
      <c r="F50" s="59"/>
      <c r="G50" s="59">
        <v>1</v>
      </c>
      <c r="H50" s="59">
        <f t="shared" si="4"/>
        <v>3.7079999999999984</v>
      </c>
      <c r="I50" s="59">
        <f t="shared" si="5"/>
        <v>39.707999999999998</v>
      </c>
      <c r="J50" s="59">
        <f t="shared" si="6"/>
        <v>43.415999999999997</v>
      </c>
    </row>
    <row r="51" spans="1:10">
      <c r="A51" s="61" t="s">
        <v>58</v>
      </c>
      <c r="B51" s="59">
        <v>2.5</v>
      </c>
      <c r="C51" s="59">
        <v>2.5</v>
      </c>
      <c r="D51" s="59"/>
      <c r="E51" s="59"/>
      <c r="F51" s="59"/>
      <c r="G51" s="59"/>
      <c r="H51" s="59">
        <f t="shared" si="4"/>
        <v>6.2079999999999984</v>
      </c>
      <c r="I51" s="59">
        <f t="shared" si="5"/>
        <v>42.207999999999998</v>
      </c>
      <c r="J51" s="59">
        <f t="shared" si="6"/>
        <v>48.415999999999997</v>
      </c>
    </row>
    <row r="52" spans="1:10">
      <c r="A52" s="61" t="s">
        <v>59</v>
      </c>
      <c r="B52" s="59"/>
      <c r="C52" s="59"/>
      <c r="D52" s="59"/>
      <c r="E52" s="59">
        <v>1</v>
      </c>
      <c r="F52" s="59"/>
      <c r="G52" s="59"/>
      <c r="H52" s="59">
        <f t="shared" si="4"/>
        <v>6.2079999999999984</v>
      </c>
      <c r="I52" s="59">
        <f t="shared" si="5"/>
        <v>41.207999999999998</v>
      </c>
      <c r="J52" s="59">
        <f t="shared" si="6"/>
        <v>47.415999999999997</v>
      </c>
    </row>
    <row r="53" spans="1:10">
      <c r="A53" s="61" t="s">
        <v>60</v>
      </c>
      <c r="B53" s="59">
        <v>1.25</v>
      </c>
      <c r="C53" s="59">
        <v>1.25</v>
      </c>
      <c r="D53" s="59"/>
      <c r="E53" s="59"/>
      <c r="F53" s="59"/>
      <c r="G53" s="59"/>
      <c r="H53" s="59">
        <f t="shared" si="4"/>
        <v>7.4579999999999984</v>
      </c>
      <c r="I53" s="59">
        <f t="shared" si="5"/>
        <v>42.457999999999998</v>
      </c>
      <c r="J53" s="59">
        <f t="shared" si="6"/>
        <v>49.915999999999997</v>
      </c>
    </row>
    <row r="54" spans="1:10">
      <c r="A54" s="61" t="s">
        <v>61</v>
      </c>
      <c r="B54" s="59"/>
      <c r="C54" s="59"/>
      <c r="D54" s="59"/>
      <c r="E54" s="59">
        <v>1</v>
      </c>
      <c r="F54" s="59"/>
      <c r="G54" s="59"/>
      <c r="H54" s="59">
        <f t="shared" si="4"/>
        <v>7.4579999999999984</v>
      </c>
      <c r="I54" s="59">
        <f t="shared" si="5"/>
        <v>41.457999999999998</v>
      </c>
      <c r="J54" s="59">
        <f t="shared" si="6"/>
        <v>48.915999999999997</v>
      </c>
    </row>
    <row r="55" spans="1:10">
      <c r="A55" s="61" t="s">
        <v>62</v>
      </c>
      <c r="B55" s="59">
        <v>1.25</v>
      </c>
      <c r="C55" s="59">
        <v>1.25</v>
      </c>
      <c r="D55" s="59"/>
      <c r="E55" s="59"/>
      <c r="F55" s="59"/>
      <c r="G55" s="59"/>
      <c r="H55" s="59">
        <f t="shared" si="4"/>
        <v>8.7079999999999984</v>
      </c>
      <c r="I55" s="59">
        <f t="shared" si="5"/>
        <v>42.707999999999998</v>
      </c>
      <c r="J55" s="59">
        <f t="shared" si="6"/>
        <v>51.415999999999997</v>
      </c>
    </row>
    <row r="56" spans="1:10">
      <c r="A56" s="61" t="s">
        <v>63</v>
      </c>
      <c r="B56" s="59"/>
      <c r="C56" s="59"/>
      <c r="D56" s="59">
        <v>3</v>
      </c>
      <c r="E56" s="59"/>
      <c r="F56" s="59"/>
      <c r="G56" s="59"/>
      <c r="H56" s="59">
        <f t="shared" si="4"/>
        <v>5.7079999999999984</v>
      </c>
      <c r="I56" s="59">
        <f t="shared" si="5"/>
        <v>42.707999999999998</v>
      </c>
      <c r="J56" s="59">
        <f t="shared" si="6"/>
        <v>48.415999999999997</v>
      </c>
    </row>
    <row r="57" spans="1:10">
      <c r="A57" s="61" t="s">
        <v>64</v>
      </c>
      <c r="B57" s="59"/>
      <c r="C57" s="59"/>
      <c r="D57" s="59"/>
      <c r="E57" s="59">
        <v>1</v>
      </c>
      <c r="F57" s="59"/>
      <c r="G57" s="59"/>
      <c r="H57" s="59">
        <f t="shared" si="4"/>
        <v>5.7079999999999984</v>
      </c>
      <c r="I57" s="59">
        <f t="shared" si="5"/>
        <v>41.707999999999998</v>
      </c>
      <c r="J57" s="59">
        <f t="shared" si="6"/>
        <v>47.415999999999997</v>
      </c>
    </row>
    <row r="58" spans="1:10">
      <c r="A58" s="61" t="s">
        <v>65</v>
      </c>
      <c r="B58" s="59">
        <v>1.25</v>
      </c>
      <c r="C58" s="59">
        <v>1.25</v>
      </c>
      <c r="D58" s="59"/>
      <c r="E58" s="59"/>
      <c r="F58" s="59"/>
      <c r="G58" s="59"/>
      <c r="H58" s="59">
        <f t="shared" si="4"/>
        <v>6.9579999999999984</v>
      </c>
      <c r="I58" s="59">
        <f t="shared" si="5"/>
        <v>42.957999999999998</v>
      </c>
      <c r="J58" s="59">
        <f t="shared" si="6"/>
        <v>49.915999999999997</v>
      </c>
    </row>
    <row r="59" spans="1:10">
      <c r="A59" s="58" t="s">
        <v>66</v>
      </c>
      <c r="B59" s="59">
        <v>2.5</v>
      </c>
      <c r="C59" s="59">
        <v>2.5</v>
      </c>
      <c r="D59" s="59"/>
      <c r="E59" s="59"/>
      <c r="F59" s="59"/>
      <c r="G59" s="59"/>
      <c r="H59" s="59">
        <f t="shared" si="4"/>
        <v>9.4579999999999984</v>
      </c>
      <c r="I59" s="59">
        <f t="shared" si="5"/>
        <v>45.457999999999998</v>
      </c>
      <c r="J59" s="59">
        <f t="shared" si="6"/>
        <v>54.915999999999997</v>
      </c>
    </row>
    <row r="60" spans="1:10">
      <c r="A60" s="61" t="s">
        <v>67</v>
      </c>
      <c r="B60" s="64"/>
      <c r="C60" s="64"/>
      <c r="D60" s="64"/>
      <c r="E60" s="64">
        <v>1</v>
      </c>
      <c r="F60" s="64"/>
      <c r="G60" s="64"/>
      <c r="H60" s="59">
        <f t="shared" si="4"/>
        <v>9.4579999999999984</v>
      </c>
      <c r="I60" s="59">
        <f t="shared" si="5"/>
        <v>44.457999999999998</v>
      </c>
      <c r="J60" s="59">
        <f t="shared" si="6"/>
        <v>53.915999999999997</v>
      </c>
    </row>
    <row r="61" spans="1:10">
      <c r="A61" s="61" t="s">
        <v>68</v>
      </c>
      <c r="B61" s="65"/>
      <c r="C61" s="65"/>
      <c r="D61" s="65"/>
      <c r="E61" s="66">
        <v>29</v>
      </c>
      <c r="F61" s="65"/>
      <c r="G61" s="65"/>
      <c r="H61" s="59">
        <f t="shared" si="4"/>
        <v>9.4579999999999984</v>
      </c>
      <c r="I61" s="59">
        <f t="shared" si="5"/>
        <v>15.457999999999998</v>
      </c>
      <c r="J61" s="59">
        <f t="shared" si="6"/>
        <v>24.915999999999997</v>
      </c>
    </row>
    <row r="62" spans="1:10">
      <c r="A62" s="61" t="s">
        <v>69</v>
      </c>
      <c r="B62" s="65"/>
      <c r="C62" s="65"/>
      <c r="D62" s="65"/>
      <c r="E62" s="66">
        <v>1</v>
      </c>
      <c r="F62" s="65"/>
      <c r="G62" s="65"/>
      <c r="H62" s="59">
        <f t="shared" si="4"/>
        <v>9.4579999999999984</v>
      </c>
      <c r="I62" s="59">
        <f t="shared" si="5"/>
        <v>14.457999999999998</v>
      </c>
      <c r="J62" s="59">
        <f t="shared" si="6"/>
        <v>23.915999999999997</v>
      </c>
    </row>
    <row r="63" spans="1:10">
      <c r="A63" s="61" t="s">
        <v>70</v>
      </c>
      <c r="B63" s="61"/>
      <c r="C63" s="61"/>
      <c r="D63" s="61"/>
      <c r="E63" s="66"/>
      <c r="F63" s="61">
        <v>2</v>
      </c>
      <c r="G63" s="61"/>
      <c r="H63" s="59">
        <f t="shared" si="4"/>
        <v>7.4579999999999984</v>
      </c>
      <c r="I63" s="59">
        <f t="shared" si="5"/>
        <v>14.457999999999998</v>
      </c>
      <c r="J63" s="59">
        <f t="shared" si="6"/>
        <v>21.915999999999997</v>
      </c>
    </row>
    <row r="64" spans="1:10">
      <c r="A64" s="61" t="s">
        <v>71</v>
      </c>
      <c r="B64" s="61">
        <v>1.25</v>
      </c>
      <c r="C64" s="61">
        <v>1.25</v>
      </c>
      <c r="D64" s="61"/>
      <c r="E64" s="66"/>
      <c r="F64" s="61"/>
      <c r="G64" s="61"/>
      <c r="H64" s="59">
        <f t="shared" si="4"/>
        <v>8.7079999999999984</v>
      </c>
      <c r="I64" s="59">
        <f t="shared" si="5"/>
        <v>15.707999999999998</v>
      </c>
      <c r="J64" s="59">
        <f t="shared" si="6"/>
        <v>24.415999999999997</v>
      </c>
    </row>
    <row r="65" spans="1:11">
      <c r="A65" s="61" t="s">
        <v>72</v>
      </c>
      <c r="B65" s="61"/>
      <c r="C65" s="61"/>
      <c r="D65" s="61"/>
      <c r="E65" s="66">
        <v>2</v>
      </c>
      <c r="F65" s="61"/>
      <c r="G65" s="61"/>
      <c r="H65" s="59">
        <f t="shared" si="4"/>
        <v>8.7079999999999984</v>
      </c>
      <c r="I65" s="59">
        <f t="shared" si="5"/>
        <v>13.707999999999998</v>
      </c>
      <c r="J65" s="59">
        <f t="shared" si="6"/>
        <v>22.415999999999997</v>
      </c>
    </row>
    <row r="66" spans="1:11">
      <c r="A66" s="61" t="s">
        <v>73</v>
      </c>
      <c r="B66" s="61"/>
      <c r="C66" s="61"/>
      <c r="D66" s="61"/>
      <c r="E66" s="66"/>
      <c r="F66" s="61"/>
      <c r="G66" s="61">
        <v>2</v>
      </c>
      <c r="H66" s="59">
        <f t="shared" si="4"/>
        <v>8.7079999999999984</v>
      </c>
      <c r="I66" s="59">
        <f t="shared" si="5"/>
        <v>13.707999999999998</v>
      </c>
      <c r="J66" s="59">
        <f t="shared" si="6"/>
        <v>22.415999999999997</v>
      </c>
    </row>
    <row r="67" spans="1:11">
      <c r="A67" s="61" t="s">
        <v>74</v>
      </c>
      <c r="B67" s="61">
        <v>1.25</v>
      </c>
      <c r="C67" s="61">
        <v>1.25</v>
      </c>
      <c r="D67" s="61"/>
      <c r="E67" s="66"/>
      <c r="F67" s="61"/>
      <c r="G67" s="61"/>
      <c r="H67" s="59">
        <f t="shared" si="4"/>
        <v>9.9579999999999984</v>
      </c>
      <c r="I67" s="59">
        <f t="shared" si="5"/>
        <v>14.957999999999998</v>
      </c>
      <c r="J67" s="59">
        <f t="shared" si="6"/>
        <v>24.915999999999997</v>
      </c>
    </row>
    <row r="68" spans="1:11">
      <c r="A68" s="61" t="s">
        <v>75</v>
      </c>
      <c r="B68" s="61"/>
      <c r="C68" s="61"/>
      <c r="D68" s="61"/>
      <c r="E68" s="66">
        <v>1</v>
      </c>
      <c r="F68" s="61"/>
      <c r="G68" s="61"/>
      <c r="H68" s="59">
        <f t="shared" si="4"/>
        <v>9.9579999999999984</v>
      </c>
      <c r="I68" s="59">
        <f t="shared" si="5"/>
        <v>13.957999999999998</v>
      </c>
      <c r="J68" s="59">
        <f t="shared" si="6"/>
        <v>23.915999999999997</v>
      </c>
    </row>
    <row r="69" spans="1:11">
      <c r="A69" s="61" t="s">
        <v>76</v>
      </c>
      <c r="B69" s="61"/>
      <c r="C69" s="61"/>
      <c r="D69" s="61">
        <v>2</v>
      </c>
      <c r="E69" s="66"/>
      <c r="F69" s="61"/>
      <c r="G69" s="61"/>
      <c r="H69" s="59">
        <f t="shared" si="4"/>
        <v>7.9579999999999984</v>
      </c>
      <c r="I69" s="59">
        <f t="shared" si="5"/>
        <v>13.957999999999998</v>
      </c>
      <c r="J69" s="59">
        <f t="shared" si="6"/>
        <v>21.915999999999997</v>
      </c>
    </row>
    <row r="70" spans="1:11">
      <c r="A70" s="61" t="s">
        <v>77</v>
      </c>
      <c r="B70" s="61">
        <v>1.25</v>
      </c>
      <c r="C70" s="61">
        <v>1.25</v>
      </c>
      <c r="D70" s="61"/>
      <c r="E70" s="66"/>
      <c r="F70" s="61"/>
      <c r="G70" s="61"/>
      <c r="H70" s="59">
        <f t="shared" si="4"/>
        <v>9.2079999999999984</v>
      </c>
      <c r="I70" s="59">
        <f t="shared" si="5"/>
        <v>15.207999999999998</v>
      </c>
      <c r="J70" s="59">
        <f t="shared" si="6"/>
        <v>24.415999999999997</v>
      </c>
    </row>
    <row r="71" spans="1:11">
      <c r="A71" s="61" t="s">
        <v>78</v>
      </c>
      <c r="B71" s="61"/>
      <c r="C71" s="61"/>
      <c r="D71" s="61">
        <v>1</v>
      </c>
      <c r="E71" s="66"/>
      <c r="F71" s="61"/>
      <c r="G71" s="61"/>
      <c r="H71" s="59">
        <f t="shared" si="4"/>
        <v>8.2079999999999984</v>
      </c>
      <c r="I71" s="59">
        <f t="shared" si="5"/>
        <v>15.207999999999998</v>
      </c>
      <c r="J71" s="59">
        <f t="shared" si="6"/>
        <v>23.415999999999997</v>
      </c>
    </row>
    <row r="72" spans="1:11">
      <c r="A72" s="61" t="s">
        <v>79</v>
      </c>
      <c r="B72" s="61"/>
      <c r="C72" s="61"/>
      <c r="D72" s="61"/>
      <c r="E72" s="66">
        <v>1</v>
      </c>
      <c r="F72" s="61"/>
      <c r="G72" s="61"/>
      <c r="H72" s="59">
        <f t="shared" si="4"/>
        <v>8.2079999999999984</v>
      </c>
      <c r="I72" s="59">
        <f t="shared" si="5"/>
        <v>14.207999999999998</v>
      </c>
      <c r="J72" s="59">
        <f t="shared" si="6"/>
        <v>22.415999999999997</v>
      </c>
    </row>
    <row r="73" spans="1:11">
      <c r="A73" s="61" t="s">
        <v>80</v>
      </c>
      <c r="B73" s="61">
        <v>1.25</v>
      </c>
      <c r="C73" s="61">
        <v>1.25</v>
      </c>
      <c r="D73" s="61"/>
      <c r="E73" s="66"/>
      <c r="F73" s="61"/>
      <c r="G73" s="61"/>
      <c r="H73" s="59">
        <f t="shared" si="4"/>
        <v>9.4579999999999984</v>
      </c>
      <c r="I73" s="59">
        <f t="shared" si="5"/>
        <v>15.457999999999998</v>
      </c>
      <c r="J73" s="59">
        <f t="shared" si="6"/>
        <v>24.915999999999997</v>
      </c>
    </row>
    <row r="74" spans="1:11">
      <c r="A74" s="61" t="s">
        <v>81</v>
      </c>
      <c r="B74" s="61"/>
      <c r="C74" s="61"/>
      <c r="D74" s="61"/>
      <c r="E74" s="66"/>
      <c r="F74" s="61">
        <v>1</v>
      </c>
      <c r="G74" s="61"/>
      <c r="H74" s="59">
        <f t="shared" si="4"/>
        <v>8.4579999999999984</v>
      </c>
      <c r="I74" s="59">
        <f t="shared" si="5"/>
        <v>15.457999999999998</v>
      </c>
      <c r="J74" s="59">
        <f t="shared" si="6"/>
        <v>23.915999999999997</v>
      </c>
    </row>
    <row r="75" spans="1:11" s="51" customFormat="1">
      <c r="A75" s="58" t="s">
        <v>82</v>
      </c>
      <c r="B75" s="67"/>
      <c r="C75" s="67"/>
      <c r="D75" s="67"/>
      <c r="E75" s="64"/>
      <c r="F75" s="68">
        <v>1</v>
      </c>
      <c r="G75" s="67"/>
      <c r="H75" s="59">
        <f t="shared" si="4"/>
        <v>7.4579999999999984</v>
      </c>
      <c r="I75" s="59">
        <f t="shared" si="5"/>
        <v>15.457999999999998</v>
      </c>
      <c r="J75" s="59">
        <f t="shared" si="6"/>
        <v>22.915999999999997</v>
      </c>
      <c r="K75" s="53"/>
    </row>
    <row r="76" spans="1:11">
      <c r="A76" s="61" t="s">
        <v>83</v>
      </c>
      <c r="B76" s="65"/>
      <c r="C76" s="65"/>
      <c r="D76" s="65"/>
      <c r="E76" s="66"/>
      <c r="F76" s="65"/>
      <c r="G76" s="69">
        <v>2</v>
      </c>
      <c r="H76" s="59">
        <f t="shared" si="4"/>
        <v>7.4579999999999984</v>
      </c>
      <c r="I76" s="59">
        <f t="shared" si="5"/>
        <v>15.457999999999998</v>
      </c>
      <c r="J76" s="59">
        <f t="shared" si="6"/>
        <v>22.915999999999997</v>
      </c>
    </row>
    <row r="77" spans="1:11">
      <c r="A77" s="61" t="s">
        <v>84</v>
      </c>
      <c r="B77" s="69">
        <v>1.25</v>
      </c>
      <c r="C77" s="69">
        <v>1.25</v>
      </c>
      <c r="D77" s="65"/>
      <c r="E77" s="66"/>
      <c r="F77" s="65"/>
      <c r="G77" s="65"/>
      <c r="H77" s="59">
        <f t="shared" si="4"/>
        <v>8.7079999999999984</v>
      </c>
      <c r="I77" s="59">
        <f t="shared" si="5"/>
        <v>16.707999999999998</v>
      </c>
      <c r="J77" s="59">
        <f t="shared" si="6"/>
        <v>25.415999999999997</v>
      </c>
    </row>
    <row r="78" spans="1:11">
      <c r="A78" s="61" t="s">
        <v>85</v>
      </c>
      <c r="B78" s="69">
        <v>1.25</v>
      </c>
      <c r="C78" s="69">
        <v>1.25</v>
      </c>
      <c r="D78" s="65"/>
      <c r="E78" s="66"/>
      <c r="F78" s="65"/>
      <c r="G78" s="65"/>
      <c r="H78" s="59">
        <f t="shared" si="4"/>
        <v>9.9579999999999984</v>
      </c>
      <c r="I78" s="59">
        <f t="shared" si="5"/>
        <v>17.957999999999998</v>
      </c>
      <c r="J78" s="59">
        <f t="shared" si="6"/>
        <v>27.915999999999997</v>
      </c>
    </row>
    <row r="79" spans="1:11">
      <c r="A79" s="61" t="s">
        <v>86</v>
      </c>
      <c r="B79" s="69"/>
      <c r="C79" s="69"/>
      <c r="D79" s="65"/>
      <c r="E79" s="66">
        <v>1</v>
      </c>
      <c r="F79" s="65"/>
      <c r="G79" s="65"/>
      <c r="H79" s="59">
        <f t="shared" si="4"/>
        <v>9.9579999999999984</v>
      </c>
      <c r="I79" s="59">
        <f t="shared" si="5"/>
        <v>16.957999999999998</v>
      </c>
      <c r="J79" s="59">
        <f t="shared" si="6"/>
        <v>26.915999999999997</v>
      </c>
    </row>
    <row r="80" spans="1:11">
      <c r="A80" s="61" t="s">
        <v>87</v>
      </c>
      <c r="B80" s="69"/>
      <c r="C80" s="69"/>
      <c r="D80" s="65"/>
      <c r="E80" s="66">
        <v>1</v>
      </c>
      <c r="F80" s="65"/>
      <c r="G80" s="65"/>
      <c r="H80" s="59">
        <f t="shared" si="4"/>
        <v>9.9579999999999984</v>
      </c>
      <c r="I80" s="59">
        <f t="shared" si="5"/>
        <v>15.957999999999998</v>
      </c>
      <c r="J80" s="59">
        <f t="shared" si="6"/>
        <v>25.915999999999997</v>
      </c>
    </row>
    <row r="81" spans="1:10">
      <c r="A81" s="58" t="s">
        <v>88</v>
      </c>
      <c r="B81" s="69">
        <v>1.25</v>
      </c>
      <c r="C81" s="69">
        <v>1.25</v>
      </c>
      <c r="D81" s="65"/>
      <c r="E81" s="66"/>
      <c r="F81" s="65"/>
      <c r="G81" s="65"/>
      <c r="H81" s="59">
        <f t="shared" si="4"/>
        <v>11.207999999999998</v>
      </c>
      <c r="I81" s="59">
        <f t="shared" si="5"/>
        <v>17.207999999999998</v>
      </c>
      <c r="J81" s="59">
        <f t="shared" si="6"/>
        <v>28.415999999999997</v>
      </c>
    </row>
    <row r="82" spans="1:10">
      <c r="A82" s="58" t="s">
        <v>89</v>
      </c>
      <c r="B82" s="69"/>
      <c r="C82" s="69"/>
      <c r="D82" s="69">
        <v>1</v>
      </c>
      <c r="E82" s="66"/>
      <c r="F82" s="65"/>
      <c r="G82" s="65"/>
      <c r="H82" s="59">
        <f t="shared" ref="H82:H103" si="7">H81-F82-D82+B82</f>
        <v>10.207999999999998</v>
      </c>
      <c r="I82" s="59">
        <f t="shared" ref="I82:I103" si="8">I81-E82+C82</f>
        <v>17.207999999999998</v>
      </c>
      <c r="J82" s="59">
        <f t="shared" ref="J82:J103" si="9">SUM(H82:I82)</f>
        <v>27.415999999999997</v>
      </c>
    </row>
    <row r="83" spans="1:10">
      <c r="A83" s="58" t="s">
        <v>90</v>
      </c>
      <c r="B83" s="69"/>
      <c r="C83" s="69"/>
      <c r="D83" s="69"/>
      <c r="E83" s="66">
        <v>2</v>
      </c>
      <c r="F83" s="65"/>
      <c r="G83" s="65"/>
      <c r="H83" s="59">
        <f t="shared" si="7"/>
        <v>10.207999999999998</v>
      </c>
      <c r="I83" s="59">
        <f t="shared" si="8"/>
        <v>15.207999999999998</v>
      </c>
      <c r="J83" s="59">
        <f t="shared" si="9"/>
        <v>25.415999999999997</v>
      </c>
    </row>
    <row r="84" spans="1:10">
      <c r="A84" s="61" t="s">
        <v>91</v>
      </c>
      <c r="B84" s="69">
        <v>2.5</v>
      </c>
      <c r="C84" s="69">
        <v>2.5</v>
      </c>
      <c r="D84" s="69"/>
      <c r="E84" s="66"/>
      <c r="F84" s="65"/>
      <c r="G84" s="65"/>
      <c r="H84" s="59">
        <f t="shared" si="7"/>
        <v>12.707999999999998</v>
      </c>
      <c r="I84" s="59">
        <f t="shared" si="8"/>
        <v>17.707999999999998</v>
      </c>
      <c r="J84" s="59">
        <f t="shared" si="9"/>
        <v>30.415999999999997</v>
      </c>
    </row>
    <row r="85" spans="1:10">
      <c r="A85" s="58" t="s">
        <v>92</v>
      </c>
      <c r="B85" s="69"/>
      <c r="C85" s="69"/>
      <c r="D85" s="69">
        <v>0.5</v>
      </c>
      <c r="E85" s="66"/>
      <c r="F85" s="65"/>
      <c r="G85" s="65"/>
      <c r="H85" s="59">
        <f t="shared" si="7"/>
        <v>12.207999999999998</v>
      </c>
      <c r="I85" s="59">
        <f t="shared" si="8"/>
        <v>17.707999999999998</v>
      </c>
      <c r="J85" s="59">
        <f t="shared" si="9"/>
        <v>29.915999999999997</v>
      </c>
    </row>
    <row r="86" spans="1:10">
      <c r="A86" s="58" t="s">
        <v>93</v>
      </c>
      <c r="B86" s="69">
        <v>1.25</v>
      </c>
      <c r="C86" s="69">
        <v>1.25</v>
      </c>
      <c r="D86" s="65"/>
      <c r="E86" s="66"/>
      <c r="F86" s="65"/>
      <c r="G86" s="65"/>
      <c r="H86" s="59">
        <f t="shared" si="7"/>
        <v>13.457999999999998</v>
      </c>
      <c r="I86" s="59">
        <f t="shared" si="8"/>
        <v>18.957999999999998</v>
      </c>
      <c r="J86" s="59">
        <f t="shared" si="9"/>
        <v>32.415999999999997</v>
      </c>
    </row>
    <row r="87" spans="1:10">
      <c r="A87" s="58" t="s">
        <v>94</v>
      </c>
      <c r="B87" s="69"/>
      <c r="C87" s="69"/>
      <c r="D87" s="65"/>
      <c r="E87" s="66"/>
      <c r="F87" s="65"/>
      <c r="G87" s="69">
        <v>1</v>
      </c>
      <c r="H87" s="59">
        <f t="shared" si="7"/>
        <v>13.457999999999998</v>
      </c>
      <c r="I87" s="59">
        <f t="shared" si="8"/>
        <v>18.957999999999998</v>
      </c>
      <c r="J87" s="59">
        <f t="shared" si="9"/>
        <v>32.415999999999997</v>
      </c>
    </row>
    <row r="88" spans="1:10">
      <c r="A88" s="58" t="s">
        <v>95</v>
      </c>
      <c r="B88" s="69">
        <v>1.25</v>
      </c>
      <c r="C88" s="69">
        <v>1.25</v>
      </c>
      <c r="D88" s="65"/>
      <c r="E88" s="66"/>
      <c r="F88" s="65"/>
      <c r="G88" s="69"/>
      <c r="H88" s="59">
        <f t="shared" si="7"/>
        <v>14.707999999999998</v>
      </c>
      <c r="I88" s="59">
        <f t="shared" si="8"/>
        <v>20.207999999999998</v>
      </c>
      <c r="J88" s="59">
        <f t="shared" si="9"/>
        <v>34.915999999999997</v>
      </c>
    </row>
    <row r="89" spans="1:10">
      <c r="A89" s="58" t="s">
        <v>96</v>
      </c>
      <c r="B89" s="69">
        <v>1.25</v>
      </c>
      <c r="C89" s="69">
        <v>1.25</v>
      </c>
      <c r="D89" s="65"/>
      <c r="E89" s="66"/>
      <c r="F89" s="65"/>
      <c r="G89" s="69"/>
      <c r="H89" s="59">
        <f t="shared" si="7"/>
        <v>15.957999999999998</v>
      </c>
      <c r="I89" s="59">
        <f t="shared" si="8"/>
        <v>21.457999999999998</v>
      </c>
      <c r="J89" s="59">
        <f t="shared" si="9"/>
        <v>37.415999999999997</v>
      </c>
    </row>
    <row r="90" spans="1:10">
      <c r="A90" s="58" t="s">
        <v>97</v>
      </c>
      <c r="B90" s="65"/>
      <c r="C90" s="65"/>
      <c r="D90" s="69">
        <v>10</v>
      </c>
      <c r="E90" s="66"/>
      <c r="F90" s="65"/>
      <c r="G90" s="69"/>
      <c r="H90" s="59">
        <f t="shared" si="7"/>
        <v>5.9579999999999984</v>
      </c>
      <c r="I90" s="59">
        <f t="shared" si="8"/>
        <v>21.457999999999998</v>
      </c>
      <c r="J90" s="59">
        <f t="shared" si="9"/>
        <v>27.415999999999997</v>
      </c>
    </row>
    <row r="91" spans="1:10">
      <c r="A91" s="58" t="s">
        <v>98</v>
      </c>
      <c r="B91" s="69"/>
      <c r="C91" s="69"/>
      <c r="D91" s="69"/>
      <c r="E91" s="66">
        <v>2</v>
      </c>
      <c r="F91" s="69"/>
      <c r="G91" s="69"/>
      <c r="H91" s="59">
        <f t="shared" si="7"/>
        <v>5.9579999999999984</v>
      </c>
      <c r="I91" s="59">
        <f t="shared" si="8"/>
        <v>19.457999999999998</v>
      </c>
      <c r="J91" s="59">
        <f t="shared" si="9"/>
        <v>25.415999999999997</v>
      </c>
    </row>
    <row r="92" spans="1:10">
      <c r="A92" s="61" t="s">
        <v>99</v>
      </c>
      <c r="B92" s="69">
        <v>1.25</v>
      </c>
      <c r="C92" s="69">
        <v>1.25</v>
      </c>
      <c r="D92" s="69"/>
      <c r="E92" s="66"/>
      <c r="F92" s="69"/>
      <c r="G92" s="69"/>
      <c r="H92" s="59">
        <f t="shared" si="7"/>
        <v>7.2079999999999984</v>
      </c>
      <c r="I92" s="59">
        <f t="shared" si="8"/>
        <v>20.707999999999998</v>
      </c>
      <c r="J92" s="59">
        <f t="shared" si="9"/>
        <v>27.915999999999997</v>
      </c>
    </row>
    <row r="93" spans="1:10">
      <c r="A93" s="61" t="s">
        <v>100</v>
      </c>
      <c r="B93" s="69"/>
      <c r="C93" s="69"/>
      <c r="D93" s="69"/>
      <c r="E93" s="66">
        <v>1</v>
      </c>
      <c r="F93" s="69"/>
      <c r="G93" s="69"/>
      <c r="H93" s="59">
        <f t="shared" si="7"/>
        <v>7.2079999999999984</v>
      </c>
      <c r="I93" s="59">
        <f t="shared" si="8"/>
        <v>19.707999999999998</v>
      </c>
      <c r="J93" s="59">
        <f t="shared" si="9"/>
        <v>26.915999999999997</v>
      </c>
    </row>
    <row r="94" spans="1:10">
      <c r="A94" s="61" t="s">
        <v>101</v>
      </c>
      <c r="B94" s="69">
        <v>1.25</v>
      </c>
      <c r="C94" s="69">
        <v>1.25</v>
      </c>
      <c r="D94" s="69"/>
      <c r="E94" s="66"/>
      <c r="F94" s="69"/>
      <c r="G94" s="69"/>
      <c r="H94" s="59">
        <f t="shared" si="7"/>
        <v>8.4579999999999984</v>
      </c>
      <c r="I94" s="59">
        <f t="shared" si="8"/>
        <v>20.957999999999998</v>
      </c>
      <c r="J94" s="59">
        <f t="shared" si="9"/>
        <v>29.415999999999997</v>
      </c>
    </row>
    <row r="95" spans="1:10">
      <c r="A95" s="61" t="s">
        <v>102</v>
      </c>
      <c r="B95" s="69"/>
      <c r="C95" s="69"/>
      <c r="D95" s="69"/>
      <c r="E95" s="66"/>
      <c r="F95" s="69">
        <v>4</v>
      </c>
      <c r="G95" s="69"/>
      <c r="H95" s="59">
        <f t="shared" si="7"/>
        <v>4.4579999999999984</v>
      </c>
      <c r="I95" s="59">
        <f t="shared" si="8"/>
        <v>20.957999999999998</v>
      </c>
      <c r="J95" s="59">
        <f t="shared" si="9"/>
        <v>25.415999999999997</v>
      </c>
    </row>
    <row r="96" spans="1:10">
      <c r="A96" s="61" t="s">
        <v>103</v>
      </c>
      <c r="B96" s="69"/>
      <c r="C96" s="69"/>
      <c r="D96" s="69"/>
      <c r="E96" s="66">
        <v>1</v>
      </c>
      <c r="F96" s="69"/>
      <c r="G96" s="69"/>
      <c r="H96" s="59">
        <f t="shared" si="7"/>
        <v>4.4579999999999984</v>
      </c>
      <c r="I96" s="59">
        <f t="shared" si="8"/>
        <v>19.957999999999998</v>
      </c>
      <c r="J96" s="59">
        <f t="shared" si="9"/>
        <v>24.415999999999997</v>
      </c>
    </row>
    <row r="97" spans="1:10">
      <c r="A97" s="61" t="s">
        <v>104</v>
      </c>
      <c r="B97" s="69">
        <v>2.5</v>
      </c>
      <c r="C97" s="69">
        <v>2.5</v>
      </c>
      <c r="D97" s="69"/>
      <c r="E97" s="66"/>
      <c r="F97" s="69"/>
      <c r="G97" s="69"/>
      <c r="H97" s="59">
        <f t="shared" si="7"/>
        <v>6.9579999999999984</v>
      </c>
      <c r="I97" s="59">
        <f t="shared" si="8"/>
        <v>22.457999999999998</v>
      </c>
      <c r="J97" s="59">
        <f t="shared" si="9"/>
        <v>29.415999999999997</v>
      </c>
    </row>
    <row r="98" spans="1:10">
      <c r="A98" s="61" t="s">
        <v>105</v>
      </c>
      <c r="B98" s="69"/>
      <c r="C98" s="69"/>
      <c r="D98" s="69"/>
      <c r="E98" s="66">
        <v>2</v>
      </c>
      <c r="F98" s="69"/>
      <c r="G98" s="69"/>
      <c r="H98" s="59">
        <f t="shared" si="7"/>
        <v>6.9579999999999984</v>
      </c>
      <c r="I98" s="59">
        <f t="shared" si="8"/>
        <v>20.457999999999998</v>
      </c>
      <c r="J98" s="59">
        <f t="shared" si="9"/>
        <v>27.415999999999997</v>
      </c>
    </row>
    <row r="99" spans="1:10">
      <c r="A99" s="61" t="s">
        <v>106</v>
      </c>
      <c r="B99" s="69">
        <v>1.25</v>
      </c>
      <c r="C99" s="69">
        <v>1.25</v>
      </c>
      <c r="D99" s="69"/>
      <c r="E99" s="66"/>
      <c r="F99" s="69"/>
      <c r="G99" s="69"/>
      <c r="H99" s="59">
        <f t="shared" si="7"/>
        <v>8.2079999999999984</v>
      </c>
      <c r="I99" s="59">
        <f t="shared" si="8"/>
        <v>21.707999999999998</v>
      </c>
      <c r="J99" s="59">
        <f t="shared" si="9"/>
        <v>29.915999999999997</v>
      </c>
    </row>
    <row r="100" spans="1:10">
      <c r="A100" s="61" t="s">
        <v>107</v>
      </c>
      <c r="B100" s="69"/>
      <c r="C100" s="69"/>
      <c r="D100" s="69"/>
      <c r="E100" s="66">
        <v>3</v>
      </c>
      <c r="F100" s="69"/>
      <c r="G100" s="69"/>
      <c r="H100" s="59">
        <f t="shared" si="7"/>
        <v>8.2079999999999984</v>
      </c>
      <c r="I100" s="59">
        <f t="shared" si="8"/>
        <v>18.707999999999998</v>
      </c>
      <c r="J100" s="59">
        <f t="shared" si="9"/>
        <v>26.915999999999997</v>
      </c>
    </row>
    <row r="101" spans="1:10">
      <c r="A101" s="61" t="s">
        <v>108</v>
      </c>
      <c r="B101" s="69">
        <v>2.5</v>
      </c>
      <c r="C101" s="69">
        <v>2.5</v>
      </c>
      <c r="D101" s="69"/>
      <c r="E101" s="66"/>
      <c r="F101" s="69"/>
      <c r="G101" s="69"/>
      <c r="H101" s="59">
        <f t="shared" si="7"/>
        <v>10.707999999999998</v>
      </c>
      <c r="I101" s="59">
        <f t="shared" si="8"/>
        <v>21.207999999999998</v>
      </c>
      <c r="J101" s="59">
        <f t="shared" si="9"/>
        <v>31.915999999999997</v>
      </c>
    </row>
    <row r="102" spans="1:10">
      <c r="A102" s="61" t="s">
        <v>109</v>
      </c>
      <c r="B102" s="69"/>
      <c r="C102" s="69"/>
      <c r="D102" s="69"/>
      <c r="E102" s="66"/>
      <c r="F102" s="70">
        <v>3</v>
      </c>
      <c r="G102" s="69"/>
      <c r="H102" s="59">
        <f t="shared" si="7"/>
        <v>7.7079999999999984</v>
      </c>
      <c r="I102" s="59">
        <f t="shared" si="8"/>
        <v>21.207999999999998</v>
      </c>
      <c r="J102" s="59">
        <f t="shared" si="9"/>
        <v>28.915999999999997</v>
      </c>
    </row>
    <row r="103" spans="1:10">
      <c r="A103" s="61" t="s">
        <v>110</v>
      </c>
      <c r="B103" s="69">
        <v>3.75</v>
      </c>
      <c r="C103" s="69">
        <v>3.75</v>
      </c>
      <c r="D103" s="69"/>
      <c r="E103" s="66"/>
      <c r="F103" s="69"/>
      <c r="G103" s="69"/>
      <c r="H103" s="59">
        <f t="shared" si="7"/>
        <v>11.457999999999998</v>
      </c>
      <c r="I103" s="59">
        <f t="shared" si="8"/>
        <v>24.957999999999998</v>
      </c>
      <c r="J103" s="59">
        <f t="shared" si="9"/>
        <v>36.415999999999997</v>
      </c>
    </row>
    <row r="104" spans="1:10">
      <c r="A104" s="61" t="s">
        <v>111</v>
      </c>
      <c r="B104" s="69"/>
      <c r="C104" s="69"/>
      <c r="D104" s="69"/>
      <c r="E104" s="66">
        <v>3</v>
      </c>
      <c r="F104" s="69"/>
      <c r="G104" s="69"/>
      <c r="H104" s="59">
        <f t="shared" ref="H104" si="10">H103-F104-D104+B104</f>
        <v>11.457999999999998</v>
      </c>
      <c r="I104" s="59">
        <f t="shared" ref="I104" si="11">I103-E104+C104</f>
        <v>21.957999999999998</v>
      </c>
      <c r="J104" s="59">
        <f t="shared" ref="J104" si="12">SUM(H104:I104)</f>
        <v>33.415999999999997</v>
      </c>
    </row>
    <row r="105" spans="1:10">
      <c r="A105" s="61" t="s">
        <v>112</v>
      </c>
      <c r="B105" s="69">
        <v>1.25</v>
      </c>
      <c r="C105" s="69">
        <v>1.25</v>
      </c>
      <c r="D105" s="69"/>
      <c r="E105" s="66"/>
      <c r="F105" s="69"/>
      <c r="G105" s="69"/>
      <c r="H105" s="59">
        <f t="shared" ref="H105:H106" si="13">H104-F105-D105+B105</f>
        <v>12.707999999999998</v>
      </c>
      <c r="I105" s="59">
        <f t="shared" ref="I105:I106" si="14">I104-E105+C105</f>
        <v>23.207999999999998</v>
      </c>
      <c r="J105" s="59">
        <f t="shared" ref="J105:J106" si="15">SUM(H105:I105)</f>
        <v>35.915999999999997</v>
      </c>
    </row>
    <row r="106" spans="1:10">
      <c r="A106" s="61" t="s">
        <v>113</v>
      </c>
      <c r="B106" s="69"/>
      <c r="C106" s="69"/>
      <c r="D106" s="69"/>
      <c r="E106" s="66">
        <v>2</v>
      </c>
      <c r="F106" s="69"/>
      <c r="G106" s="69"/>
      <c r="H106" s="59">
        <f t="shared" si="13"/>
        <v>12.707999999999998</v>
      </c>
      <c r="I106" s="59">
        <f t="shared" si="14"/>
        <v>21.207999999999998</v>
      </c>
      <c r="J106" s="59">
        <f t="shared" si="15"/>
        <v>33.915999999999997</v>
      </c>
    </row>
    <row r="107" spans="1:10">
      <c r="A107" s="61" t="s">
        <v>114</v>
      </c>
      <c r="B107" s="69"/>
      <c r="C107" s="69"/>
      <c r="D107" s="69"/>
      <c r="E107" s="66">
        <v>1</v>
      </c>
      <c r="F107" s="69"/>
      <c r="G107" s="69"/>
      <c r="H107" s="59">
        <f t="shared" ref="H107" si="16">H106-F107-D107+B107</f>
        <v>12.707999999999998</v>
      </c>
      <c r="I107" s="59">
        <f t="shared" ref="I107" si="17">I106-E107+C107</f>
        <v>20.207999999999998</v>
      </c>
      <c r="J107" s="59">
        <f t="shared" ref="J107" si="18">SUM(H107:I107)</f>
        <v>32.915999999999997</v>
      </c>
    </row>
    <row r="108" spans="1:10">
      <c r="A108" s="61" t="s">
        <v>115</v>
      </c>
      <c r="B108" s="69">
        <v>2.5</v>
      </c>
      <c r="C108" s="69">
        <v>2.5</v>
      </c>
      <c r="D108" s="69"/>
      <c r="E108" s="66"/>
      <c r="F108" s="69"/>
      <c r="G108" s="69"/>
      <c r="H108" s="59">
        <f t="shared" ref="H108:H109" si="19">H107-F108-D108+B108</f>
        <v>15.207999999999998</v>
      </c>
      <c r="I108" s="59">
        <f t="shared" ref="I108:I109" si="20">I107-E108+C108</f>
        <v>22.707999999999998</v>
      </c>
      <c r="J108" s="59">
        <f t="shared" ref="J108:J109" si="21">SUM(H108:I108)</f>
        <v>37.915999999999997</v>
      </c>
    </row>
    <row r="109" spans="1:10">
      <c r="A109" s="61" t="s">
        <v>116</v>
      </c>
      <c r="B109" s="69"/>
      <c r="C109" s="69"/>
      <c r="D109" s="69"/>
      <c r="E109" s="66"/>
      <c r="F109" s="69"/>
      <c r="G109" s="71">
        <v>1</v>
      </c>
      <c r="H109" s="59">
        <f t="shared" si="19"/>
        <v>15.207999999999998</v>
      </c>
      <c r="I109" s="59">
        <f t="shared" si="20"/>
        <v>22.707999999999998</v>
      </c>
      <c r="J109" s="59">
        <f t="shared" si="21"/>
        <v>37.915999999999997</v>
      </c>
    </row>
    <row r="110" spans="1:10">
      <c r="A110" s="61" t="s">
        <v>117</v>
      </c>
      <c r="B110" s="69">
        <v>1.25</v>
      </c>
      <c r="C110" s="69">
        <v>1.25</v>
      </c>
      <c r="D110" s="69"/>
      <c r="E110" s="66"/>
      <c r="F110" s="69"/>
      <c r="G110" s="69"/>
      <c r="H110" s="59">
        <f t="shared" ref="H110" si="22">H109-F110-D110+B110</f>
        <v>16.457999999999998</v>
      </c>
      <c r="I110" s="59">
        <f t="shared" ref="I110" si="23">I109-E110+C110</f>
        <v>23.957999999999998</v>
      </c>
      <c r="J110" s="59">
        <f t="shared" ref="J110" si="24">SUM(H110:I110)</f>
        <v>40.415999999999997</v>
      </c>
    </row>
    <row r="111" spans="1:10">
      <c r="A111" s="61" t="s">
        <v>118</v>
      </c>
      <c r="B111" s="69"/>
      <c r="C111" s="69"/>
      <c r="D111" s="69">
        <v>10</v>
      </c>
      <c r="E111" s="66"/>
      <c r="F111" s="69"/>
      <c r="G111" s="69"/>
      <c r="H111" s="59">
        <f t="shared" ref="H111" si="25">H110-F111-D111+B111</f>
        <v>6.4579999999999984</v>
      </c>
      <c r="I111" s="59">
        <f t="shared" ref="I111" si="26">I110-E111+C111</f>
        <v>23.957999999999998</v>
      </c>
      <c r="J111" s="59">
        <f t="shared" ref="J111" si="27">SUM(H111:I111)</f>
        <v>30.415999999999997</v>
      </c>
    </row>
    <row r="112" spans="1:10">
      <c r="A112" s="61" t="s">
        <v>119</v>
      </c>
      <c r="B112" s="69">
        <v>1.25</v>
      </c>
      <c r="C112" s="69">
        <v>1.25</v>
      </c>
      <c r="D112" s="69"/>
      <c r="E112" s="66"/>
      <c r="F112" s="69"/>
      <c r="G112" s="69"/>
      <c r="H112" s="59">
        <f>H111-F112-D112+B112</f>
        <v>7.7079999999999984</v>
      </c>
      <c r="I112" s="59">
        <f>I111-E112+C112</f>
        <v>25.207999999999998</v>
      </c>
      <c r="J112" s="59">
        <f>SUM(H112:I112)</f>
        <v>32.915999999999997</v>
      </c>
    </row>
    <row r="113" spans="1:11">
      <c r="A113" s="61" t="s">
        <v>120</v>
      </c>
      <c r="B113" s="69"/>
      <c r="C113" s="69"/>
      <c r="D113" s="69"/>
      <c r="E113" s="66"/>
      <c r="F113" s="70">
        <v>2</v>
      </c>
      <c r="G113" s="69"/>
      <c r="H113" s="59">
        <f>H112-F113-D113+B113</f>
        <v>5.7079999999999984</v>
      </c>
      <c r="I113" s="59">
        <f>I112-E113+C113</f>
        <v>25.207999999999998</v>
      </c>
      <c r="J113" s="59">
        <f>SUM(H113:I113)</f>
        <v>30.915999999999997</v>
      </c>
    </row>
    <row r="114" spans="1:11">
      <c r="A114" s="61" t="s">
        <v>121</v>
      </c>
      <c r="B114" s="69"/>
      <c r="C114" s="69"/>
      <c r="D114" s="69"/>
      <c r="E114" s="66"/>
      <c r="F114" s="69"/>
      <c r="G114" s="71">
        <v>1</v>
      </c>
      <c r="H114" s="59">
        <f>H113-F114-D114+B114</f>
        <v>5.7079999999999984</v>
      </c>
      <c r="I114" s="59">
        <f>I113-E114+C114</f>
        <v>25.207999999999998</v>
      </c>
      <c r="J114" s="59">
        <f>SUM(H114:I114)</f>
        <v>30.915999999999997</v>
      </c>
    </row>
    <row r="115" spans="1:11">
      <c r="A115" s="61" t="s">
        <v>122</v>
      </c>
      <c r="B115" s="69"/>
      <c r="C115" s="69"/>
      <c r="D115" s="69"/>
      <c r="E115" s="66"/>
      <c r="F115" s="69"/>
      <c r="G115" s="71">
        <v>1</v>
      </c>
      <c r="H115" s="59">
        <f>H114-F115-D115+B115</f>
        <v>5.7079999999999984</v>
      </c>
      <c r="I115" s="59">
        <f>I114-E115+C115</f>
        <v>25.207999999999998</v>
      </c>
      <c r="J115" s="59">
        <f>SUM(H115:I115)</f>
        <v>30.915999999999997</v>
      </c>
    </row>
    <row r="116" spans="1:11">
      <c r="A116" s="61"/>
      <c r="B116" s="69"/>
      <c r="C116" s="69"/>
      <c r="D116" s="69"/>
      <c r="E116" s="66"/>
      <c r="F116" s="69"/>
      <c r="G116" s="69"/>
      <c r="H116" s="64"/>
      <c r="I116" s="64"/>
      <c r="J116" s="64"/>
    </row>
    <row r="117" spans="1:11">
      <c r="A117" s="43"/>
      <c r="B117" s="72"/>
      <c r="C117" s="72"/>
      <c r="D117" s="72"/>
      <c r="E117" s="73"/>
      <c r="F117" s="72"/>
      <c r="G117" s="72"/>
      <c r="H117" s="74"/>
      <c r="I117" s="74"/>
      <c r="J117" s="74"/>
    </row>
    <row r="118" spans="1:11" s="52" customFormat="1" ht="15" customHeight="1">
      <c r="G118" s="52" t="s">
        <v>123</v>
      </c>
    </row>
    <row r="119" spans="1:11" s="52" customFormat="1" ht="15" customHeight="1"/>
    <row r="120" spans="1:11" s="52" customFormat="1" ht="15" customHeight="1">
      <c r="F120" s="75"/>
      <c r="G120" s="75"/>
      <c r="H120" s="76" t="s">
        <v>124</v>
      </c>
    </row>
    <row r="121" spans="1:11" s="52" customFormat="1" ht="15" customHeight="1">
      <c r="H121" s="29" t="s">
        <v>125</v>
      </c>
    </row>
    <row r="122" spans="1:11" ht="15" customHeight="1">
      <c r="B122" s="25"/>
      <c r="C122" s="25"/>
      <c r="D122" s="25"/>
      <c r="E122" s="25"/>
      <c r="F122" s="25"/>
      <c r="G122" s="25"/>
      <c r="H122" s="29" t="s">
        <v>126</v>
      </c>
      <c r="I122" s="25"/>
      <c r="J122" s="25"/>
      <c r="K122" s="25"/>
    </row>
  </sheetData>
  <mergeCells count="13">
    <mergeCell ref="K11:K12"/>
    <mergeCell ref="B9:D9"/>
    <mergeCell ref="A10:J10"/>
    <mergeCell ref="B11:C11"/>
    <mergeCell ref="D11:G11"/>
    <mergeCell ref="H11:I11"/>
    <mergeCell ref="A11:A12"/>
    <mergeCell ref="J11:J12"/>
    <mergeCell ref="A2:J2"/>
    <mergeCell ref="A3:J3"/>
    <mergeCell ref="A4:J4"/>
    <mergeCell ref="A5:J5"/>
    <mergeCell ref="B7:D7"/>
  </mergeCells>
  <printOptions horizontalCentered="1"/>
  <pageMargins left="0.511811023622047" right="0.511811023622047" top="0.62992125984252001" bottom="0.74803149606299202" header="0.118110236220472" footer="0.118110236220472"/>
  <pageSetup paperSize="9" scale="65" fitToHeight="0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29"/>
  <sheetViews>
    <sheetView tabSelected="1" view="pageBreakPreview" zoomScale="104" zoomScaleNormal="100" workbookViewId="0">
      <selection activeCell="B19" sqref="B19:E19"/>
    </sheetView>
  </sheetViews>
  <sheetFormatPr defaultColWidth="9" defaultRowHeight="15"/>
  <cols>
    <col min="1" max="1" width="24.375" customWidth="1"/>
    <col min="2" max="2" width="16.75" customWidth="1"/>
    <col min="12" max="12" width="11.75" customWidth="1"/>
  </cols>
  <sheetData>
    <row r="1" spans="1:12" s="25" customFormat="1" ht="52.5" customHeight="1"/>
    <row r="2" spans="1:12" s="25" customFormat="1" ht="10.5" customHeight="1">
      <c r="A2" s="77" t="s">
        <v>0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</row>
    <row r="3" spans="1:12" s="25" customFormat="1" ht="15.95" customHeight="1">
      <c r="A3" s="77" t="s">
        <v>1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</row>
    <row r="4" spans="1:12" s="25" customFormat="1" ht="15.95" customHeight="1">
      <c r="A4" s="77" t="s">
        <v>127</v>
      </c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</row>
    <row r="5" spans="1:12" s="25" customFormat="1" ht="15.95" customHeight="1">
      <c r="A5" s="77" t="s">
        <v>3</v>
      </c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</row>
    <row r="6" spans="1:12" s="25" customFormat="1" ht="8.25" customHeight="1"/>
    <row r="7" spans="1:12" s="25" customFormat="1" ht="12" customHeight="1">
      <c r="A7" s="25" t="s">
        <v>4</v>
      </c>
      <c r="C7" s="30" t="s">
        <v>5</v>
      </c>
      <c r="D7" s="30"/>
      <c r="G7" s="30" t="s">
        <v>6</v>
      </c>
      <c r="H7" s="31"/>
    </row>
    <row r="8" spans="1:12" s="25" customFormat="1" ht="12" customHeight="1">
      <c r="C8" s="32"/>
      <c r="G8" s="32"/>
      <c r="H8" s="32"/>
    </row>
    <row r="9" spans="1:12" s="25" customFormat="1" ht="12" customHeight="1">
      <c r="A9" s="25" t="s">
        <v>7</v>
      </c>
      <c r="C9" s="30" t="s">
        <v>8</v>
      </c>
      <c r="D9" s="30"/>
      <c r="G9" s="30" t="s">
        <v>9</v>
      </c>
      <c r="H9" s="33"/>
    </row>
    <row r="10" spans="1:12" ht="16.5" customHeight="1">
      <c r="A10" s="112" t="s">
        <v>128</v>
      </c>
      <c r="B10" s="112"/>
      <c r="C10" s="112"/>
      <c r="D10" s="112"/>
      <c r="E10" s="112"/>
      <c r="F10" s="112"/>
      <c r="G10" s="112"/>
      <c r="H10" s="112"/>
      <c r="I10" s="112"/>
      <c r="J10" s="112"/>
      <c r="K10" s="112"/>
      <c r="L10" s="112"/>
    </row>
    <row r="11" spans="1:12" s="26" customFormat="1" ht="18.75" customHeight="1">
      <c r="A11" s="103" t="s">
        <v>11</v>
      </c>
      <c r="B11" s="104" t="s">
        <v>12</v>
      </c>
      <c r="C11" s="105"/>
      <c r="D11" s="105"/>
      <c r="E11" s="105"/>
      <c r="F11" s="105"/>
      <c r="G11" s="105"/>
      <c r="H11" s="105"/>
      <c r="I11" s="105"/>
      <c r="J11" s="105"/>
      <c r="K11" s="105"/>
      <c r="L11" s="106" t="s">
        <v>15</v>
      </c>
    </row>
    <row r="12" spans="1:12" s="26" customFormat="1" ht="24" customHeight="1">
      <c r="A12" s="107"/>
      <c r="B12" s="108" t="s">
        <v>129</v>
      </c>
      <c r="C12" s="109"/>
      <c r="D12" s="109"/>
      <c r="E12" s="110"/>
      <c r="F12" s="108" t="s">
        <v>130</v>
      </c>
      <c r="G12" s="110"/>
      <c r="H12" s="108" t="s">
        <v>131</v>
      </c>
      <c r="I12" s="110"/>
      <c r="J12" s="108" t="s">
        <v>132</v>
      </c>
      <c r="K12" s="110"/>
      <c r="L12" s="111"/>
    </row>
    <row r="13" spans="1:12" s="26" customFormat="1" ht="24.95" hidden="1" customHeight="1">
      <c r="A13" s="34" t="s">
        <v>133</v>
      </c>
      <c r="B13" s="113" t="s">
        <v>134</v>
      </c>
      <c r="C13" s="114"/>
      <c r="D13" s="114"/>
      <c r="E13" s="115"/>
      <c r="F13" s="116">
        <v>1</v>
      </c>
      <c r="G13" s="117"/>
      <c r="H13" s="113">
        <v>0</v>
      </c>
      <c r="I13" s="115"/>
      <c r="J13" s="113">
        <v>1</v>
      </c>
      <c r="K13" s="115"/>
      <c r="L13" s="118">
        <v>1</v>
      </c>
    </row>
    <row r="14" spans="1:12" s="27" customFormat="1" ht="25.5" hidden="1" customHeight="1">
      <c r="A14" s="34" t="s">
        <v>135</v>
      </c>
      <c r="B14" s="90" t="s">
        <v>134</v>
      </c>
      <c r="C14" s="91"/>
      <c r="D14" s="91"/>
      <c r="E14" s="92"/>
      <c r="F14" s="35"/>
      <c r="G14" s="36"/>
      <c r="H14" s="90">
        <v>1</v>
      </c>
      <c r="I14" s="92"/>
      <c r="J14" s="90">
        <v>0</v>
      </c>
      <c r="K14" s="92"/>
      <c r="L14" s="45">
        <v>0</v>
      </c>
    </row>
    <row r="15" spans="1:12" s="27" customFormat="1" ht="25.5" hidden="1" customHeight="1">
      <c r="A15" s="34" t="s">
        <v>136</v>
      </c>
      <c r="B15" s="90" t="s">
        <v>137</v>
      </c>
      <c r="C15" s="91"/>
      <c r="D15" s="91"/>
      <c r="E15" s="92"/>
      <c r="F15" s="35">
        <v>1</v>
      </c>
      <c r="G15" s="36"/>
      <c r="H15" s="90">
        <v>0</v>
      </c>
      <c r="I15" s="92"/>
      <c r="J15" s="90">
        <v>1</v>
      </c>
      <c r="K15" s="92"/>
      <c r="L15" s="44">
        <v>1</v>
      </c>
    </row>
    <row r="16" spans="1:12" s="27" customFormat="1" ht="25.5" hidden="1" customHeight="1">
      <c r="A16" s="37" t="s">
        <v>138</v>
      </c>
      <c r="B16" s="90" t="s">
        <v>137</v>
      </c>
      <c r="C16" s="91"/>
      <c r="D16" s="91"/>
      <c r="E16" s="92"/>
      <c r="F16" s="35"/>
      <c r="G16" s="36"/>
      <c r="H16" s="90">
        <v>1</v>
      </c>
      <c r="I16" s="92"/>
      <c r="J16" s="90">
        <v>0</v>
      </c>
      <c r="K16" s="92"/>
      <c r="L16" s="46">
        <v>0</v>
      </c>
    </row>
    <row r="17" spans="1:12" s="27" customFormat="1" ht="25.5" hidden="1" customHeight="1">
      <c r="A17" s="37" t="s">
        <v>139</v>
      </c>
      <c r="B17" s="90" t="s">
        <v>140</v>
      </c>
      <c r="C17" s="91"/>
      <c r="D17" s="91"/>
      <c r="E17" s="92"/>
      <c r="F17" s="35">
        <v>1</v>
      </c>
      <c r="G17" s="36"/>
      <c r="H17" s="90">
        <v>0</v>
      </c>
      <c r="I17" s="92"/>
      <c r="J17" s="90">
        <v>1</v>
      </c>
      <c r="K17" s="92"/>
      <c r="L17" s="44">
        <v>1</v>
      </c>
    </row>
    <row r="18" spans="1:12" s="27" customFormat="1" ht="25.5" hidden="1" customHeight="1">
      <c r="A18" s="37" t="s">
        <v>141</v>
      </c>
      <c r="B18" s="90" t="s">
        <v>140</v>
      </c>
      <c r="C18" s="91"/>
      <c r="D18" s="91"/>
      <c r="E18" s="92"/>
      <c r="F18" s="35"/>
      <c r="G18" s="36"/>
      <c r="H18" s="90">
        <v>1</v>
      </c>
      <c r="I18" s="92"/>
      <c r="J18" s="90">
        <v>0</v>
      </c>
      <c r="K18" s="92"/>
      <c r="L18" s="46">
        <v>0</v>
      </c>
    </row>
    <row r="19" spans="1:12" s="28" customFormat="1" ht="25.5" customHeight="1">
      <c r="A19" s="38" t="s">
        <v>142</v>
      </c>
      <c r="B19" s="93" t="s">
        <v>143</v>
      </c>
      <c r="C19" s="94"/>
      <c r="D19" s="94"/>
      <c r="E19" s="95"/>
      <c r="F19" s="93">
        <v>1</v>
      </c>
      <c r="G19" s="95"/>
      <c r="H19" s="93">
        <v>0</v>
      </c>
      <c r="I19" s="95"/>
      <c r="J19" s="93">
        <v>1</v>
      </c>
      <c r="K19" s="95"/>
      <c r="L19" s="47">
        <v>1</v>
      </c>
    </row>
    <row r="20" spans="1:12" s="28" customFormat="1" ht="25.5" customHeight="1">
      <c r="A20" s="38" t="s">
        <v>144</v>
      </c>
      <c r="B20" s="93" t="s">
        <v>143</v>
      </c>
      <c r="C20" s="94"/>
      <c r="D20" s="94"/>
      <c r="E20" s="95"/>
      <c r="F20" s="93"/>
      <c r="G20" s="95"/>
      <c r="H20" s="93">
        <v>1</v>
      </c>
      <c r="I20" s="95"/>
      <c r="J20" s="93">
        <v>0</v>
      </c>
      <c r="K20" s="95"/>
      <c r="L20" s="48">
        <v>0</v>
      </c>
    </row>
    <row r="21" spans="1:12" s="28" customFormat="1" ht="34.5" customHeight="1">
      <c r="A21" s="38" t="s">
        <v>145</v>
      </c>
      <c r="B21" s="93" t="s">
        <v>146</v>
      </c>
      <c r="C21" s="94"/>
      <c r="D21" s="94"/>
      <c r="E21" s="95"/>
      <c r="F21" s="93" t="s">
        <v>147</v>
      </c>
      <c r="G21" s="95"/>
      <c r="H21" s="93">
        <v>0</v>
      </c>
      <c r="I21" s="95"/>
      <c r="J21" s="93" t="s">
        <v>147</v>
      </c>
      <c r="K21" s="95"/>
      <c r="L21" s="47" t="s">
        <v>147</v>
      </c>
    </row>
    <row r="22" spans="1:12" s="28" customFormat="1" ht="25.5" customHeight="1">
      <c r="A22" s="38"/>
      <c r="B22" s="93"/>
      <c r="C22" s="94"/>
      <c r="D22" s="94"/>
      <c r="E22" s="95"/>
      <c r="F22" s="93"/>
      <c r="G22" s="95"/>
      <c r="H22" s="93"/>
      <c r="I22" s="95"/>
      <c r="J22" s="93"/>
      <c r="K22" s="95"/>
      <c r="L22" s="47"/>
    </row>
    <row r="23" spans="1:12" s="27" customFormat="1">
      <c r="A23" s="39" t="s">
        <v>148</v>
      </c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9"/>
    </row>
    <row r="24" spans="1:12" ht="18.95" customHeight="1">
      <c r="A24" s="96"/>
      <c r="B24" s="96"/>
      <c r="C24" s="96"/>
      <c r="D24" s="96"/>
      <c r="E24" s="96"/>
      <c r="F24" s="96"/>
      <c r="G24" s="96"/>
      <c r="H24" s="96"/>
      <c r="I24" s="96"/>
      <c r="J24" s="96"/>
      <c r="K24" s="96"/>
      <c r="L24" s="96"/>
    </row>
    <row r="25" spans="1:12" s="25" customFormat="1">
      <c r="C25" s="41"/>
      <c r="H25" s="25" t="s">
        <v>123</v>
      </c>
    </row>
    <row r="26" spans="1:12" s="25" customFormat="1">
      <c r="C26" s="41"/>
    </row>
    <row r="27" spans="1:12">
      <c r="H27" s="42" t="s">
        <v>124</v>
      </c>
      <c r="I27" s="50"/>
    </row>
    <row r="28" spans="1:12">
      <c r="H28" t="s">
        <v>125</v>
      </c>
    </row>
    <row r="29" spans="1:12">
      <c r="H29" s="97" t="s">
        <v>126</v>
      </c>
      <c r="I29" s="97"/>
    </row>
  </sheetData>
  <mergeCells count="48">
    <mergeCell ref="A24:L24"/>
    <mergeCell ref="H29:I29"/>
    <mergeCell ref="A11:A12"/>
    <mergeCell ref="L11:L12"/>
    <mergeCell ref="B21:E21"/>
    <mergeCell ref="F21:G21"/>
    <mergeCell ref="H21:I21"/>
    <mergeCell ref="J21:K21"/>
    <mergeCell ref="B22:E22"/>
    <mergeCell ref="F22:G22"/>
    <mergeCell ref="H22:I22"/>
    <mergeCell ref="J22:K22"/>
    <mergeCell ref="B19:E19"/>
    <mergeCell ref="F19:G19"/>
    <mergeCell ref="H19:I19"/>
    <mergeCell ref="J19:K19"/>
    <mergeCell ref="B20:E20"/>
    <mergeCell ref="F20:G20"/>
    <mergeCell ref="H20:I20"/>
    <mergeCell ref="J20:K20"/>
    <mergeCell ref="B17:E17"/>
    <mergeCell ref="H17:I17"/>
    <mergeCell ref="J17:K17"/>
    <mergeCell ref="B18:E18"/>
    <mergeCell ref="H18:I18"/>
    <mergeCell ref="J18:K18"/>
    <mergeCell ref="B15:E15"/>
    <mergeCell ref="H15:I15"/>
    <mergeCell ref="J15:K15"/>
    <mergeCell ref="B16:E16"/>
    <mergeCell ref="H16:I16"/>
    <mergeCell ref="J16:K16"/>
    <mergeCell ref="B13:E13"/>
    <mergeCell ref="H13:I13"/>
    <mergeCell ref="J13:K13"/>
    <mergeCell ref="B14:E14"/>
    <mergeCell ref="H14:I14"/>
    <mergeCell ref="J14:K14"/>
    <mergeCell ref="B11:K11"/>
    <mergeCell ref="B12:E12"/>
    <mergeCell ref="F12:G12"/>
    <mergeCell ref="H12:I12"/>
    <mergeCell ref="J12:K12"/>
    <mergeCell ref="A2:L2"/>
    <mergeCell ref="A3:L3"/>
    <mergeCell ref="A4:L4"/>
    <mergeCell ref="A5:L5"/>
    <mergeCell ref="A10:L10"/>
  </mergeCells>
  <pageMargins left="0.7" right="0.7" top="0.75" bottom="0.75" header="0.3" footer="0.3"/>
  <pageSetup paperSize="9" scale="65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zoomScale="98" zoomScaleNormal="100" workbookViewId="0">
      <selection activeCell="J19" sqref="J18:J19"/>
    </sheetView>
  </sheetViews>
  <sheetFormatPr defaultColWidth="8.75" defaultRowHeight="15"/>
  <cols>
    <col min="1" max="1" width="27.125" style="4" customWidth="1"/>
    <col min="2" max="11" width="9.625" style="4" customWidth="1"/>
    <col min="12" max="12" width="7.625" style="4" customWidth="1"/>
    <col min="13" max="13" width="8.75" style="4" hidden="1" customWidth="1"/>
    <col min="14" max="16384" width="8.75" style="4"/>
  </cols>
  <sheetData>
    <row r="1" spans="1:12" s="1" customFormat="1" ht="52.5" customHeight="1">
      <c r="C1" s="5"/>
      <c r="D1" s="6"/>
      <c r="H1" s="7"/>
    </row>
    <row r="2" spans="1:12" s="1" customFormat="1" ht="10.5" customHeight="1">
      <c r="A2" s="98" t="s">
        <v>0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</row>
    <row r="3" spans="1:12" s="1" customFormat="1" ht="15.95" customHeight="1">
      <c r="A3" s="98" t="s">
        <v>1</v>
      </c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</row>
    <row r="4" spans="1:12" s="1" customFormat="1" ht="15.95" customHeight="1">
      <c r="A4" s="98" t="s">
        <v>127</v>
      </c>
      <c r="B4" s="98"/>
      <c r="C4" s="98"/>
      <c r="D4" s="98"/>
      <c r="E4" s="98"/>
      <c r="F4" s="98"/>
      <c r="G4" s="98"/>
      <c r="H4" s="98"/>
      <c r="I4" s="98"/>
      <c r="J4" s="98"/>
      <c r="K4" s="98"/>
      <c r="L4" s="98"/>
    </row>
    <row r="5" spans="1:12" s="1" customFormat="1" ht="15.95" customHeight="1">
      <c r="A5" s="98" t="s">
        <v>3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</row>
    <row r="6" spans="1:12" s="1" customFormat="1" ht="8.25" customHeight="1">
      <c r="C6" s="7"/>
      <c r="H6" s="7"/>
    </row>
    <row r="7" spans="1:12" s="1" customFormat="1" ht="8.25" customHeight="1">
      <c r="C7" s="7"/>
      <c r="H7" s="7"/>
    </row>
    <row r="8" spans="1:12" s="1" customFormat="1" ht="12" customHeight="1">
      <c r="A8" s="8" t="s">
        <v>149</v>
      </c>
      <c r="B8" s="8"/>
      <c r="C8" s="99" t="s">
        <v>150</v>
      </c>
      <c r="D8" s="99"/>
      <c r="E8" s="99"/>
      <c r="F8" s="99"/>
      <c r="G8" s="99"/>
      <c r="I8" s="99" t="s">
        <v>151</v>
      </c>
      <c r="J8" s="99"/>
      <c r="K8" s="99"/>
      <c r="L8" s="8"/>
    </row>
    <row r="9" spans="1:12" s="1" customFormat="1" ht="12" customHeight="1">
      <c r="B9" s="9"/>
      <c r="C9" s="99" t="s">
        <v>152</v>
      </c>
      <c r="D9" s="99"/>
      <c r="E9" s="99"/>
      <c r="F9" s="99"/>
      <c r="G9" s="99"/>
      <c r="I9" s="100" t="s">
        <v>153</v>
      </c>
      <c r="J9" s="100"/>
      <c r="K9" s="100"/>
      <c r="L9" s="9"/>
    </row>
    <row r="10" spans="1:12" s="1" customFormat="1" ht="12" customHeight="1">
      <c r="A10" s="8" t="s">
        <v>154</v>
      </c>
      <c r="B10" s="8"/>
      <c r="C10" s="10"/>
      <c r="D10" s="9"/>
      <c r="E10" s="9"/>
      <c r="I10" s="99" t="s">
        <v>155</v>
      </c>
      <c r="J10" s="99"/>
      <c r="K10" s="99"/>
      <c r="L10" s="8"/>
    </row>
    <row r="11" spans="1:12" ht="16.5" customHeight="1">
      <c r="A11" s="101" t="s">
        <v>156</v>
      </c>
      <c r="B11" s="101"/>
      <c r="C11" s="101"/>
      <c r="D11" s="101"/>
      <c r="E11" s="101"/>
      <c r="F11" s="101"/>
      <c r="G11" s="101"/>
      <c r="H11" s="101"/>
      <c r="I11" s="101"/>
      <c r="J11" s="101"/>
      <c r="K11" s="101"/>
      <c r="L11" s="101"/>
    </row>
    <row r="12" spans="1:12" s="2" customFormat="1" ht="48">
      <c r="A12" s="11" t="s">
        <v>11</v>
      </c>
      <c r="B12" s="12" t="s">
        <v>157</v>
      </c>
      <c r="C12" s="12" t="s">
        <v>158</v>
      </c>
      <c r="D12" s="12" t="s">
        <v>159</v>
      </c>
      <c r="E12" s="12" t="s">
        <v>160</v>
      </c>
      <c r="F12" s="12" t="s">
        <v>161</v>
      </c>
      <c r="G12" s="12" t="s">
        <v>162</v>
      </c>
      <c r="H12" s="12" t="s">
        <v>163</v>
      </c>
      <c r="I12" s="12" t="s">
        <v>164</v>
      </c>
      <c r="J12" s="12" t="s">
        <v>165</v>
      </c>
      <c r="K12" s="12" t="s">
        <v>166</v>
      </c>
      <c r="L12" s="22" t="s">
        <v>15</v>
      </c>
    </row>
    <row r="13" spans="1:12" s="2" customFormat="1">
      <c r="A13" s="13" t="s">
        <v>167</v>
      </c>
      <c r="B13" s="14"/>
      <c r="C13" s="15"/>
      <c r="D13" s="15"/>
      <c r="E13" s="14">
        <v>1</v>
      </c>
      <c r="F13" s="14"/>
      <c r="G13" s="14"/>
      <c r="H13" s="15"/>
      <c r="I13" s="14"/>
      <c r="J13" s="14"/>
      <c r="K13" s="14"/>
      <c r="L13" s="23">
        <f>E13</f>
        <v>1</v>
      </c>
    </row>
    <row r="14" spans="1:12" s="2" customFormat="1">
      <c r="A14" s="16" t="s">
        <v>168</v>
      </c>
      <c r="B14" s="14"/>
      <c r="C14" s="15"/>
      <c r="D14" s="15"/>
      <c r="E14" s="14">
        <v>2</v>
      </c>
      <c r="F14" s="14"/>
      <c r="G14" s="14"/>
      <c r="H14" s="15"/>
      <c r="I14" s="14"/>
      <c r="J14" s="14"/>
      <c r="K14" s="14"/>
      <c r="L14" s="23">
        <f t="shared" ref="L14:L20" si="0">E14</f>
        <v>2</v>
      </c>
    </row>
    <row r="15" spans="1:12" s="3" customFormat="1">
      <c r="A15" s="17" t="s">
        <v>169</v>
      </c>
      <c r="B15" s="14"/>
      <c r="C15" s="15"/>
      <c r="D15" s="15"/>
      <c r="E15" s="14">
        <v>1</v>
      </c>
      <c r="F15" s="14"/>
      <c r="G15" s="14"/>
      <c r="H15" s="15"/>
      <c r="I15" s="14"/>
      <c r="J15" s="14"/>
      <c r="K15" s="14"/>
      <c r="L15" s="23">
        <f t="shared" si="0"/>
        <v>1</v>
      </c>
    </row>
    <row r="16" spans="1:12" s="3" customFormat="1">
      <c r="A16" s="18" t="s">
        <v>170</v>
      </c>
      <c r="B16" s="14"/>
      <c r="C16" s="15"/>
      <c r="D16" s="15"/>
      <c r="E16" s="14">
        <v>2</v>
      </c>
      <c r="F16" s="14"/>
      <c r="G16" s="14"/>
      <c r="H16" s="15"/>
      <c r="I16" s="14"/>
      <c r="J16" s="14"/>
      <c r="K16" s="14"/>
      <c r="L16" s="23">
        <f t="shared" si="0"/>
        <v>2</v>
      </c>
    </row>
    <row r="17" spans="1:12" s="3" customFormat="1">
      <c r="A17" s="19" t="s">
        <v>171</v>
      </c>
      <c r="B17" s="14"/>
      <c r="C17" s="15"/>
      <c r="D17" s="15"/>
      <c r="E17" s="14">
        <v>1</v>
      </c>
      <c r="F17" s="14"/>
      <c r="G17" s="14"/>
      <c r="H17" s="15"/>
      <c r="I17" s="14"/>
      <c r="J17" s="14"/>
      <c r="K17" s="14"/>
      <c r="L17" s="23">
        <f t="shared" si="0"/>
        <v>1</v>
      </c>
    </row>
    <row r="18" spans="1:12" s="3" customFormat="1">
      <c r="A18" s="16" t="s">
        <v>172</v>
      </c>
      <c r="B18" s="14"/>
      <c r="C18" s="15"/>
      <c r="D18" s="15"/>
      <c r="E18" s="14">
        <v>1</v>
      </c>
      <c r="F18" s="14"/>
      <c r="G18" s="14"/>
      <c r="H18" s="15"/>
      <c r="I18" s="14"/>
      <c r="J18" s="14"/>
      <c r="K18" s="14"/>
      <c r="L18" s="23">
        <f t="shared" si="0"/>
        <v>1</v>
      </c>
    </row>
    <row r="19" spans="1:12" s="3" customFormat="1">
      <c r="A19" s="20" t="s">
        <v>173</v>
      </c>
      <c r="B19" s="14"/>
      <c r="C19" s="15"/>
      <c r="D19" s="15"/>
      <c r="E19" s="14">
        <v>1</v>
      </c>
      <c r="F19" s="14"/>
      <c r="G19" s="14"/>
      <c r="H19" s="15"/>
      <c r="I19" s="14"/>
      <c r="J19" s="14"/>
      <c r="K19" s="14"/>
      <c r="L19" s="23">
        <f t="shared" si="0"/>
        <v>1</v>
      </c>
    </row>
    <row r="20" spans="1:12" s="3" customFormat="1">
      <c r="A20" s="20" t="s">
        <v>174</v>
      </c>
      <c r="B20" s="14"/>
      <c r="C20" s="15"/>
      <c r="D20" s="15"/>
      <c r="E20" s="14">
        <v>1</v>
      </c>
      <c r="F20" s="14"/>
      <c r="G20" s="14"/>
      <c r="H20" s="15"/>
      <c r="I20" s="14"/>
      <c r="J20" s="14"/>
      <c r="K20" s="14"/>
      <c r="L20" s="23">
        <f t="shared" si="0"/>
        <v>1</v>
      </c>
    </row>
    <row r="21" spans="1:12" s="3" customFormat="1">
      <c r="A21" s="21"/>
      <c r="B21" s="14"/>
      <c r="C21" s="15"/>
      <c r="D21" s="15"/>
      <c r="E21" s="14"/>
      <c r="F21" s="14"/>
      <c r="G21" s="14"/>
      <c r="H21" s="15"/>
      <c r="I21" s="14"/>
      <c r="J21" s="14"/>
      <c r="K21" s="24"/>
      <c r="L21" s="23"/>
    </row>
    <row r="22" spans="1:12" ht="75.75" customHeight="1">
      <c r="A22" s="102"/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</row>
    <row r="23" spans="1:12" s="1" customFormat="1">
      <c r="C23" s="7"/>
    </row>
    <row r="24" spans="1:12" s="1" customFormat="1">
      <c r="C24" s="7"/>
    </row>
  </sheetData>
  <mergeCells count="11">
    <mergeCell ref="C9:G9"/>
    <mergeCell ref="I9:K9"/>
    <mergeCell ref="I10:K10"/>
    <mergeCell ref="A11:L11"/>
    <mergeCell ref="A22:L22"/>
    <mergeCell ref="A2:L2"/>
    <mergeCell ref="A3:L3"/>
    <mergeCell ref="A4:L4"/>
    <mergeCell ref="A5:L5"/>
    <mergeCell ref="C8:G8"/>
    <mergeCell ref="I8:K8"/>
  </mergeCells>
  <printOptions horizontalCentered="1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Department of Education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JOCELYN MAMUGAY</cp:lastModifiedBy>
  <cp:revision/>
  <dcterms:created xsi:type="dcterms:W3CDTF">2021-10-07T06:10:00Z</dcterms:created>
  <dcterms:modified xsi:type="dcterms:W3CDTF">2026-02-04T00:54:54Z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B7FBF501A3FB47D5AF4FDB236860A7D4</vt:lpwstr>
  </property>
  <property fmtid="{D5CDD505-2E9C-101B-9397-08002B2CF9AE}" pid="3" name="KSOProductBuildVer">
    <vt:lpwstr>1033-12.2.0.23196</vt:lpwstr>
  </property>
</Properties>
</file>