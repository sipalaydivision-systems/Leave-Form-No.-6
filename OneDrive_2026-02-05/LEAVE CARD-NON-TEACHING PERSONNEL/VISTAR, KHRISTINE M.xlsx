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604CCAF7-D9BF-48F5-9176-B62E054103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6" r:id="rId1"/>
    <sheet name="CTO " sheetId="10" r:id="rId2"/>
    <sheet name="ELECTION" sheetId="11" r:id="rId3"/>
  </sheets>
  <definedNames>
    <definedName name="_xlnm.Print_Area" localSheetId="1">'CTO '!$A$1:$G$34</definedName>
    <definedName name="_xlnm.Print_Area" localSheetId="0">'Leave Card (NE)'!$A$1:$J$114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7" i="6" l="1"/>
  <c r="J107" i="6" s="1"/>
  <c r="I107" i="6"/>
  <c r="I18" i="11"/>
  <c r="I13" i="6" l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I86" i="6" s="1"/>
  <c r="I87" i="6" s="1"/>
  <c r="I88" i="6" s="1"/>
  <c r="I89" i="6" s="1"/>
  <c r="I90" i="6" s="1"/>
  <c r="I91" i="6" s="1"/>
  <c r="I92" i="6" s="1"/>
  <c r="I93" i="6" s="1"/>
  <c r="I94" i="6" s="1"/>
  <c r="I95" i="6" s="1"/>
  <c r="I96" i="6" s="1"/>
  <c r="I97" i="6" s="1"/>
  <c r="I98" i="6" s="1"/>
  <c r="I99" i="6" s="1"/>
  <c r="I100" i="6" s="1"/>
  <c r="I101" i="6" s="1"/>
  <c r="I102" i="6" s="1"/>
  <c r="I103" i="6" s="1"/>
  <c r="I104" i="6" s="1"/>
  <c r="I105" i="6" s="1"/>
  <c r="I106" i="6" s="1"/>
  <c r="H13" i="6"/>
  <c r="H14" i="6" s="1"/>
  <c r="H15" i="6" l="1"/>
  <c r="J15" i="6" s="1"/>
  <c r="J14" i="6"/>
  <c r="J13" i="6"/>
  <c r="H16" i="6" l="1"/>
  <c r="J16" i="6" s="1"/>
  <c r="H17" i="6" l="1"/>
  <c r="H18" i="6" s="1"/>
  <c r="J17" i="6" l="1"/>
  <c r="H19" i="6"/>
  <c r="J18" i="6"/>
  <c r="J19" i="6" l="1"/>
  <c r="H20" i="6"/>
  <c r="J20" i="6" l="1"/>
  <c r="H21" i="6"/>
  <c r="J21" i="6" l="1"/>
  <c r="H22" i="6"/>
  <c r="J22" i="6" l="1"/>
  <c r="H23" i="6"/>
  <c r="H24" i="6" s="1"/>
  <c r="J24" i="6" l="1"/>
  <c r="H25" i="6"/>
  <c r="J23" i="6"/>
  <c r="J25" i="6" l="1"/>
  <c r="H26" i="6"/>
  <c r="J26" i="6" l="1"/>
  <c r="H27" i="6"/>
  <c r="J27" i="6" l="1"/>
  <c r="H28" i="6"/>
  <c r="H29" i="6" l="1"/>
  <c r="J28" i="6"/>
  <c r="H30" i="6" l="1"/>
  <c r="J29" i="6"/>
  <c r="H31" i="6" l="1"/>
  <c r="J30" i="6"/>
  <c r="J31" i="6" l="1"/>
  <c r="H32" i="6"/>
  <c r="H33" i="6" l="1"/>
  <c r="J32" i="6"/>
  <c r="H34" i="6" l="1"/>
  <c r="J33" i="6"/>
  <c r="H35" i="6" l="1"/>
  <c r="J34" i="6"/>
  <c r="H36" i="6" l="1"/>
  <c r="J35" i="6"/>
  <c r="J36" i="6" l="1"/>
  <c r="H37" i="6"/>
  <c r="J37" i="6" l="1"/>
  <c r="H38" i="6"/>
  <c r="J38" i="6" l="1"/>
  <c r="H39" i="6"/>
  <c r="H40" i="6" l="1"/>
  <c r="J39" i="6"/>
  <c r="J40" i="6" l="1"/>
  <c r="H41" i="6"/>
  <c r="J41" i="6" l="1"/>
  <c r="H42" i="6"/>
  <c r="J42" i="6" l="1"/>
  <c r="H43" i="6"/>
  <c r="H44" i="6" l="1"/>
  <c r="J43" i="6"/>
  <c r="H45" i="6" l="1"/>
  <c r="J44" i="6"/>
  <c r="H46" i="6" l="1"/>
  <c r="J45" i="6"/>
  <c r="H47" i="6" l="1"/>
  <c r="J46" i="6"/>
  <c r="J47" i="6" l="1"/>
  <c r="H48" i="6"/>
  <c r="J48" i="6" l="1"/>
  <c r="H49" i="6"/>
  <c r="H50" i="6" l="1"/>
  <c r="J49" i="6"/>
  <c r="J50" i="6" l="1"/>
  <c r="H51" i="6"/>
  <c r="H52" i="6" l="1"/>
  <c r="J51" i="6"/>
  <c r="J52" i="6" l="1"/>
  <c r="H53" i="6"/>
  <c r="H54" i="6" l="1"/>
  <c r="J53" i="6"/>
  <c r="H55" i="6" l="1"/>
  <c r="J54" i="6"/>
  <c r="J55" i="6" l="1"/>
  <c r="H56" i="6"/>
  <c r="J56" i="6" l="1"/>
  <c r="H57" i="6"/>
  <c r="H58" i="6" l="1"/>
  <c r="J57" i="6"/>
  <c r="J58" i="6" l="1"/>
  <c r="H59" i="6"/>
  <c r="J59" i="6" l="1"/>
  <c r="H60" i="6"/>
  <c r="J60" i="6" l="1"/>
  <c r="H61" i="6"/>
  <c r="J61" i="6" l="1"/>
  <c r="H62" i="6"/>
  <c r="J62" i="6" l="1"/>
  <c r="H63" i="6"/>
  <c r="J63" i="6" l="1"/>
  <c r="H64" i="6"/>
  <c r="H65" i="6" l="1"/>
  <c r="J64" i="6"/>
  <c r="J65" i="6" l="1"/>
  <c r="H66" i="6"/>
  <c r="H67" i="6" l="1"/>
  <c r="J66" i="6"/>
  <c r="H68" i="6" l="1"/>
  <c r="J67" i="6"/>
  <c r="H69" i="6" l="1"/>
  <c r="J68" i="6"/>
  <c r="H70" i="6" l="1"/>
  <c r="J69" i="6"/>
  <c r="H71" i="6" l="1"/>
  <c r="J70" i="6"/>
  <c r="H72" i="6" l="1"/>
  <c r="J71" i="6"/>
  <c r="H73" i="6" l="1"/>
  <c r="J72" i="6"/>
  <c r="J73" i="6" l="1"/>
  <c r="H74" i="6"/>
  <c r="H75" i="6" l="1"/>
  <c r="J74" i="6"/>
  <c r="H76" i="6" l="1"/>
  <c r="J75" i="6"/>
  <c r="H77" i="6" l="1"/>
  <c r="J76" i="6"/>
  <c r="J77" i="6" l="1"/>
  <c r="H78" i="6"/>
  <c r="H79" i="6" l="1"/>
  <c r="J78" i="6"/>
  <c r="H80" i="6" l="1"/>
  <c r="J79" i="6"/>
  <c r="H81" i="6" l="1"/>
  <c r="J80" i="6"/>
  <c r="J81" i="6" l="1"/>
  <c r="H82" i="6"/>
  <c r="H83" i="6" l="1"/>
  <c r="J82" i="6"/>
  <c r="H84" i="6" l="1"/>
  <c r="J83" i="6"/>
  <c r="H85" i="6" l="1"/>
  <c r="J84" i="6"/>
  <c r="J85" i="6" l="1"/>
  <c r="H86" i="6"/>
  <c r="J86" i="6" l="1"/>
  <c r="H87" i="6"/>
  <c r="H88" i="6" l="1"/>
  <c r="J87" i="6"/>
  <c r="J88" i="6" l="1"/>
  <c r="H89" i="6"/>
  <c r="H90" i="6" l="1"/>
  <c r="J89" i="6"/>
  <c r="J90" i="6" l="1"/>
  <c r="H91" i="6"/>
  <c r="J91" i="6" l="1"/>
  <c r="H92" i="6"/>
  <c r="J92" i="6" l="1"/>
  <c r="H93" i="6"/>
  <c r="J93" i="6" l="1"/>
  <c r="H94" i="6"/>
  <c r="H95" i="6" l="1"/>
  <c r="J94" i="6"/>
  <c r="J95" i="6" l="1"/>
  <c r="H96" i="6"/>
  <c r="J96" i="6" l="1"/>
  <c r="H97" i="6"/>
  <c r="J97" i="6" l="1"/>
  <c r="H98" i="6"/>
  <c r="J98" i="6" l="1"/>
  <c r="H99" i="6"/>
  <c r="H100" i="6" l="1"/>
  <c r="J99" i="6"/>
  <c r="J100" i="6" l="1"/>
  <c r="H101" i="6"/>
  <c r="J101" i="6" l="1"/>
  <c r="H102" i="6"/>
  <c r="H103" i="6" l="1"/>
  <c r="J102" i="6"/>
  <c r="J103" i="6" l="1"/>
  <c r="H104" i="6"/>
  <c r="J104" i="6" l="1"/>
  <c r="H105" i="6"/>
  <c r="H106" i="6" l="1"/>
  <c r="J106" i="6" s="1"/>
  <c r="J105" i="6"/>
</calcChain>
</file>

<file path=xl/sharedStrings.xml><?xml version="1.0" encoding="utf-8"?>
<sst xmlns="http://schemas.openxmlformats.org/spreadsheetml/2006/main" count="140" uniqueCount="112">
  <si>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</si>
  <si>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</si>
  <si>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</si>
  <si>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</si>
  <si>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</si>
  <si>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</si>
  <si>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</si>
  <si>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</si>
  <si>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</si>
  <si>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</si>
  <si>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</si>
  <si>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DATE FILED/RECEIVED</t>
  </si>
  <si>
    <t>SPECIAL</t>
  </si>
  <si>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</si>
  <si>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</si>
  <si>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</si>
  <si>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</si>
  <si>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</si>
  <si>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</si>
  <si>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POSITION: __________________________</t>
  </si>
  <si>
    <t>SCHOOL/OFFICE:_____________________</t>
  </si>
  <si>
    <t>No. of Days Granted</t>
  </si>
  <si>
    <t>No. of Days Used</t>
  </si>
  <si>
    <t>Balance</t>
  </si>
  <si>
    <t xml:space="preserve">  </t>
  </si>
  <si>
    <t>LESS: FL 2023</t>
  </si>
  <si>
    <t>LESS: MONETIZATION 2024</t>
  </si>
  <si>
    <t>ADD: 08/1/2024-09/30/2024</t>
  </si>
  <si>
    <t>ADD: UNUSED VSC 7 DAYS                       FORMULA: 30Y/69</t>
  </si>
  <si>
    <t>ADD: 09/01/2022-12/31/2022</t>
  </si>
  <si>
    <t>ADD: 01/01/2023-10/31/2023</t>
  </si>
  <si>
    <t>LESS: 10/11/2023</t>
  </si>
  <si>
    <t>ADD: 11/1-30/2023</t>
  </si>
  <si>
    <t>ADD: 12/1-31/2023</t>
  </si>
  <si>
    <t>ADD: JAN. -JULY 31, 2024</t>
  </si>
  <si>
    <t>LESS: 10/11/2024</t>
  </si>
  <si>
    <r>
      <t>NAME          :</t>
    </r>
    <r>
      <rPr>
        <b/>
        <u/>
        <sz val="12"/>
        <color theme="1"/>
        <rFont val="Calibri"/>
        <family val="2"/>
        <scheme val="minor"/>
      </rPr>
      <t xml:space="preserve"> VISTAR, KHRISTINE M.</t>
    </r>
  </si>
  <si>
    <t xml:space="preserve">DISTRICT : </t>
  </si>
  <si>
    <t xml:space="preserve">EMPLOYEE NO.: </t>
  </si>
  <si>
    <t xml:space="preserve">STATION CODE: </t>
  </si>
  <si>
    <r>
      <t xml:space="preserve">POSITION   : </t>
    </r>
    <r>
      <rPr>
        <b/>
        <u/>
        <sz val="12"/>
        <color theme="1"/>
        <rFont val="Calibri"/>
        <family val="2"/>
        <scheme val="minor"/>
      </rPr>
      <t>EPS-II</t>
    </r>
  </si>
  <si>
    <t xml:space="preserve">DIVISION CODE: </t>
  </si>
  <si>
    <t>COMPENSATORY TIME-OFF (CTO)</t>
  </si>
  <si>
    <t>SPECIAL ORDER NO.</t>
  </si>
  <si>
    <t>DATE RELEASED:</t>
  </si>
  <si>
    <t>TITLE OF ACTIVITY/TRAINING                                              (SUMMER &amp; CHRISTMAS VACATION, WEEKENDS OR HOLIDAYS)</t>
  </si>
  <si>
    <t>DepEd Day Celebration 2023</t>
  </si>
  <si>
    <t>LESS: 09/04/2024</t>
  </si>
  <si>
    <t>DIVISION SPORTS MEET 2024</t>
  </si>
  <si>
    <t>LESS: 09/6/2024</t>
  </si>
  <si>
    <t>05/20/2024</t>
  </si>
  <si>
    <t>PALARONG PANLALAWIGAN 2024</t>
  </si>
  <si>
    <t>LESS: 10/15/2024</t>
  </si>
  <si>
    <t>NOTE:  Valid for one (1) year only</t>
  </si>
  <si>
    <t>ADD: 10/1-31/2024</t>
  </si>
  <si>
    <t>LESS: 11/15 &amp; 22/2024</t>
  </si>
  <si>
    <t>LESS: 12/23,26, 27/2024</t>
  </si>
  <si>
    <t>LESS: 11/4/2024</t>
  </si>
  <si>
    <t>ADD: 11/1-30/2024</t>
  </si>
  <si>
    <t>LESS: 12/18-19/2024</t>
  </si>
  <si>
    <t>ADD: 12/1-31/2024</t>
  </si>
  <si>
    <t>LESS: 01/2-3/2025</t>
  </si>
  <si>
    <t>ADD: SO # 015, 2024</t>
  </si>
  <si>
    <t>ADD: SO # 001, s. 2024</t>
  </si>
  <si>
    <t>LESS: 01/23/2025</t>
  </si>
  <si>
    <t>ADD: SO # 024, 2024</t>
  </si>
  <si>
    <t>06/26/2024</t>
  </si>
  <si>
    <t>126TH PHIL. IND. DAY</t>
  </si>
  <si>
    <t>LESS: 02/18/2025</t>
  </si>
  <si>
    <t>127th PHIL. IND. DAY</t>
  </si>
  <si>
    <t>ADD: 1/1-31/2025</t>
  </si>
  <si>
    <t>LESS: 02/24/2025</t>
  </si>
  <si>
    <t>LESS: 02/26/2025</t>
  </si>
  <si>
    <t>ADD: 02/1/2025-03/31/2025</t>
  </si>
  <si>
    <t>LESS: 03/6,7,10, 31/2025</t>
  </si>
  <si>
    <t>LESS: 04/16/2025</t>
  </si>
  <si>
    <t>ADD: SO # 005, 2025</t>
  </si>
  <si>
    <t>03/21/2025</t>
  </si>
  <si>
    <t>DIVISION WORKSHOP ON CAMPUS JOURNALISM</t>
  </si>
  <si>
    <t>ADD: SO # 006, 2024</t>
  </si>
  <si>
    <t>LESS: 04/29-30/2025 &amp; 05/14/2025</t>
  </si>
  <si>
    <t>SPECIAL ORDER FOR ELECTION (NATONAL/BARANGAY AND SK ELECTION)</t>
  </si>
  <si>
    <t>SPECIAL ORDER NO. AND DATE ISSUED</t>
  </si>
  <si>
    <t>RELEASED DATE</t>
  </si>
  <si>
    <t xml:space="preserve"> ELECTION</t>
  </si>
  <si>
    <t>ADD: S.0 # 010, s. 2024</t>
  </si>
  <si>
    <t>04/30/2024</t>
  </si>
  <si>
    <t>OCTOBER 30, 2023 BRGY. &amp; SK ELECTION</t>
  </si>
  <si>
    <t>LESS: 06/18/2025</t>
  </si>
  <si>
    <t>ADD: 04/1/2025-06/30/2025</t>
  </si>
  <si>
    <t>LESS: 06/28/2025</t>
  </si>
  <si>
    <t>ADD: 07/1-31/2025</t>
  </si>
  <si>
    <t>LESS: 07/9 &amp; 11/2025</t>
  </si>
  <si>
    <t>LESS: 08/11/2025</t>
  </si>
  <si>
    <t>ADD: 08/1-31/2025</t>
  </si>
  <si>
    <t>LESS: MONETIZATION 2025 (30 DAYS)</t>
  </si>
  <si>
    <t>NEGROS ISLAND REGION</t>
  </si>
  <si>
    <t>05/13/2025</t>
  </si>
  <si>
    <t>ADD: S.O. # 019, S. 2025</t>
  </si>
  <si>
    <t>LESS: 08/27-29/2025</t>
  </si>
  <si>
    <t>PROVINCIAL MEET 2025</t>
  </si>
  <si>
    <t xml:space="preserve"> PROVINCIAL MEET 2025</t>
  </si>
  <si>
    <t>ADD: S.O. # 104 &amp; 108, S. 2025</t>
  </si>
  <si>
    <t>INTERFACING ACTIVITY WITH PRIMARY AND ALTERNATIVE DIVISION INFORMATION OFFICERS &amp; DIVISION TRAINING ON PHASE II IMPLEMENTATION OF THE REVISED K-12 CURRICULUM</t>
  </si>
  <si>
    <t>LESS: 09/24, 29 &amp; 10/1/2025</t>
  </si>
  <si>
    <t>08/11/2025 08/17/2025</t>
  </si>
  <si>
    <t>SCHOOL/OFFICE : SGOD</t>
  </si>
  <si>
    <t>ADD: 09/1/2025-10/31/2025</t>
  </si>
  <si>
    <t>LESS: 11/10/2025</t>
  </si>
  <si>
    <t>date filed: 10/10/2025</t>
  </si>
  <si>
    <t>LESS: 11/28/2025</t>
  </si>
  <si>
    <t>LESS: 12/4, 9 &amp; 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</si>
</sst>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0" fillId="0" borderId="0"/>
    <xf numFmtId="0" fontId="10" fillId="0" borderId="0"/>
    <xf numFmtId="0" fontId="10" fillId="0" borderId="0"/>
  </cellStyleXfs>
  <cellXfs count="151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164" fontId="0" fillId="0" borderId="20" xfId="0" applyNumberFormat="1" applyBorder="1" applyAlignment="1">
      <alignment horizontal="center" vertical="center"/>
    </xf>
    <xf numFmtId="164" fontId="0" fillId="2" borderId="20" xfId="0" applyNumberFormat="1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0" fillId="2" borderId="0" xfId="1" applyFill="1"/>
    <xf numFmtId="0" fontId="10" fillId="2" borderId="0" xfId="1" applyFill="1" applyAlignment="1">
      <alignment horizontal="center"/>
    </xf>
    <xf numFmtId="0" fontId="11" fillId="2" borderId="0" xfId="1" applyFont="1" applyFill="1" applyAlignment="1">
      <alignment vertical="center"/>
    </xf>
    <xf numFmtId="0" fontId="1" fillId="2" borderId="0" xfId="1" applyFont="1" applyFill="1" applyAlignment="1">
      <alignment horizontal="left" vertical="center"/>
    </xf>
    <xf numFmtId="0" fontId="1" fillId="2" borderId="0" xfId="1" applyFont="1" applyFill="1" applyAlignment="1">
      <alignment vertical="center"/>
    </xf>
    <xf numFmtId="0" fontId="13" fillId="2" borderId="0" xfId="1" applyFont="1" applyFill="1"/>
    <xf numFmtId="0" fontId="1" fillId="2" borderId="0" xfId="1" applyFont="1" applyFill="1"/>
    <xf numFmtId="0" fontId="1" fillId="2" borderId="0" xfId="1" applyFont="1" applyFill="1" applyAlignment="1">
      <alignment horizontal="left"/>
    </xf>
    <xf numFmtId="0" fontId="10" fillId="0" borderId="0" xfId="1"/>
    <xf numFmtId="0" fontId="3" fillId="7" borderId="24" xfId="1" applyFont="1" applyFill="1" applyBorder="1" applyAlignment="1">
      <alignment horizontal="center" vertical="center" wrapText="1"/>
    </xf>
    <xf numFmtId="0" fontId="3" fillId="7" borderId="24" xfId="1" applyFont="1" applyFill="1" applyBorder="1" applyAlignment="1">
      <alignment horizontal="center" vertical="center"/>
    </xf>
    <xf numFmtId="0" fontId="8" fillId="8" borderId="27" xfId="1" applyFont="1" applyFill="1" applyBorder="1" applyAlignment="1">
      <alignment horizontal="center" vertical="center" wrapText="1"/>
    </xf>
    <xf numFmtId="0" fontId="3" fillId="7" borderId="28" xfId="1" applyFont="1" applyFill="1" applyBorder="1" applyAlignment="1">
      <alignment horizontal="center" vertical="center"/>
    </xf>
    <xf numFmtId="0" fontId="7" fillId="0" borderId="0" xfId="1" applyFont="1"/>
    <xf numFmtId="14" fontId="13" fillId="2" borderId="20" xfId="1" applyNumberFormat="1" applyFont="1" applyFill="1" applyBorder="1" applyAlignment="1">
      <alignment horizontal="center" vertical="center"/>
    </xf>
    <xf numFmtId="0" fontId="14" fillId="2" borderId="19" xfId="1" applyFont="1" applyFill="1" applyBorder="1" applyAlignment="1">
      <alignment horizontal="center" vertical="center" wrapText="1"/>
    </xf>
    <xf numFmtId="0" fontId="15" fillId="2" borderId="19" xfId="1" applyFont="1" applyFill="1" applyBorder="1" applyAlignment="1">
      <alignment horizontal="center" vertical="center" wrapText="1"/>
    </xf>
    <xf numFmtId="0" fontId="11" fillId="2" borderId="3" xfId="1" applyFont="1" applyFill="1" applyBorder="1" applyAlignment="1">
      <alignment horizontal="center" vertical="center" wrapText="1"/>
    </xf>
    <xf numFmtId="0" fontId="13" fillId="2" borderId="6" xfId="1" applyFont="1" applyFill="1" applyBorder="1" applyAlignment="1">
      <alignment horizontal="center" vertical="center" wrapText="1"/>
    </xf>
    <xf numFmtId="0" fontId="13" fillId="2" borderId="20" xfId="1" applyFont="1" applyFill="1" applyBorder="1" applyAlignment="1">
      <alignment horizontal="center" vertical="center" wrapText="1"/>
    </xf>
    <xf numFmtId="0" fontId="15" fillId="2" borderId="10" xfId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0" fontId="6" fillId="0" borderId="0" xfId="1" applyFont="1"/>
    <xf numFmtId="14" fontId="13" fillId="2" borderId="20" xfId="1" applyNumberFormat="1" applyFont="1" applyFill="1" applyBorder="1" applyAlignment="1">
      <alignment horizontal="center" vertical="center" wrapText="1"/>
    </xf>
    <xf numFmtId="0" fontId="14" fillId="2" borderId="10" xfId="1" applyFont="1" applyFill="1" applyBorder="1" applyAlignment="1">
      <alignment horizontal="center" vertical="center" wrapText="1"/>
    </xf>
    <xf numFmtId="0" fontId="13" fillId="2" borderId="0" xfId="1" applyFont="1" applyFill="1" applyAlignment="1">
      <alignment horizontal="center" vertical="center" wrapText="1"/>
    </xf>
    <xf numFmtId="0" fontId="14" fillId="2" borderId="0" xfId="1" applyFont="1" applyFill="1" applyAlignment="1">
      <alignment horizontal="center" vertical="center" wrapText="1"/>
    </xf>
    <xf numFmtId="0" fontId="15" fillId="2" borderId="0" xfId="1" applyFont="1" applyFill="1" applyAlignment="1">
      <alignment horizontal="center" vertical="center" wrapText="1"/>
    </xf>
    <xf numFmtId="0" fontId="11" fillId="2" borderId="0" xfId="1" applyFont="1" applyFill="1" applyAlignment="1">
      <alignment horizontal="center" vertical="center" wrapText="1"/>
    </xf>
    <xf numFmtId="0" fontId="10" fillId="0" borderId="0" xfId="2" applyAlignment="1">
      <alignment vertical="center"/>
    </xf>
    <xf numFmtId="0" fontId="13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10" fillId="9" borderId="0" xfId="1" applyFill="1"/>
    <xf numFmtId="0" fontId="10" fillId="10" borderId="0" xfId="1" applyFill="1"/>
    <xf numFmtId="0" fontId="11" fillId="11" borderId="2" xfId="1" applyFont="1" applyFill="1" applyBorder="1" applyAlignment="1">
      <alignment horizontal="center" vertical="center" wrapText="1"/>
    </xf>
    <xf numFmtId="164" fontId="0" fillId="1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0" fontId="10" fillId="2" borderId="0" xfId="3" applyFill="1"/>
    <xf numFmtId="0" fontId="1" fillId="2" borderId="0" xfId="3" applyFont="1" applyFill="1" applyAlignment="1">
      <alignment horizontal="left" vertical="center"/>
    </xf>
    <xf numFmtId="0" fontId="1" fillId="2" borderId="4" xfId="3" applyFont="1" applyFill="1" applyBorder="1" applyAlignment="1">
      <alignment horizontal="center" vertical="center"/>
    </xf>
    <xf numFmtId="0" fontId="1" fillId="2" borderId="0" xfId="3" applyFont="1" applyFill="1" applyAlignment="1">
      <alignment vertical="center"/>
    </xf>
    <xf numFmtId="0" fontId="1" fillId="2" borderId="0" xfId="3" applyFont="1" applyFill="1"/>
    <xf numFmtId="0" fontId="1" fillId="2" borderId="4" xfId="3" applyFont="1" applyFill="1" applyBorder="1" applyAlignment="1">
      <alignment vertical="center"/>
    </xf>
    <xf numFmtId="0" fontId="13" fillId="2" borderId="20" xfId="3" applyFont="1" applyFill="1" applyBorder="1" applyAlignment="1">
      <alignment horizontal="center" vertical="center" wrapText="1"/>
    </xf>
    <xf numFmtId="0" fontId="13" fillId="2" borderId="20" xfId="3" applyFont="1" applyFill="1" applyBorder="1" applyAlignment="1">
      <alignment horizontal="center" vertical="center"/>
    </xf>
    <xf numFmtId="0" fontId="15" fillId="2" borderId="20" xfId="3" applyFont="1" applyFill="1" applyBorder="1" applyAlignment="1">
      <alignment horizontal="center" vertical="center" wrapText="1"/>
    </xf>
    <xf numFmtId="0" fontId="11" fillId="2" borderId="20" xfId="3" applyFont="1" applyFill="1" applyBorder="1" applyAlignment="1">
      <alignment horizontal="center" vertical="center" wrapText="1"/>
    </xf>
    <xf numFmtId="0" fontId="13" fillId="0" borderId="0" xfId="0" applyFont="1"/>
    <xf numFmtId="0" fontId="13" fillId="2" borderId="1" xfId="3" applyFont="1" applyFill="1" applyBorder="1" applyAlignment="1">
      <alignment horizontal="center" vertical="center" wrapText="1"/>
    </xf>
    <xf numFmtId="0" fontId="13" fillId="2" borderId="1" xfId="3" applyFont="1" applyFill="1" applyBorder="1" applyAlignment="1">
      <alignment horizontal="center" vertical="center"/>
    </xf>
    <xf numFmtId="0" fontId="15" fillId="2" borderId="1" xfId="3" applyFont="1" applyFill="1" applyBorder="1" applyAlignment="1">
      <alignment horizontal="center" vertical="center" wrapText="1"/>
    </xf>
    <xf numFmtId="0" fontId="0" fillId="2" borderId="0" xfId="3" applyFont="1" applyFill="1" applyAlignment="1">
      <alignment horizontal="center" vertical="center" wrapText="1"/>
    </xf>
    <xf numFmtId="0" fontId="0" fillId="2" borderId="0" xfId="3" applyFont="1" applyFill="1" applyAlignment="1">
      <alignment horizontal="center" vertical="center"/>
    </xf>
    <xf numFmtId="0" fontId="8" fillId="2" borderId="0" xfId="3" applyFont="1" applyFill="1" applyAlignment="1">
      <alignment horizontal="center" vertical="center" wrapText="1"/>
    </xf>
    <xf numFmtId="0" fontId="10" fillId="0" borderId="0" xfId="3" applyAlignment="1">
      <alignment horizontal="center" vertical="center" wrapText="1"/>
    </xf>
    <xf numFmtId="0" fontId="6" fillId="2" borderId="0" xfId="3" applyFont="1" applyFill="1" applyAlignment="1">
      <alignment horizontal="center" vertical="center"/>
    </xf>
    <xf numFmtId="0" fontId="6" fillId="2" borderId="0" xfId="3" applyFont="1" applyFill="1" applyAlignment="1">
      <alignment vertical="center"/>
    </xf>
    <xf numFmtId="0" fontId="10" fillId="2" borderId="0" xfId="3" applyFill="1" applyAlignment="1">
      <alignment horizontal="center"/>
    </xf>
    <xf numFmtId="0" fontId="10" fillId="0" borderId="0" xfId="3"/>
    <xf numFmtId="0" fontId="11" fillId="0" borderId="1" xfId="3" applyFont="1" applyBorder="1" applyAlignment="1">
      <alignment horizontal="center" vertical="center" wrapText="1"/>
    </xf>
    <xf numFmtId="0" fontId="16" fillId="2" borderId="10" xfId="2" applyFont="1" applyFill="1" applyBorder="1" applyAlignment="1">
      <alignment horizontal="center" vertical="center" wrapText="1"/>
    </xf>
    <xf numFmtId="0" fontId="16" fillId="2" borderId="10" xfId="1" applyFont="1" applyFill="1" applyBorder="1" applyAlignment="1">
      <alignment horizontal="center" vertical="center" wrapText="1"/>
    </xf>
    <xf numFmtId="0" fontId="16" fillId="2" borderId="1" xfId="2" applyFont="1" applyFill="1" applyBorder="1" applyAlignment="1">
      <alignment horizontal="center" vertical="center" wrapText="1"/>
    </xf>
    <xf numFmtId="0" fontId="10" fillId="11" borderId="2" xfId="1" applyFill="1" applyBorder="1" applyAlignment="1">
      <alignment horizontal="center" vertical="center" wrapText="1"/>
    </xf>
    <xf numFmtId="0" fontId="10" fillId="2" borderId="1" xfId="2" applyFill="1" applyBorder="1" applyAlignment="1">
      <alignment horizontal="center" vertical="center" wrapText="1"/>
    </xf>
    <xf numFmtId="0" fontId="17" fillId="2" borderId="10" xfId="2" applyFont="1" applyFill="1" applyBorder="1" applyAlignment="1">
      <alignment vertical="center" wrapText="1"/>
    </xf>
    <xf numFmtId="0" fontId="17" fillId="2" borderId="10" xfId="2" applyFont="1" applyFill="1" applyBorder="1" applyAlignment="1">
      <alignment horizontal="center" vertical="center" wrapText="1"/>
    </xf>
    <xf numFmtId="0" fontId="11" fillId="2" borderId="6" xfId="1" applyFont="1" applyFill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 wrapText="1"/>
    </xf>
    <xf numFmtId="0" fontId="1" fillId="2" borderId="1" xfId="2" applyFont="1" applyFill="1" applyBorder="1" applyAlignment="1">
      <alignment horizontal="center" vertical="center" wrapText="1"/>
    </xf>
    <xf numFmtId="0" fontId="0" fillId="2" borderId="1" xfId="2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13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0" fontId="2" fillId="2" borderId="24" xfId="1" applyFont="1" applyFill="1" applyBorder="1" applyAlignment="1">
      <alignment horizontal="center" vertical="center"/>
    </xf>
    <xf numFmtId="0" fontId="2" fillId="2" borderId="25" xfId="1" applyFont="1" applyFill="1" applyBorder="1" applyAlignment="1">
      <alignment horizontal="center" vertical="center"/>
    </xf>
    <xf numFmtId="0" fontId="2" fillId="2" borderId="26" xfId="1" applyFont="1" applyFill="1" applyBorder="1" applyAlignment="1">
      <alignment horizontal="center" vertical="center"/>
    </xf>
    <xf numFmtId="0" fontId="1" fillId="2" borderId="0" xfId="3" applyFont="1" applyFill="1" applyAlignment="1">
      <alignment horizontal="left" vertical="center"/>
    </xf>
    <xf numFmtId="0" fontId="10" fillId="2" borderId="0" xfId="3" applyFill="1" applyAlignment="1">
      <alignment horizontal="center" vertical="center"/>
    </xf>
    <xf numFmtId="0" fontId="14" fillId="2" borderId="19" xfId="3" applyFont="1" applyFill="1" applyBorder="1" applyAlignment="1">
      <alignment horizontal="center" vertical="center" wrapText="1"/>
    </xf>
    <xf numFmtId="0" fontId="14" fillId="2" borderId="4" xfId="3" applyFont="1" applyFill="1" applyBorder="1" applyAlignment="1">
      <alignment horizontal="center" vertical="center" wrapText="1"/>
    </xf>
    <xf numFmtId="0" fontId="14" fillId="2" borderId="36" xfId="3" applyFont="1" applyFill="1" applyBorder="1" applyAlignment="1">
      <alignment horizontal="center" vertical="center" wrapText="1"/>
    </xf>
    <xf numFmtId="0" fontId="14" fillId="2" borderId="10" xfId="3" applyFont="1" applyFill="1" applyBorder="1" applyAlignment="1">
      <alignment horizontal="center" vertical="center" wrapText="1"/>
    </xf>
    <xf numFmtId="0" fontId="14" fillId="2" borderId="11" xfId="3" applyFont="1" applyFill="1" applyBorder="1" applyAlignment="1">
      <alignment horizontal="center" vertical="center" wrapText="1"/>
    </xf>
    <xf numFmtId="0" fontId="14" fillId="2" borderId="37" xfId="3" applyFont="1" applyFill="1" applyBorder="1" applyAlignment="1">
      <alignment horizontal="center" vertical="center" wrapText="1"/>
    </xf>
    <xf numFmtId="0" fontId="2" fillId="2" borderId="13" xfId="3" applyFont="1" applyFill="1" applyBorder="1" applyAlignment="1">
      <alignment horizontal="center" vertical="center"/>
    </xf>
    <xf numFmtId="0" fontId="3" fillId="7" borderId="5" xfId="3" applyFont="1" applyFill="1" applyBorder="1" applyAlignment="1">
      <alignment horizontal="center" vertical="center" wrapText="1"/>
    </xf>
    <xf numFmtId="0" fontId="3" fillId="7" borderId="9" xfId="3" applyFont="1" applyFill="1" applyBorder="1" applyAlignment="1">
      <alignment horizontal="center" vertical="center" wrapText="1"/>
    </xf>
    <xf numFmtId="0" fontId="3" fillId="7" borderId="21" xfId="3" applyFont="1" applyFill="1" applyBorder="1" applyAlignment="1">
      <alignment horizontal="center" vertical="center" wrapText="1"/>
    </xf>
    <xf numFmtId="0" fontId="3" fillId="7" borderId="5" xfId="3" applyFont="1" applyFill="1" applyBorder="1" applyAlignment="1">
      <alignment horizontal="center" vertical="center"/>
    </xf>
    <xf numFmtId="0" fontId="3" fillId="7" borderId="9" xfId="3" applyFont="1" applyFill="1" applyBorder="1" applyAlignment="1">
      <alignment horizontal="center" vertical="center"/>
    </xf>
    <xf numFmtId="0" fontId="3" fillId="7" borderId="21" xfId="3" applyFont="1" applyFill="1" applyBorder="1" applyAlignment="1">
      <alignment horizontal="center" vertical="center"/>
    </xf>
    <xf numFmtId="0" fontId="8" fillId="8" borderId="29" xfId="3" applyFont="1" applyFill="1" applyBorder="1" applyAlignment="1">
      <alignment horizontal="center" vertical="center" wrapText="1"/>
    </xf>
    <xf numFmtId="0" fontId="8" fillId="8" borderId="30" xfId="3" applyFont="1" applyFill="1" applyBorder="1" applyAlignment="1">
      <alignment horizontal="center" vertical="center" wrapText="1"/>
    </xf>
    <xf numFmtId="0" fontId="8" fillId="8" borderId="31" xfId="3" applyFont="1" applyFill="1" applyBorder="1" applyAlignment="1">
      <alignment horizontal="center" vertical="center" wrapText="1"/>
    </xf>
    <xf numFmtId="0" fontId="8" fillId="8" borderId="32" xfId="3" applyFont="1" applyFill="1" applyBorder="1" applyAlignment="1">
      <alignment horizontal="center" vertical="center" wrapText="1"/>
    </xf>
    <xf numFmtId="0" fontId="8" fillId="8" borderId="0" xfId="3" applyFont="1" applyFill="1" applyAlignment="1">
      <alignment horizontal="center" vertical="center" wrapText="1"/>
    </xf>
    <xf numFmtId="0" fontId="8" fillId="8" borderId="18" xfId="3" applyFont="1" applyFill="1" applyBorder="1" applyAlignment="1">
      <alignment horizontal="center" vertical="center" wrapText="1"/>
    </xf>
    <xf numFmtId="0" fontId="8" fillId="8" borderId="34" xfId="3" applyFont="1" applyFill="1" applyBorder="1" applyAlignment="1">
      <alignment horizontal="center" vertical="center" wrapText="1"/>
    </xf>
    <xf numFmtId="0" fontId="8" fillId="8" borderId="13" xfId="3" applyFont="1" applyFill="1" applyBorder="1" applyAlignment="1">
      <alignment horizontal="center" vertical="center" wrapText="1"/>
    </xf>
    <xf numFmtId="0" fontId="8" fillId="8" borderId="35" xfId="3" applyFont="1" applyFill="1" applyBorder="1" applyAlignment="1">
      <alignment horizontal="center" vertical="center" wrapText="1"/>
    </xf>
    <xf numFmtId="0" fontId="3" fillId="7" borderId="8" xfId="3" applyFont="1" applyFill="1" applyBorder="1" applyAlignment="1">
      <alignment horizontal="center" vertical="center"/>
    </xf>
    <xf numFmtId="0" fontId="3" fillId="7" borderId="33" xfId="3" applyFont="1" applyFill="1" applyBorder="1" applyAlignment="1">
      <alignment horizontal="center" vertical="center"/>
    </xf>
    <xf numFmtId="0" fontId="3" fillId="7" borderId="23" xfId="3" applyFont="1" applyFill="1" applyBorder="1" applyAlignment="1">
      <alignment horizontal="center" vertical="center"/>
    </xf>
    <xf numFmtId="0" fontId="0" fillId="0" borderId="0" xfId="0" applyFont="1"/>
    <xf numFmtId="164" fontId="0" fillId="13" borderId="1" xfId="0" applyNumberFormat="1" applyFill="1" applyBorder="1" applyAlignment="1">
      <alignment horizontal="center" vertical="center"/>
    </xf>
  </cellXfs>
  <cellStyles count="4">
    <cellStyle name="Normal" xfId="0" builtinId="0"/>
    <cellStyle name="Normal 2" xfId="1" xr:uid="{9773EA53-2A9C-4F06-992D-4D718A4767E3}"/>
    <cellStyle name="Normal 2 2" xfId="2" xr:uid="{575B7A3C-D930-418B-BAEA-EC7466848807}"/>
    <cellStyle name="Normal 2 2 2" xfId="3" xr:uid="{8ACBC566-337F-45A1-B67F-529BC32B54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377406</xdr:colOff>
      <xdr:row>0</xdr:row>
      <xdr:rowOff>71887</xdr:rowOff>
    </xdr:from>
    <xdr:to>
      <xdr:col>4</xdr:col>
      <xdr:colOff>215661</xdr:colOff>
      <xdr:row>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A70F6-71CB-453F-908E-7D5B936FB35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8137" y="71887"/>
          <a:ext cx="611038" cy="593066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29E754E-1208-48CB-8AC8-C7C3E3CD62F7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VISTAR, KHRISTINE</a:t>
          </a:r>
          <a:r>
            <a:rPr lang="en-US" sz="1100" baseline="0"/>
            <a:t> M.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EC5A113-872F-4E31-92C4-52743DCB84E1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EPS 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3AD699B-2ADB-45A2-996A-AC19E130FA66}"/>
            </a:ext>
          </a:extLst>
        </xdr:cNvPr>
        <xdr:cNvSpPr txBox="1"/>
      </xdr:nvSpPr>
      <xdr:spPr>
        <a:xfrm>
          <a:off x="38378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SGOD</a:t>
          </a:r>
        </a:p>
      </xdr:txBody>
    </xdr:sp>
    <xdr:clientData/>
  </xdr:twoCellAnchor>
  <xdr:twoCellAnchor>
    <xdr:from>
      <xdr:col>5</xdr:col>
      <xdr:colOff>347452</xdr:colOff>
      <xdr:row>108</xdr:row>
      <xdr:rowOff>53914</xdr:rowOff>
    </xdr:from>
    <xdr:to>
      <xdr:col>9</xdr:col>
      <xdr:colOff>672043</xdr:colOff>
      <xdr:row>113</xdr:row>
      <xdr:rowOff>170731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879A786-9C0D-44FC-80CB-11868F3F28AB}"/>
            </a:ext>
          </a:extLst>
        </xdr:cNvPr>
        <xdr:cNvSpPr txBox="1"/>
      </xdr:nvSpPr>
      <xdr:spPr>
        <a:xfrm>
          <a:off x="5873749" y="11951178"/>
          <a:ext cx="3415723" cy="10603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C4B89B-A4FB-4974-8E99-5CD5E9FEC5B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5750" y="4782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3</xdr:col>
      <xdr:colOff>419100</xdr:colOff>
      <xdr:row>29</xdr:row>
      <xdr:rowOff>560069</xdr:rowOff>
    </xdr:from>
    <xdr:to>
      <xdr:col>6</xdr:col>
      <xdr:colOff>819150</xdr:colOff>
      <xdr:row>33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17665E9-36E0-4133-82D1-FF26EF0E3D10}"/>
            </a:ext>
          </a:extLst>
        </xdr:cNvPr>
        <xdr:cNvSpPr txBox="1"/>
      </xdr:nvSpPr>
      <xdr:spPr>
        <a:xfrm>
          <a:off x="5505450" y="8703944"/>
          <a:ext cx="2705100" cy="10591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21</xdr:row>
      <xdr:rowOff>57149</xdr:rowOff>
    </xdr:from>
    <xdr:to>
      <xdr:col>9</xdr:col>
      <xdr:colOff>428624</xdr:colOff>
      <xdr:row>28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44A3F0-D7D1-41E2-8722-7960D6C611E5}"/>
            </a:ext>
          </a:extLst>
        </xdr:cNvPr>
        <xdr:cNvSpPr txBox="1"/>
      </xdr:nvSpPr>
      <xdr:spPr>
        <a:xfrm>
          <a:off x="4524375" y="5448299"/>
          <a:ext cx="2695574" cy="13144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 editAs="oneCell">
    <xdr:from>
      <xdr:col>1</xdr:col>
      <xdr:colOff>1056593</xdr:colOff>
      <xdr:row>0</xdr:row>
      <xdr:rowOff>158271</xdr:rowOff>
    </xdr:from>
    <xdr:to>
      <xdr:col>3</xdr:col>
      <xdr:colOff>101347</xdr:colOff>
      <xdr:row>4</xdr:row>
      <xdr:rowOff>20961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BF2B41-DB45-4730-BD63-A9E4F2898D2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8268" y="158271"/>
          <a:ext cx="711629" cy="62469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592992</xdr:colOff>
      <xdr:row>8</xdr:row>
      <xdr:rowOff>66186</xdr:rowOff>
    </xdr:from>
    <xdr:to>
      <xdr:col>1</xdr:col>
      <xdr:colOff>190500</xdr:colOff>
      <xdr:row>10</xdr:row>
      <xdr:rowOff>11235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1B916AA-0FDB-498E-86C0-6208D6A64F75}"/>
            </a:ext>
          </a:extLst>
        </xdr:cNvPr>
        <xdr:cNvSpPr txBox="1"/>
      </xdr:nvSpPr>
      <xdr:spPr>
        <a:xfrm>
          <a:off x="592992" y="1590186"/>
          <a:ext cx="1569183" cy="3260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KHRISTINE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M. VISTAR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645258</xdr:colOff>
      <xdr:row>10</xdr:row>
      <xdr:rowOff>108682</xdr:rowOff>
    </xdr:from>
    <xdr:to>
      <xdr:col>1</xdr:col>
      <xdr:colOff>25157</xdr:colOff>
      <xdr:row>12</xdr:row>
      <xdr:rowOff>47625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0050EE3-F2C4-44B3-9336-EB33F5D0ABC6}"/>
            </a:ext>
          </a:extLst>
        </xdr:cNvPr>
        <xdr:cNvSpPr txBox="1"/>
      </xdr:nvSpPr>
      <xdr:spPr>
        <a:xfrm>
          <a:off x="645258" y="2013682"/>
          <a:ext cx="1351574" cy="319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EPS II</a:t>
          </a:r>
        </a:p>
      </xdr:txBody>
    </xdr:sp>
    <xdr:clientData/>
  </xdr:twoCellAnchor>
  <xdr:twoCellAnchor>
    <xdr:from>
      <xdr:col>2</xdr:col>
      <xdr:colOff>1520</xdr:colOff>
      <xdr:row>10</xdr:row>
      <xdr:rowOff>83709</xdr:rowOff>
    </xdr:from>
    <xdr:to>
      <xdr:col>4</xdr:col>
      <xdr:colOff>323850</xdr:colOff>
      <xdr:row>13</xdr:row>
      <xdr:rowOff>11403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299F04F-2E00-46DF-9407-58C6EC74633E}"/>
            </a:ext>
          </a:extLst>
        </xdr:cNvPr>
        <xdr:cNvSpPr txBox="1"/>
      </xdr:nvSpPr>
      <xdr:spPr>
        <a:xfrm>
          <a:off x="3030470" y="1988709"/>
          <a:ext cx="1541530" cy="4991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12"/>
  <sheetViews>
    <sheetView tabSelected="1" view="pageBreakPreview" topLeftCell="A21" zoomScale="106" zoomScaleNormal="100" zoomScaleSheetLayoutView="106" workbookViewId="0">
      <selection activeCell="B110" sqref="B110"/>
    </sheetView>
  </sheetViews>
  <sheetFormatPr defaultRowHeight="15" x14ac:dyDescent="0.25"/>
  <cols>
    <col min="1" max="1" width="36.5703125" customWidth="1"/>
    <col min="2" max="5" width="11.5703125" customWidth="1"/>
    <col min="6" max="7" width="11.5703125" style="8" customWidth="1"/>
    <col min="8" max="10" width="11.5703125" customWidth="1"/>
    <col min="11" max="11" width="26.42578125" style="5" customWidth="1"/>
  </cols>
  <sheetData>
    <row r="1" spans="1:11" s="1" customFormat="1" ht="52.5" customHeight="1" x14ac:dyDescent="0.25"/>
    <row r="2" spans="1:11" s="1" customFormat="1" ht="10.5" customHeight="1" x14ac:dyDescent="0.25">
      <c r="A2" s="117" t="s">
        <v>13</v>
      </c>
      <c r="B2" s="117"/>
      <c r="C2" s="117"/>
      <c r="D2" s="117"/>
      <c r="E2" s="117"/>
      <c r="F2" s="117"/>
      <c r="G2" s="117"/>
      <c r="H2" s="117"/>
      <c r="I2" s="117"/>
      <c r="J2" s="117"/>
    </row>
    <row r="3" spans="1:11" s="1" customFormat="1" ht="15.95" customHeight="1" x14ac:dyDescent="0.25">
      <c r="A3" s="117" t="s">
        <v>14</v>
      </c>
      <c r="B3" s="117"/>
      <c r="C3" s="117"/>
      <c r="D3" s="117"/>
      <c r="E3" s="117"/>
      <c r="F3" s="117"/>
      <c r="G3" s="117"/>
      <c r="H3" s="117"/>
      <c r="I3" s="117"/>
      <c r="J3" s="117"/>
    </row>
    <row r="4" spans="1:11" s="1" customFormat="1" ht="15.95" customHeight="1" x14ac:dyDescent="0.25">
      <c r="A4" s="117" t="s">
        <v>96</v>
      </c>
      <c r="B4" s="117"/>
      <c r="C4" s="117"/>
      <c r="D4" s="117"/>
      <c r="E4" s="117"/>
      <c r="F4" s="117"/>
      <c r="G4" s="117"/>
      <c r="H4" s="117"/>
      <c r="I4" s="117"/>
      <c r="J4" s="117"/>
    </row>
    <row r="5" spans="1:11" s="1" customFormat="1" ht="15.95" customHeight="1" x14ac:dyDescent="0.25">
      <c r="A5" s="117" t="s">
        <v>16</v>
      </c>
      <c r="B5" s="117"/>
      <c r="C5" s="117"/>
      <c r="D5" s="117"/>
      <c r="E5" s="117"/>
      <c r="F5" s="117"/>
      <c r="G5" s="117"/>
      <c r="H5" s="117"/>
      <c r="I5" s="117"/>
      <c r="J5" s="117"/>
    </row>
    <row r="6" spans="1:11" s="1" customFormat="1" ht="8.25" customHeight="1" x14ac:dyDescent="0.25"/>
    <row r="7" spans="1:11" s="1" customFormat="1" ht="12" customHeight="1" x14ac:dyDescent="0.25">
      <c r="A7" s="1" t="s">
        <v>17</v>
      </c>
      <c r="B7" s="115" t="s">
        <v>18</v>
      </c>
      <c r="C7" s="115"/>
      <c r="D7" s="115"/>
      <c r="H7" s="3" t="s">
        <v>9</v>
      </c>
      <c r="I7" s="9"/>
      <c r="J7" s="3"/>
    </row>
    <row r="8" spans="1:11" s="1" customFormat="1" ht="12" customHeight="1" x14ac:dyDescent="0.25">
      <c r="B8" s="2"/>
      <c r="C8" s="2"/>
      <c r="H8" s="2"/>
      <c r="I8" s="2"/>
      <c r="J8" s="2"/>
    </row>
    <row r="9" spans="1:11" s="1" customFormat="1" ht="12" customHeight="1" x14ac:dyDescent="0.25">
      <c r="A9" s="1" t="s">
        <v>19</v>
      </c>
      <c r="B9" s="115" t="s">
        <v>20</v>
      </c>
      <c r="C9" s="115"/>
      <c r="D9" s="115"/>
      <c r="H9" s="3" t="s">
        <v>10</v>
      </c>
      <c r="I9" s="4"/>
      <c r="J9" s="3"/>
    </row>
    <row r="10" spans="1:11" ht="23.25" customHeight="1" thickBot="1" x14ac:dyDescent="0.3">
      <c r="A10" s="116" t="s">
        <v>0</v>
      </c>
      <c r="B10" s="116"/>
      <c r="C10" s="116"/>
      <c r="D10" s="116"/>
      <c r="E10" s="116"/>
      <c r="F10" s="116"/>
      <c r="G10" s="116"/>
      <c r="H10" s="116"/>
      <c r="I10" s="116"/>
      <c r="J10" s="116"/>
      <c r="K10"/>
    </row>
    <row r="11" spans="1:11" ht="18.75" customHeight="1" x14ac:dyDescent="0.25">
      <c r="A11" s="111" t="s">
        <v>4</v>
      </c>
      <c r="B11" s="104" t="s">
        <v>5</v>
      </c>
      <c r="C11" s="105"/>
      <c r="D11" s="106" t="s">
        <v>6</v>
      </c>
      <c r="E11" s="107"/>
      <c r="F11" s="107"/>
      <c r="G11" s="108"/>
      <c r="H11" s="109" t="s">
        <v>7</v>
      </c>
      <c r="I11" s="110"/>
      <c r="J11" s="113" t="s">
        <v>8</v>
      </c>
      <c r="K11" s="103" t="s">
        <v>11</v>
      </c>
    </row>
    <row r="12" spans="1:11" ht="18.75" customHeight="1" thickBot="1" x14ac:dyDescent="0.3">
      <c r="A12" s="112"/>
      <c r="B12" s="27" t="s">
        <v>1</v>
      </c>
      <c r="C12" s="27" t="s">
        <v>2</v>
      </c>
      <c r="D12" s="27" t="s">
        <v>1</v>
      </c>
      <c r="E12" s="27" t="s">
        <v>2</v>
      </c>
      <c r="F12" s="27" t="s">
        <v>3</v>
      </c>
      <c r="G12" s="27" t="s">
        <v>12</v>
      </c>
      <c r="H12" s="27" t="s">
        <v>1</v>
      </c>
      <c r="I12" s="27" t="s">
        <v>2</v>
      </c>
      <c r="J12" s="114"/>
      <c r="K12" s="103"/>
    </row>
    <row r="13" spans="1:11" ht="30.75" customHeight="1" x14ac:dyDescent="0.25">
      <c r="A13" s="28" t="s">
        <v>28</v>
      </c>
      <c r="B13" s="24">
        <v>1.5209999999999999</v>
      </c>
      <c r="C13" s="24">
        <v>1.5209999999999999</v>
      </c>
      <c r="D13" s="24"/>
      <c r="E13" s="24"/>
      <c r="F13" s="24"/>
      <c r="G13" s="24"/>
      <c r="H13" s="25">
        <f>B13</f>
        <v>1.5209999999999999</v>
      </c>
      <c r="I13" s="25">
        <f>C13</f>
        <v>1.5209999999999999</v>
      </c>
      <c r="J13" s="26">
        <f>SUM(H13:I13)</f>
        <v>3.0419999999999998</v>
      </c>
    </row>
    <row r="14" spans="1:11" ht="12" customHeight="1" x14ac:dyDescent="0.25">
      <c r="A14" s="12" t="s">
        <v>29</v>
      </c>
      <c r="B14" s="15">
        <v>5</v>
      </c>
      <c r="C14" s="15">
        <v>5</v>
      </c>
      <c r="D14" s="15"/>
      <c r="E14" s="15"/>
      <c r="F14" s="15"/>
      <c r="G14" s="15"/>
      <c r="H14" s="10">
        <f>H13-F14-D14+B14</f>
        <v>6.5209999999999999</v>
      </c>
      <c r="I14" s="10">
        <f>I13-E14+C14</f>
        <v>6.5209999999999999</v>
      </c>
      <c r="J14" s="13">
        <f>SUM(H14:I14)</f>
        <v>13.042</v>
      </c>
    </row>
    <row r="15" spans="1:11" ht="12" customHeight="1" x14ac:dyDescent="0.25">
      <c r="A15" s="12" t="s">
        <v>30</v>
      </c>
      <c r="B15" s="15">
        <v>12.5</v>
      </c>
      <c r="C15" s="15">
        <v>12.5</v>
      </c>
      <c r="D15" s="15"/>
      <c r="E15" s="15"/>
      <c r="F15" s="15"/>
      <c r="G15" s="15"/>
      <c r="H15" s="10">
        <f t="shared" ref="H15:H23" si="0">H14-F15-D15+B15</f>
        <v>19.021000000000001</v>
      </c>
      <c r="I15" s="10">
        <f t="shared" ref="I15:I23" si="1">I14-E15+C15</f>
        <v>19.021000000000001</v>
      </c>
      <c r="J15" s="13">
        <f t="shared" ref="J15:J23" si="2">SUM(H15:I15)</f>
        <v>38.042000000000002</v>
      </c>
    </row>
    <row r="16" spans="1:11" ht="12.75" customHeight="1" x14ac:dyDescent="0.25">
      <c r="A16" s="12" t="s">
        <v>31</v>
      </c>
      <c r="B16" s="15"/>
      <c r="C16" s="15"/>
      <c r="D16" s="15"/>
      <c r="E16" s="15"/>
      <c r="F16" s="15"/>
      <c r="G16" s="15">
        <v>1</v>
      </c>
      <c r="H16" s="10">
        <f t="shared" si="0"/>
        <v>19.021000000000001</v>
      </c>
      <c r="I16" s="10">
        <f t="shared" si="1"/>
        <v>19.021000000000001</v>
      </c>
      <c r="J16" s="13">
        <f t="shared" si="2"/>
        <v>38.042000000000002</v>
      </c>
    </row>
    <row r="17" spans="1:10" ht="12.75" customHeight="1" x14ac:dyDescent="0.25">
      <c r="A17" s="12" t="s">
        <v>32</v>
      </c>
      <c r="B17" s="15">
        <v>1.25</v>
      </c>
      <c r="C17" s="15">
        <v>1.25</v>
      </c>
      <c r="D17" s="15"/>
      <c r="E17" s="15"/>
      <c r="F17" s="15"/>
      <c r="G17" s="15"/>
      <c r="H17" s="10">
        <f>H16-F17-D17+B17</f>
        <v>20.271000000000001</v>
      </c>
      <c r="I17" s="10">
        <f>I16-E17+C17</f>
        <v>20.271000000000001</v>
      </c>
      <c r="J17" s="13">
        <f t="shared" si="2"/>
        <v>40.542000000000002</v>
      </c>
    </row>
    <row r="18" spans="1:10" ht="12" customHeight="1" x14ac:dyDescent="0.25">
      <c r="A18" s="12" t="s">
        <v>33</v>
      </c>
      <c r="B18" s="15">
        <v>1.25</v>
      </c>
      <c r="C18" s="15">
        <v>1.25</v>
      </c>
      <c r="D18" s="15"/>
      <c r="E18" s="15"/>
      <c r="F18" s="15"/>
      <c r="G18" s="15"/>
      <c r="H18" s="10">
        <f>H17-F18-D18+B18</f>
        <v>21.521000000000001</v>
      </c>
      <c r="I18" s="10">
        <f>I17-E18+C18</f>
        <v>21.521000000000001</v>
      </c>
      <c r="J18" s="13">
        <f t="shared" si="2"/>
        <v>43.042000000000002</v>
      </c>
    </row>
    <row r="19" spans="1:10" ht="12" customHeight="1" x14ac:dyDescent="0.25">
      <c r="A19" s="12" t="s">
        <v>25</v>
      </c>
      <c r="B19" s="15"/>
      <c r="C19" s="15"/>
      <c r="D19" s="15"/>
      <c r="E19" s="15"/>
      <c r="F19" s="15">
        <v>5</v>
      </c>
      <c r="G19" s="15"/>
      <c r="H19" s="10">
        <f>H18-F19-D19+B19</f>
        <v>16.521000000000001</v>
      </c>
      <c r="I19" s="10">
        <f>I18-E19+C19</f>
        <v>21.521000000000001</v>
      </c>
      <c r="J19" s="13">
        <f t="shared" si="2"/>
        <v>38.042000000000002</v>
      </c>
    </row>
    <row r="20" spans="1:10" ht="12" customHeight="1" x14ac:dyDescent="0.25">
      <c r="A20" s="12" t="s">
        <v>34</v>
      </c>
      <c r="B20" s="15">
        <v>8.75</v>
      </c>
      <c r="C20" s="15">
        <v>8.75</v>
      </c>
      <c r="D20" s="15"/>
      <c r="E20" s="15"/>
      <c r="F20" s="15"/>
      <c r="G20" s="15"/>
      <c r="H20" s="10">
        <f t="shared" si="0"/>
        <v>25.271000000000001</v>
      </c>
      <c r="I20" s="10">
        <f t="shared" si="1"/>
        <v>30.271000000000001</v>
      </c>
      <c r="J20" s="13">
        <f t="shared" si="2"/>
        <v>55.542000000000002</v>
      </c>
    </row>
    <row r="21" spans="1:10" ht="12" customHeight="1" x14ac:dyDescent="0.25">
      <c r="A21" s="12" t="s">
        <v>26</v>
      </c>
      <c r="B21" s="15"/>
      <c r="C21" s="15"/>
      <c r="D21" s="15">
        <v>10</v>
      </c>
      <c r="E21" s="15"/>
      <c r="F21" s="15"/>
      <c r="G21" s="15"/>
      <c r="H21" s="10">
        <f t="shared" si="0"/>
        <v>15.271000000000001</v>
      </c>
      <c r="I21" s="10">
        <f t="shared" si="1"/>
        <v>30.271000000000001</v>
      </c>
      <c r="J21" s="13">
        <f t="shared" si="2"/>
        <v>45.542000000000002</v>
      </c>
    </row>
    <row r="22" spans="1:10" ht="12" customHeight="1" x14ac:dyDescent="0.25">
      <c r="A22" s="12" t="s">
        <v>27</v>
      </c>
      <c r="B22" s="15">
        <v>2.5</v>
      </c>
      <c r="C22" s="15">
        <v>2.5</v>
      </c>
      <c r="D22" s="15"/>
      <c r="E22" s="15"/>
      <c r="F22" s="15"/>
      <c r="G22" s="15"/>
      <c r="H22" s="10">
        <f t="shared" si="0"/>
        <v>17.771000000000001</v>
      </c>
      <c r="I22" s="10">
        <f t="shared" si="1"/>
        <v>32.771000000000001</v>
      </c>
      <c r="J22" s="13">
        <f t="shared" si="2"/>
        <v>50.542000000000002</v>
      </c>
    </row>
    <row r="23" spans="1:10" ht="12" customHeight="1" x14ac:dyDescent="0.25">
      <c r="A23" s="12" t="s">
        <v>35</v>
      </c>
      <c r="B23" s="15"/>
      <c r="C23" s="15"/>
      <c r="D23" s="15"/>
      <c r="E23" s="15"/>
      <c r="F23" s="15"/>
      <c r="G23" s="15">
        <v>1</v>
      </c>
      <c r="H23" s="10">
        <f t="shared" si="0"/>
        <v>17.771000000000001</v>
      </c>
      <c r="I23" s="10">
        <f t="shared" si="1"/>
        <v>32.771000000000001</v>
      </c>
      <c r="J23" s="13">
        <f t="shared" si="2"/>
        <v>50.542000000000002</v>
      </c>
    </row>
    <row r="24" spans="1:10" ht="12" hidden="1" customHeight="1" x14ac:dyDescent="0.25">
      <c r="A24" s="12"/>
      <c r="B24" s="15"/>
      <c r="C24" s="15"/>
      <c r="D24" s="15"/>
      <c r="E24" s="15"/>
      <c r="F24" s="15"/>
      <c r="G24" s="15"/>
      <c r="H24" s="10">
        <f t="shared" ref="H24:H86" si="3">H23-F24-D24+B24</f>
        <v>17.771000000000001</v>
      </c>
      <c r="I24" s="10">
        <f t="shared" ref="I24:I86" si="4">I23-E24+C24</f>
        <v>32.771000000000001</v>
      </c>
      <c r="J24" s="13">
        <f t="shared" ref="J24:J86" si="5">SUM(H24:I24)</f>
        <v>50.542000000000002</v>
      </c>
    </row>
    <row r="25" spans="1:10" ht="12.75" hidden="1" customHeight="1" x14ac:dyDescent="0.25">
      <c r="A25" s="12"/>
      <c r="B25" s="15"/>
      <c r="C25" s="15"/>
      <c r="D25" s="15"/>
      <c r="E25" s="15"/>
      <c r="F25" s="15"/>
      <c r="G25" s="15"/>
      <c r="H25" s="10">
        <f t="shared" si="3"/>
        <v>17.771000000000001</v>
      </c>
      <c r="I25" s="10">
        <f t="shared" si="4"/>
        <v>32.771000000000001</v>
      </c>
      <c r="J25" s="13">
        <f t="shared" si="5"/>
        <v>50.542000000000002</v>
      </c>
    </row>
    <row r="26" spans="1:10" ht="12" hidden="1" customHeight="1" x14ac:dyDescent="0.25">
      <c r="A26" s="12"/>
      <c r="B26" s="15"/>
      <c r="C26" s="15"/>
      <c r="D26" s="15"/>
      <c r="E26" s="15"/>
      <c r="F26" s="15"/>
      <c r="G26" s="15"/>
      <c r="H26" s="10">
        <f t="shared" si="3"/>
        <v>17.771000000000001</v>
      </c>
      <c r="I26" s="10">
        <f t="shared" si="4"/>
        <v>32.771000000000001</v>
      </c>
      <c r="J26" s="13">
        <f t="shared" si="5"/>
        <v>50.542000000000002</v>
      </c>
    </row>
    <row r="27" spans="1:10" ht="12" hidden="1" customHeight="1" x14ac:dyDescent="0.25">
      <c r="A27" s="12"/>
      <c r="B27" s="15"/>
      <c r="C27" s="15"/>
      <c r="D27" s="15"/>
      <c r="E27" s="15"/>
      <c r="F27" s="15"/>
      <c r="G27" s="15"/>
      <c r="H27" s="10">
        <f t="shared" si="3"/>
        <v>17.771000000000001</v>
      </c>
      <c r="I27" s="10">
        <f t="shared" si="4"/>
        <v>32.771000000000001</v>
      </c>
      <c r="J27" s="13">
        <f t="shared" si="5"/>
        <v>50.542000000000002</v>
      </c>
    </row>
    <row r="28" spans="1:10" ht="12" hidden="1" customHeight="1" x14ac:dyDescent="0.25">
      <c r="A28" s="12"/>
      <c r="B28" s="15"/>
      <c r="C28" s="15"/>
      <c r="D28" s="15"/>
      <c r="E28" s="15"/>
      <c r="F28" s="15"/>
      <c r="G28" s="15"/>
      <c r="H28" s="10">
        <f t="shared" si="3"/>
        <v>17.771000000000001</v>
      </c>
      <c r="I28" s="10">
        <f t="shared" si="4"/>
        <v>32.771000000000001</v>
      </c>
      <c r="J28" s="13">
        <f t="shared" si="5"/>
        <v>50.542000000000002</v>
      </c>
    </row>
    <row r="29" spans="1:10" ht="12" hidden="1" customHeight="1" x14ac:dyDescent="0.25">
      <c r="A29" s="12"/>
      <c r="B29" s="15"/>
      <c r="C29" s="15"/>
      <c r="D29" s="15"/>
      <c r="E29" s="15"/>
      <c r="F29" s="15"/>
      <c r="G29" s="15"/>
      <c r="H29" s="10">
        <f t="shared" si="3"/>
        <v>17.771000000000001</v>
      </c>
      <c r="I29" s="10">
        <f t="shared" si="4"/>
        <v>32.771000000000001</v>
      </c>
      <c r="J29" s="13">
        <f t="shared" si="5"/>
        <v>50.542000000000002</v>
      </c>
    </row>
    <row r="30" spans="1:10" ht="29.25" hidden="1" customHeight="1" x14ac:dyDescent="0.25">
      <c r="A30" s="23"/>
      <c r="B30" s="16"/>
      <c r="C30" s="15"/>
      <c r="D30" s="15"/>
      <c r="E30" s="15"/>
      <c r="F30" s="15"/>
      <c r="G30" s="15"/>
      <c r="H30" s="10">
        <f t="shared" si="3"/>
        <v>17.771000000000001</v>
      </c>
      <c r="I30" s="10">
        <f t="shared" si="4"/>
        <v>32.771000000000001</v>
      </c>
      <c r="J30" s="13">
        <f t="shared" si="5"/>
        <v>50.542000000000002</v>
      </c>
    </row>
    <row r="31" spans="1:10" ht="12" hidden="1" customHeight="1" x14ac:dyDescent="0.25">
      <c r="A31" s="17"/>
      <c r="B31" s="15"/>
      <c r="C31" s="15"/>
      <c r="D31" s="15"/>
      <c r="E31" s="15"/>
      <c r="F31" s="15"/>
      <c r="G31" s="15"/>
      <c r="H31" s="10">
        <f t="shared" si="3"/>
        <v>17.771000000000001</v>
      </c>
      <c r="I31" s="10">
        <f t="shared" si="4"/>
        <v>32.771000000000001</v>
      </c>
      <c r="J31" s="13">
        <f t="shared" si="5"/>
        <v>50.542000000000002</v>
      </c>
    </row>
    <row r="32" spans="1:10" ht="13.5" hidden="1" customHeight="1" x14ac:dyDescent="0.25">
      <c r="A32" s="17"/>
      <c r="B32" s="15"/>
      <c r="C32" s="15"/>
      <c r="D32" s="15"/>
      <c r="E32" s="15"/>
      <c r="F32" s="15"/>
      <c r="G32" s="15"/>
      <c r="H32" s="10">
        <f t="shared" si="3"/>
        <v>17.771000000000001</v>
      </c>
      <c r="I32" s="10">
        <f t="shared" si="4"/>
        <v>32.771000000000001</v>
      </c>
      <c r="J32" s="13">
        <f t="shared" si="5"/>
        <v>50.542000000000002</v>
      </c>
    </row>
    <row r="33" spans="1:11" ht="12" hidden="1" customHeight="1" x14ac:dyDescent="0.25">
      <c r="A33" s="12"/>
      <c r="B33" s="15"/>
      <c r="C33" s="15"/>
      <c r="D33" s="15"/>
      <c r="E33" s="15"/>
      <c r="F33" s="15"/>
      <c r="G33" s="15"/>
      <c r="H33" s="10">
        <f t="shared" si="3"/>
        <v>17.771000000000001</v>
      </c>
      <c r="I33" s="10">
        <f t="shared" si="4"/>
        <v>32.771000000000001</v>
      </c>
      <c r="J33" s="13">
        <f t="shared" si="5"/>
        <v>50.542000000000002</v>
      </c>
    </row>
    <row r="34" spans="1:11" ht="12" hidden="1" customHeight="1" x14ac:dyDescent="0.25">
      <c r="A34" s="12"/>
      <c r="B34" s="15"/>
      <c r="C34" s="15"/>
      <c r="D34" s="15"/>
      <c r="E34" s="15"/>
      <c r="F34" s="15"/>
      <c r="G34" s="15"/>
      <c r="H34" s="10">
        <f t="shared" si="3"/>
        <v>17.771000000000001</v>
      </c>
      <c r="I34" s="10">
        <f t="shared" si="4"/>
        <v>32.771000000000001</v>
      </c>
      <c r="J34" s="13">
        <f t="shared" si="5"/>
        <v>50.542000000000002</v>
      </c>
    </row>
    <row r="35" spans="1:11" ht="14.25" hidden="1" customHeight="1" x14ac:dyDescent="0.25">
      <c r="A35" s="12"/>
      <c r="B35" s="15"/>
      <c r="C35" s="15"/>
      <c r="D35" s="15"/>
      <c r="E35" s="15"/>
      <c r="F35" s="15"/>
      <c r="G35" s="15"/>
      <c r="H35" s="10">
        <f t="shared" si="3"/>
        <v>17.771000000000001</v>
      </c>
      <c r="I35" s="10">
        <f t="shared" si="4"/>
        <v>32.771000000000001</v>
      </c>
      <c r="J35" s="13">
        <f t="shared" si="5"/>
        <v>50.542000000000002</v>
      </c>
    </row>
    <row r="36" spans="1:11" ht="12" hidden="1" customHeight="1" x14ac:dyDescent="0.25">
      <c r="A36" s="12"/>
      <c r="B36" s="15"/>
      <c r="C36" s="15"/>
      <c r="D36" s="15"/>
      <c r="E36" s="15"/>
      <c r="F36" s="15"/>
      <c r="G36" s="15"/>
      <c r="H36" s="10">
        <f t="shared" si="3"/>
        <v>17.771000000000001</v>
      </c>
      <c r="I36" s="10">
        <f t="shared" si="4"/>
        <v>32.771000000000001</v>
      </c>
      <c r="J36" s="13">
        <f t="shared" si="5"/>
        <v>50.542000000000002</v>
      </c>
    </row>
    <row r="37" spans="1:11" ht="12" hidden="1" customHeight="1" x14ac:dyDescent="0.25">
      <c r="A37" s="12"/>
      <c r="B37" s="15"/>
      <c r="C37" s="15"/>
      <c r="D37" s="15"/>
      <c r="E37" s="15"/>
      <c r="F37" s="15"/>
      <c r="G37" s="15"/>
      <c r="H37" s="10">
        <f t="shared" si="3"/>
        <v>17.771000000000001</v>
      </c>
      <c r="I37" s="10">
        <f t="shared" si="4"/>
        <v>32.771000000000001</v>
      </c>
      <c r="J37" s="13">
        <f t="shared" si="5"/>
        <v>50.542000000000002</v>
      </c>
    </row>
    <row r="38" spans="1:11" ht="12" hidden="1" customHeight="1" x14ac:dyDescent="0.25">
      <c r="A38" s="12"/>
      <c r="B38" s="15"/>
      <c r="C38" s="15"/>
      <c r="D38" s="15"/>
      <c r="E38" s="15"/>
      <c r="F38" s="15"/>
      <c r="G38" s="15"/>
      <c r="H38" s="10">
        <f t="shared" si="3"/>
        <v>17.771000000000001</v>
      </c>
      <c r="I38" s="10">
        <f t="shared" si="4"/>
        <v>32.771000000000001</v>
      </c>
      <c r="J38" s="13">
        <f t="shared" si="5"/>
        <v>50.542000000000002</v>
      </c>
    </row>
    <row r="39" spans="1:11" s="7" customFormat="1" ht="12" hidden="1" customHeight="1" x14ac:dyDescent="0.25">
      <c r="A39" s="12"/>
      <c r="B39" s="15"/>
      <c r="C39" s="15"/>
      <c r="D39" s="15"/>
      <c r="E39" s="15"/>
      <c r="F39" s="15"/>
      <c r="G39" s="15"/>
      <c r="H39" s="10">
        <f t="shared" si="3"/>
        <v>17.771000000000001</v>
      </c>
      <c r="I39" s="10">
        <f t="shared" si="4"/>
        <v>32.771000000000001</v>
      </c>
      <c r="J39" s="13">
        <f t="shared" si="5"/>
        <v>50.542000000000002</v>
      </c>
      <c r="K39" s="6"/>
    </row>
    <row r="40" spans="1:11" s="7" customFormat="1" ht="12" hidden="1" customHeight="1" x14ac:dyDescent="0.25">
      <c r="A40" s="12"/>
      <c r="B40" s="15"/>
      <c r="C40" s="15"/>
      <c r="D40" s="15"/>
      <c r="E40" s="15"/>
      <c r="F40" s="15"/>
      <c r="G40" s="15"/>
      <c r="H40" s="10">
        <f t="shared" si="3"/>
        <v>17.771000000000001</v>
      </c>
      <c r="I40" s="10">
        <f t="shared" si="4"/>
        <v>32.771000000000001</v>
      </c>
      <c r="J40" s="13">
        <f t="shared" si="5"/>
        <v>50.542000000000002</v>
      </c>
      <c r="K40" s="6"/>
    </row>
    <row r="41" spans="1:11" s="7" customFormat="1" ht="12.75" hidden="1" customHeight="1" x14ac:dyDescent="0.25">
      <c r="A41" s="12"/>
      <c r="B41" s="15"/>
      <c r="C41" s="15"/>
      <c r="D41" s="15"/>
      <c r="E41" s="15"/>
      <c r="F41" s="15"/>
      <c r="G41" s="15"/>
      <c r="H41" s="10">
        <f t="shared" si="3"/>
        <v>17.771000000000001</v>
      </c>
      <c r="I41" s="10">
        <f t="shared" si="4"/>
        <v>32.771000000000001</v>
      </c>
      <c r="J41" s="13">
        <f t="shared" si="5"/>
        <v>50.542000000000002</v>
      </c>
      <c r="K41" s="6"/>
    </row>
    <row r="42" spans="1:11" ht="12" hidden="1" customHeight="1" x14ac:dyDescent="0.25">
      <c r="A42" s="12"/>
      <c r="B42" s="15"/>
      <c r="C42" s="15"/>
      <c r="D42" s="15"/>
      <c r="E42" s="15"/>
      <c r="F42" s="15"/>
      <c r="G42" s="15"/>
      <c r="H42" s="10">
        <f t="shared" si="3"/>
        <v>17.771000000000001</v>
      </c>
      <c r="I42" s="10">
        <f t="shared" si="4"/>
        <v>32.771000000000001</v>
      </c>
      <c r="J42" s="13">
        <f t="shared" si="5"/>
        <v>50.542000000000002</v>
      </c>
    </row>
    <row r="43" spans="1:11" ht="15.75" hidden="1" customHeight="1" x14ac:dyDescent="0.25">
      <c r="A43" s="12"/>
      <c r="B43" s="15"/>
      <c r="C43" s="15"/>
      <c r="D43" s="15"/>
      <c r="E43" s="15"/>
      <c r="F43" s="15"/>
      <c r="G43" s="15"/>
      <c r="H43" s="10">
        <f t="shared" si="3"/>
        <v>17.771000000000001</v>
      </c>
      <c r="I43" s="10">
        <f t="shared" si="4"/>
        <v>32.771000000000001</v>
      </c>
      <c r="J43" s="13">
        <f t="shared" si="5"/>
        <v>50.542000000000002</v>
      </c>
    </row>
    <row r="44" spans="1:11" s="7" customFormat="1" ht="16.5" hidden="1" customHeight="1" x14ac:dyDescent="0.25">
      <c r="A44" s="12"/>
      <c r="B44" s="15"/>
      <c r="C44" s="15"/>
      <c r="D44" s="15"/>
      <c r="E44" s="15"/>
      <c r="F44" s="15"/>
      <c r="G44" s="15"/>
      <c r="H44" s="10">
        <f t="shared" si="3"/>
        <v>17.771000000000001</v>
      </c>
      <c r="I44" s="10">
        <f t="shared" si="4"/>
        <v>32.771000000000001</v>
      </c>
      <c r="J44" s="13">
        <f t="shared" si="5"/>
        <v>50.542000000000002</v>
      </c>
      <c r="K44" s="6"/>
    </row>
    <row r="45" spans="1:11" s="7" customFormat="1" ht="12" hidden="1" customHeight="1" x14ac:dyDescent="0.25">
      <c r="A45" s="12"/>
      <c r="B45" s="15"/>
      <c r="C45" s="15"/>
      <c r="D45" s="15"/>
      <c r="E45" s="15"/>
      <c r="F45" s="15"/>
      <c r="G45" s="15"/>
      <c r="H45" s="10">
        <f t="shared" si="3"/>
        <v>17.771000000000001</v>
      </c>
      <c r="I45" s="10">
        <f t="shared" si="4"/>
        <v>32.771000000000001</v>
      </c>
      <c r="J45" s="13">
        <f t="shared" si="5"/>
        <v>50.542000000000002</v>
      </c>
      <c r="K45" s="6"/>
    </row>
    <row r="46" spans="1:11" ht="12" hidden="1" customHeight="1" x14ac:dyDescent="0.25">
      <c r="A46" s="12"/>
      <c r="B46" s="15"/>
      <c r="C46" s="15"/>
      <c r="D46" s="15"/>
      <c r="E46" s="15"/>
      <c r="F46" s="15"/>
      <c r="G46" s="15"/>
      <c r="H46" s="10">
        <f t="shared" si="3"/>
        <v>17.771000000000001</v>
      </c>
      <c r="I46" s="10">
        <f t="shared" si="4"/>
        <v>32.771000000000001</v>
      </c>
      <c r="J46" s="13">
        <f t="shared" si="5"/>
        <v>50.542000000000002</v>
      </c>
    </row>
    <row r="47" spans="1:11" ht="16.5" hidden="1" customHeight="1" x14ac:dyDescent="0.25">
      <c r="A47" s="12"/>
      <c r="B47" s="15"/>
      <c r="C47" s="15"/>
      <c r="D47" s="15"/>
      <c r="E47" s="15"/>
      <c r="F47" s="15"/>
      <c r="G47" s="15"/>
      <c r="H47" s="10">
        <f t="shared" si="3"/>
        <v>17.771000000000001</v>
      </c>
      <c r="I47" s="10">
        <f t="shared" si="4"/>
        <v>32.771000000000001</v>
      </c>
      <c r="J47" s="13">
        <f t="shared" si="5"/>
        <v>50.542000000000002</v>
      </c>
    </row>
    <row r="48" spans="1:11" ht="12" hidden="1" customHeight="1" x14ac:dyDescent="0.25">
      <c r="A48" s="12"/>
      <c r="B48" s="15"/>
      <c r="C48" s="15"/>
      <c r="D48" s="15"/>
      <c r="E48" s="15"/>
      <c r="F48" s="15"/>
      <c r="G48" s="15"/>
      <c r="H48" s="10">
        <f t="shared" si="3"/>
        <v>17.771000000000001</v>
      </c>
      <c r="I48" s="10">
        <f t="shared" si="4"/>
        <v>32.771000000000001</v>
      </c>
      <c r="J48" s="13">
        <f t="shared" si="5"/>
        <v>50.542000000000002</v>
      </c>
    </row>
    <row r="49" spans="1:10" ht="12" hidden="1" customHeight="1" x14ac:dyDescent="0.25">
      <c r="A49" s="12"/>
      <c r="B49" s="15"/>
      <c r="C49" s="15"/>
      <c r="D49" s="15"/>
      <c r="E49" s="15"/>
      <c r="F49" s="15"/>
      <c r="G49" s="18"/>
      <c r="H49" s="10">
        <f t="shared" si="3"/>
        <v>17.771000000000001</v>
      </c>
      <c r="I49" s="10">
        <f t="shared" si="4"/>
        <v>32.771000000000001</v>
      </c>
      <c r="J49" s="13">
        <f t="shared" si="5"/>
        <v>50.542000000000002</v>
      </c>
    </row>
    <row r="50" spans="1:10" ht="12" hidden="1" customHeight="1" x14ac:dyDescent="0.25">
      <c r="A50" s="12"/>
      <c r="B50" s="15"/>
      <c r="C50" s="15"/>
      <c r="D50" s="15"/>
      <c r="E50" s="15"/>
      <c r="F50" s="15"/>
      <c r="G50" s="18"/>
      <c r="H50" s="10">
        <f t="shared" si="3"/>
        <v>17.771000000000001</v>
      </c>
      <c r="I50" s="10">
        <f t="shared" si="4"/>
        <v>32.771000000000001</v>
      </c>
      <c r="J50" s="13">
        <f t="shared" si="5"/>
        <v>50.542000000000002</v>
      </c>
    </row>
    <row r="51" spans="1:10" ht="12" hidden="1" customHeight="1" x14ac:dyDescent="0.25">
      <c r="A51" s="19"/>
      <c r="B51" s="18"/>
      <c r="C51" s="18"/>
      <c r="D51" s="18"/>
      <c r="E51" s="18"/>
      <c r="F51" s="18"/>
      <c r="G51" s="18"/>
      <c r="H51" s="10">
        <f t="shared" si="3"/>
        <v>17.771000000000001</v>
      </c>
      <c r="I51" s="10">
        <f t="shared" si="4"/>
        <v>32.771000000000001</v>
      </c>
      <c r="J51" s="13">
        <f t="shared" si="5"/>
        <v>50.542000000000002</v>
      </c>
    </row>
    <row r="52" spans="1:10" ht="12" hidden="1" customHeight="1" x14ac:dyDescent="0.25">
      <c r="A52" s="12"/>
      <c r="B52" s="18"/>
      <c r="C52" s="18"/>
      <c r="D52" s="18"/>
      <c r="E52" s="18"/>
      <c r="F52" s="18"/>
      <c r="G52" s="18"/>
      <c r="H52" s="10">
        <f t="shared" si="3"/>
        <v>17.771000000000001</v>
      </c>
      <c r="I52" s="10">
        <f t="shared" si="4"/>
        <v>32.771000000000001</v>
      </c>
      <c r="J52" s="13">
        <f t="shared" si="5"/>
        <v>50.542000000000002</v>
      </c>
    </row>
    <row r="53" spans="1:10" ht="14.25" hidden="1" customHeight="1" x14ac:dyDescent="0.25">
      <c r="A53" s="21"/>
      <c r="B53" s="18"/>
      <c r="C53" s="18"/>
      <c r="D53" s="18"/>
      <c r="E53" s="18"/>
      <c r="F53" s="18"/>
      <c r="G53" s="18"/>
      <c r="H53" s="10">
        <f t="shared" si="3"/>
        <v>17.771000000000001</v>
      </c>
      <c r="I53" s="10">
        <f t="shared" si="4"/>
        <v>32.771000000000001</v>
      </c>
      <c r="J53" s="13">
        <f t="shared" si="5"/>
        <v>50.542000000000002</v>
      </c>
    </row>
    <row r="54" spans="1:10" ht="12" hidden="1" customHeight="1" x14ac:dyDescent="0.25">
      <c r="A54" s="20"/>
      <c r="B54" s="15"/>
      <c r="C54" s="15"/>
      <c r="D54" s="15"/>
      <c r="E54" s="15"/>
      <c r="F54" s="15"/>
      <c r="G54" s="15"/>
      <c r="H54" s="10">
        <f t="shared" si="3"/>
        <v>17.771000000000001</v>
      </c>
      <c r="I54" s="10">
        <f t="shared" si="4"/>
        <v>32.771000000000001</v>
      </c>
      <c r="J54" s="13">
        <f t="shared" si="5"/>
        <v>50.542000000000002</v>
      </c>
    </row>
    <row r="55" spans="1:10" ht="15.75" hidden="1" customHeight="1" x14ac:dyDescent="0.25">
      <c r="A55" s="20"/>
      <c r="B55" s="15"/>
      <c r="C55" s="15"/>
      <c r="D55" s="15"/>
      <c r="E55" s="15"/>
      <c r="F55" s="15"/>
      <c r="G55" s="15"/>
      <c r="H55" s="10">
        <f t="shared" si="3"/>
        <v>17.771000000000001</v>
      </c>
      <c r="I55" s="10">
        <f t="shared" si="4"/>
        <v>32.771000000000001</v>
      </c>
      <c r="J55" s="13">
        <f t="shared" si="5"/>
        <v>50.542000000000002</v>
      </c>
    </row>
    <row r="56" spans="1:10" ht="12" hidden="1" customHeight="1" x14ac:dyDescent="0.25">
      <c r="A56" s="20"/>
      <c r="B56" s="15"/>
      <c r="C56" s="15"/>
      <c r="D56" s="15"/>
      <c r="E56" s="15"/>
      <c r="F56" s="15"/>
      <c r="G56" s="15"/>
      <c r="H56" s="10">
        <f t="shared" si="3"/>
        <v>17.771000000000001</v>
      </c>
      <c r="I56" s="10">
        <f t="shared" si="4"/>
        <v>32.771000000000001</v>
      </c>
      <c r="J56" s="13">
        <f t="shared" si="5"/>
        <v>50.542000000000002</v>
      </c>
    </row>
    <row r="57" spans="1:10" ht="14.25" hidden="1" customHeight="1" x14ac:dyDescent="0.25">
      <c r="A57" s="20"/>
      <c r="B57" s="15"/>
      <c r="C57" s="15"/>
      <c r="D57" s="15"/>
      <c r="E57" s="15"/>
      <c r="F57" s="15"/>
      <c r="G57" s="15"/>
      <c r="H57" s="10">
        <f t="shared" si="3"/>
        <v>17.771000000000001</v>
      </c>
      <c r="I57" s="10">
        <f t="shared" si="4"/>
        <v>32.771000000000001</v>
      </c>
      <c r="J57" s="13">
        <f t="shared" si="5"/>
        <v>50.542000000000002</v>
      </c>
    </row>
    <row r="58" spans="1:10" ht="15" hidden="1" customHeight="1" x14ac:dyDescent="0.25">
      <c r="A58" s="21"/>
      <c r="B58" s="15"/>
      <c r="C58" s="15"/>
      <c r="D58" s="15"/>
      <c r="E58" s="15"/>
      <c r="F58" s="15"/>
      <c r="G58" s="15"/>
      <c r="H58" s="10">
        <f t="shared" si="3"/>
        <v>17.771000000000001</v>
      </c>
      <c r="I58" s="10">
        <f t="shared" si="4"/>
        <v>32.771000000000001</v>
      </c>
      <c r="J58" s="13">
        <f t="shared" si="5"/>
        <v>50.542000000000002</v>
      </c>
    </row>
    <row r="59" spans="1:10" ht="12" hidden="1" customHeight="1" x14ac:dyDescent="0.25">
      <c r="A59" s="12"/>
      <c r="B59" s="18"/>
      <c r="C59" s="18"/>
      <c r="D59" s="15"/>
      <c r="E59" s="15"/>
      <c r="F59" s="15"/>
      <c r="G59" s="15"/>
      <c r="H59" s="10">
        <f t="shared" si="3"/>
        <v>17.771000000000001</v>
      </c>
      <c r="I59" s="10">
        <f t="shared" si="4"/>
        <v>32.771000000000001</v>
      </c>
      <c r="J59" s="13">
        <f t="shared" si="5"/>
        <v>50.542000000000002</v>
      </c>
    </row>
    <row r="60" spans="1:10" ht="12" hidden="1" customHeight="1" x14ac:dyDescent="0.25">
      <c r="A60" s="20"/>
      <c r="B60" s="15"/>
      <c r="C60" s="15"/>
      <c r="D60" s="15"/>
      <c r="E60" s="15"/>
      <c r="F60" s="15"/>
      <c r="G60" s="15"/>
      <c r="H60" s="10">
        <f t="shared" si="3"/>
        <v>17.771000000000001</v>
      </c>
      <c r="I60" s="10">
        <f t="shared" si="4"/>
        <v>32.771000000000001</v>
      </c>
      <c r="J60" s="13">
        <f t="shared" si="5"/>
        <v>50.542000000000002</v>
      </c>
    </row>
    <row r="61" spans="1:10" ht="12" hidden="1" customHeight="1" x14ac:dyDescent="0.25">
      <c r="A61" s="12"/>
      <c r="B61" s="15"/>
      <c r="C61" s="15"/>
      <c r="D61" s="15"/>
      <c r="E61" s="15"/>
      <c r="F61" s="15"/>
      <c r="G61" s="15"/>
      <c r="H61" s="10">
        <f t="shared" si="3"/>
        <v>17.771000000000001</v>
      </c>
      <c r="I61" s="10">
        <f t="shared" si="4"/>
        <v>32.771000000000001</v>
      </c>
      <c r="J61" s="13">
        <f t="shared" si="5"/>
        <v>50.542000000000002</v>
      </c>
    </row>
    <row r="62" spans="1:10" ht="15.75" hidden="1" customHeight="1" x14ac:dyDescent="0.25">
      <c r="A62" s="21"/>
      <c r="B62" s="15"/>
      <c r="C62" s="15"/>
      <c r="D62" s="15"/>
      <c r="E62" s="15"/>
      <c r="F62" s="15"/>
      <c r="G62" s="15"/>
      <c r="H62" s="10">
        <f t="shared" si="3"/>
        <v>17.771000000000001</v>
      </c>
      <c r="I62" s="10">
        <f t="shared" si="4"/>
        <v>32.771000000000001</v>
      </c>
      <c r="J62" s="13">
        <f t="shared" si="5"/>
        <v>50.542000000000002</v>
      </c>
    </row>
    <row r="63" spans="1:10" ht="13.5" hidden="1" customHeight="1" x14ac:dyDescent="0.25">
      <c r="A63" s="20"/>
      <c r="B63" s="15"/>
      <c r="C63" s="15"/>
      <c r="D63" s="15"/>
      <c r="E63" s="15"/>
      <c r="F63" s="15"/>
      <c r="G63" s="15"/>
      <c r="H63" s="10">
        <f t="shared" si="3"/>
        <v>17.771000000000001</v>
      </c>
      <c r="I63" s="10">
        <f t="shared" si="4"/>
        <v>32.771000000000001</v>
      </c>
      <c r="J63" s="13">
        <f t="shared" si="5"/>
        <v>50.542000000000002</v>
      </c>
    </row>
    <row r="64" spans="1:10" ht="12" hidden="1" customHeight="1" x14ac:dyDescent="0.25">
      <c r="A64" s="19"/>
      <c r="B64" s="18"/>
      <c r="C64" s="18"/>
      <c r="D64" s="15"/>
      <c r="E64" s="15"/>
      <c r="F64" s="15"/>
      <c r="G64" s="15"/>
      <c r="H64" s="10">
        <f t="shared" si="3"/>
        <v>17.771000000000001</v>
      </c>
      <c r="I64" s="10">
        <f t="shared" si="4"/>
        <v>32.771000000000001</v>
      </c>
      <c r="J64" s="13">
        <f t="shared" si="5"/>
        <v>50.542000000000002</v>
      </c>
    </row>
    <row r="65" spans="1:10" ht="12" hidden="1" customHeight="1" x14ac:dyDescent="0.25">
      <c r="A65" s="19"/>
      <c r="B65" s="18"/>
      <c r="C65" s="18"/>
      <c r="D65" s="15"/>
      <c r="E65" s="15"/>
      <c r="F65" s="15"/>
      <c r="G65" s="15"/>
      <c r="H65" s="10">
        <f t="shared" si="3"/>
        <v>17.771000000000001</v>
      </c>
      <c r="I65" s="10">
        <f t="shared" si="4"/>
        <v>32.771000000000001</v>
      </c>
      <c r="J65" s="13">
        <f t="shared" si="5"/>
        <v>50.542000000000002</v>
      </c>
    </row>
    <row r="66" spans="1:10" ht="12" hidden="1" customHeight="1" x14ac:dyDescent="0.25">
      <c r="A66" s="19"/>
      <c r="B66" s="18"/>
      <c r="C66" s="18"/>
      <c r="D66" s="15"/>
      <c r="E66" s="15"/>
      <c r="F66" s="15"/>
      <c r="G66" s="15"/>
      <c r="H66" s="10">
        <f t="shared" si="3"/>
        <v>17.771000000000001</v>
      </c>
      <c r="I66" s="10">
        <f t="shared" si="4"/>
        <v>32.771000000000001</v>
      </c>
      <c r="J66" s="13">
        <f t="shared" si="5"/>
        <v>50.542000000000002</v>
      </c>
    </row>
    <row r="67" spans="1:10" ht="12" hidden="1" customHeight="1" x14ac:dyDescent="0.25">
      <c r="A67" s="12"/>
      <c r="B67" s="15"/>
      <c r="C67" s="15"/>
      <c r="D67" s="15"/>
      <c r="E67" s="15"/>
      <c r="F67" s="15"/>
      <c r="G67" s="15"/>
      <c r="H67" s="10">
        <f t="shared" si="3"/>
        <v>17.771000000000001</v>
      </c>
      <c r="I67" s="10">
        <f t="shared" si="4"/>
        <v>32.771000000000001</v>
      </c>
      <c r="J67" s="13">
        <f t="shared" si="5"/>
        <v>50.542000000000002</v>
      </c>
    </row>
    <row r="68" spans="1:10" ht="12" hidden="1" customHeight="1" x14ac:dyDescent="0.25">
      <c r="A68" s="14"/>
      <c r="B68" s="18"/>
      <c r="C68" s="18"/>
      <c r="D68" s="18"/>
      <c r="E68" s="18"/>
      <c r="F68" s="18"/>
      <c r="G68" s="18"/>
      <c r="H68" s="10">
        <f t="shared" si="3"/>
        <v>17.771000000000001</v>
      </c>
      <c r="I68" s="10">
        <f t="shared" si="4"/>
        <v>32.771000000000001</v>
      </c>
      <c r="J68" s="13">
        <f t="shared" si="5"/>
        <v>50.542000000000002</v>
      </c>
    </row>
    <row r="69" spans="1:10" ht="12" hidden="1" customHeight="1" x14ac:dyDescent="0.25">
      <c r="A69" s="11"/>
      <c r="B69" s="15"/>
      <c r="C69" s="15"/>
      <c r="D69" s="15"/>
      <c r="E69" s="15"/>
      <c r="F69" s="15"/>
      <c r="G69" s="15"/>
      <c r="H69" s="10">
        <f t="shared" si="3"/>
        <v>17.771000000000001</v>
      </c>
      <c r="I69" s="10">
        <f t="shared" si="4"/>
        <v>32.771000000000001</v>
      </c>
      <c r="J69" s="13">
        <f t="shared" si="5"/>
        <v>50.542000000000002</v>
      </c>
    </row>
    <row r="70" spans="1:10" ht="12" hidden="1" customHeight="1" x14ac:dyDescent="0.25">
      <c r="A70" s="11"/>
      <c r="B70" s="15"/>
      <c r="C70" s="15"/>
      <c r="D70" s="15"/>
      <c r="E70" s="15"/>
      <c r="F70" s="15"/>
      <c r="G70" s="15"/>
      <c r="H70" s="10">
        <f t="shared" si="3"/>
        <v>17.771000000000001</v>
      </c>
      <c r="I70" s="10">
        <f t="shared" si="4"/>
        <v>32.771000000000001</v>
      </c>
      <c r="J70" s="13">
        <f t="shared" si="5"/>
        <v>50.542000000000002</v>
      </c>
    </row>
    <row r="71" spans="1:10" ht="12" hidden="1" customHeight="1" x14ac:dyDescent="0.25">
      <c r="A71" s="11"/>
      <c r="B71" s="15"/>
      <c r="C71" s="15"/>
      <c r="D71" s="15"/>
      <c r="E71" s="15"/>
      <c r="F71" s="15"/>
      <c r="G71" s="15"/>
      <c r="H71" s="10">
        <f t="shared" si="3"/>
        <v>17.771000000000001</v>
      </c>
      <c r="I71" s="10">
        <f t="shared" si="4"/>
        <v>32.771000000000001</v>
      </c>
      <c r="J71" s="13">
        <f t="shared" si="5"/>
        <v>50.542000000000002</v>
      </c>
    </row>
    <row r="72" spans="1:10" ht="12" hidden="1" customHeight="1" x14ac:dyDescent="0.25">
      <c r="A72" s="11"/>
      <c r="B72" s="15"/>
      <c r="C72" s="15"/>
      <c r="D72" s="15"/>
      <c r="E72" s="15"/>
      <c r="F72" s="15"/>
      <c r="G72" s="15"/>
      <c r="H72" s="10">
        <f t="shared" si="3"/>
        <v>17.771000000000001</v>
      </c>
      <c r="I72" s="10">
        <f t="shared" si="4"/>
        <v>32.771000000000001</v>
      </c>
      <c r="J72" s="13">
        <f t="shared" si="5"/>
        <v>50.542000000000002</v>
      </c>
    </row>
    <row r="73" spans="1:10" ht="12" hidden="1" customHeight="1" x14ac:dyDescent="0.25">
      <c r="A73" s="11"/>
      <c r="B73" s="18"/>
      <c r="C73" s="18"/>
      <c r="D73" s="15"/>
      <c r="E73" s="15"/>
      <c r="F73" s="15"/>
      <c r="G73" s="15"/>
      <c r="H73" s="10">
        <f t="shared" si="3"/>
        <v>17.771000000000001</v>
      </c>
      <c r="I73" s="10">
        <f t="shared" si="4"/>
        <v>32.771000000000001</v>
      </c>
      <c r="J73" s="13">
        <f t="shared" si="5"/>
        <v>50.542000000000002</v>
      </c>
    </row>
    <row r="74" spans="1:10" ht="12" hidden="1" customHeight="1" x14ac:dyDescent="0.25">
      <c r="A74" s="11"/>
      <c r="B74" s="15"/>
      <c r="C74" s="15"/>
      <c r="D74" s="15"/>
      <c r="E74" s="15"/>
      <c r="F74" s="15"/>
      <c r="G74" s="15"/>
      <c r="H74" s="10">
        <f t="shared" si="3"/>
        <v>17.771000000000001</v>
      </c>
      <c r="I74" s="10">
        <f t="shared" si="4"/>
        <v>32.771000000000001</v>
      </c>
      <c r="J74" s="13">
        <f t="shared" si="5"/>
        <v>50.542000000000002</v>
      </c>
    </row>
    <row r="75" spans="1:10" ht="12" hidden="1" customHeight="1" x14ac:dyDescent="0.25">
      <c r="A75" s="12"/>
      <c r="B75" s="15"/>
      <c r="C75" s="15"/>
      <c r="D75" s="15"/>
      <c r="E75" s="15"/>
      <c r="F75" s="15"/>
      <c r="G75" s="15"/>
      <c r="H75" s="10">
        <f t="shared" si="3"/>
        <v>17.771000000000001</v>
      </c>
      <c r="I75" s="10">
        <f t="shared" si="4"/>
        <v>32.771000000000001</v>
      </c>
      <c r="J75" s="13">
        <f t="shared" si="5"/>
        <v>50.542000000000002</v>
      </c>
    </row>
    <row r="76" spans="1:10" ht="12" hidden="1" customHeight="1" x14ac:dyDescent="0.25">
      <c r="A76" s="11"/>
      <c r="B76" s="15"/>
      <c r="C76" s="15"/>
      <c r="D76" s="15"/>
      <c r="E76" s="15"/>
      <c r="F76" s="15"/>
      <c r="G76" s="15"/>
      <c r="H76" s="10">
        <f t="shared" si="3"/>
        <v>17.771000000000001</v>
      </c>
      <c r="I76" s="10">
        <f t="shared" si="4"/>
        <v>32.771000000000001</v>
      </c>
      <c r="J76" s="13">
        <f t="shared" si="5"/>
        <v>50.542000000000002</v>
      </c>
    </row>
    <row r="77" spans="1:10" ht="12" hidden="1" customHeight="1" x14ac:dyDescent="0.25">
      <c r="A77" s="11"/>
      <c r="B77" s="15"/>
      <c r="C77" s="15"/>
      <c r="D77" s="15"/>
      <c r="E77" s="15"/>
      <c r="F77" s="15"/>
      <c r="G77" s="15"/>
      <c r="H77" s="10">
        <f t="shared" si="3"/>
        <v>17.771000000000001</v>
      </c>
      <c r="I77" s="10">
        <f t="shared" si="4"/>
        <v>32.771000000000001</v>
      </c>
      <c r="J77" s="13">
        <f t="shared" si="5"/>
        <v>50.542000000000002</v>
      </c>
    </row>
    <row r="78" spans="1:10" ht="13.5" hidden="1" customHeight="1" x14ac:dyDescent="0.25">
      <c r="A78" s="22"/>
      <c r="B78" s="18"/>
      <c r="C78" s="18"/>
      <c r="D78" s="18"/>
      <c r="E78" s="18"/>
      <c r="F78" s="18"/>
      <c r="G78" s="18"/>
      <c r="H78" s="10">
        <f t="shared" si="3"/>
        <v>17.771000000000001</v>
      </c>
      <c r="I78" s="10">
        <f t="shared" si="4"/>
        <v>32.771000000000001</v>
      </c>
      <c r="J78" s="13">
        <f t="shared" si="5"/>
        <v>50.542000000000002</v>
      </c>
    </row>
    <row r="79" spans="1:10" ht="12" hidden="1" customHeight="1" x14ac:dyDescent="0.25">
      <c r="A79" s="22"/>
      <c r="B79" s="18"/>
      <c r="C79" s="18"/>
      <c r="D79" s="18"/>
      <c r="E79" s="18"/>
      <c r="F79" s="18"/>
      <c r="G79" s="18"/>
      <c r="H79" s="10">
        <f t="shared" si="3"/>
        <v>17.771000000000001</v>
      </c>
      <c r="I79" s="10">
        <f t="shared" si="4"/>
        <v>32.771000000000001</v>
      </c>
      <c r="J79" s="13">
        <f t="shared" si="5"/>
        <v>50.542000000000002</v>
      </c>
    </row>
    <row r="80" spans="1:10" ht="12" hidden="1" customHeight="1" x14ac:dyDescent="0.25">
      <c r="A80" s="11"/>
      <c r="B80" s="15"/>
      <c r="C80" s="15"/>
      <c r="D80" s="15"/>
      <c r="E80" s="15"/>
      <c r="F80" s="15"/>
      <c r="G80" s="15"/>
      <c r="H80" s="10">
        <f t="shared" si="3"/>
        <v>17.771000000000001</v>
      </c>
      <c r="I80" s="10">
        <f t="shared" si="4"/>
        <v>32.771000000000001</v>
      </c>
      <c r="J80" s="13">
        <f t="shared" si="5"/>
        <v>50.542000000000002</v>
      </c>
    </row>
    <row r="81" spans="1:10" ht="14.25" hidden="1" customHeight="1" x14ac:dyDescent="0.25">
      <c r="A81" s="29"/>
      <c r="B81" s="30"/>
      <c r="C81" s="30"/>
      <c r="D81" s="29"/>
      <c r="E81" s="15"/>
      <c r="F81" s="15"/>
      <c r="G81" s="15"/>
      <c r="H81" s="10">
        <f t="shared" si="3"/>
        <v>17.771000000000001</v>
      </c>
      <c r="I81" s="10">
        <f t="shared" si="4"/>
        <v>32.771000000000001</v>
      </c>
      <c r="J81" s="13">
        <f t="shared" si="5"/>
        <v>50.542000000000002</v>
      </c>
    </row>
    <row r="82" spans="1:10" ht="14.25" hidden="1" customHeight="1" x14ac:dyDescent="0.25">
      <c r="A82" s="29"/>
      <c r="B82" s="29"/>
      <c r="C82" s="29"/>
      <c r="D82" s="29"/>
      <c r="E82" s="15"/>
      <c r="F82" s="15"/>
      <c r="G82" s="15"/>
      <c r="H82" s="10">
        <f t="shared" si="3"/>
        <v>17.771000000000001</v>
      </c>
      <c r="I82" s="10">
        <f t="shared" si="4"/>
        <v>32.771000000000001</v>
      </c>
      <c r="J82" s="13">
        <f t="shared" si="5"/>
        <v>50.542000000000002</v>
      </c>
    </row>
    <row r="83" spans="1:10" ht="14.25" hidden="1" customHeight="1" x14ac:dyDescent="0.25">
      <c r="A83" s="29"/>
      <c r="B83" s="29"/>
      <c r="C83" s="29"/>
      <c r="D83" s="29"/>
      <c r="E83" s="15"/>
      <c r="F83" s="15"/>
      <c r="G83" s="15"/>
      <c r="H83" s="10">
        <f t="shared" si="3"/>
        <v>17.771000000000001</v>
      </c>
      <c r="I83" s="10">
        <f t="shared" si="4"/>
        <v>32.771000000000001</v>
      </c>
      <c r="J83" s="13">
        <f t="shared" si="5"/>
        <v>50.542000000000002</v>
      </c>
    </row>
    <row r="84" spans="1:10" ht="14.25" customHeight="1" x14ac:dyDescent="0.25">
      <c r="A84" s="29" t="s">
        <v>54</v>
      </c>
      <c r="B84" s="29">
        <v>1.25</v>
      </c>
      <c r="C84" s="29">
        <v>1.25</v>
      </c>
      <c r="D84" s="29"/>
      <c r="E84" s="15"/>
      <c r="F84" s="15"/>
      <c r="G84" s="15"/>
      <c r="H84" s="10">
        <f t="shared" si="3"/>
        <v>19.021000000000001</v>
      </c>
      <c r="I84" s="10">
        <f t="shared" si="4"/>
        <v>34.021000000000001</v>
      </c>
      <c r="J84" s="13">
        <f t="shared" si="5"/>
        <v>53.042000000000002</v>
      </c>
    </row>
    <row r="85" spans="1:10" ht="14.25" customHeight="1" x14ac:dyDescent="0.25">
      <c r="A85" s="29" t="s">
        <v>55</v>
      </c>
      <c r="B85" s="29"/>
      <c r="C85" s="29"/>
      <c r="D85" s="29"/>
      <c r="E85" s="15"/>
      <c r="F85" s="15">
        <v>2</v>
      </c>
      <c r="G85" s="15"/>
      <c r="H85" s="10">
        <f t="shared" si="3"/>
        <v>17.021000000000001</v>
      </c>
      <c r="I85" s="10">
        <f t="shared" si="4"/>
        <v>34.021000000000001</v>
      </c>
      <c r="J85" s="13">
        <f t="shared" si="5"/>
        <v>51.042000000000002</v>
      </c>
    </row>
    <row r="86" spans="1:10" ht="14.25" customHeight="1" x14ac:dyDescent="0.25">
      <c r="A86" s="29" t="s">
        <v>56</v>
      </c>
      <c r="B86" s="29"/>
      <c r="C86" s="29"/>
      <c r="D86" s="29"/>
      <c r="E86" s="15"/>
      <c r="F86" s="15">
        <v>3</v>
      </c>
      <c r="G86" s="15"/>
      <c r="H86" s="10">
        <f t="shared" si="3"/>
        <v>14.021000000000001</v>
      </c>
      <c r="I86" s="10">
        <f t="shared" si="4"/>
        <v>34.021000000000001</v>
      </c>
      <c r="J86" s="13">
        <f t="shared" si="5"/>
        <v>48.042000000000002</v>
      </c>
    </row>
    <row r="87" spans="1:10" ht="14.25" customHeight="1" x14ac:dyDescent="0.25">
      <c r="A87" s="29" t="s">
        <v>58</v>
      </c>
      <c r="B87" s="29">
        <v>1.25</v>
      </c>
      <c r="C87" s="29">
        <v>1.25</v>
      </c>
      <c r="D87" s="29"/>
      <c r="E87" s="15"/>
      <c r="F87" s="15"/>
      <c r="G87" s="15"/>
      <c r="H87" s="10">
        <f t="shared" ref="H87:H88" si="6">H86-F87-D87+B87</f>
        <v>15.271000000000001</v>
      </c>
      <c r="I87" s="10">
        <f t="shared" ref="I87:I88" si="7">I86-E87+C87</f>
        <v>35.271000000000001</v>
      </c>
      <c r="J87" s="13">
        <f t="shared" ref="J87:J88" si="8">SUM(H87:I87)</f>
        <v>50.542000000000002</v>
      </c>
    </row>
    <row r="88" spans="1:10" ht="14.25" customHeight="1" x14ac:dyDescent="0.25">
      <c r="A88" s="29" t="s">
        <v>59</v>
      </c>
      <c r="B88" s="29"/>
      <c r="C88" s="29"/>
      <c r="D88" s="29"/>
      <c r="E88" s="15"/>
      <c r="F88" s="15"/>
      <c r="G88" s="15">
        <v>2</v>
      </c>
      <c r="H88" s="10">
        <f t="shared" si="6"/>
        <v>15.271000000000001</v>
      </c>
      <c r="I88" s="10">
        <f t="shared" si="7"/>
        <v>35.271000000000001</v>
      </c>
      <c r="J88" s="13">
        <f t="shared" si="8"/>
        <v>50.542000000000002</v>
      </c>
    </row>
    <row r="89" spans="1:10" ht="14.25" customHeight="1" x14ac:dyDescent="0.25">
      <c r="A89" s="29" t="s">
        <v>60</v>
      </c>
      <c r="B89" s="29">
        <v>1.25</v>
      </c>
      <c r="C89" s="29">
        <v>1.25</v>
      </c>
      <c r="D89" s="29"/>
      <c r="E89" s="15"/>
      <c r="F89" s="15"/>
      <c r="G89" s="15"/>
      <c r="H89" s="10">
        <f t="shared" ref="H89:H90" si="9">H88-F89-D89+B89</f>
        <v>16.521000000000001</v>
      </c>
      <c r="I89" s="10">
        <f t="shared" ref="I89:I90" si="10">I88-E89+C89</f>
        <v>36.521000000000001</v>
      </c>
      <c r="J89" s="13">
        <f t="shared" ref="J89:J90" si="11">SUM(H89:I89)</f>
        <v>53.042000000000002</v>
      </c>
    </row>
    <row r="90" spans="1:10" ht="14.25" customHeight="1" x14ac:dyDescent="0.25">
      <c r="A90" s="29" t="s">
        <v>61</v>
      </c>
      <c r="B90" s="29"/>
      <c r="C90" s="29"/>
      <c r="D90" s="29"/>
      <c r="E90" s="15">
        <v>2</v>
      </c>
      <c r="F90" s="15"/>
      <c r="G90" s="15"/>
      <c r="H90" s="10">
        <f t="shared" si="9"/>
        <v>16.521000000000001</v>
      </c>
      <c r="I90" s="10">
        <f t="shared" si="10"/>
        <v>34.521000000000001</v>
      </c>
      <c r="J90" s="13">
        <f t="shared" si="11"/>
        <v>51.042000000000002</v>
      </c>
    </row>
    <row r="91" spans="1:10" ht="14.25" customHeight="1" x14ac:dyDescent="0.25">
      <c r="A91" s="29" t="s">
        <v>70</v>
      </c>
      <c r="B91" s="29">
        <v>1.25</v>
      </c>
      <c r="C91" s="29">
        <v>1.25</v>
      </c>
      <c r="D91" s="29"/>
      <c r="E91" s="15"/>
      <c r="F91" s="15"/>
      <c r="G91" s="15"/>
      <c r="H91" s="10">
        <f t="shared" ref="H91" si="12">H90-F91-D91+B91</f>
        <v>17.771000000000001</v>
      </c>
      <c r="I91" s="10">
        <f t="shared" ref="I91" si="13">I90-E91+C91</f>
        <v>35.771000000000001</v>
      </c>
      <c r="J91" s="13">
        <f t="shared" ref="J91" si="14">SUM(H91:I91)</f>
        <v>53.542000000000002</v>
      </c>
    </row>
    <row r="92" spans="1:10" ht="14.25" customHeight="1" x14ac:dyDescent="0.25">
      <c r="A92" s="29" t="s">
        <v>71</v>
      </c>
      <c r="B92" s="29"/>
      <c r="C92" s="29"/>
      <c r="D92" s="29"/>
      <c r="E92" s="15">
        <v>1</v>
      </c>
      <c r="F92" s="15"/>
      <c r="G92" s="15"/>
      <c r="H92" s="10">
        <f t="shared" ref="H92" si="15">H91-F92-D92+B92</f>
        <v>17.771000000000001</v>
      </c>
      <c r="I92" s="10">
        <f t="shared" ref="I92" si="16">I91-E92+C92</f>
        <v>34.771000000000001</v>
      </c>
      <c r="J92" s="13">
        <f t="shared" ref="J92" si="17">SUM(H92:I92)</f>
        <v>52.542000000000002</v>
      </c>
    </row>
    <row r="93" spans="1:10" ht="14.25" customHeight="1" x14ac:dyDescent="0.25">
      <c r="A93" s="29" t="s">
        <v>72</v>
      </c>
      <c r="B93" s="29"/>
      <c r="C93" s="29"/>
      <c r="D93" s="29"/>
      <c r="E93" s="15"/>
      <c r="F93" s="15"/>
      <c r="G93" s="66">
        <v>1</v>
      </c>
      <c r="H93" s="10">
        <f t="shared" ref="H93" si="18">H92-F93-D93+B93</f>
        <v>17.771000000000001</v>
      </c>
      <c r="I93" s="10">
        <f t="shared" ref="I93" si="19">I92-E93+C93</f>
        <v>34.771000000000001</v>
      </c>
      <c r="J93" s="13">
        <f t="shared" ref="J93" si="20">SUM(H93:I93)</f>
        <v>52.542000000000002</v>
      </c>
    </row>
    <row r="94" spans="1:10" ht="14.25" customHeight="1" x14ac:dyDescent="0.25">
      <c r="A94" s="29" t="s">
        <v>73</v>
      </c>
      <c r="B94" s="29">
        <v>2.5</v>
      </c>
      <c r="C94" s="29">
        <v>2.5</v>
      </c>
      <c r="D94" s="29"/>
      <c r="E94" s="15"/>
      <c r="F94" s="15"/>
      <c r="G94" s="15"/>
      <c r="H94" s="10">
        <f t="shared" ref="H94:H95" si="21">H93-F94-D94+B94</f>
        <v>20.271000000000001</v>
      </c>
      <c r="I94" s="10">
        <f t="shared" ref="I94:I95" si="22">I93-E94+C94</f>
        <v>37.271000000000001</v>
      </c>
      <c r="J94" s="13">
        <f t="shared" ref="J94:J95" si="23">SUM(H94:I94)</f>
        <v>57.542000000000002</v>
      </c>
    </row>
    <row r="95" spans="1:10" ht="14.25" customHeight="1" x14ac:dyDescent="0.25">
      <c r="A95" s="29" t="s">
        <v>74</v>
      </c>
      <c r="B95" s="29"/>
      <c r="C95" s="29"/>
      <c r="D95" s="29"/>
      <c r="E95" s="15">
        <v>4</v>
      </c>
      <c r="F95" s="15"/>
      <c r="G95" s="15"/>
      <c r="H95" s="10">
        <f t="shared" si="21"/>
        <v>20.271000000000001</v>
      </c>
      <c r="I95" s="10">
        <f t="shared" si="22"/>
        <v>33.271000000000001</v>
      </c>
      <c r="J95" s="10">
        <f t="shared" si="23"/>
        <v>53.542000000000002</v>
      </c>
    </row>
    <row r="96" spans="1:10" ht="14.25" customHeight="1" x14ac:dyDescent="0.25">
      <c r="A96" s="29" t="s">
        <v>75</v>
      </c>
      <c r="B96" s="29"/>
      <c r="C96" s="29"/>
      <c r="D96" s="29"/>
      <c r="E96" s="15"/>
      <c r="F96" s="15"/>
      <c r="G96" s="66">
        <v>1</v>
      </c>
      <c r="H96" s="10">
        <f t="shared" ref="H96" si="24">H95-F96-D96+B96</f>
        <v>20.271000000000001</v>
      </c>
      <c r="I96" s="10">
        <f t="shared" ref="I96" si="25">I95-E96+C96</f>
        <v>33.271000000000001</v>
      </c>
      <c r="J96" s="10">
        <f t="shared" ref="J96" si="26">SUM(H96:I96)</f>
        <v>53.542000000000002</v>
      </c>
    </row>
    <row r="97" spans="1:11" ht="14.25" customHeight="1" x14ac:dyDescent="0.25">
      <c r="A97" s="29" t="s">
        <v>89</v>
      </c>
      <c r="B97" s="29">
        <v>3.75</v>
      </c>
      <c r="C97" s="29">
        <v>3.75</v>
      </c>
      <c r="D97" s="29"/>
      <c r="E97" s="15"/>
      <c r="F97" s="15"/>
      <c r="G97" s="15"/>
      <c r="H97" s="10">
        <f t="shared" ref="H97" si="27">H96-F97-D97+B97</f>
        <v>24.021000000000001</v>
      </c>
      <c r="I97" s="10">
        <f t="shared" ref="I97" si="28">I96-E97+C97</f>
        <v>37.021000000000001</v>
      </c>
      <c r="J97" s="10">
        <f t="shared" ref="J97" si="29">SUM(H97:I97)</f>
        <v>61.042000000000002</v>
      </c>
    </row>
    <row r="98" spans="1:11" ht="14.25" customHeight="1" x14ac:dyDescent="0.25">
      <c r="A98" s="29" t="s">
        <v>90</v>
      </c>
      <c r="B98" s="29"/>
      <c r="C98" s="29"/>
      <c r="D98" s="29"/>
      <c r="E98" s="15">
        <v>1</v>
      </c>
      <c r="F98" s="15"/>
      <c r="G98" s="15"/>
      <c r="H98" s="10">
        <f t="shared" ref="H98" si="30">H97-F98-D98+B98</f>
        <v>24.021000000000001</v>
      </c>
      <c r="I98" s="10">
        <f t="shared" ref="I98" si="31">I97-E98+C98</f>
        <v>36.021000000000001</v>
      </c>
      <c r="J98" s="10">
        <f t="shared" ref="J98" si="32">SUM(H98:I98)</f>
        <v>60.042000000000002</v>
      </c>
    </row>
    <row r="99" spans="1:11" ht="14.25" customHeight="1" x14ac:dyDescent="0.25">
      <c r="A99" s="29" t="s">
        <v>91</v>
      </c>
      <c r="B99" s="29">
        <v>1.25</v>
      </c>
      <c r="C99" s="29">
        <v>1.25</v>
      </c>
      <c r="D99" s="29"/>
      <c r="E99" s="15"/>
      <c r="F99" s="15"/>
      <c r="G99" s="15"/>
      <c r="H99" s="10">
        <f t="shared" ref="H99:H100" si="33">H98-F99-D99+B99</f>
        <v>25.271000000000001</v>
      </c>
      <c r="I99" s="10">
        <f t="shared" ref="I99:I100" si="34">I98-E99+C99</f>
        <v>37.271000000000001</v>
      </c>
      <c r="J99" s="10">
        <f t="shared" ref="J99:J100" si="35">SUM(H99:I99)</f>
        <v>62.542000000000002</v>
      </c>
    </row>
    <row r="100" spans="1:11" ht="14.25" customHeight="1" x14ac:dyDescent="0.25">
      <c r="A100" s="29" t="s">
        <v>92</v>
      </c>
      <c r="B100" s="29"/>
      <c r="C100" s="29"/>
      <c r="D100" s="29"/>
      <c r="E100" s="15">
        <v>2</v>
      </c>
      <c r="F100" s="15"/>
      <c r="G100" s="15"/>
      <c r="H100" s="10">
        <f t="shared" si="33"/>
        <v>25.271000000000001</v>
      </c>
      <c r="I100" s="10">
        <f t="shared" si="34"/>
        <v>35.271000000000001</v>
      </c>
      <c r="J100" s="10">
        <f t="shared" si="35"/>
        <v>60.542000000000002</v>
      </c>
    </row>
    <row r="101" spans="1:11" ht="14.25" customHeight="1" x14ac:dyDescent="0.25">
      <c r="A101" s="29" t="s">
        <v>93</v>
      </c>
      <c r="B101" s="29"/>
      <c r="C101" s="29"/>
      <c r="D101" s="29"/>
      <c r="E101" s="15">
        <v>1</v>
      </c>
      <c r="F101" s="15"/>
      <c r="G101" s="15"/>
      <c r="H101" s="10">
        <f t="shared" ref="H101" si="36">H100-F101-D101+B101</f>
        <v>25.271000000000001</v>
      </c>
      <c r="I101" s="10">
        <f t="shared" ref="I101" si="37">I100-E101+C101</f>
        <v>34.271000000000001</v>
      </c>
      <c r="J101" s="10">
        <f t="shared" ref="J101" si="38">SUM(H101:I101)</f>
        <v>59.542000000000002</v>
      </c>
    </row>
    <row r="102" spans="1:11" ht="14.25" customHeight="1" x14ac:dyDescent="0.25">
      <c r="A102" s="29" t="s">
        <v>94</v>
      </c>
      <c r="B102" s="29">
        <v>1.25</v>
      </c>
      <c r="C102" s="29">
        <v>1.25</v>
      </c>
      <c r="D102" s="29"/>
      <c r="E102" s="15"/>
      <c r="F102" s="15"/>
      <c r="G102" s="15"/>
      <c r="H102" s="10">
        <f t="shared" ref="H102:H103" si="39">H101-F102-D102+B102</f>
        <v>26.521000000000001</v>
      </c>
      <c r="I102" s="10">
        <f t="shared" ref="I102:I103" si="40">I101-E102+C102</f>
        <v>35.521000000000001</v>
      </c>
      <c r="J102" s="10">
        <f t="shared" ref="J102:J103" si="41">SUM(H102:I102)</f>
        <v>62.042000000000002</v>
      </c>
    </row>
    <row r="103" spans="1:11" ht="14.25" customHeight="1" x14ac:dyDescent="0.25">
      <c r="A103" s="29" t="s">
        <v>95</v>
      </c>
      <c r="B103" s="29"/>
      <c r="C103" s="29"/>
      <c r="D103" s="29">
        <v>21.521000000000001</v>
      </c>
      <c r="E103" s="15">
        <v>8.4789999999999992</v>
      </c>
      <c r="F103" s="15"/>
      <c r="G103" s="15"/>
      <c r="H103" s="10">
        <f t="shared" si="39"/>
        <v>5</v>
      </c>
      <c r="I103" s="10">
        <f t="shared" si="40"/>
        <v>27.042000000000002</v>
      </c>
      <c r="J103" s="10">
        <f t="shared" si="41"/>
        <v>32.042000000000002</v>
      </c>
    </row>
    <row r="104" spans="1:11" ht="14.25" customHeight="1" x14ac:dyDescent="0.25">
      <c r="A104" s="29" t="s">
        <v>110</v>
      </c>
      <c r="B104" s="29"/>
      <c r="C104" s="29"/>
      <c r="D104" s="29"/>
      <c r="E104" s="15"/>
      <c r="F104" s="15"/>
      <c r="G104" s="66">
        <v>1</v>
      </c>
      <c r="H104" s="10">
        <f t="shared" ref="H104" si="42">H103-F104-D104+B104</f>
        <v>5</v>
      </c>
      <c r="I104" s="10">
        <f t="shared" ref="I104" si="43">I103-E104+C104</f>
        <v>27.042000000000002</v>
      </c>
      <c r="J104" s="10">
        <f t="shared" ref="J104" si="44">SUM(H104:I104)</f>
        <v>32.042000000000002</v>
      </c>
      <c r="K104" s="149" t="s">
        <v>109</v>
      </c>
    </row>
    <row r="105" spans="1:11" ht="14.25" customHeight="1" x14ac:dyDescent="0.25">
      <c r="A105" s="29" t="s">
        <v>107</v>
      </c>
      <c r="B105" s="29">
        <v>2.5</v>
      </c>
      <c r="C105" s="29">
        <v>2.5</v>
      </c>
      <c r="D105" s="29"/>
      <c r="E105" s="15"/>
      <c r="F105" s="15"/>
      <c r="G105" s="15"/>
      <c r="H105" s="10">
        <f t="shared" ref="H105:H106" si="45">H104-F105-D105+B105</f>
        <v>7.5</v>
      </c>
      <c r="I105" s="10">
        <f t="shared" ref="I105:I106" si="46">I104-E105+C105</f>
        <v>29.542000000000002</v>
      </c>
      <c r="J105" s="10">
        <f t="shared" ref="J105:J106" si="47">SUM(H105:I105)</f>
        <v>37.042000000000002</v>
      </c>
    </row>
    <row r="106" spans="1:11" ht="14.25" customHeight="1" x14ac:dyDescent="0.25">
      <c r="A106" s="29" t="s">
        <v>108</v>
      </c>
      <c r="B106" s="29"/>
      <c r="C106" s="29"/>
      <c r="D106" s="29"/>
      <c r="E106" s="15">
        <v>1</v>
      </c>
      <c r="F106" s="15"/>
      <c r="G106" s="15"/>
      <c r="H106" s="10">
        <f t="shared" si="45"/>
        <v>7.5</v>
      </c>
      <c r="I106" s="10">
        <f t="shared" si="46"/>
        <v>28.542000000000002</v>
      </c>
      <c r="J106" s="10">
        <f t="shared" si="47"/>
        <v>36.042000000000002</v>
      </c>
    </row>
    <row r="107" spans="1:11" ht="14.25" customHeight="1" x14ac:dyDescent="0.25">
      <c r="A107" s="29" t="s">
        <v>111</v>
      </c>
      <c r="B107" s="29"/>
      <c r="C107" s="29"/>
      <c r="D107" s="29"/>
      <c r="E107" s="15"/>
      <c r="F107" s="150">
        <v>3</v>
      </c>
      <c r="G107" s="15"/>
      <c r="H107" s="10">
        <f t="shared" ref="H107" si="48">H106-F107-D107+B107</f>
        <v>4.5</v>
      </c>
      <c r="I107" s="10">
        <f t="shared" ref="I107" si="49">I106-E107+C107</f>
        <v>28.542000000000002</v>
      </c>
      <c r="J107" s="10">
        <f t="shared" ref="J107" si="50">SUM(H107:I107)</f>
        <v>33.042000000000002</v>
      </c>
    </row>
    <row r="108" spans="1:11" ht="14.25" customHeight="1" x14ac:dyDescent="0.25">
      <c r="A108" s="67"/>
      <c r="B108" s="67"/>
      <c r="C108" s="67"/>
      <c r="D108" s="67"/>
      <c r="E108" s="68"/>
      <c r="F108" s="68"/>
      <c r="G108" s="68"/>
      <c r="H108" s="68"/>
      <c r="I108" s="68"/>
      <c r="J108" s="68"/>
    </row>
    <row r="112" spans="1:11" x14ac:dyDescent="0.25">
      <c r="F112" s="8" t="s">
        <v>24</v>
      </c>
    </row>
  </sheetData>
  <mergeCells count="13">
    <mergeCell ref="B9:D9"/>
    <mergeCell ref="A10:J10"/>
    <mergeCell ref="A2:J2"/>
    <mergeCell ref="A3:J3"/>
    <mergeCell ref="A4:J4"/>
    <mergeCell ref="A5:J5"/>
    <mergeCell ref="B7:D7"/>
    <mergeCell ref="K11:K12"/>
    <mergeCell ref="B11:C11"/>
    <mergeCell ref="D11:G11"/>
    <mergeCell ref="H11:I11"/>
    <mergeCell ref="A11:A12"/>
    <mergeCell ref="J11:J12"/>
  </mergeCells>
  <phoneticPr fontId="9" type="noConversion"/>
  <printOptions horizontalCentered="1"/>
  <pageMargins left="0.23622047244094491" right="0.23622047244094491" top="0.31496062992125984" bottom="0.11811023622047245" header="0.31496062992125984" footer="0.31496062992125984"/>
  <pageSetup paperSize="9" scale="71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18DB5-3E60-4CAE-9FF5-821CA36829AE}">
  <sheetPr>
    <pageSetUpPr fitToPage="1"/>
  </sheetPr>
  <dimension ref="A1:G34"/>
  <sheetViews>
    <sheetView view="pageBreakPreview" topLeftCell="A24" zoomScaleNormal="100" workbookViewId="0">
      <selection activeCell="C29" sqref="C29"/>
    </sheetView>
  </sheetViews>
  <sheetFormatPr defaultColWidth="9" defaultRowHeight="15" x14ac:dyDescent="0.25"/>
  <cols>
    <col min="1" max="1" width="23.5703125" style="39" customWidth="1"/>
    <col min="2" max="2" width="15" style="39" customWidth="1"/>
    <col min="3" max="3" width="37.7109375" style="63" customWidth="1"/>
    <col min="4" max="4" width="11.7109375" style="64" customWidth="1"/>
    <col min="5" max="5" width="11" style="39" customWidth="1"/>
    <col min="6" max="6" width="11.85546875" style="64" customWidth="1"/>
    <col min="7" max="7" width="15" style="39" customWidth="1"/>
    <col min="8" max="16384" width="9" style="39"/>
  </cols>
  <sheetData>
    <row r="1" spans="1:7" s="31" customFormat="1" ht="52.5" customHeight="1" x14ac:dyDescent="0.25">
      <c r="E1" s="32"/>
    </row>
    <row r="2" spans="1:7" s="31" customFormat="1" ht="10.5" customHeight="1" x14ac:dyDescent="0.25">
      <c r="A2" s="118" t="s">
        <v>13</v>
      </c>
      <c r="B2" s="118"/>
      <c r="C2" s="118"/>
      <c r="D2" s="118"/>
      <c r="E2" s="118"/>
      <c r="F2" s="118"/>
      <c r="G2" s="118"/>
    </row>
    <row r="3" spans="1:7" s="31" customFormat="1" ht="15.95" customHeight="1" x14ac:dyDescent="0.25">
      <c r="A3" s="118" t="s">
        <v>14</v>
      </c>
      <c r="B3" s="118"/>
      <c r="C3" s="118"/>
      <c r="D3" s="118"/>
      <c r="E3" s="118"/>
      <c r="F3" s="118"/>
      <c r="G3" s="118"/>
    </row>
    <row r="4" spans="1:7" s="31" customFormat="1" ht="15.95" customHeight="1" x14ac:dyDescent="0.25">
      <c r="A4" s="118" t="s">
        <v>96</v>
      </c>
      <c r="B4" s="118"/>
      <c r="C4" s="118"/>
      <c r="D4" s="118"/>
      <c r="E4" s="118"/>
      <c r="F4" s="118"/>
      <c r="G4" s="118"/>
    </row>
    <row r="5" spans="1:7" s="31" customFormat="1" ht="15.95" customHeight="1" x14ac:dyDescent="0.25">
      <c r="A5" s="118" t="s">
        <v>16</v>
      </c>
      <c r="B5" s="118"/>
      <c r="C5" s="118"/>
      <c r="D5" s="118"/>
      <c r="E5" s="118"/>
      <c r="F5" s="118"/>
      <c r="G5" s="118"/>
    </row>
    <row r="6" spans="1:7" s="31" customFormat="1" ht="8.25" customHeight="1" x14ac:dyDescent="0.25">
      <c r="E6" s="32"/>
    </row>
    <row r="7" spans="1:7" s="31" customFormat="1" ht="8.25" customHeight="1" x14ac:dyDescent="0.25">
      <c r="E7" s="32"/>
    </row>
    <row r="8" spans="1:7" s="31" customFormat="1" ht="17.25" customHeight="1" x14ac:dyDescent="0.25">
      <c r="A8" s="33" t="s">
        <v>36</v>
      </c>
      <c r="B8" s="33"/>
      <c r="C8" s="33" t="s">
        <v>37</v>
      </c>
      <c r="D8" s="34"/>
      <c r="E8" s="33" t="s">
        <v>38</v>
      </c>
      <c r="F8" s="34"/>
      <c r="G8" s="35"/>
    </row>
    <row r="9" spans="1:7" s="31" customFormat="1" ht="12" customHeight="1" x14ac:dyDescent="0.25">
      <c r="A9" s="36"/>
      <c r="B9" s="36"/>
      <c r="C9" s="37"/>
      <c r="E9" s="33" t="s">
        <v>39</v>
      </c>
      <c r="F9" s="38"/>
      <c r="G9" s="37"/>
    </row>
    <row r="10" spans="1:7" s="31" customFormat="1" ht="14.25" customHeight="1" x14ac:dyDescent="0.25">
      <c r="A10" s="33" t="s">
        <v>40</v>
      </c>
      <c r="B10" s="33"/>
      <c r="C10" s="33" t="s">
        <v>106</v>
      </c>
      <c r="D10" s="34"/>
      <c r="E10" s="33" t="s">
        <v>41</v>
      </c>
      <c r="F10" s="34"/>
      <c r="G10" s="35"/>
    </row>
    <row r="11" spans="1:7" s="31" customFormat="1" ht="12" customHeight="1" thickBot="1" x14ac:dyDescent="0.3">
      <c r="A11" s="35"/>
      <c r="B11" s="35"/>
      <c r="C11" s="35"/>
      <c r="F11" s="34"/>
      <c r="G11" s="35"/>
    </row>
    <row r="12" spans="1:7" ht="23.25" customHeight="1" thickBot="1" x14ac:dyDescent="0.3">
      <c r="A12" s="119" t="s">
        <v>42</v>
      </c>
      <c r="B12" s="120"/>
      <c r="C12" s="120"/>
      <c r="D12" s="120"/>
      <c r="E12" s="120"/>
      <c r="F12" s="120"/>
      <c r="G12" s="121"/>
    </row>
    <row r="13" spans="1:7" s="44" customFormat="1" ht="39.75" customHeight="1" thickBot="1" x14ac:dyDescent="0.25">
      <c r="A13" s="40" t="s">
        <v>43</v>
      </c>
      <c r="B13" s="41" t="s">
        <v>44</v>
      </c>
      <c r="C13" s="42" t="s">
        <v>45</v>
      </c>
      <c r="D13" s="42" t="s">
        <v>21</v>
      </c>
      <c r="E13" s="42" t="s">
        <v>22</v>
      </c>
      <c r="F13" s="42" t="s">
        <v>23</v>
      </c>
      <c r="G13" s="43" t="s">
        <v>8</v>
      </c>
    </row>
    <row r="14" spans="1:7" s="44" customFormat="1" ht="15.75" hidden="1" x14ac:dyDescent="0.2">
      <c r="A14" s="99" t="s">
        <v>63</v>
      </c>
      <c r="B14" s="45">
        <v>45566</v>
      </c>
      <c r="C14" s="46" t="s">
        <v>46</v>
      </c>
      <c r="D14" s="47">
        <v>1.5</v>
      </c>
      <c r="E14" s="47">
        <v>0</v>
      </c>
      <c r="F14" s="47">
        <v>1.5</v>
      </c>
      <c r="G14" s="48">
        <v>1.5</v>
      </c>
    </row>
    <row r="15" spans="1:7" s="53" customFormat="1" ht="15.75" hidden="1" x14ac:dyDescent="0.2">
      <c r="A15" s="49" t="s">
        <v>47</v>
      </c>
      <c r="B15" s="50"/>
      <c r="C15" s="46" t="s">
        <v>46</v>
      </c>
      <c r="D15" s="51"/>
      <c r="E15" s="51">
        <v>1</v>
      </c>
      <c r="F15" s="51">
        <v>0.5</v>
      </c>
      <c r="G15" s="52">
        <v>0.5</v>
      </c>
    </row>
    <row r="16" spans="1:7" s="53" customFormat="1" ht="15.75" hidden="1" x14ac:dyDescent="0.2">
      <c r="A16" s="100" t="s">
        <v>79</v>
      </c>
      <c r="B16" s="54">
        <v>45629</v>
      </c>
      <c r="C16" s="55" t="s">
        <v>48</v>
      </c>
      <c r="D16" s="51">
        <v>1</v>
      </c>
      <c r="E16" s="51">
        <v>0</v>
      </c>
      <c r="F16" s="51">
        <v>1</v>
      </c>
      <c r="G16" s="52">
        <v>1</v>
      </c>
    </row>
    <row r="17" spans="1:7" s="53" customFormat="1" ht="20.25" hidden="1" customHeight="1" x14ac:dyDescent="0.2">
      <c r="A17" s="49" t="s">
        <v>49</v>
      </c>
      <c r="B17" s="50"/>
      <c r="C17" s="55" t="s">
        <v>48</v>
      </c>
      <c r="D17" s="51"/>
      <c r="E17" s="51">
        <v>1</v>
      </c>
      <c r="F17" s="51">
        <v>0</v>
      </c>
      <c r="G17" s="65">
        <v>0</v>
      </c>
    </row>
    <row r="18" spans="1:7" s="53" customFormat="1" ht="15.75" x14ac:dyDescent="0.2">
      <c r="A18" s="100" t="s">
        <v>62</v>
      </c>
      <c r="B18" s="54" t="s">
        <v>50</v>
      </c>
      <c r="C18" s="55" t="s">
        <v>51</v>
      </c>
      <c r="D18" s="51">
        <v>3</v>
      </c>
      <c r="E18" s="51">
        <v>0</v>
      </c>
      <c r="F18" s="51">
        <v>3</v>
      </c>
      <c r="G18" s="52">
        <v>3</v>
      </c>
    </row>
    <row r="19" spans="1:7" s="53" customFormat="1" ht="20.25" customHeight="1" x14ac:dyDescent="0.2">
      <c r="A19" s="49" t="s">
        <v>52</v>
      </c>
      <c r="B19" s="50"/>
      <c r="C19" s="55" t="s">
        <v>51</v>
      </c>
      <c r="D19" s="51"/>
      <c r="E19" s="51">
        <v>1</v>
      </c>
      <c r="F19" s="51">
        <v>2</v>
      </c>
      <c r="G19" s="52">
        <v>2</v>
      </c>
    </row>
    <row r="20" spans="1:7" s="53" customFormat="1" ht="20.25" customHeight="1" x14ac:dyDescent="0.2">
      <c r="A20" s="49" t="s">
        <v>57</v>
      </c>
      <c r="B20" s="50"/>
      <c r="C20" s="55" t="s">
        <v>51</v>
      </c>
      <c r="D20" s="51"/>
      <c r="E20" s="51">
        <v>1</v>
      </c>
      <c r="F20" s="51">
        <v>1</v>
      </c>
      <c r="G20" s="52">
        <v>1</v>
      </c>
    </row>
    <row r="21" spans="1:7" s="53" customFormat="1" ht="20.25" customHeight="1" x14ac:dyDescent="0.2">
      <c r="A21" s="49" t="s">
        <v>64</v>
      </c>
      <c r="B21" s="50"/>
      <c r="C21" s="55" t="s">
        <v>51</v>
      </c>
      <c r="D21" s="51"/>
      <c r="E21" s="51">
        <v>1</v>
      </c>
      <c r="F21" s="51">
        <v>0</v>
      </c>
      <c r="G21" s="65">
        <v>0</v>
      </c>
    </row>
    <row r="22" spans="1:7" s="53" customFormat="1" ht="15.75" x14ac:dyDescent="0.2">
      <c r="A22" s="100" t="s">
        <v>65</v>
      </c>
      <c r="B22" s="54" t="s">
        <v>66</v>
      </c>
      <c r="C22" s="55" t="s">
        <v>67</v>
      </c>
      <c r="D22" s="51">
        <v>1</v>
      </c>
      <c r="E22" s="51">
        <v>0</v>
      </c>
      <c r="F22" s="51">
        <v>1</v>
      </c>
      <c r="G22" s="52">
        <v>1</v>
      </c>
    </row>
    <row r="23" spans="1:7" s="53" customFormat="1" ht="20.25" customHeight="1" x14ac:dyDescent="0.2">
      <c r="A23" s="49" t="s">
        <v>68</v>
      </c>
      <c r="B23" s="50"/>
      <c r="C23" s="55" t="s">
        <v>69</v>
      </c>
      <c r="D23" s="51"/>
      <c r="E23" s="51">
        <v>1</v>
      </c>
      <c r="F23" s="51">
        <v>0</v>
      </c>
      <c r="G23" s="65">
        <v>0</v>
      </c>
    </row>
    <row r="24" spans="1:7" s="53" customFormat="1" ht="31.5" x14ac:dyDescent="0.2">
      <c r="A24" s="100" t="s">
        <v>76</v>
      </c>
      <c r="B24" s="54" t="s">
        <v>77</v>
      </c>
      <c r="C24" s="55" t="s">
        <v>78</v>
      </c>
      <c r="D24" s="51">
        <v>3</v>
      </c>
      <c r="E24" s="51">
        <v>0</v>
      </c>
      <c r="F24" s="51">
        <v>3</v>
      </c>
      <c r="G24" s="52">
        <v>3</v>
      </c>
    </row>
    <row r="25" spans="1:7" s="53" customFormat="1" ht="30" customHeight="1" x14ac:dyDescent="0.2">
      <c r="A25" s="49" t="s">
        <v>80</v>
      </c>
      <c r="B25" s="50"/>
      <c r="C25" s="55" t="s">
        <v>78</v>
      </c>
      <c r="D25" s="51"/>
      <c r="E25" s="51">
        <v>3</v>
      </c>
      <c r="F25" s="51">
        <v>0</v>
      </c>
      <c r="G25" s="52">
        <v>0</v>
      </c>
    </row>
    <row r="26" spans="1:7" s="53" customFormat="1" ht="28.5" customHeight="1" x14ac:dyDescent="0.2">
      <c r="A26" s="101" t="s">
        <v>98</v>
      </c>
      <c r="B26" s="92" t="s">
        <v>97</v>
      </c>
      <c r="C26" s="98" t="s">
        <v>100</v>
      </c>
      <c r="D26" s="51">
        <v>3</v>
      </c>
      <c r="E26" s="51">
        <v>0</v>
      </c>
      <c r="F26" s="51">
        <v>3</v>
      </c>
      <c r="G26" s="52">
        <v>3</v>
      </c>
    </row>
    <row r="27" spans="1:7" s="53" customFormat="1" ht="27.75" customHeight="1" x14ac:dyDescent="0.2">
      <c r="A27" s="96" t="s">
        <v>99</v>
      </c>
      <c r="B27" s="97"/>
      <c r="C27" s="98" t="s">
        <v>101</v>
      </c>
      <c r="D27" s="51"/>
      <c r="E27" s="94">
        <v>3</v>
      </c>
      <c r="F27" s="93">
        <v>0</v>
      </c>
      <c r="G27" s="95">
        <v>0</v>
      </c>
    </row>
    <row r="28" spans="1:7" s="53" customFormat="1" ht="89.25" customHeight="1" x14ac:dyDescent="0.2">
      <c r="A28" s="101" t="s">
        <v>102</v>
      </c>
      <c r="B28" s="92" t="s">
        <v>105</v>
      </c>
      <c r="C28" s="98" t="s">
        <v>103</v>
      </c>
      <c r="D28" s="51">
        <v>3</v>
      </c>
      <c r="E28" s="51">
        <v>0</v>
      </c>
      <c r="F28" s="51">
        <v>3</v>
      </c>
      <c r="G28" s="52">
        <v>3</v>
      </c>
    </row>
    <row r="29" spans="1:7" s="53" customFormat="1" ht="76.5" customHeight="1" x14ac:dyDescent="0.2">
      <c r="A29" s="102" t="s">
        <v>104</v>
      </c>
      <c r="B29" s="97"/>
      <c r="C29" s="98" t="s">
        <v>103</v>
      </c>
      <c r="D29" s="51"/>
      <c r="E29" s="94">
        <v>3</v>
      </c>
      <c r="F29" s="93">
        <v>0</v>
      </c>
      <c r="G29" s="95">
        <v>0</v>
      </c>
    </row>
    <row r="30" spans="1:7" s="31" customFormat="1" ht="75.75" customHeight="1" x14ac:dyDescent="0.25">
      <c r="A30" s="56"/>
      <c r="B30" s="56"/>
      <c r="C30" s="57"/>
      <c r="D30" s="58"/>
      <c r="E30" s="58"/>
      <c r="F30" s="58"/>
      <c r="G30" s="59"/>
    </row>
    <row r="31" spans="1:7" s="31" customFormat="1" ht="15.75" x14ac:dyDescent="0.25">
      <c r="A31" s="60" t="s">
        <v>53</v>
      </c>
      <c r="B31" s="56"/>
      <c r="C31" s="61"/>
      <c r="D31" s="58"/>
      <c r="E31" s="58"/>
      <c r="F31" s="58"/>
      <c r="G31" s="59"/>
    </row>
    <row r="32" spans="1:7" s="31" customFormat="1" x14ac:dyDescent="0.25">
      <c r="A32" s="62"/>
      <c r="B32" s="62"/>
      <c r="G32" s="62"/>
    </row>
    <row r="33" spans="1:7" x14ac:dyDescent="0.25">
      <c r="A33" s="31"/>
      <c r="B33" s="31"/>
      <c r="C33" s="31"/>
      <c r="D33" s="31"/>
      <c r="E33" s="31"/>
      <c r="F33" s="31"/>
      <c r="G33" s="31"/>
    </row>
    <row r="34" spans="1:7" x14ac:dyDescent="0.25">
      <c r="A34" s="31"/>
      <c r="B34" s="31"/>
      <c r="C34" s="31"/>
      <c r="D34" s="31"/>
      <c r="E34" s="31"/>
      <c r="F34" s="31"/>
      <c r="G34" s="31"/>
    </row>
  </sheetData>
  <mergeCells count="5">
    <mergeCell ref="A2:G2"/>
    <mergeCell ref="A3:G3"/>
    <mergeCell ref="A4:G4"/>
    <mergeCell ref="A5:G5"/>
    <mergeCell ref="A12:G12"/>
  </mergeCells>
  <phoneticPr fontId="9" type="noConversion"/>
  <pageMargins left="0.25" right="0.25" top="0.75" bottom="0.75" header="0.3" footer="0.3"/>
  <pageSetup paperSize="9" scale="7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B5335-5D3E-46BB-94EB-48A9F493C25C}">
  <sheetPr>
    <pageSetUpPr fitToPage="1"/>
  </sheetPr>
  <dimension ref="A1:J24"/>
  <sheetViews>
    <sheetView view="pageBreakPreview" zoomScaleNormal="100" zoomScaleSheetLayoutView="100" workbookViewId="0">
      <selection activeCell="C19" sqref="C19:F19"/>
    </sheetView>
  </sheetViews>
  <sheetFormatPr defaultRowHeight="15" x14ac:dyDescent="0.25"/>
  <cols>
    <col min="1" max="1" width="29.5703125" style="90" customWidth="1"/>
    <col min="2" max="2" width="15.85546875" style="90" customWidth="1"/>
    <col min="3" max="5" width="9.140625" style="90"/>
    <col min="6" max="6" width="5.140625" style="90" customWidth="1"/>
    <col min="7" max="7" width="9.140625" style="90"/>
    <col min="8" max="8" width="7.5703125" style="90" customWidth="1"/>
    <col min="9" max="9" width="7.140625" style="90" customWidth="1"/>
    <col min="10" max="10" width="8" style="90" customWidth="1"/>
  </cols>
  <sheetData>
    <row r="1" spans="1:10" x14ac:dyDescent="0.25">
      <c r="A1" s="69"/>
      <c r="B1" s="69"/>
      <c r="C1" s="69"/>
      <c r="D1" s="69"/>
      <c r="E1" s="69"/>
      <c r="F1" s="69"/>
      <c r="G1" s="69"/>
      <c r="H1" s="69"/>
      <c r="I1" s="69"/>
      <c r="J1" s="69"/>
    </row>
    <row r="2" spans="1:10" x14ac:dyDescent="0.25">
      <c r="A2" s="69"/>
      <c r="B2" s="69"/>
      <c r="C2" s="69"/>
      <c r="D2" s="69"/>
      <c r="E2" s="69"/>
      <c r="F2" s="69"/>
      <c r="G2" s="69"/>
      <c r="H2" s="69"/>
      <c r="I2" s="69"/>
      <c r="J2" s="69"/>
    </row>
    <row r="3" spans="1:10" x14ac:dyDescent="0.25">
      <c r="A3" s="69"/>
      <c r="B3" s="69"/>
      <c r="C3" s="69"/>
      <c r="D3" s="69"/>
      <c r="E3" s="69"/>
      <c r="F3" s="69"/>
      <c r="G3" s="69"/>
      <c r="H3" s="69"/>
      <c r="I3" s="69"/>
      <c r="J3" s="69"/>
    </row>
    <row r="4" spans="1:10" x14ac:dyDescent="0.25">
      <c r="A4" s="69"/>
      <c r="B4" s="69"/>
      <c r="C4" s="69"/>
      <c r="D4" s="69"/>
      <c r="E4" s="69"/>
      <c r="F4" s="69"/>
      <c r="G4" s="69"/>
      <c r="H4" s="69"/>
      <c r="I4" s="69"/>
      <c r="J4" s="69"/>
    </row>
    <row r="5" spans="1:10" x14ac:dyDescent="0.25">
      <c r="A5" s="123" t="s">
        <v>13</v>
      </c>
      <c r="B5" s="123"/>
      <c r="C5" s="123"/>
      <c r="D5" s="123"/>
      <c r="E5" s="123"/>
      <c r="F5" s="123"/>
      <c r="G5" s="123"/>
      <c r="H5" s="123"/>
      <c r="I5" s="123"/>
      <c r="J5" s="69"/>
    </row>
    <row r="6" spans="1:10" x14ac:dyDescent="0.25">
      <c r="A6" s="123" t="s">
        <v>14</v>
      </c>
      <c r="B6" s="123"/>
      <c r="C6" s="123"/>
      <c r="D6" s="123"/>
      <c r="E6" s="123"/>
      <c r="F6" s="123"/>
      <c r="G6" s="123"/>
      <c r="H6" s="123"/>
      <c r="I6" s="123"/>
      <c r="J6" s="69"/>
    </row>
    <row r="7" spans="1:10" x14ac:dyDescent="0.25">
      <c r="A7" s="123" t="s">
        <v>15</v>
      </c>
      <c r="B7" s="123"/>
      <c r="C7" s="123"/>
      <c r="D7" s="123"/>
      <c r="E7" s="123"/>
      <c r="F7" s="123"/>
      <c r="G7" s="123"/>
      <c r="H7" s="123"/>
      <c r="I7" s="123"/>
      <c r="J7" s="69"/>
    </row>
    <row r="8" spans="1:10" x14ac:dyDescent="0.25">
      <c r="A8" s="123" t="s">
        <v>16</v>
      </c>
      <c r="B8" s="123"/>
      <c r="C8" s="123"/>
      <c r="D8" s="123"/>
      <c r="E8" s="123"/>
      <c r="F8" s="123"/>
      <c r="G8" s="123"/>
      <c r="H8" s="123"/>
      <c r="I8" s="123"/>
      <c r="J8" s="69"/>
    </row>
    <row r="9" spans="1:10" x14ac:dyDescent="0.25">
      <c r="A9" s="69"/>
      <c r="B9" s="69"/>
      <c r="C9" s="69"/>
      <c r="D9" s="69"/>
      <c r="E9" s="69"/>
      <c r="F9" s="69"/>
      <c r="G9" s="69"/>
      <c r="H9" s="69"/>
      <c r="I9" s="69"/>
      <c r="J9" s="69"/>
    </row>
    <row r="10" spans="1:10" x14ac:dyDescent="0.25">
      <c r="A10" s="69" t="s">
        <v>17</v>
      </c>
      <c r="B10" s="122" t="s">
        <v>18</v>
      </c>
      <c r="C10" s="122"/>
      <c r="D10" s="122"/>
      <c r="E10" s="69"/>
      <c r="F10" s="69"/>
      <c r="G10" s="69"/>
      <c r="H10" s="71"/>
      <c r="I10" s="72"/>
      <c r="J10" s="69"/>
    </row>
    <row r="11" spans="1:10" x14ac:dyDescent="0.25">
      <c r="A11" s="69"/>
      <c r="B11" s="73"/>
      <c r="C11" s="73"/>
      <c r="D11" s="69"/>
      <c r="E11" s="69"/>
      <c r="F11" s="69"/>
      <c r="G11" s="69"/>
      <c r="H11" s="73"/>
      <c r="I11" s="73"/>
      <c r="J11" s="69"/>
    </row>
    <row r="12" spans="1:10" x14ac:dyDescent="0.25">
      <c r="A12" s="69" t="s">
        <v>19</v>
      </c>
      <c r="B12" s="122" t="s">
        <v>20</v>
      </c>
      <c r="C12" s="122"/>
      <c r="D12" s="122"/>
      <c r="E12" s="69"/>
      <c r="F12" s="69"/>
      <c r="G12" s="69"/>
      <c r="H12" s="74"/>
      <c r="I12" s="72"/>
      <c r="J12" s="69"/>
    </row>
    <row r="13" spans="1:10" x14ac:dyDescent="0.25">
      <c r="A13" s="69"/>
      <c r="B13" s="70"/>
      <c r="C13" s="70"/>
      <c r="D13" s="70"/>
      <c r="E13" s="69"/>
      <c r="F13" s="69"/>
      <c r="G13" s="69"/>
      <c r="H13" s="72"/>
      <c r="I13" s="72"/>
      <c r="J13" s="69"/>
    </row>
    <row r="14" spans="1:10" ht="21.75" thickBot="1" x14ac:dyDescent="0.3">
      <c r="A14" s="130" t="s">
        <v>81</v>
      </c>
      <c r="B14" s="130"/>
      <c r="C14" s="130"/>
      <c r="D14" s="130"/>
      <c r="E14" s="130"/>
      <c r="F14" s="130"/>
      <c r="G14" s="130"/>
      <c r="H14" s="130"/>
      <c r="I14" s="130"/>
      <c r="J14" s="130"/>
    </row>
    <row r="15" spans="1:10" ht="15" customHeight="1" x14ac:dyDescent="0.25">
      <c r="A15" s="131" t="s">
        <v>82</v>
      </c>
      <c r="B15" s="134" t="s">
        <v>83</v>
      </c>
      <c r="C15" s="137" t="s">
        <v>84</v>
      </c>
      <c r="D15" s="138"/>
      <c r="E15" s="138"/>
      <c r="F15" s="139"/>
      <c r="G15" s="137" t="s">
        <v>21</v>
      </c>
      <c r="H15" s="137" t="s">
        <v>22</v>
      </c>
      <c r="I15" s="137" t="s">
        <v>23</v>
      </c>
      <c r="J15" s="146" t="s">
        <v>8</v>
      </c>
    </row>
    <row r="16" spans="1:10" x14ac:dyDescent="0.25">
      <c r="A16" s="132"/>
      <c r="B16" s="135"/>
      <c r="C16" s="140"/>
      <c r="D16" s="141"/>
      <c r="E16" s="141"/>
      <c r="F16" s="142"/>
      <c r="G16" s="140"/>
      <c r="H16" s="140"/>
      <c r="I16" s="140"/>
      <c r="J16" s="147"/>
    </row>
    <row r="17" spans="1:10" ht="15.75" thickBot="1" x14ac:dyDescent="0.3">
      <c r="A17" s="133"/>
      <c r="B17" s="136"/>
      <c r="C17" s="143"/>
      <c r="D17" s="144"/>
      <c r="E17" s="144"/>
      <c r="F17" s="145"/>
      <c r="G17" s="143"/>
      <c r="H17" s="143"/>
      <c r="I17" s="143"/>
      <c r="J17" s="148"/>
    </row>
    <row r="18" spans="1:10" s="79" customFormat="1" ht="56.25" customHeight="1" x14ac:dyDescent="0.25">
      <c r="A18" s="75" t="s">
        <v>85</v>
      </c>
      <c r="B18" s="76" t="s">
        <v>86</v>
      </c>
      <c r="C18" s="124" t="s">
        <v>87</v>
      </c>
      <c r="D18" s="125"/>
      <c r="E18" s="125"/>
      <c r="F18" s="126"/>
      <c r="G18" s="77">
        <v>5</v>
      </c>
      <c r="H18" s="77">
        <v>0</v>
      </c>
      <c r="I18" s="77">
        <f>G18-H18</f>
        <v>5</v>
      </c>
      <c r="J18" s="78">
        <v>5</v>
      </c>
    </row>
    <row r="19" spans="1:10" s="79" customFormat="1" ht="56.25" customHeight="1" x14ac:dyDescent="0.25">
      <c r="A19" s="80" t="s">
        <v>88</v>
      </c>
      <c r="B19" s="81"/>
      <c r="C19" s="127" t="s">
        <v>87</v>
      </c>
      <c r="D19" s="128"/>
      <c r="E19" s="128"/>
      <c r="F19" s="129"/>
      <c r="G19" s="82"/>
      <c r="H19" s="82">
        <v>1</v>
      </c>
      <c r="I19" s="82">
        <v>4</v>
      </c>
      <c r="J19" s="91">
        <v>4</v>
      </c>
    </row>
    <row r="20" spans="1:10" ht="24" customHeight="1" x14ac:dyDescent="0.25">
      <c r="A20" s="83"/>
      <c r="B20" s="84"/>
      <c r="C20" s="85"/>
      <c r="D20" s="85"/>
      <c r="E20" s="85"/>
      <c r="F20" s="85"/>
      <c r="G20" s="85"/>
      <c r="H20" s="85"/>
      <c r="I20" s="85"/>
      <c r="J20" s="86"/>
    </row>
    <row r="21" spans="1:10" ht="25.5" customHeight="1" x14ac:dyDescent="0.25">
      <c r="A21" s="87"/>
      <c r="B21" s="84"/>
      <c r="C21" s="84"/>
      <c r="D21" s="84"/>
      <c r="E21" s="84"/>
      <c r="F21" s="84"/>
      <c r="G21" s="69"/>
      <c r="H21" s="69"/>
      <c r="I21" s="69"/>
      <c r="J21" s="88"/>
    </row>
    <row r="22" spans="1:10" ht="8.25" customHeight="1" x14ac:dyDescent="0.25">
      <c r="A22" s="87"/>
      <c r="B22" s="84"/>
      <c r="C22" s="84"/>
      <c r="D22" s="84"/>
      <c r="E22" s="84"/>
      <c r="F22" s="84"/>
      <c r="G22" s="69"/>
      <c r="H22" s="69"/>
      <c r="I22" s="69"/>
      <c r="J22" s="87"/>
    </row>
    <row r="23" spans="1:10" x14ac:dyDescent="0.25">
      <c r="A23" s="69"/>
      <c r="B23" s="69"/>
      <c r="C23" s="69"/>
      <c r="D23" s="89"/>
      <c r="E23" s="69"/>
      <c r="F23" s="69"/>
      <c r="G23" s="69"/>
      <c r="H23" s="69"/>
      <c r="I23" s="69"/>
      <c r="J23" s="69"/>
    </row>
    <row r="24" spans="1:10" x14ac:dyDescent="0.25">
      <c r="A24" s="69"/>
      <c r="B24" s="69"/>
      <c r="C24" s="69"/>
      <c r="D24" s="89"/>
      <c r="E24" s="69"/>
      <c r="F24" s="69"/>
      <c r="G24" s="69"/>
      <c r="H24" s="69"/>
      <c r="I24" s="69"/>
      <c r="J24" s="69"/>
    </row>
  </sheetData>
  <mergeCells count="16">
    <mergeCell ref="C18:F18"/>
    <mergeCell ref="C19:F19"/>
    <mergeCell ref="A14:J14"/>
    <mergeCell ref="A15:A17"/>
    <mergeCell ref="B15:B17"/>
    <mergeCell ref="C15:F17"/>
    <mergeCell ref="G15:G17"/>
    <mergeCell ref="H15:H17"/>
    <mergeCell ref="I15:I17"/>
    <mergeCell ref="J15:J17"/>
    <mergeCell ref="B12:D12"/>
    <mergeCell ref="A5:I5"/>
    <mergeCell ref="A6:I6"/>
    <mergeCell ref="A7:I7"/>
    <mergeCell ref="A8:I8"/>
    <mergeCell ref="B10:D10"/>
  </mergeCells>
  <pageMargins left="0.7" right="0.7" top="0.75" bottom="0.75" header="0.3" footer="0.3"/>
  <pageSetup paperSize="9" scale="8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Leave Card (NE)</vt:lpstr>
      <vt:lpstr>CTO </vt:lpstr>
      <vt:lpstr>ELECTION</vt:lpstr>
      <vt:lpstr>'CTO '!Print_Area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2025-12-17T07:35:19Z</cp:lastPrinted>
  <dcterms:created xsi:type="dcterms:W3CDTF">2021-10-07T06:10:16Z</dcterms:created>
  <dcterms:modified xsi:type="dcterms:W3CDTF">2025-12-17T07:36:43Z</dcterms:modified>
</cp:coreProperties>
</file>