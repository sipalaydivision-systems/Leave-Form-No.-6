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551C1B17-C6CF-4408-A5F8-B551BA3D79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CORRECTED" sheetId="11" r:id="rId1"/>
    <sheet name="VSC" sheetId="12" r:id="rId2"/>
  </sheets>
  <definedNames>
    <definedName name="_xlnm.Print_Area" localSheetId="0">'Leave Card CORRECTED'!$A$1:$J$60</definedName>
    <definedName name="_xlnm.Print_Area" localSheetId="1">VSC!$A$1:$L$23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1" l="1"/>
  <c r="J52" i="11" s="1"/>
  <c r="I52" i="11"/>
  <c r="B32" i="11"/>
  <c r="B30" i="11"/>
  <c r="C28" i="11"/>
  <c r="B28" i="11"/>
  <c r="C26" i="11"/>
  <c r="B26" i="11"/>
  <c r="I14" i="1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H14" i="11"/>
  <c r="H15" i="11" s="1"/>
  <c r="H16" i="11" s="1"/>
  <c r="I26" i="11" l="1"/>
  <c r="I27" i="11" s="1"/>
  <c r="I28" i="11"/>
  <c r="I29" i="11" s="1"/>
  <c r="I30" i="11" s="1"/>
  <c r="I31" i="11" s="1"/>
  <c r="I32" i="11" s="1"/>
  <c r="I33" i="11" s="1"/>
  <c r="I34" i="11" s="1"/>
  <c r="I35" i="11" s="1"/>
  <c r="I36" i="11" s="1"/>
  <c r="I37" i="11" s="1"/>
  <c r="I38" i="11" s="1"/>
  <c r="I39" i="11" s="1"/>
  <c r="I40" i="11" s="1"/>
  <c r="I41" i="11" s="1"/>
  <c r="I42" i="11" s="1"/>
  <c r="I43" i="11" s="1"/>
  <c r="I44" i="11" s="1"/>
  <c r="I45" i="11" s="1"/>
  <c r="I46" i="11" s="1"/>
  <c r="I47" i="11" s="1"/>
  <c r="I48" i="11" s="1"/>
  <c r="I49" i="11" s="1"/>
  <c r="I50" i="11" s="1"/>
  <c r="I51" i="11" s="1"/>
  <c r="J14" i="11"/>
  <c r="H17" i="11"/>
  <c r="J16" i="11"/>
  <c r="J15" i="11"/>
  <c r="H18" i="11" l="1"/>
  <c r="J17" i="11"/>
  <c r="H19" i="11" l="1"/>
  <c r="J18" i="11"/>
  <c r="H20" i="11" l="1"/>
  <c r="H21" i="11" s="1"/>
  <c r="J19" i="11"/>
  <c r="H22" i="11" l="1"/>
  <c r="J21" i="11"/>
  <c r="J20" i="11"/>
  <c r="J22" i="11" l="1"/>
  <c r="H23" i="11"/>
  <c r="H24" i="11" l="1"/>
  <c r="J23" i="11"/>
  <c r="H25" i="11" l="1"/>
  <c r="J24" i="11"/>
  <c r="H26" i="11" l="1"/>
  <c r="J25" i="11"/>
  <c r="H27" i="11" l="1"/>
  <c r="J26" i="11"/>
  <c r="H28" i="11" l="1"/>
  <c r="J27" i="11"/>
  <c r="H29" i="11" l="1"/>
  <c r="J28" i="11"/>
  <c r="J29" i="11" l="1"/>
  <c r="H30" i="11"/>
  <c r="H31" i="11" l="1"/>
  <c r="J30" i="11"/>
  <c r="H32" i="11" l="1"/>
  <c r="J31" i="11"/>
  <c r="J32" i="11" l="1"/>
  <c r="H33" i="11"/>
  <c r="H34" i="11" l="1"/>
  <c r="J33" i="11"/>
  <c r="H35" i="11" l="1"/>
  <c r="J34" i="11"/>
  <c r="H36" i="11" l="1"/>
  <c r="J35" i="11"/>
  <c r="J36" i="11" l="1"/>
  <c r="H37" i="11"/>
  <c r="J37" i="11" l="1"/>
  <c r="H38" i="11"/>
  <c r="J38" i="11" l="1"/>
  <c r="H39" i="11"/>
  <c r="J39" i="11" l="1"/>
  <c r="H40" i="11"/>
  <c r="J40" i="11" l="1"/>
  <c r="H41" i="11"/>
  <c r="H42" i="11" l="1"/>
  <c r="J41" i="11"/>
  <c r="J42" i="11" l="1"/>
  <c r="H43" i="11"/>
  <c r="J43" i="11" l="1"/>
  <c r="H44" i="11"/>
  <c r="J44" i="11" l="1"/>
  <c r="H45" i="11"/>
  <c r="H46" i="11" l="1"/>
  <c r="J45" i="11"/>
  <c r="J46" i="11" l="1"/>
  <c r="H47" i="11"/>
  <c r="J47" i="11" l="1"/>
  <c r="H48" i="11"/>
  <c r="J48" i="11" l="1"/>
  <c r="H49" i="11"/>
  <c r="H50" i="11" l="1"/>
  <c r="J49" i="11"/>
  <c r="J50" i="11" l="1"/>
  <c r="H51" i="11"/>
  <c r="J51" i="11" s="1"/>
</calcChain>
</file>

<file path=xl/sharedStrings.xml><?xml version="1.0" encoding="utf-8"?>
<sst xmlns="http://schemas.openxmlformats.org/spreadsheetml/2006/main" count="92" uniqueCount="78">
  <si>
    <t>PERIOD COVERED</t>
  </si>
  <si>
    <t>LEAVE EARNED</t>
  </si>
  <si>
    <t>TOTAL</t>
  </si>
  <si>
    <t>Republic of the Philippines</t>
  </si>
  <si>
    <t>Department of Education</t>
  </si>
  <si>
    <t>REGION VI-WESTERN VISAYAS</t>
  </si>
  <si>
    <t>SCHOOLS DIVISION OF SIPALAY CITY</t>
  </si>
  <si>
    <t>MAY 15-31, 2013</t>
  </si>
  <si>
    <t>JUNE 01, 2013-DEC. 31, 2013</t>
  </si>
  <si>
    <t>01/01/2014-12/31/2014</t>
  </si>
  <si>
    <t>01/01/2015-12/31/2015</t>
  </si>
  <si>
    <t>01/01/2016-12/31/2016</t>
  </si>
  <si>
    <t>01/01/2017-12/31/2017</t>
  </si>
  <si>
    <t>01/01/2018-12/31/2018</t>
  </si>
  <si>
    <t>ADD: 01/01/2019-12/31/2019</t>
  </si>
  <si>
    <t>LEAVE SPENT</t>
  </si>
  <si>
    <t>BALANCE</t>
  </si>
  <si>
    <t>VACATION</t>
  </si>
  <si>
    <t>SICK</t>
  </si>
  <si>
    <t>FORCED</t>
  </si>
  <si>
    <t>ADD: 01/01/2020-12/31/2020</t>
  </si>
  <si>
    <t>ADD: 01/01/2021-09/30/2021</t>
  </si>
  <si>
    <t>LESS 29 DAYS MONETIZATION 2021</t>
  </si>
  <si>
    <t>ADD: 10/01/21-12/31/2021</t>
  </si>
  <si>
    <t>ADD:01/01/2022-08/31/2022</t>
  </si>
  <si>
    <t>LESS 29 DAYS MONETIZATION 2022</t>
  </si>
  <si>
    <t>ADD:09/01/2022-12/31/2022</t>
  </si>
  <si>
    <t>ADD:01/01/2023-08/31/2023</t>
  </si>
  <si>
    <t>LESS 29 DAYS MONETIZATION 2023</t>
  </si>
  <si>
    <t>LESS: JAN. 03-05, 2024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</si>
  <si>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</si>
  <si>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</si>
  <si>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</si>
  <si>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</si>
  <si>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</si>
  <si>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</si>
  <si>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</si>
  <si>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DATE FILED/RECEIVED</t>
  </si>
  <si>
    <t>SPECIAL</t>
  </si>
  <si>
    <t>ADD: 09/01/2023-12/31/2023</t>
  </si>
  <si>
    <t>ADD: 01/01/2024-04/30/2024</t>
  </si>
  <si>
    <t xml:space="preserve">  </t>
  </si>
  <si>
    <t>LESS: 05/22-24/2024</t>
  </si>
  <si>
    <t>BALANCE FORWARDED (NEG.OCC)</t>
  </si>
  <si>
    <t>ADD: MAY-JULY 31, 2024</t>
  </si>
  <si>
    <t>LESS: MONETIZATION 2024</t>
  </si>
  <si>
    <t>LESS: 10/3-4/2024</t>
  </si>
  <si>
    <t>ADD: 08/1/2024-09/30/2024</t>
  </si>
  <si>
    <t>ADD: 10/1/2024-12/31/2024</t>
  </si>
  <si>
    <t>DISTRICT             : _______________________</t>
  </si>
  <si>
    <t>EMPLOYEE NO   : __________</t>
  </si>
  <si>
    <t>STATION CODE   : __________</t>
  </si>
  <si>
    <t>DIVISION CODE   : __________</t>
  </si>
  <si>
    <t>Special Order No. and Date Issued</t>
  </si>
  <si>
    <t>No. of Days Granted</t>
  </si>
  <si>
    <t>No. of Days Used</t>
  </si>
  <si>
    <t>Balance</t>
  </si>
  <si>
    <t xml:space="preserve">   </t>
  </si>
  <si>
    <t>NAME         : PALOTES, SHYNNA MAE</t>
  </si>
  <si>
    <t>POSITION   : TIII</t>
  </si>
  <si>
    <t>SCHOOL/OFFICE : NABULAO ES/ALS</t>
  </si>
  <si>
    <t>ADD: 10/11/2023</t>
  </si>
  <si>
    <t>S.O # 116, S. 2023 BRIGADA ESKWELA</t>
  </si>
  <si>
    <t>LESS: 01/2-3/2025</t>
  </si>
  <si>
    <t>VSC</t>
  </si>
  <si>
    <t>LESS: FORCED LEAVE 2024</t>
  </si>
  <si>
    <t>LESS: FORCED LEAVE 2023</t>
  </si>
  <si>
    <t>LESS: FORCED LEAVE 2018</t>
  </si>
  <si>
    <t>LESS:  FORCED LEAVE 2019</t>
  </si>
  <si>
    <t>LESS: FORCED LEAVE 2020</t>
  </si>
  <si>
    <t>LESS: FORCED LEAVE 2021</t>
  </si>
  <si>
    <t>LESS:  FORCED LEAVE 2022</t>
  </si>
  <si>
    <t>ADD: 01/1/2025-06/30/2025</t>
  </si>
  <si>
    <t>LESS: MONETIZATION 2025</t>
  </si>
  <si>
    <t>ADD: SO # 116, S. 2023 (4 DAYS)</t>
  </si>
  <si>
    <t>ADD: 07/1/2025-08/31/2025</t>
  </si>
  <si>
    <t>LESS: 09/19 &amp; 22/2025</t>
  </si>
  <si>
    <t>ADD: 09/1/2025-11/30/2025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</si>
</sst>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76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4" fillId="0" borderId="0" xfId="0" applyFont="1"/>
    <xf numFmtId="164" fontId="0" fillId="2" borderId="1" xfId="0" applyNumberForma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6" fillId="2" borderId="0" xfId="1" applyFill="1"/>
    <xf numFmtId="0" fontId="1" fillId="2" borderId="0" xfId="1" applyFont="1" applyFill="1" applyAlignment="1">
      <alignment horizontal="center" wrapText="1"/>
    </xf>
    <xf numFmtId="0" fontId="1" fillId="2" borderId="0" xfId="1" applyFont="1" applyFill="1" applyAlignment="1">
      <alignment wrapText="1"/>
    </xf>
    <xf numFmtId="0" fontId="6" fillId="2" borderId="0" xfId="1" applyFill="1" applyAlignment="1">
      <alignment horizontal="center"/>
    </xf>
    <xf numFmtId="0" fontId="1" fillId="2" borderId="0" xfId="1" applyFont="1" applyFill="1" applyAlignment="1">
      <alignment vertical="center"/>
    </xf>
    <xf numFmtId="0" fontId="1" fillId="2" borderId="0" xfId="1" applyFont="1" applyFill="1"/>
    <xf numFmtId="0" fontId="1" fillId="2" borderId="0" xfId="1" applyFont="1" applyFill="1" applyAlignment="1">
      <alignment horizontal="center"/>
    </xf>
    <xf numFmtId="0" fontId="6" fillId="0" borderId="0" xfId="1"/>
    <xf numFmtId="0" fontId="8" fillId="0" borderId="0" xfId="1" applyFont="1"/>
    <xf numFmtId="0" fontId="6" fillId="2" borderId="5" xfId="1" applyFill="1" applyBorder="1" applyAlignment="1">
      <alignment horizontal="center" vertical="center"/>
    </xf>
    <xf numFmtId="0" fontId="11" fillId="0" borderId="2" xfId="1" applyFont="1" applyBorder="1" applyAlignment="1">
      <alignment horizontal="center" vertical="center" wrapText="1"/>
    </xf>
    <xf numFmtId="0" fontId="6" fillId="2" borderId="5" xfId="1" applyFill="1" applyBorder="1" applyAlignment="1">
      <alignment horizontal="center" vertical="center" wrapText="1"/>
    </xf>
    <xf numFmtId="0" fontId="11" fillId="0" borderId="0" xfId="1" applyFont="1"/>
    <xf numFmtId="0" fontId="5" fillId="2" borderId="5" xfId="1" applyFont="1" applyFill="1" applyBorder="1" applyAlignment="1">
      <alignment horizontal="center" vertical="center" wrapText="1"/>
    </xf>
    <xf numFmtId="0" fontId="6" fillId="10" borderId="0" xfId="1" applyFill="1"/>
    <xf numFmtId="0" fontId="6" fillId="0" borderId="0" xfId="1" applyAlignment="1">
      <alignment horizontal="center"/>
    </xf>
    <xf numFmtId="0" fontId="6" fillId="11" borderId="0" xfId="1" applyFill="1"/>
    <xf numFmtId="0" fontId="6" fillId="12" borderId="0" xfId="1" applyFill="1"/>
    <xf numFmtId="164" fontId="0" fillId="0" borderId="1" xfId="0" applyNumberFormat="1" applyBorder="1" applyAlignment="1">
      <alignment horizontal="center"/>
    </xf>
    <xf numFmtId="0" fontId="1" fillId="3" borderId="4" xfId="0" applyFont="1" applyFill="1" applyBorder="1" applyAlignment="1">
      <alignment horizontal="left" vertical="center"/>
    </xf>
    <xf numFmtId="0" fontId="1" fillId="3" borderId="21" xfId="0" applyFont="1" applyFill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6" fillId="2" borderId="0" xfId="1" applyFill="1" applyAlignment="1">
      <alignment horizontal="center" vertical="center"/>
    </xf>
    <xf numFmtId="0" fontId="1" fillId="2" borderId="0" xfId="1" applyFont="1" applyFill="1" applyAlignment="1">
      <alignment horizontal="left" vertical="center"/>
    </xf>
    <xf numFmtId="0" fontId="10" fillId="2" borderId="18" xfId="1" applyFont="1" applyFill="1" applyBorder="1" applyAlignment="1">
      <alignment horizontal="center" vertical="center" wrapText="1"/>
    </xf>
    <xf numFmtId="0" fontId="10" fillId="2" borderId="20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left"/>
    </xf>
    <xf numFmtId="0" fontId="2" fillId="2" borderId="8" xfId="1" applyFont="1" applyFill="1" applyBorder="1" applyAlignment="1">
      <alignment horizontal="center" vertical="center"/>
    </xf>
    <xf numFmtId="0" fontId="7" fillId="7" borderId="4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7" fillId="8" borderId="6" xfId="1" applyFont="1" applyFill="1" applyBorder="1" applyAlignment="1">
      <alignment horizontal="center" vertical="center"/>
    </xf>
    <xf numFmtId="0" fontId="7" fillId="8" borderId="7" xfId="1" applyFont="1" applyFill="1" applyBorder="1" applyAlignment="1">
      <alignment horizontal="center" vertical="center"/>
    </xf>
    <xf numFmtId="0" fontId="7" fillId="7" borderId="17" xfId="1" applyFont="1" applyFill="1" applyBorder="1" applyAlignment="1">
      <alignment horizontal="center" vertical="center"/>
    </xf>
    <xf numFmtId="0" fontId="7" fillId="7" borderId="3" xfId="1" applyFont="1" applyFill="1" applyBorder="1" applyAlignment="1">
      <alignment horizontal="center" vertical="center"/>
    </xf>
    <xf numFmtId="0" fontId="9" fillId="9" borderId="18" xfId="1" applyFont="1" applyFill="1" applyBorder="1" applyAlignment="1">
      <alignment horizontal="center" vertical="center" wrapText="1"/>
    </xf>
    <xf numFmtId="0" fontId="9" fillId="9" borderId="19" xfId="1" applyFont="1" applyFill="1" applyBorder="1" applyAlignment="1">
      <alignment horizontal="center" vertical="center" wrapText="1"/>
    </xf>
    <xf numFmtId="0" fontId="9" fillId="9" borderId="20" xfId="1" applyFont="1" applyFill="1" applyBorder="1" applyAlignment="1">
      <alignment horizontal="center" vertical="center" wrapText="1"/>
    </xf>
    <xf numFmtId="0" fontId="11" fillId="2" borderId="0" xfId="1" applyFont="1" applyFill="1" applyAlignment="1">
      <alignment horizontal="center" vertical="center"/>
    </xf>
    <xf numFmtId="0" fontId="9" fillId="2" borderId="18" xfId="1" applyFont="1" applyFill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center" vertical="center" wrapText="1"/>
    </xf>
    <xf numFmtId="0" fontId="9" fillId="2" borderId="20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B1A17261-C3A7-4CEC-A228-301D39E48D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7A70F6-71CB-453F-908E-7D5B936FB35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9E754E-1208-48CB-8AC8-C7C3E3CD62F7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PALOTES,</a:t>
          </a:r>
          <a:r>
            <a:rPr lang="en-US" sz="1100" baseline="0"/>
            <a:t> SHYNNA MAE J.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EC5A113-872F-4E31-92C4-52743DCB84E1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T-III ALS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3AD699B-2ADB-45A2-996A-AC19E130FA66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NABULAO ES</a:t>
          </a:r>
        </a:p>
      </xdr:txBody>
    </xdr:sp>
    <xdr:clientData/>
  </xdr:twoCellAnchor>
  <xdr:twoCellAnchor>
    <xdr:from>
      <xdr:col>5</xdr:col>
      <xdr:colOff>347452</xdr:colOff>
      <xdr:row>54</xdr:row>
      <xdr:rowOff>53914</xdr:rowOff>
    </xdr:from>
    <xdr:to>
      <xdr:col>9</xdr:col>
      <xdr:colOff>672043</xdr:colOff>
      <xdr:row>59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879A786-9C0D-44FC-80CB-11868F3F28AB}"/>
            </a:ext>
          </a:extLst>
        </xdr:cNvPr>
        <xdr:cNvSpPr txBox="1"/>
      </xdr:nvSpPr>
      <xdr:spPr>
        <a:xfrm>
          <a:off x="5871952" y="7435789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75AFA3-26F3-402E-9164-44C6E1CBCE1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17</xdr:row>
      <xdr:rowOff>147980</xdr:rowOff>
    </xdr:from>
    <xdr:to>
      <xdr:col>2</xdr:col>
      <xdr:colOff>550408</xdr:colOff>
      <xdr:row>23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D2D6F6-74FF-4538-9B3A-786EAA59F307}"/>
            </a:ext>
          </a:extLst>
        </xdr:cNvPr>
        <xdr:cNvSpPr txBox="1"/>
      </xdr:nvSpPr>
      <xdr:spPr>
        <a:xfrm>
          <a:off x="93208" y="5024780"/>
          <a:ext cx="3076575" cy="104264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900E8D0-DE10-42AE-ACD9-C4F674950237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8"/>
  <sheetViews>
    <sheetView tabSelected="1" view="pageBreakPreview" topLeftCell="A33" zoomScale="106" zoomScaleNormal="100" zoomScaleSheetLayoutView="106" workbookViewId="0">
      <selection activeCell="A52" sqref="A52:XFD52"/>
    </sheetView>
  </sheetViews>
  <sheetFormatPr defaultRowHeight="15"/>
  <cols>
    <col min="1" max="1" width="36.5703125" customWidth="1"/>
    <col min="2" max="5" width="11.5703125" customWidth="1"/>
    <col min="6" max="7" width="11.5703125" style="13" customWidth="1"/>
    <col min="8" max="10" width="11.5703125" customWidth="1"/>
    <col min="11" max="11" width="26.42578125" style="10" customWidth="1"/>
  </cols>
  <sheetData>
    <row r="1" spans="1:11" s="1" customFormat="1" ht="52.5" customHeight="1"/>
    <row r="2" spans="1:11" s="1" customFormat="1" ht="10.5" customHeight="1">
      <c r="A2" s="43" t="s">
        <v>3</v>
      </c>
      <c r="B2" s="43"/>
      <c r="C2" s="43"/>
      <c r="D2" s="43"/>
      <c r="E2" s="43"/>
      <c r="F2" s="43"/>
      <c r="G2" s="43"/>
      <c r="H2" s="43"/>
      <c r="I2" s="43"/>
      <c r="J2" s="43"/>
    </row>
    <row r="3" spans="1:11" s="1" customFormat="1" ht="15.95" customHeight="1">
      <c r="A3" s="43" t="s">
        <v>4</v>
      </c>
      <c r="B3" s="43"/>
      <c r="C3" s="43"/>
      <c r="D3" s="43"/>
      <c r="E3" s="43"/>
      <c r="F3" s="43"/>
      <c r="G3" s="43"/>
      <c r="H3" s="43"/>
      <c r="I3" s="43"/>
      <c r="J3" s="43"/>
    </row>
    <row r="4" spans="1:11" s="1" customFormat="1" ht="15.95" customHeight="1">
      <c r="A4" s="43" t="s">
        <v>5</v>
      </c>
      <c r="B4" s="43"/>
      <c r="C4" s="43"/>
      <c r="D4" s="43"/>
      <c r="E4" s="43"/>
      <c r="F4" s="43"/>
      <c r="G4" s="43"/>
      <c r="H4" s="43"/>
      <c r="I4" s="43"/>
      <c r="J4" s="43"/>
    </row>
    <row r="5" spans="1:11" s="1" customFormat="1" ht="15.95" customHeight="1">
      <c r="A5" s="43" t="s">
        <v>6</v>
      </c>
      <c r="B5" s="43"/>
      <c r="C5" s="43"/>
      <c r="D5" s="43"/>
      <c r="E5" s="43"/>
      <c r="F5" s="43"/>
      <c r="G5" s="43"/>
      <c r="H5" s="43"/>
      <c r="I5" s="43"/>
      <c r="J5" s="43"/>
    </row>
    <row r="6" spans="1:11" s="1" customFormat="1" ht="8.25" customHeight="1"/>
    <row r="7" spans="1:11" s="1" customFormat="1" ht="12" customHeight="1">
      <c r="A7" s="1" t="s">
        <v>30</v>
      </c>
      <c r="B7" s="42" t="s">
        <v>31</v>
      </c>
      <c r="C7" s="42"/>
      <c r="D7" s="42"/>
      <c r="H7" s="3" t="s">
        <v>32</v>
      </c>
      <c r="I7" s="7"/>
      <c r="J7" s="3"/>
    </row>
    <row r="8" spans="1:11" s="1" customFormat="1" ht="12" customHeight="1">
      <c r="B8" s="2"/>
      <c r="C8" s="2"/>
      <c r="H8" s="2"/>
      <c r="I8" s="2"/>
      <c r="J8" s="2"/>
    </row>
    <row r="9" spans="1:11" s="1" customFormat="1" ht="12" customHeight="1">
      <c r="A9" s="1" t="s">
        <v>33</v>
      </c>
      <c r="B9" s="42" t="s">
        <v>34</v>
      </c>
      <c r="C9" s="42"/>
      <c r="D9" s="42"/>
      <c r="H9" s="3" t="s">
        <v>35</v>
      </c>
      <c r="I9" s="8"/>
      <c r="J9" s="3"/>
    </row>
    <row r="10" spans="1:11" ht="23.25" customHeight="1" thickBot="1">
      <c r="A10" s="45" t="s">
        <v>36</v>
      </c>
      <c r="B10" s="45"/>
      <c r="C10" s="45"/>
      <c r="D10" s="45"/>
      <c r="E10" s="45"/>
      <c r="F10" s="45"/>
      <c r="G10" s="45"/>
      <c r="H10" s="45"/>
      <c r="I10" s="45"/>
      <c r="J10" s="45"/>
      <c r="K10"/>
    </row>
    <row r="11" spans="1:11" ht="18.75" customHeight="1">
      <c r="A11" s="46" t="s">
        <v>0</v>
      </c>
      <c r="B11" s="48" t="s">
        <v>1</v>
      </c>
      <c r="C11" s="49"/>
      <c r="D11" s="50" t="s">
        <v>15</v>
      </c>
      <c r="E11" s="51"/>
      <c r="F11" s="51"/>
      <c r="G11" s="52"/>
      <c r="H11" s="53" t="s">
        <v>16</v>
      </c>
      <c r="I11" s="54"/>
      <c r="J11" s="55" t="s">
        <v>2</v>
      </c>
      <c r="K11" s="44" t="s">
        <v>37</v>
      </c>
    </row>
    <row r="12" spans="1:11" ht="15.75" thickBot="1">
      <c r="A12" s="47"/>
      <c r="B12" s="9" t="s">
        <v>17</v>
      </c>
      <c r="C12" s="9" t="s">
        <v>18</v>
      </c>
      <c r="D12" s="9" t="s">
        <v>17</v>
      </c>
      <c r="E12" s="9" t="s">
        <v>18</v>
      </c>
      <c r="F12" s="9" t="s">
        <v>19</v>
      </c>
      <c r="G12" s="9" t="s">
        <v>38</v>
      </c>
      <c r="H12" s="9" t="s">
        <v>17</v>
      </c>
      <c r="I12" s="19" t="s">
        <v>18</v>
      </c>
      <c r="J12" s="56"/>
      <c r="K12" s="44"/>
    </row>
    <row r="13" spans="1:11">
      <c r="A13" s="39" t="s">
        <v>43</v>
      </c>
      <c r="B13" s="40"/>
      <c r="C13" s="40"/>
      <c r="D13" s="40"/>
      <c r="E13" s="40"/>
      <c r="F13" s="40"/>
      <c r="G13" s="40"/>
      <c r="H13" s="40"/>
      <c r="I13" s="40"/>
      <c r="J13" s="41"/>
      <c r="K13" s="15"/>
    </row>
    <row r="14" spans="1:11" ht="16.5" customHeight="1">
      <c r="A14" s="4" t="s">
        <v>7</v>
      </c>
      <c r="B14" s="4">
        <v>0.70799999999999996</v>
      </c>
      <c r="C14" s="5">
        <v>0.70799999999999996</v>
      </c>
      <c r="D14" s="5"/>
      <c r="E14" s="4"/>
      <c r="F14" s="4"/>
      <c r="G14" s="4"/>
      <c r="H14" s="11">
        <f>B14</f>
        <v>0.70799999999999996</v>
      </c>
      <c r="I14" s="11">
        <f>C14</f>
        <v>0.70799999999999996</v>
      </c>
      <c r="J14" s="11">
        <f>SUM(H14:I14)</f>
        <v>1.4159999999999999</v>
      </c>
    </row>
    <row r="15" spans="1:11" ht="12" customHeight="1">
      <c r="A15" s="5" t="s">
        <v>8</v>
      </c>
      <c r="B15" s="4">
        <v>8.75</v>
      </c>
      <c r="C15" s="5">
        <v>8.75</v>
      </c>
      <c r="D15" s="5"/>
      <c r="E15" s="4"/>
      <c r="F15" s="4"/>
      <c r="G15" s="4"/>
      <c r="H15" s="11">
        <f>H14-F15-D15+B15</f>
        <v>9.4580000000000002</v>
      </c>
      <c r="I15" s="11">
        <f>I14-E15+C15</f>
        <v>9.4580000000000002</v>
      </c>
      <c r="J15" s="11">
        <f>SUM(H15:I15)</f>
        <v>18.916</v>
      </c>
    </row>
    <row r="16" spans="1:11" ht="12" customHeight="1">
      <c r="A16" s="5" t="s">
        <v>9</v>
      </c>
      <c r="B16" s="4">
        <v>15</v>
      </c>
      <c r="C16" s="5">
        <v>15</v>
      </c>
      <c r="D16" s="5"/>
      <c r="E16" s="4"/>
      <c r="F16" s="5">
        <v>5</v>
      </c>
      <c r="G16" s="4"/>
      <c r="H16" s="11">
        <f t="shared" ref="H16:H20" si="0">H15-F16-D16+B16</f>
        <v>19.457999999999998</v>
      </c>
      <c r="I16" s="11">
        <f t="shared" ref="I16:I20" si="1">I15-E16+C16</f>
        <v>24.457999999999998</v>
      </c>
      <c r="J16" s="11">
        <f t="shared" ref="J16:J20" si="2">SUM(H16:I16)</f>
        <v>43.915999999999997</v>
      </c>
    </row>
    <row r="17" spans="1:10" ht="12" customHeight="1">
      <c r="A17" s="5" t="s">
        <v>10</v>
      </c>
      <c r="B17" s="4">
        <v>15</v>
      </c>
      <c r="C17" s="5">
        <v>15</v>
      </c>
      <c r="D17" s="5"/>
      <c r="E17" s="4"/>
      <c r="F17" s="5">
        <v>5</v>
      </c>
      <c r="G17" s="4"/>
      <c r="H17" s="11">
        <f t="shared" si="0"/>
        <v>29.457999999999998</v>
      </c>
      <c r="I17" s="11">
        <f t="shared" si="1"/>
        <v>39.457999999999998</v>
      </c>
      <c r="J17" s="11">
        <f t="shared" si="2"/>
        <v>68.915999999999997</v>
      </c>
    </row>
    <row r="18" spans="1:10" ht="12" customHeight="1">
      <c r="A18" s="5" t="s">
        <v>11</v>
      </c>
      <c r="B18" s="4">
        <v>15</v>
      </c>
      <c r="C18" s="5">
        <v>15</v>
      </c>
      <c r="D18" s="5"/>
      <c r="E18" s="4"/>
      <c r="F18" s="5">
        <v>5</v>
      </c>
      <c r="G18" s="4"/>
      <c r="H18" s="11">
        <f t="shared" si="0"/>
        <v>39.457999999999998</v>
      </c>
      <c r="I18" s="11">
        <f t="shared" si="1"/>
        <v>54.457999999999998</v>
      </c>
      <c r="J18" s="11">
        <f t="shared" si="2"/>
        <v>93.915999999999997</v>
      </c>
    </row>
    <row r="19" spans="1:10" ht="12" customHeight="1">
      <c r="A19" s="5" t="s">
        <v>12</v>
      </c>
      <c r="B19" s="4">
        <v>15</v>
      </c>
      <c r="C19" s="5">
        <v>15</v>
      </c>
      <c r="D19" s="5"/>
      <c r="E19" s="4"/>
      <c r="F19" s="5">
        <v>5</v>
      </c>
      <c r="G19" s="4"/>
      <c r="H19" s="11">
        <f t="shared" si="0"/>
        <v>49.457999999999998</v>
      </c>
      <c r="I19" s="11">
        <f t="shared" si="1"/>
        <v>69.457999999999998</v>
      </c>
      <c r="J19" s="11">
        <f t="shared" si="2"/>
        <v>118.916</v>
      </c>
    </row>
    <row r="20" spans="1:10" ht="12" customHeight="1">
      <c r="A20" s="5" t="s">
        <v>13</v>
      </c>
      <c r="B20" s="4">
        <v>15</v>
      </c>
      <c r="C20" s="5">
        <v>15</v>
      </c>
      <c r="D20" s="5"/>
      <c r="E20" s="4"/>
      <c r="F20" s="4"/>
      <c r="G20" s="4"/>
      <c r="H20" s="11">
        <f t="shared" si="0"/>
        <v>64.457999999999998</v>
      </c>
      <c r="I20" s="11">
        <f t="shared" si="1"/>
        <v>84.457999999999998</v>
      </c>
      <c r="J20" s="11">
        <f t="shared" si="2"/>
        <v>148.916</v>
      </c>
    </row>
    <row r="21" spans="1:10" ht="12" customHeight="1">
      <c r="A21" s="5" t="s">
        <v>67</v>
      </c>
      <c r="B21" s="4"/>
      <c r="C21" s="5"/>
      <c r="D21" s="5"/>
      <c r="E21" s="4"/>
      <c r="F21" s="4">
        <v>5</v>
      </c>
      <c r="G21" s="4"/>
      <c r="H21" s="11">
        <f t="shared" ref="H21:H42" si="3">H20-F21-D21+B21</f>
        <v>59.457999999999998</v>
      </c>
      <c r="I21" s="11">
        <f t="shared" ref="I21:I42" si="4">I20-E21+C21</f>
        <v>84.457999999999998</v>
      </c>
      <c r="J21" s="11">
        <f t="shared" ref="J21:J42" si="5">SUM(H21:I21)</f>
        <v>143.916</v>
      </c>
    </row>
    <row r="22" spans="1:10" ht="12" customHeight="1">
      <c r="A22" s="5" t="s">
        <v>14</v>
      </c>
      <c r="B22" s="4">
        <v>15</v>
      </c>
      <c r="C22" s="5">
        <v>15</v>
      </c>
      <c r="D22" s="5"/>
      <c r="E22" s="4"/>
      <c r="F22" s="4"/>
      <c r="G22" s="4"/>
      <c r="H22" s="11">
        <f t="shared" si="3"/>
        <v>74.457999999999998</v>
      </c>
      <c r="I22" s="11">
        <f t="shared" si="4"/>
        <v>99.457999999999998</v>
      </c>
      <c r="J22" s="11">
        <f t="shared" si="5"/>
        <v>173.916</v>
      </c>
    </row>
    <row r="23" spans="1:10" ht="12" customHeight="1">
      <c r="A23" s="5" t="s">
        <v>68</v>
      </c>
      <c r="B23" s="4"/>
      <c r="C23" s="5"/>
      <c r="D23" s="5"/>
      <c r="E23" s="4"/>
      <c r="F23" s="4">
        <v>5</v>
      </c>
      <c r="G23" s="4"/>
      <c r="H23" s="11">
        <f t="shared" si="3"/>
        <v>69.457999999999998</v>
      </c>
      <c r="I23" s="11">
        <f t="shared" si="4"/>
        <v>99.457999999999998</v>
      </c>
      <c r="J23" s="11">
        <f t="shared" si="5"/>
        <v>168.916</v>
      </c>
    </row>
    <row r="24" spans="1:10" ht="12" customHeight="1">
      <c r="A24" s="5" t="s">
        <v>20</v>
      </c>
      <c r="B24" s="4">
        <v>15</v>
      </c>
      <c r="C24" s="5">
        <v>15</v>
      </c>
      <c r="D24" s="5"/>
      <c r="E24" s="4"/>
      <c r="F24" s="4"/>
      <c r="G24" s="4"/>
      <c r="H24" s="11">
        <f t="shared" si="3"/>
        <v>84.457999999999998</v>
      </c>
      <c r="I24" s="11">
        <f t="shared" si="4"/>
        <v>114.458</v>
      </c>
      <c r="J24" s="11">
        <f t="shared" si="5"/>
        <v>198.916</v>
      </c>
    </row>
    <row r="25" spans="1:10" ht="12" customHeight="1">
      <c r="A25" s="5" t="s">
        <v>69</v>
      </c>
      <c r="B25" s="4"/>
      <c r="C25" s="5"/>
      <c r="D25" s="5"/>
      <c r="E25" s="4"/>
      <c r="F25" s="4">
        <v>5</v>
      </c>
      <c r="G25" s="4"/>
      <c r="H25" s="11">
        <f t="shared" si="3"/>
        <v>79.457999999999998</v>
      </c>
      <c r="I25" s="11">
        <f t="shared" si="4"/>
        <v>114.458</v>
      </c>
      <c r="J25" s="11">
        <f t="shared" si="5"/>
        <v>193.916</v>
      </c>
    </row>
    <row r="26" spans="1:10" ht="12" customHeight="1">
      <c r="A26" s="5" t="s">
        <v>21</v>
      </c>
      <c r="B26" s="4">
        <f>1.25*9</f>
        <v>11.25</v>
      </c>
      <c r="C26" s="4">
        <f>1.25*9</f>
        <v>11.25</v>
      </c>
      <c r="D26" s="5"/>
      <c r="E26" s="4"/>
      <c r="F26" s="4"/>
      <c r="G26" s="4"/>
      <c r="H26" s="11">
        <f t="shared" si="3"/>
        <v>90.707999999999998</v>
      </c>
      <c r="I26" s="11">
        <f t="shared" si="4"/>
        <v>125.708</v>
      </c>
      <c r="J26" s="11">
        <f t="shared" si="5"/>
        <v>216.416</v>
      </c>
    </row>
    <row r="27" spans="1:10" ht="18.75" customHeight="1">
      <c r="A27" s="5" t="s">
        <v>22</v>
      </c>
      <c r="B27" s="4"/>
      <c r="C27" s="5"/>
      <c r="D27" s="5">
        <v>29</v>
      </c>
      <c r="E27" s="4"/>
      <c r="F27" s="4"/>
      <c r="G27" s="4"/>
      <c r="H27" s="11">
        <f t="shared" si="3"/>
        <v>61.707999999999998</v>
      </c>
      <c r="I27" s="11">
        <f t="shared" si="4"/>
        <v>125.708</v>
      </c>
      <c r="J27" s="11">
        <f t="shared" si="5"/>
        <v>187.416</v>
      </c>
    </row>
    <row r="28" spans="1:10" ht="12" customHeight="1">
      <c r="A28" s="5" t="s">
        <v>23</v>
      </c>
      <c r="B28" s="4">
        <f>1.25*3</f>
        <v>3.75</v>
      </c>
      <c r="C28" s="4">
        <f>1.25*3</f>
        <v>3.75</v>
      </c>
      <c r="D28" s="5"/>
      <c r="E28" s="4"/>
      <c r="F28" s="4"/>
      <c r="G28" s="4"/>
      <c r="H28" s="11">
        <f t="shared" si="3"/>
        <v>65.457999999999998</v>
      </c>
      <c r="I28" s="11">
        <f t="shared" si="4"/>
        <v>129.458</v>
      </c>
      <c r="J28" s="11">
        <f t="shared" si="5"/>
        <v>194.916</v>
      </c>
    </row>
    <row r="29" spans="1:10" ht="15.75" customHeight="1">
      <c r="A29" s="5" t="s">
        <v>70</v>
      </c>
      <c r="B29" s="4"/>
      <c r="C29" s="5"/>
      <c r="D29" s="5"/>
      <c r="E29" s="4"/>
      <c r="F29" s="4">
        <v>5</v>
      </c>
      <c r="G29" s="4"/>
      <c r="H29" s="11">
        <f t="shared" si="3"/>
        <v>60.457999999999998</v>
      </c>
      <c r="I29" s="11">
        <f t="shared" si="4"/>
        <v>129.458</v>
      </c>
      <c r="J29" s="11">
        <f t="shared" si="5"/>
        <v>189.916</v>
      </c>
    </row>
    <row r="30" spans="1:10" ht="12" customHeight="1">
      <c r="A30" s="5" t="s">
        <v>24</v>
      </c>
      <c r="B30" s="4">
        <f>1.25*8</f>
        <v>10</v>
      </c>
      <c r="C30" s="5">
        <v>10</v>
      </c>
      <c r="D30" s="5"/>
      <c r="E30" s="4"/>
      <c r="F30" s="4"/>
      <c r="G30" s="4"/>
      <c r="H30" s="11">
        <f t="shared" si="3"/>
        <v>70.457999999999998</v>
      </c>
      <c r="I30" s="11">
        <f t="shared" si="4"/>
        <v>139.458</v>
      </c>
      <c r="J30" s="11">
        <f t="shared" si="5"/>
        <v>209.916</v>
      </c>
    </row>
    <row r="31" spans="1:10" ht="12" customHeight="1">
      <c r="A31" s="5" t="s">
        <v>25</v>
      </c>
      <c r="B31" s="4"/>
      <c r="C31" s="5"/>
      <c r="D31" s="5">
        <v>5</v>
      </c>
      <c r="E31" s="4">
        <v>24</v>
      </c>
      <c r="F31" s="4"/>
      <c r="G31" s="4"/>
      <c r="H31" s="11">
        <f t="shared" si="3"/>
        <v>65.457999999999998</v>
      </c>
      <c r="I31" s="11">
        <f t="shared" si="4"/>
        <v>115.458</v>
      </c>
      <c r="J31" s="11">
        <f t="shared" si="5"/>
        <v>180.916</v>
      </c>
    </row>
    <row r="32" spans="1:10" ht="12" customHeight="1">
      <c r="A32" s="5" t="s">
        <v>26</v>
      </c>
      <c r="B32" s="4">
        <f>1.25*4</f>
        <v>5</v>
      </c>
      <c r="C32" s="5">
        <v>5</v>
      </c>
      <c r="D32" s="5"/>
      <c r="E32" s="4"/>
      <c r="F32" s="4"/>
      <c r="G32" s="4"/>
      <c r="H32" s="11">
        <f t="shared" si="3"/>
        <v>70.457999999999998</v>
      </c>
      <c r="I32" s="11">
        <f t="shared" si="4"/>
        <v>120.458</v>
      </c>
      <c r="J32" s="11">
        <f t="shared" si="5"/>
        <v>190.916</v>
      </c>
    </row>
    <row r="33" spans="1:11" ht="12" customHeight="1">
      <c r="A33" s="5" t="s">
        <v>71</v>
      </c>
      <c r="B33" s="4"/>
      <c r="C33" s="5"/>
      <c r="D33" s="5"/>
      <c r="E33" s="4"/>
      <c r="F33" s="4">
        <v>5</v>
      </c>
      <c r="G33" s="4"/>
      <c r="H33" s="11">
        <f t="shared" si="3"/>
        <v>65.457999999999998</v>
      </c>
      <c r="I33" s="11">
        <f t="shared" si="4"/>
        <v>120.458</v>
      </c>
      <c r="J33" s="11">
        <f t="shared" si="5"/>
        <v>185.916</v>
      </c>
    </row>
    <row r="34" spans="1:11" s="6" customFormat="1" ht="12" customHeight="1">
      <c r="A34" s="5" t="s">
        <v>27</v>
      </c>
      <c r="B34" s="4">
        <v>10</v>
      </c>
      <c r="C34" s="5">
        <v>10</v>
      </c>
      <c r="D34" s="5"/>
      <c r="E34" s="4"/>
      <c r="F34" s="4"/>
      <c r="G34" s="4"/>
      <c r="H34" s="11">
        <f t="shared" si="3"/>
        <v>75.457999999999998</v>
      </c>
      <c r="I34" s="11">
        <f t="shared" si="4"/>
        <v>130.458</v>
      </c>
      <c r="J34" s="11">
        <f t="shared" si="5"/>
        <v>205.916</v>
      </c>
      <c r="K34" s="12"/>
    </row>
    <row r="35" spans="1:11" s="6" customFormat="1" ht="12" customHeight="1">
      <c r="A35" s="5" t="s">
        <v>28</v>
      </c>
      <c r="B35" s="4"/>
      <c r="C35" s="5"/>
      <c r="D35" s="5">
        <v>6</v>
      </c>
      <c r="E35" s="4">
        <v>23</v>
      </c>
      <c r="F35" s="4"/>
      <c r="G35" s="4"/>
      <c r="H35" s="11">
        <f t="shared" si="3"/>
        <v>69.457999999999998</v>
      </c>
      <c r="I35" s="11">
        <f t="shared" si="4"/>
        <v>107.458</v>
      </c>
      <c r="J35" s="11">
        <f t="shared" si="5"/>
        <v>176.916</v>
      </c>
      <c r="K35" s="12"/>
    </row>
    <row r="36" spans="1:11" s="6" customFormat="1" ht="12" customHeight="1">
      <c r="A36" s="5" t="s">
        <v>39</v>
      </c>
      <c r="B36" s="4">
        <v>5</v>
      </c>
      <c r="C36" s="5">
        <v>5</v>
      </c>
      <c r="D36" s="5"/>
      <c r="E36" s="4"/>
      <c r="F36" s="4"/>
      <c r="G36" s="4"/>
      <c r="H36" s="11">
        <f t="shared" si="3"/>
        <v>74.457999999999998</v>
      </c>
      <c r="I36" s="11">
        <f t="shared" si="4"/>
        <v>112.458</v>
      </c>
      <c r="J36" s="11">
        <f t="shared" si="5"/>
        <v>186.916</v>
      </c>
      <c r="K36" s="12"/>
    </row>
    <row r="37" spans="1:11" s="6" customFormat="1" ht="12.75" customHeight="1">
      <c r="A37" s="5" t="s">
        <v>66</v>
      </c>
      <c r="B37" s="4"/>
      <c r="C37" s="5"/>
      <c r="D37" s="5"/>
      <c r="E37" s="4"/>
      <c r="F37" s="4">
        <v>5</v>
      </c>
      <c r="G37" s="4"/>
      <c r="H37" s="11">
        <f t="shared" si="3"/>
        <v>69.457999999999998</v>
      </c>
      <c r="I37" s="11">
        <f t="shared" si="4"/>
        <v>112.458</v>
      </c>
      <c r="J37" s="11">
        <f t="shared" si="5"/>
        <v>181.916</v>
      </c>
      <c r="K37" s="12"/>
    </row>
    <row r="38" spans="1:11" ht="12" customHeight="1">
      <c r="A38" s="5" t="s">
        <v>29</v>
      </c>
      <c r="B38" s="4"/>
      <c r="C38" s="5"/>
      <c r="D38" s="5">
        <v>3</v>
      </c>
      <c r="E38" s="4"/>
      <c r="F38" s="4"/>
      <c r="G38" s="4"/>
      <c r="H38" s="11">
        <f t="shared" si="3"/>
        <v>66.457999999999998</v>
      </c>
      <c r="I38" s="11">
        <f t="shared" si="4"/>
        <v>112.458</v>
      </c>
      <c r="J38" s="11">
        <f t="shared" si="5"/>
        <v>178.916</v>
      </c>
    </row>
    <row r="39" spans="1:11" s="6" customFormat="1" ht="12" customHeight="1">
      <c r="A39" s="5" t="s">
        <v>40</v>
      </c>
      <c r="B39" s="4">
        <v>5</v>
      </c>
      <c r="C39" s="5">
        <v>5</v>
      </c>
      <c r="D39" s="5"/>
      <c r="E39" s="4"/>
      <c r="F39" s="4"/>
      <c r="G39" s="4"/>
      <c r="H39" s="11">
        <f t="shared" si="3"/>
        <v>71.457999999999998</v>
      </c>
      <c r="I39" s="11">
        <f t="shared" si="4"/>
        <v>117.458</v>
      </c>
      <c r="J39" s="11">
        <f t="shared" si="5"/>
        <v>188.916</v>
      </c>
      <c r="K39" s="12"/>
    </row>
    <row r="40" spans="1:11" s="6" customFormat="1" ht="12" customHeight="1">
      <c r="A40" s="14" t="s">
        <v>42</v>
      </c>
      <c r="B40" s="4"/>
      <c r="C40" s="5"/>
      <c r="D40" s="5">
        <v>3</v>
      </c>
      <c r="E40" s="4"/>
      <c r="F40" s="4"/>
      <c r="G40" s="4"/>
      <c r="H40" s="11">
        <f t="shared" si="3"/>
        <v>68.457999999999998</v>
      </c>
      <c r="I40" s="11">
        <f t="shared" si="4"/>
        <v>117.458</v>
      </c>
      <c r="J40" s="11">
        <f t="shared" si="5"/>
        <v>185.916</v>
      </c>
      <c r="K40" s="12"/>
    </row>
    <row r="41" spans="1:11" s="6" customFormat="1" ht="16.5" customHeight="1">
      <c r="A41" s="14" t="s">
        <v>44</v>
      </c>
      <c r="B41" s="4">
        <v>3.75</v>
      </c>
      <c r="C41" s="5">
        <v>3.75</v>
      </c>
      <c r="D41" s="5"/>
      <c r="E41" s="4"/>
      <c r="F41" s="4"/>
      <c r="G41" s="4"/>
      <c r="H41" s="11">
        <f t="shared" si="3"/>
        <v>72.207999999999998</v>
      </c>
      <c r="I41" s="11">
        <f t="shared" si="4"/>
        <v>121.208</v>
      </c>
      <c r="J41" s="11">
        <f t="shared" si="5"/>
        <v>193.416</v>
      </c>
      <c r="K41" s="12"/>
    </row>
    <row r="42" spans="1:11">
      <c r="A42" s="16" t="s">
        <v>45</v>
      </c>
      <c r="B42" s="17"/>
      <c r="C42" s="17"/>
      <c r="D42" s="16">
        <v>30</v>
      </c>
      <c r="E42" s="17"/>
      <c r="F42" s="14"/>
      <c r="G42" s="14"/>
      <c r="H42" s="18">
        <f t="shared" si="3"/>
        <v>42.207999999999998</v>
      </c>
      <c r="I42" s="18">
        <f t="shared" si="4"/>
        <v>121.208</v>
      </c>
      <c r="J42" s="18">
        <f t="shared" si="5"/>
        <v>163.416</v>
      </c>
    </row>
    <row r="43" spans="1:11">
      <c r="A43" s="16" t="s">
        <v>47</v>
      </c>
      <c r="B43" s="16">
        <v>2.5</v>
      </c>
      <c r="C43" s="16">
        <v>2.5</v>
      </c>
      <c r="D43" s="16"/>
      <c r="E43" s="17"/>
      <c r="F43" s="14"/>
      <c r="G43" s="14"/>
      <c r="H43" s="18">
        <f t="shared" ref="H43" si="6">H42-F43-D43+B43</f>
        <v>44.707999999999998</v>
      </c>
      <c r="I43" s="18">
        <f t="shared" ref="I43" si="7">I42-E43+C43</f>
        <v>123.708</v>
      </c>
      <c r="J43" s="18">
        <f t="shared" ref="J43" si="8">SUM(H43:I43)</f>
        <v>168.416</v>
      </c>
    </row>
    <row r="44" spans="1:11">
      <c r="A44" s="16" t="s">
        <v>46</v>
      </c>
      <c r="B44" s="17"/>
      <c r="C44" s="17"/>
      <c r="D44" s="16"/>
      <c r="E44" s="16">
        <v>2</v>
      </c>
      <c r="F44" s="14"/>
      <c r="G44" s="14"/>
      <c r="H44" s="18">
        <f t="shared" ref="H44" si="9">H43-F44-D44+B44</f>
        <v>44.707999999999998</v>
      </c>
      <c r="I44" s="18">
        <f t="shared" ref="I44" si="10">I43-E44+C44</f>
        <v>121.708</v>
      </c>
      <c r="J44" s="18">
        <f t="shared" ref="J44" si="11">SUM(H44:I44)</f>
        <v>166.416</v>
      </c>
    </row>
    <row r="45" spans="1:11">
      <c r="A45" s="16" t="s">
        <v>48</v>
      </c>
      <c r="B45" s="16">
        <v>3.75</v>
      </c>
      <c r="C45" s="16">
        <v>3.75</v>
      </c>
      <c r="D45" s="16"/>
      <c r="E45" s="16"/>
      <c r="F45" s="14"/>
      <c r="G45" s="14"/>
      <c r="H45" s="18">
        <f t="shared" ref="H45:H46" si="12">H44-F45-D45+B45</f>
        <v>48.457999999999998</v>
      </c>
      <c r="I45" s="18">
        <f t="shared" ref="I45:I46" si="13">I44-E45+C45</f>
        <v>125.458</v>
      </c>
      <c r="J45" s="18">
        <f t="shared" ref="J45:J46" si="14">SUM(H45:I45)</f>
        <v>173.916</v>
      </c>
    </row>
    <row r="46" spans="1:11">
      <c r="A46" s="5" t="s">
        <v>65</v>
      </c>
      <c r="B46" s="16"/>
      <c r="C46" s="16"/>
      <c r="D46" s="16"/>
      <c r="E46" s="16"/>
      <c r="F46" s="14">
        <v>5</v>
      </c>
      <c r="G46" s="14"/>
      <c r="H46" s="18">
        <f t="shared" si="12"/>
        <v>43.457999999999998</v>
      </c>
      <c r="I46" s="18">
        <f t="shared" si="13"/>
        <v>125.458</v>
      </c>
      <c r="J46" s="18">
        <f t="shared" si="14"/>
        <v>168.916</v>
      </c>
    </row>
    <row r="47" spans="1:11">
      <c r="A47" s="5" t="s">
        <v>72</v>
      </c>
      <c r="B47" s="16">
        <v>7.5</v>
      </c>
      <c r="C47" s="16">
        <v>7.5</v>
      </c>
      <c r="D47" s="16"/>
      <c r="E47" s="16"/>
      <c r="F47" s="14"/>
      <c r="G47" s="14"/>
      <c r="H47" s="18">
        <f t="shared" ref="H47:H48" si="15">H46-F47-D47+B47</f>
        <v>50.957999999999998</v>
      </c>
      <c r="I47" s="18">
        <f t="shared" ref="I47:I48" si="16">I46-E47+C47</f>
        <v>132.958</v>
      </c>
      <c r="J47" s="18">
        <f t="shared" ref="J47:J48" si="17">SUM(H47:I47)</f>
        <v>183.916</v>
      </c>
    </row>
    <row r="48" spans="1:11">
      <c r="A48" s="16" t="s">
        <v>73</v>
      </c>
      <c r="B48" s="16"/>
      <c r="C48" s="16"/>
      <c r="D48" s="16">
        <v>30</v>
      </c>
      <c r="E48" s="16"/>
      <c r="F48" s="14"/>
      <c r="G48" s="14"/>
      <c r="H48" s="18">
        <f t="shared" si="15"/>
        <v>20.957999999999998</v>
      </c>
      <c r="I48" s="18">
        <f t="shared" si="16"/>
        <v>132.958</v>
      </c>
      <c r="J48" s="18">
        <f t="shared" si="17"/>
        <v>153.916</v>
      </c>
    </row>
    <row r="49" spans="1:10">
      <c r="A49" s="16" t="s">
        <v>74</v>
      </c>
      <c r="B49" s="38">
        <v>0.87</v>
      </c>
      <c r="C49" s="38">
        <v>0.87</v>
      </c>
      <c r="D49" s="16"/>
      <c r="E49" s="16"/>
      <c r="F49" s="14"/>
      <c r="G49" s="14"/>
      <c r="H49" s="18">
        <f t="shared" ref="H49:H50" si="18">H48-F49-D49+B49</f>
        <v>21.827999999999999</v>
      </c>
      <c r="I49" s="18">
        <f t="shared" ref="I49:I50" si="19">I48-E49+C49</f>
        <v>133.828</v>
      </c>
      <c r="J49" s="18">
        <f t="shared" ref="J49:J50" si="20">SUM(H49:I49)</f>
        <v>155.65600000000001</v>
      </c>
    </row>
    <row r="50" spans="1:10">
      <c r="A50" s="16" t="s">
        <v>75</v>
      </c>
      <c r="B50" s="16">
        <v>2.5</v>
      </c>
      <c r="C50" s="16">
        <v>2.5</v>
      </c>
      <c r="D50" s="16"/>
      <c r="E50" s="16"/>
      <c r="F50" s="14"/>
      <c r="G50" s="14"/>
      <c r="H50" s="18">
        <f t="shared" si="18"/>
        <v>24.327999999999999</v>
      </c>
      <c r="I50" s="18">
        <f t="shared" si="19"/>
        <v>136.328</v>
      </c>
      <c r="J50" s="18">
        <f t="shared" si="20"/>
        <v>160.65600000000001</v>
      </c>
    </row>
    <row r="51" spans="1:10">
      <c r="A51" s="16" t="s">
        <v>76</v>
      </c>
      <c r="B51" s="16"/>
      <c r="C51" s="16"/>
      <c r="D51" s="16"/>
      <c r="E51" s="16">
        <v>2</v>
      </c>
      <c r="F51" s="14"/>
      <c r="G51" s="14"/>
      <c r="H51" s="18">
        <f t="shared" ref="H51" si="21">H50-F51-D51+B51</f>
        <v>24.327999999999999</v>
      </c>
      <c r="I51" s="18">
        <f t="shared" ref="I51" si="22">I50-E51+C51</f>
        <v>134.328</v>
      </c>
      <c r="J51" s="18">
        <f t="shared" ref="J51" si="23">SUM(H51:I51)</f>
        <v>158.65600000000001</v>
      </c>
    </row>
    <row r="52" spans="1:10">
      <c r="A52" s="16" t="s">
        <v>77</v>
      </c>
      <c r="B52" s="16">
        <v>3.75</v>
      </c>
      <c r="C52" s="16">
        <v>3.75</v>
      </c>
      <c r="D52" s="16"/>
      <c r="E52" s="16"/>
      <c r="F52" s="14"/>
      <c r="G52" s="14"/>
      <c r="H52" s="18">
        <f t="shared" ref="H52" si="24">H51-F52-D52+B52</f>
        <v>28.077999999999999</v>
      </c>
      <c r="I52" s="18">
        <f t="shared" ref="I52" si="25">I51-E52+C52</f>
        <v>138.078</v>
      </c>
      <c r="J52" s="18">
        <f t="shared" ref="J52" si="26">SUM(H52:I52)</f>
        <v>166.15600000000001</v>
      </c>
    </row>
    <row r="53" spans="1:10">
      <c r="A53" s="16"/>
      <c r="B53" s="16"/>
      <c r="C53" s="16"/>
      <c r="D53" s="16"/>
      <c r="E53" s="16"/>
      <c r="F53" s="14"/>
      <c r="G53" s="14"/>
      <c r="H53" s="18"/>
      <c r="I53" s="18"/>
      <c r="J53" s="18"/>
    </row>
    <row r="58" spans="1:10">
      <c r="F58" s="13" t="s">
        <v>41</v>
      </c>
    </row>
  </sheetData>
  <mergeCells count="14">
    <mergeCell ref="K11:K12"/>
    <mergeCell ref="A10:J10"/>
    <mergeCell ref="A11:A12"/>
    <mergeCell ref="B11:C11"/>
    <mergeCell ref="D11:G11"/>
    <mergeCell ref="H11:I11"/>
    <mergeCell ref="J11:J12"/>
    <mergeCell ref="A13:J13"/>
    <mergeCell ref="B9:D9"/>
    <mergeCell ref="A2:J2"/>
    <mergeCell ref="A3:J3"/>
    <mergeCell ref="A4:J4"/>
    <mergeCell ref="A5:J5"/>
    <mergeCell ref="B7:D7"/>
  </mergeCells>
  <printOptions horizontalCentered="1"/>
  <pageMargins left="0.23622047244094491" right="0.23622047244094491" top="0.23622047244094491" bottom="0.23622047244094491" header="0.31496062992125984" footer="0.31496062992125984"/>
  <pageSetup paperSize="9" scale="71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72C7-D0FC-4F56-82B2-994A7B3B5E45}">
  <dimension ref="A1:L28"/>
  <sheetViews>
    <sheetView view="pageBreakPreview" zoomScale="112" zoomScaleNormal="100" workbookViewId="0">
      <selection activeCell="A16" sqref="A16:XFD16"/>
    </sheetView>
  </sheetViews>
  <sheetFormatPr defaultColWidth="9" defaultRowHeight="15"/>
  <cols>
    <col min="1" max="1" width="29.85546875" style="27" customWidth="1"/>
    <col min="2" max="2" width="9.42578125" style="34" customWidth="1"/>
    <col min="3" max="3" width="9.28515625" style="35" customWidth="1"/>
    <col min="4" max="4" width="9" style="27"/>
    <col min="5" max="5" width="8.42578125" style="34" customWidth="1"/>
    <col min="6" max="6" width="10.85546875" style="36" customWidth="1"/>
    <col min="7" max="7" width="9.7109375" style="37" customWidth="1"/>
    <col min="8" max="8" width="10.85546875" style="27" customWidth="1"/>
    <col min="9" max="9" width="9.7109375" style="34" customWidth="1"/>
    <col min="10" max="10" width="10" style="36" customWidth="1"/>
    <col min="11" max="11" width="8.7109375" style="37" customWidth="1"/>
    <col min="12" max="12" width="7.5703125" style="27" customWidth="1"/>
    <col min="13" max="16384" width="9" style="27"/>
  </cols>
  <sheetData>
    <row r="1" spans="1:12" s="20" customFormat="1" ht="52.5" customHeight="1">
      <c r="C1" s="21"/>
      <c r="D1" s="22"/>
      <c r="H1" s="23"/>
    </row>
    <row r="2" spans="1:12" s="20" customFormat="1" ht="10.5" customHeight="1">
      <c r="A2" s="57" t="s">
        <v>3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s="20" customFormat="1" ht="15.95" customHeight="1">
      <c r="A3" s="57" t="s">
        <v>4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2" s="20" customFormat="1" ht="15.95" customHeight="1">
      <c r="A4" s="57" t="s">
        <v>5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</row>
    <row r="5" spans="1:12" s="20" customFormat="1" ht="15.95" customHeight="1">
      <c r="A5" s="57" t="s">
        <v>6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</row>
    <row r="6" spans="1:12" s="20" customFormat="1" ht="8.25" customHeight="1">
      <c r="C6" s="23"/>
      <c r="H6" s="23"/>
    </row>
    <row r="7" spans="1:12" s="20" customFormat="1" ht="8.25" customHeight="1">
      <c r="C7" s="23"/>
      <c r="H7" s="23"/>
    </row>
    <row r="8" spans="1:12" s="20" customFormat="1" ht="12" customHeight="1">
      <c r="A8" s="24" t="s">
        <v>58</v>
      </c>
      <c r="B8" s="24"/>
      <c r="C8" s="58" t="s">
        <v>49</v>
      </c>
      <c r="D8" s="58"/>
      <c r="E8" s="58"/>
      <c r="F8" s="58"/>
      <c r="G8" s="58"/>
      <c r="I8" s="58" t="s">
        <v>50</v>
      </c>
      <c r="J8" s="58"/>
      <c r="K8" s="58"/>
      <c r="L8" s="24"/>
    </row>
    <row r="9" spans="1:12" s="20" customFormat="1" ht="12" customHeight="1">
      <c r="B9" s="25"/>
      <c r="C9" s="58" t="s">
        <v>60</v>
      </c>
      <c r="D9" s="58"/>
      <c r="E9" s="58"/>
      <c r="F9" s="58"/>
      <c r="G9" s="58"/>
      <c r="I9" s="61" t="s">
        <v>51</v>
      </c>
      <c r="J9" s="61"/>
      <c r="K9" s="61"/>
      <c r="L9" s="25"/>
    </row>
    <row r="10" spans="1:12" s="20" customFormat="1" ht="12" customHeight="1">
      <c r="A10" s="24" t="s">
        <v>59</v>
      </c>
      <c r="B10" s="24"/>
      <c r="C10" s="26"/>
      <c r="D10" s="25"/>
      <c r="E10" s="25"/>
      <c r="I10" s="58" t="s">
        <v>52</v>
      </c>
      <c r="J10" s="58"/>
      <c r="K10" s="58"/>
      <c r="L10" s="24"/>
    </row>
    <row r="11" spans="1:12" ht="16.5" customHeight="1" thickBot="1">
      <c r="A11" s="62" t="s">
        <v>64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</row>
    <row r="12" spans="1:12" s="28" customFormat="1" ht="18.75" customHeight="1">
      <c r="A12" s="63" t="s">
        <v>0</v>
      </c>
      <c r="B12" s="65" t="s">
        <v>1</v>
      </c>
      <c r="C12" s="66"/>
      <c r="D12" s="66"/>
      <c r="E12" s="66"/>
      <c r="F12" s="66"/>
      <c r="G12" s="66"/>
      <c r="H12" s="66"/>
      <c r="I12" s="66"/>
      <c r="J12" s="66"/>
      <c r="K12" s="66"/>
      <c r="L12" s="67" t="s">
        <v>2</v>
      </c>
    </row>
    <row r="13" spans="1:12" s="28" customFormat="1" ht="24" customHeight="1">
      <c r="A13" s="64"/>
      <c r="B13" s="69" t="s">
        <v>53</v>
      </c>
      <c r="C13" s="70"/>
      <c r="D13" s="70"/>
      <c r="E13" s="71"/>
      <c r="F13" s="69" t="s">
        <v>54</v>
      </c>
      <c r="G13" s="71"/>
      <c r="H13" s="69" t="s">
        <v>55</v>
      </c>
      <c r="I13" s="71"/>
      <c r="J13" s="69" t="s">
        <v>56</v>
      </c>
      <c r="K13" s="71"/>
      <c r="L13" s="68"/>
    </row>
    <row r="14" spans="1:12" s="28" customFormat="1" ht="23.45" customHeight="1">
      <c r="A14" s="29" t="s">
        <v>61</v>
      </c>
      <c r="B14" s="73" t="s">
        <v>62</v>
      </c>
      <c r="C14" s="74"/>
      <c r="D14" s="74"/>
      <c r="E14" s="75"/>
      <c r="F14" s="59">
        <v>6</v>
      </c>
      <c r="G14" s="60"/>
      <c r="H14" s="59">
        <v>0</v>
      </c>
      <c r="I14" s="60"/>
      <c r="J14" s="59">
        <v>6</v>
      </c>
      <c r="K14" s="60"/>
      <c r="L14" s="30">
        <v>6</v>
      </c>
    </row>
    <row r="15" spans="1:12" s="32" customFormat="1" ht="24.95" customHeight="1">
      <c r="A15" s="31" t="s">
        <v>63</v>
      </c>
      <c r="B15" s="73" t="s">
        <v>62</v>
      </c>
      <c r="C15" s="74"/>
      <c r="D15" s="74"/>
      <c r="E15" s="75"/>
      <c r="F15" s="59"/>
      <c r="G15" s="60"/>
      <c r="H15" s="59">
        <v>2</v>
      </c>
      <c r="I15" s="60"/>
      <c r="J15" s="59">
        <v>4</v>
      </c>
      <c r="K15" s="60"/>
      <c r="L15" s="30">
        <v>4</v>
      </c>
    </row>
    <row r="16" spans="1:12" s="32" customFormat="1" ht="24.95" customHeight="1">
      <c r="A16" s="31" t="s">
        <v>63</v>
      </c>
      <c r="B16" s="73" t="s">
        <v>62</v>
      </c>
      <c r="C16" s="74"/>
      <c r="D16" s="74"/>
      <c r="E16" s="75"/>
      <c r="F16" s="59"/>
      <c r="G16" s="60"/>
      <c r="H16" s="59">
        <v>2</v>
      </c>
      <c r="I16" s="60"/>
      <c r="J16" s="59">
        <v>4</v>
      </c>
      <c r="K16" s="60"/>
      <c r="L16" s="30">
        <v>4</v>
      </c>
    </row>
    <row r="17" spans="1:12" s="32" customFormat="1" ht="24.95" customHeight="1">
      <c r="A17" s="33"/>
      <c r="B17" s="73"/>
      <c r="C17" s="74"/>
      <c r="D17" s="74"/>
      <c r="E17" s="75"/>
      <c r="F17" s="59"/>
      <c r="G17" s="60"/>
      <c r="H17" s="59"/>
      <c r="I17" s="60"/>
      <c r="J17" s="59"/>
      <c r="K17" s="60"/>
      <c r="L17" s="30"/>
    </row>
    <row r="18" spans="1:12" s="20" customFormat="1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</row>
    <row r="19" spans="1:12">
      <c r="A19" s="20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</row>
    <row r="20" spans="1:12">
      <c r="A20" s="20"/>
      <c r="B20" s="20"/>
      <c r="C20" s="23"/>
      <c r="D20" s="20"/>
      <c r="E20" s="20"/>
      <c r="F20" s="20"/>
      <c r="G20" s="20"/>
      <c r="H20" s="20"/>
      <c r="I20" s="20"/>
      <c r="J20" s="20"/>
      <c r="K20" s="20"/>
      <c r="L20" s="20"/>
    </row>
    <row r="21" spans="1:12">
      <c r="A21" s="20"/>
      <c r="B21" s="20"/>
      <c r="C21" s="23"/>
      <c r="D21" s="20"/>
      <c r="E21" s="20"/>
      <c r="F21" s="20"/>
      <c r="G21" s="20"/>
      <c r="H21" s="20"/>
      <c r="I21" s="20"/>
      <c r="J21" s="20"/>
      <c r="K21" s="20"/>
      <c r="L21" s="20"/>
    </row>
    <row r="22" spans="1:12">
      <c r="A22" s="20"/>
      <c r="B22" s="20"/>
      <c r="C22" s="23"/>
      <c r="D22" s="20"/>
      <c r="E22" s="20"/>
      <c r="F22" s="20"/>
      <c r="G22" s="20" t="s">
        <v>57</v>
      </c>
      <c r="H22" s="20"/>
      <c r="I22" s="20"/>
      <c r="J22" s="20"/>
      <c r="K22" s="20"/>
      <c r="L22" s="20"/>
    </row>
    <row r="23" spans="1:12" ht="18.75" customHeight="1">
      <c r="A23" s="20"/>
      <c r="B23" s="20"/>
      <c r="C23" s="23"/>
      <c r="D23" s="20"/>
      <c r="E23" s="20"/>
      <c r="F23" s="20"/>
      <c r="G23" s="20"/>
      <c r="H23" s="20"/>
      <c r="I23" s="20"/>
      <c r="J23" s="20"/>
      <c r="K23" s="20"/>
      <c r="L23" s="20"/>
    </row>
    <row r="24" spans="1:12">
      <c r="A24" s="20"/>
      <c r="B24" s="20"/>
      <c r="C24" s="23"/>
      <c r="D24" s="20"/>
      <c r="E24" s="20"/>
      <c r="F24" s="20"/>
      <c r="G24" s="20"/>
      <c r="H24" s="20"/>
      <c r="I24" s="20"/>
      <c r="J24" s="20"/>
      <c r="K24" s="20"/>
      <c r="L24" s="20"/>
    </row>
    <row r="25" spans="1:12">
      <c r="A25" s="20"/>
      <c r="B25" s="20"/>
      <c r="C25" s="23"/>
      <c r="D25" s="20"/>
      <c r="E25" s="20"/>
      <c r="F25" s="20"/>
      <c r="G25" s="20"/>
      <c r="H25" s="20"/>
      <c r="I25" s="20"/>
      <c r="J25" s="20"/>
      <c r="K25" s="20"/>
      <c r="L25" s="20"/>
    </row>
    <row r="26" spans="1:12">
      <c r="A26" s="20"/>
      <c r="B26" s="20"/>
      <c r="C26" s="23"/>
      <c r="D26" s="20"/>
      <c r="E26" s="20"/>
      <c r="F26" s="20"/>
      <c r="G26" s="20"/>
      <c r="H26" s="20"/>
      <c r="I26" s="20"/>
      <c r="J26" s="20"/>
      <c r="K26" s="20"/>
      <c r="L26" s="20"/>
    </row>
    <row r="27" spans="1:12">
      <c r="A27" s="20"/>
      <c r="B27" s="20"/>
      <c r="C27" s="23"/>
      <c r="D27" s="20"/>
      <c r="E27" s="20"/>
      <c r="F27" s="20"/>
      <c r="G27" s="20"/>
      <c r="H27" s="20"/>
      <c r="I27" s="20"/>
      <c r="J27" s="20"/>
      <c r="K27" s="20"/>
      <c r="L27" s="20"/>
    </row>
    <row r="28" spans="1:12">
      <c r="A28" s="20"/>
      <c r="B28" s="20"/>
      <c r="C28" s="23"/>
      <c r="D28" s="20"/>
      <c r="E28" s="20"/>
      <c r="F28" s="20"/>
      <c r="G28" s="20"/>
      <c r="H28" s="20"/>
      <c r="I28" s="20"/>
      <c r="J28" s="20"/>
      <c r="K28" s="20"/>
      <c r="L28" s="20"/>
    </row>
  </sheetData>
  <mergeCells count="34">
    <mergeCell ref="A18:L18"/>
    <mergeCell ref="F14:G14"/>
    <mergeCell ref="H14:I14"/>
    <mergeCell ref="J14:K14"/>
    <mergeCell ref="B17:E17"/>
    <mergeCell ref="F17:G17"/>
    <mergeCell ref="H17:I17"/>
    <mergeCell ref="J17:K17"/>
    <mergeCell ref="B15:E15"/>
    <mergeCell ref="F15:G15"/>
    <mergeCell ref="H15:I15"/>
    <mergeCell ref="J15:K15"/>
    <mergeCell ref="B14:E14"/>
    <mergeCell ref="B16:E16"/>
    <mergeCell ref="F16:G16"/>
    <mergeCell ref="H16:I16"/>
    <mergeCell ref="J16:K16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J13:K13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CORRECTED</vt:lpstr>
      <vt:lpstr>VSC</vt:lpstr>
      <vt:lpstr>'Leave Card CORRECTED'!Print_Area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2025-10-08T07:09:45Z</cp:lastPrinted>
  <dcterms:created xsi:type="dcterms:W3CDTF">2021-10-07T06:10:16Z</dcterms:created>
  <dcterms:modified xsi:type="dcterms:W3CDTF">2025-12-17T23:28:20Z</dcterms:modified>
</cp:coreProperties>
</file>