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DAECD5D7-5A0C-4D9D-B0AA-E9CD2643F0E1}" xr6:coauthVersionLast="47" xr6:coauthVersionMax="47" xr10:uidLastSave="{00000000-0000-0000-0000-000000000000}"/>
  <bookViews>
    <workbookView xWindow="-120" yWindow="-120" windowWidth="29040" windowHeight="15720" xr2:uid="{C532281A-DA89-4ACA-8363-B39317021647}"/>
  </bookViews>
  <sheets>
    <sheet name="CORRECTED" sheetId="13" r:id="rId1"/>
    <sheet name="CTO" sheetId="12" r:id="rId2"/>
    <sheet name="Sheet1" sheetId="11" r:id="rId3"/>
    <sheet name="DIAMANTE" sheetId="10" r:id="rId4"/>
  </sheets>
  <definedNames>
    <definedName name="_xlnm.Print_Area" localSheetId="0">CORRECTED!$A$1:$J$133</definedName>
    <definedName name="_xlnm.Print_Area" localSheetId="3">DIAMANTE!$A$1:$J$72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6" i="13" l="1"/>
  <c r="J126" i="13" s="1"/>
  <c r="I126" i="13"/>
  <c r="I13" i="13" l="1"/>
  <c r="H13" i="13"/>
  <c r="H14" i="13" l="1"/>
  <c r="I14" i="13"/>
  <c r="I15" i="13" s="1"/>
  <c r="J13" i="13"/>
  <c r="J14" i="13" l="1"/>
  <c r="I16" i="13"/>
  <c r="I17" i="13" s="1"/>
  <c r="I18" i="13" s="1"/>
  <c r="I19" i="13" s="1"/>
  <c r="I20" i="13" s="1"/>
  <c r="I21" i="13" s="1"/>
  <c r="I22" i="13" s="1"/>
  <c r="I23" i="13" s="1"/>
  <c r="I24" i="13" s="1"/>
  <c r="I25" i="13" s="1"/>
  <c r="I26" i="13" s="1"/>
  <c r="I27" i="13" s="1"/>
  <c r="I28" i="13" s="1"/>
  <c r="I29" i="13" s="1"/>
  <c r="I30" i="13" s="1"/>
  <c r="I31" i="13" s="1"/>
  <c r="I32" i="13" s="1"/>
  <c r="I33" i="13" s="1"/>
  <c r="I34" i="13" s="1"/>
  <c r="I35" i="13" s="1"/>
  <c r="I36" i="13" s="1"/>
  <c r="I37" i="13" s="1"/>
  <c r="I38" i="13" s="1"/>
  <c r="I39" i="13" s="1"/>
  <c r="I40" i="13" s="1"/>
  <c r="I41" i="13" s="1"/>
  <c r="I42" i="13" s="1"/>
  <c r="I43" i="13" s="1"/>
  <c r="I44" i="13" s="1"/>
  <c r="I45" i="13" s="1"/>
  <c r="I46" i="13" s="1"/>
  <c r="I47" i="13" s="1"/>
  <c r="I48" i="13" s="1"/>
  <c r="I49" i="13" s="1"/>
  <c r="I50" i="13" s="1"/>
  <c r="I51" i="13" s="1"/>
  <c r="I52" i="13" s="1"/>
  <c r="I53" i="13" s="1"/>
  <c r="I54" i="13" s="1"/>
  <c r="I55" i="13" s="1"/>
  <c r="I56" i="13" s="1"/>
  <c r="I57" i="13" s="1"/>
  <c r="I58" i="13" s="1"/>
  <c r="I59" i="13" s="1"/>
  <c r="I60" i="13" s="1"/>
  <c r="I61" i="13" s="1"/>
  <c r="I62" i="13" s="1"/>
  <c r="I63" i="13" s="1"/>
  <c r="I64" i="13" s="1"/>
  <c r="I65" i="13" s="1"/>
  <c r="I66" i="13" s="1"/>
  <c r="I67" i="13" s="1"/>
  <c r="I68" i="13" s="1"/>
  <c r="I69" i="13" s="1"/>
  <c r="I70" i="13" s="1"/>
  <c r="I71" i="13" s="1"/>
  <c r="I72" i="13" s="1"/>
  <c r="I73" i="13" s="1"/>
  <c r="I74" i="13" s="1"/>
  <c r="I75" i="13" s="1"/>
  <c r="I76" i="13" s="1"/>
  <c r="I77" i="13" s="1"/>
  <c r="I78" i="13" s="1"/>
  <c r="I79" i="13" s="1"/>
  <c r="I80" i="13" s="1"/>
  <c r="I81" i="13" s="1"/>
  <c r="I82" i="13" s="1"/>
  <c r="I83" i="13" s="1"/>
  <c r="I84" i="13" s="1"/>
  <c r="I85" i="13" s="1"/>
  <c r="I86" i="13" s="1"/>
  <c r="I87" i="13" s="1"/>
  <c r="I88" i="13" s="1"/>
  <c r="I89" i="13" s="1"/>
  <c r="I90" i="13" s="1"/>
  <c r="I91" i="13" s="1"/>
  <c r="I92" i="13" s="1"/>
  <c r="I93" i="13" s="1"/>
  <c r="I94" i="13" s="1"/>
  <c r="I95" i="13" s="1"/>
  <c r="I96" i="13" s="1"/>
  <c r="I97" i="13" s="1"/>
  <c r="I98" i="13" s="1"/>
  <c r="I99" i="13" s="1"/>
  <c r="I100" i="13" s="1"/>
  <c r="I101" i="13" s="1"/>
  <c r="I102" i="13" s="1"/>
  <c r="I103" i="13" s="1"/>
  <c r="I104" i="13" s="1"/>
  <c r="I105" i="13" s="1"/>
  <c r="I106" i="13" s="1"/>
  <c r="I107" i="13" s="1"/>
  <c r="I108" i="13" s="1"/>
  <c r="I109" i="13" s="1"/>
  <c r="I110" i="13" s="1"/>
  <c r="I111" i="13" s="1"/>
  <c r="I112" i="13" s="1"/>
  <c r="I113" i="13" s="1"/>
  <c r="I114" i="13" s="1"/>
  <c r="I115" i="13" s="1"/>
  <c r="I116" i="13" s="1"/>
  <c r="I117" i="13" s="1"/>
  <c r="I118" i="13" s="1"/>
  <c r="I119" i="13" s="1"/>
  <c r="I120" i="13" s="1"/>
  <c r="I121" i="13" s="1"/>
  <c r="I122" i="13" s="1"/>
  <c r="I123" i="13" s="1"/>
  <c r="I124" i="13" s="1"/>
  <c r="I125" i="13" s="1"/>
  <c r="H15" i="13"/>
  <c r="H16" i="13" s="1"/>
  <c r="H17" i="13" s="1"/>
  <c r="H18" i="13" l="1"/>
  <c r="J17" i="13"/>
  <c r="J16" i="13"/>
  <c r="J15" i="13"/>
  <c r="H19" i="13" l="1"/>
  <c r="J18" i="13"/>
  <c r="H60" i="10"/>
  <c r="H61" i="10" s="1"/>
  <c r="I60" i="10"/>
  <c r="I61" i="10" s="1"/>
  <c r="I62" i="10" s="1"/>
  <c r="K18" i="11"/>
  <c r="J19" i="13" l="1"/>
  <c r="H20" i="13"/>
  <c r="H62" i="10"/>
  <c r="J62" i="10" s="1"/>
  <c r="J61" i="10"/>
  <c r="J60" i="10"/>
  <c r="B42" i="10"/>
  <c r="J20" i="13" l="1"/>
  <c r="H21" i="13"/>
  <c r="I15" i="10"/>
  <c r="I16" i="10" s="1"/>
  <c r="I17" i="10" s="1"/>
  <c r="I18" i="10" s="1"/>
  <c r="I19" i="10" s="1"/>
  <c r="I20" i="10" s="1"/>
  <c r="I21" i="10" s="1"/>
  <c r="I22" i="10" s="1"/>
  <c r="I23" i="10" s="1"/>
  <c r="I24" i="10" s="1"/>
  <c r="I25" i="10" s="1"/>
  <c r="I26" i="10" s="1"/>
  <c r="I27" i="10" s="1"/>
  <c r="I28" i="10" s="1"/>
  <c r="I29" i="10" s="1"/>
  <c r="I30" i="10" s="1"/>
  <c r="I31" i="10" s="1"/>
  <c r="I32" i="10" s="1"/>
  <c r="I33" i="10" s="1"/>
  <c r="I34" i="10" s="1"/>
  <c r="I35" i="10" s="1"/>
  <c r="I36" i="10" s="1"/>
  <c r="I37" i="10" s="1"/>
  <c r="I38" i="10" s="1"/>
  <c r="I39" i="10" s="1"/>
  <c r="I40" i="10" s="1"/>
  <c r="I41" i="10" s="1"/>
  <c r="I42" i="10" s="1"/>
  <c r="I43" i="10" s="1"/>
  <c r="I44" i="10" s="1"/>
  <c r="I45" i="10" s="1"/>
  <c r="I46" i="10" s="1"/>
  <c r="I47" i="10" s="1"/>
  <c r="I48" i="10" s="1"/>
  <c r="I49" i="10" s="1"/>
  <c r="I50" i="10" s="1"/>
  <c r="I51" i="10" s="1"/>
  <c r="I52" i="10" s="1"/>
  <c r="I53" i="10" s="1"/>
  <c r="I54" i="10" s="1"/>
  <c r="I55" i="10" s="1"/>
  <c r="I56" i="10" s="1"/>
  <c r="I57" i="10" s="1"/>
  <c r="I58" i="10" s="1"/>
  <c r="I59" i="10" s="1"/>
  <c r="H15" i="10"/>
  <c r="H16" i="10" s="1"/>
  <c r="J21" i="13" l="1"/>
  <c r="H22" i="13"/>
  <c r="H17" i="10"/>
  <c r="J16" i="10"/>
  <c r="J15" i="10"/>
  <c r="B39" i="10"/>
  <c r="J22" i="13" l="1"/>
  <c r="H23" i="13"/>
  <c r="H18" i="10"/>
  <c r="J17" i="10"/>
  <c r="J14" i="10"/>
  <c r="H24" i="13" l="1"/>
  <c r="J23" i="13"/>
  <c r="J18" i="10"/>
  <c r="H19" i="10"/>
  <c r="J24" i="13" l="1"/>
  <c r="H25" i="13"/>
  <c r="J19" i="10"/>
  <c r="H20" i="10"/>
  <c r="J25" i="13" l="1"/>
  <c r="H26" i="13"/>
  <c r="J20" i="10"/>
  <c r="H21" i="10"/>
  <c r="J26" i="13" l="1"/>
  <c r="H27" i="13"/>
  <c r="J21" i="10"/>
  <c r="H22" i="10"/>
  <c r="J27" i="13" l="1"/>
  <c r="H28" i="13"/>
  <c r="J22" i="10"/>
  <c r="H23" i="10"/>
  <c r="J28" i="13" l="1"/>
  <c r="H29" i="13"/>
  <c r="J23" i="10"/>
  <c r="H24" i="10"/>
  <c r="J29" i="13" l="1"/>
  <c r="H30" i="13"/>
  <c r="H25" i="10"/>
  <c r="J24" i="10"/>
  <c r="J30" i="13" l="1"/>
  <c r="H31" i="13"/>
  <c r="H26" i="10"/>
  <c r="J25" i="10"/>
  <c r="J31" i="13" l="1"/>
  <c r="H32" i="13"/>
  <c r="J26" i="10"/>
  <c r="H27" i="10"/>
  <c r="H33" i="13" l="1"/>
  <c r="J32" i="13"/>
  <c r="J27" i="10"/>
  <c r="H28" i="10"/>
  <c r="J33" i="13" l="1"/>
  <c r="H34" i="13"/>
  <c r="H29" i="10"/>
  <c r="J28" i="10"/>
  <c r="H35" i="13" l="1"/>
  <c r="J34" i="13"/>
  <c r="J29" i="10"/>
  <c r="H30" i="10"/>
  <c r="H36" i="13" l="1"/>
  <c r="J35" i="13"/>
  <c r="H31" i="10"/>
  <c r="J30" i="10"/>
  <c r="J36" i="13" l="1"/>
  <c r="H37" i="13"/>
  <c r="H32" i="10"/>
  <c r="J31" i="10"/>
  <c r="H38" i="13" l="1"/>
  <c r="J37" i="13"/>
  <c r="H33" i="10"/>
  <c r="J32" i="10"/>
  <c r="H39" i="13" l="1"/>
  <c r="J38" i="13"/>
  <c r="J33" i="10"/>
  <c r="H34" i="10"/>
  <c r="J39" i="13" l="1"/>
  <c r="H40" i="13"/>
  <c r="H35" i="10"/>
  <c r="J34" i="10"/>
  <c r="J40" i="13" l="1"/>
  <c r="H41" i="13"/>
  <c r="H36" i="10"/>
  <c r="J35" i="10"/>
  <c r="H42" i="13" l="1"/>
  <c r="J41" i="13"/>
  <c r="J36" i="10"/>
  <c r="H37" i="10"/>
  <c r="H43" i="13" l="1"/>
  <c r="J42" i="13"/>
  <c r="H38" i="10"/>
  <c r="J37" i="10"/>
  <c r="H44" i="13" l="1"/>
  <c r="J43" i="13"/>
  <c r="H39" i="10"/>
  <c r="J38" i="10"/>
  <c r="H45" i="13" l="1"/>
  <c r="J44" i="13"/>
  <c r="H40" i="10"/>
  <c r="J39" i="10"/>
  <c r="J45" i="13" l="1"/>
  <c r="H46" i="13"/>
  <c r="J40" i="10"/>
  <c r="H41" i="10"/>
  <c r="J46" i="13" l="1"/>
  <c r="H47" i="13"/>
  <c r="H42" i="10"/>
  <c r="J41" i="10"/>
  <c r="J47" i="13" l="1"/>
  <c r="H48" i="13"/>
  <c r="J42" i="10"/>
  <c r="H43" i="10"/>
  <c r="J48" i="13" l="1"/>
  <c r="H49" i="13"/>
  <c r="J43" i="10"/>
  <c r="H44" i="10"/>
  <c r="J49" i="13" l="1"/>
  <c r="H50" i="13"/>
  <c r="H45" i="10"/>
  <c r="J44" i="10"/>
  <c r="J50" i="13" l="1"/>
  <c r="H51" i="13"/>
  <c r="H46" i="10"/>
  <c r="J45" i="10"/>
  <c r="H52" i="13" l="1"/>
  <c r="J51" i="13"/>
  <c r="H47" i="10"/>
  <c r="J46" i="10"/>
  <c r="J52" i="13" l="1"/>
  <c r="H53" i="13"/>
  <c r="J47" i="10"/>
  <c r="H48" i="10"/>
  <c r="J53" i="13" l="1"/>
  <c r="H54" i="13"/>
  <c r="H49" i="10"/>
  <c r="J48" i="10"/>
  <c r="J54" i="13" l="1"/>
  <c r="H55" i="13"/>
  <c r="J49" i="10"/>
  <c r="H50" i="10"/>
  <c r="J55" i="13" l="1"/>
  <c r="H56" i="13"/>
  <c r="H51" i="10"/>
  <c r="J50" i="10"/>
  <c r="J56" i="13" l="1"/>
  <c r="H57" i="13"/>
  <c r="J51" i="10"/>
  <c r="H52" i="10"/>
  <c r="J57" i="13" l="1"/>
  <c r="H58" i="13"/>
  <c r="H53" i="10"/>
  <c r="J52" i="10"/>
  <c r="H59" i="13" l="1"/>
  <c r="J58" i="13"/>
  <c r="J53" i="10"/>
  <c r="H54" i="10"/>
  <c r="J59" i="13" l="1"/>
  <c r="H60" i="13"/>
  <c r="H55" i="10"/>
  <c r="J54" i="10"/>
  <c r="J60" i="13" l="1"/>
  <c r="H61" i="13"/>
  <c r="J55" i="10"/>
  <c r="H56" i="10"/>
  <c r="H62" i="13" l="1"/>
  <c r="J61" i="13"/>
  <c r="J56" i="10"/>
  <c r="H57" i="10"/>
  <c r="H63" i="13" l="1"/>
  <c r="J62" i="13"/>
  <c r="J57" i="10"/>
  <c r="H58" i="10"/>
  <c r="J63" i="13" l="1"/>
  <c r="H64" i="13"/>
  <c r="H59" i="10"/>
  <c r="J59" i="10" s="1"/>
  <c r="J58" i="10"/>
  <c r="J64" i="13" l="1"/>
  <c r="H65" i="13"/>
  <c r="J65" i="13" l="1"/>
  <c r="H66" i="13"/>
  <c r="J66" i="13" l="1"/>
  <c r="H67" i="13"/>
  <c r="J67" i="13" l="1"/>
  <c r="H68" i="13"/>
  <c r="H69" i="13" l="1"/>
  <c r="J68" i="13"/>
  <c r="H70" i="13" l="1"/>
  <c r="J69" i="13"/>
  <c r="H71" i="13" l="1"/>
  <c r="J70" i="13"/>
  <c r="H72" i="13" l="1"/>
  <c r="J71" i="13"/>
  <c r="H73" i="13" l="1"/>
  <c r="J72" i="13"/>
  <c r="H74" i="13" l="1"/>
  <c r="J73" i="13"/>
  <c r="H75" i="13" l="1"/>
  <c r="J74" i="13"/>
  <c r="J75" i="13" l="1"/>
  <c r="H76" i="13"/>
  <c r="J76" i="13" l="1"/>
  <c r="H77" i="13"/>
  <c r="J77" i="13" l="1"/>
  <c r="H78" i="13"/>
  <c r="J78" i="13" l="1"/>
  <c r="H79" i="13"/>
  <c r="H80" i="13" l="1"/>
  <c r="J79" i="13"/>
  <c r="J80" i="13" l="1"/>
  <c r="H81" i="13"/>
  <c r="H82" i="13" l="1"/>
  <c r="J81" i="13"/>
  <c r="H83" i="13" l="1"/>
  <c r="J82" i="13"/>
  <c r="J83" i="13" l="1"/>
  <c r="H84" i="13"/>
  <c r="J84" i="13" l="1"/>
  <c r="H85" i="13"/>
  <c r="J85" i="13" l="1"/>
  <c r="H86" i="13"/>
  <c r="H87" i="13" l="1"/>
  <c r="J86" i="13"/>
  <c r="H88" i="13" l="1"/>
  <c r="J87" i="13"/>
  <c r="J88" i="13" l="1"/>
  <c r="H89" i="13"/>
  <c r="J89" i="13" l="1"/>
  <c r="H90" i="13"/>
  <c r="J90" i="13" l="1"/>
  <c r="H91" i="13"/>
  <c r="J91" i="13" l="1"/>
  <c r="H92" i="13"/>
  <c r="J92" i="13" l="1"/>
  <c r="H93" i="13"/>
  <c r="J93" i="13" l="1"/>
  <c r="H94" i="13"/>
  <c r="H95" i="13" l="1"/>
  <c r="J94" i="13"/>
  <c r="J95" i="13" l="1"/>
  <c r="H96" i="13"/>
  <c r="J96" i="13" l="1"/>
  <c r="H97" i="13"/>
  <c r="H98" i="13" l="1"/>
  <c r="J97" i="13"/>
  <c r="H99" i="13" l="1"/>
  <c r="J98" i="13"/>
  <c r="H100" i="13" l="1"/>
  <c r="J99" i="13"/>
  <c r="H101" i="13" l="1"/>
  <c r="J100" i="13"/>
  <c r="J101" i="13" l="1"/>
  <c r="H102" i="13"/>
  <c r="J102" i="13" l="1"/>
  <c r="H103" i="13"/>
  <c r="H104" i="13" l="1"/>
  <c r="J103" i="13"/>
  <c r="J104" i="13" l="1"/>
  <c r="H105" i="13"/>
  <c r="H106" i="13" l="1"/>
  <c r="J105" i="13"/>
  <c r="J106" i="13" l="1"/>
  <c r="H107" i="13"/>
  <c r="H108" i="13" l="1"/>
  <c r="J107" i="13"/>
  <c r="H109" i="13" l="1"/>
  <c r="J108" i="13"/>
  <c r="H110" i="13" l="1"/>
  <c r="J109" i="13"/>
  <c r="H111" i="13" l="1"/>
  <c r="J110" i="13"/>
  <c r="H112" i="13" l="1"/>
  <c r="J111" i="13"/>
  <c r="H113" i="13" l="1"/>
  <c r="J112" i="13"/>
  <c r="J113" i="13" l="1"/>
  <c r="H114" i="13"/>
  <c r="J114" i="13" l="1"/>
  <c r="H115" i="13"/>
  <c r="J115" i="13" l="1"/>
  <c r="H116" i="13"/>
  <c r="H117" i="13" l="1"/>
  <c r="J116" i="13"/>
  <c r="J117" i="13" l="1"/>
  <c r="H118" i="13"/>
  <c r="J118" i="13" l="1"/>
  <c r="H119" i="13"/>
  <c r="J119" i="13" l="1"/>
  <c r="H120" i="13"/>
  <c r="J120" i="13" l="1"/>
  <c r="H121" i="13"/>
  <c r="J121" i="13" l="1"/>
  <c r="H122" i="13"/>
  <c r="H123" i="13" l="1"/>
  <c r="J122" i="13"/>
  <c r="H124" i="13" l="1"/>
  <c r="J123" i="13"/>
  <c r="J124" i="13" l="1"/>
  <c r="H125" i="13"/>
  <c r="J125" i="13" s="1"/>
</calcChain>
</file>

<file path=xl/sharedStrings.xml><?xml version="1.0" encoding="utf-8"?>
<sst xmlns="http://schemas.openxmlformats.org/spreadsheetml/2006/main" count="275" uniqueCount="189">
  <si>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</si>
  <si>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</si>
  <si>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</si>
  <si>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</si>
  <si>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</si>
  <si>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</si>
  <si>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</si>
  <si>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</si>
  <si>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Republic of the Philippines</t>
  </si>
  <si>
    <t>Department of Education</t>
  </si>
  <si>
    <t>REGION VI-WESTERN VISAYAS</t>
  </si>
  <si>
    <t>SCHOOLS DIVISION OF SIPALAY CITY</t>
  </si>
  <si>
    <t>BAL. FORWARDED 06/30/18</t>
  </si>
  <si>
    <t>SPECIAL PRIVILEGE LEAVE</t>
  </si>
  <si>
    <t>ADD: 01/01-06/30/2020</t>
  </si>
  <si>
    <t>ADD: 01/01-12/31/2019</t>
  </si>
  <si>
    <t>ADD: 07/01/18-12/31/2018</t>
  </si>
  <si>
    <t>ADD: 07/01-12/31/2020</t>
  </si>
  <si>
    <t>ADD: 01/01-09/30/2021</t>
  </si>
  <si>
    <t>Less: 29 days monetization 2021</t>
  </si>
  <si>
    <t>Less: 5 days monetization 2020</t>
  </si>
  <si>
    <t>Less: 5 days FL (Dec. 21-24, 31, 2021)</t>
  </si>
  <si>
    <t>ADD: 10/01-11/30/2021</t>
  </si>
  <si>
    <t>ADD: 12/01-31/2021</t>
  </si>
  <si>
    <t>ADD: 01/01-08/31/2022</t>
  </si>
  <si>
    <t>Less: 12/15/2022</t>
  </si>
  <si>
    <t>Less: Monetization 2022</t>
  </si>
  <si>
    <t>ADD: 09/30-10/31/2022</t>
  </si>
  <si>
    <t xml:space="preserve">DATE OF APPOINTMENT: </t>
  </si>
  <si>
    <t>ADD: 11/01-11/30/2022</t>
  </si>
  <si>
    <t>Less: 12/16,19,21-23/2022</t>
  </si>
  <si>
    <t>Less: 12/28-29/2022</t>
  </si>
  <si>
    <t>ADD: 12/01-31/2022</t>
  </si>
  <si>
    <t>ADD: 01/01-31/2023</t>
  </si>
  <si>
    <t>Less: 01/12-13/2023</t>
  </si>
  <si>
    <t>ADD: 02/01-28/2023</t>
  </si>
  <si>
    <t>Less: 02/17/2023</t>
  </si>
  <si>
    <t>Name: _____________________________</t>
  </si>
  <si>
    <t>DISTRICT: ___________________________</t>
  </si>
  <si>
    <t>POSITION: __________________________</t>
  </si>
  <si>
    <t>SCHOOL/OFFICE:_____________________</t>
  </si>
  <si>
    <t>STATION   :</t>
  </si>
  <si>
    <t>SERVICE LEAVE CARD</t>
  </si>
  <si>
    <t>EMP. NO  : 4616524</t>
  </si>
  <si>
    <t>LESS: Fl 2019</t>
  </si>
  <si>
    <t>LESS: Fl 2020</t>
  </si>
  <si>
    <t>ADD:03/01/23-05/31/23</t>
  </si>
  <si>
    <t>LESS: 06/02/2023</t>
  </si>
  <si>
    <t>LESS: 06/21, 22 &amp; 23/2023</t>
  </si>
  <si>
    <t>ADD:06/01/23-08/31/23</t>
  </si>
  <si>
    <t>LESS: MONEtization 2023</t>
  </si>
  <si>
    <t>EMP. NO  :</t>
  </si>
  <si>
    <t>SPECIAL ORDER FOR ELECTION (NATONAL/BARANGAY AND SK ELECTION)</t>
  </si>
  <si>
    <t>SPECIAL ORDER NO. AND DATE ISSUED</t>
  </si>
  <si>
    <t>NATIONAL ELECTION</t>
  </si>
  <si>
    <t>BARANGAY ELECTION/SK ELECTION</t>
  </si>
  <si>
    <t>No. of Days Granted</t>
  </si>
  <si>
    <t>No. of Days Used</t>
  </si>
  <si>
    <t>Balance</t>
  </si>
  <si>
    <t>S.0 Unnumbered s. 1994</t>
  </si>
  <si>
    <t>ADD: MAY 9, 1994</t>
  </si>
  <si>
    <t xml:space="preserve">BARANGAY ELECTION </t>
  </si>
  <si>
    <t>LESS: 10/12-13/2023</t>
  </si>
  <si>
    <t>COMPENSATORY TIME OFF (CTO)</t>
  </si>
  <si>
    <t>Special Order No. and Date Issued</t>
  </si>
  <si>
    <t>ADD: 10/17/2023</t>
  </si>
  <si>
    <t>S.O. # 159, S. 2023. 125TH PHILIPPINE INDEPENDENCE DAY CELEBRATION</t>
  </si>
  <si>
    <t>NOTE:  Valid for one (1) year only</t>
  </si>
  <si>
    <t>Certified Correct:</t>
  </si>
  <si>
    <t>MA. LUISA B. CATIGAN</t>
  </si>
  <si>
    <t>Administrative Officer IV</t>
  </si>
  <si>
    <t>HRMO</t>
  </si>
  <si>
    <t>LESS: 11/30/2023</t>
  </si>
  <si>
    <t>ADD: 09/01/2023-10/31/2023</t>
  </si>
  <si>
    <t>LESS:01/15/2024</t>
  </si>
  <si>
    <t>ADD: 11/01/2023-12/31/2023</t>
  </si>
  <si>
    <t>LESS: 04/18/2024</t>
  </si>
  <si>
    <t>JANUARY-APRIL 30, 2024</t>
  </si>
  <si>
    <t>LESS: 05/10/2024</t>
  </si>
  <si>
    <t>ADD: MAY 1-31, 2024</t>
  </si>
  <si>
    <t>LESS: 06/3/2024</t>
  </si>
  <si>
    <t>LESS: 06/24/2024</t>
  </si>
  <si>
    <t>ADD: 06/1-30/2024</t>
  </si>
  <si>
    <t>LESS: 07/01/2024</t>
  </si>
  <si>
    <t>LESS: MANDATORY FORCED LEAVE 2023</t>
  </si>
  <si>
    <t>LESS: 07/15-16/2024</t>
  </si>
  <si>
    <t>ADD: 07/1-31/2024</t>
  </si>
  <si>
    <t>LESS: MONETIZATION 2024</t>
  </si>
  <si>
    <t>ADD: 08/1-31/2024</t>
  </si>
  <si>
    <t>LESS: 09/10/2024</t>
  </si>
  <si>
    <t>ADD: 09/1/2024-12/31/2024</t>
  </si>
  <si>
    <t>ADD: 01/1-31/2025</t>
  </si>
  <si>
    <t>LESS: 02/6-7/2025</t>
  </si>
  <si>
    <t>DATE FILED/RECEIVED</t>
  </si>
  <si>
    <t>SPECIAL</t>
  </si>
  <si>
    <t>LESS: MONETIZATION CY 2008</t>
  </si>
  <si>
    <t>LESS: MONETIZATION CY 2009</t>
  </si>
  <si>
    <t>LESS: MONETIZATION CY 2010</t>
  </si>
  <si>
    <t>LESS: MONETIZATION CY 2014</t>
  </si>
  <si>
    <t>LESS: MONETIZATION CY 2015</t>
  </si>
  <si>
    <t xml:space="preserve">  </t>
  </si>
  <si>
    <t>ADD: 06/2-30/2008</t>
  </si>
  <si>
    <t>ADD: 07/1/2008-12/31/2008</t>
  </si>
  <si>
    <t>JUNE 2, 2008 (PROMOTED TO PRINCIPAL I)</t>
  </si>
  <si>
    <t>LESS: MONETIZATION CY 2007</t>
  </si>
  <si>
    <t>ADD: 01/1/2009-05/31/2009</t>
  </si>
  <si>
    <t>ADD: 06/1/2009 -12/31/2009</t>
  </si>
  <si>
    <t>LESS: MANDATORY FL 2009</t>
  </si>
  <si>
    <t>ADD: 01/01/2010-09/30/2010</t>
  </si>
  <si>
    <t>ADD: 10/1/2010-12/31/2010</t>
  </si>
  <si>
    <t>LESS: MONETIZATION CY 2010 (ADDITIONAL)</t>
  </si>
  <si>
    <t>LESS: MANDATORY FL 2010</t>
  </si>
  <si>
    <t>ADD: 1/1/2011-12/31/2011</t>
  </si>
  <si>
    <t>LESS: MANDATORY FL 2011</t>
  </si>
  <si>
    <t>ADD: 1/1/2012-12/31/2012</t>
  </si>
  <si>
    <t>LESS: MANDATORY FL 2012</t>
  </si>
  <si>
    <t>LESS: MONETIZATION CY 2012</t>
  </si>
  <si>
    <t>ADD: 1/1/2013-12/31/2013</t>
  </si>
  <si>
    <t>LESS: MANDATORY FL 2013</t>
  </si>
  <si>
    <t>ADD: 01/01/2014-09/30/2014</t>
  </si>
  <si>
    <t>LESS: 09/15-19/2014</t>
  </si>
  <si>
    <t>LESS: 09/22-24/2014</t>
  </si>
  <si>
    <t>LESS: 09/30/2014-10/3/2014</t>
  </si>
  <si>
    <t>ADD: 10/1/2014-12/31/2014</t>
  </si>
  <si>
    <t>ADD: 01/1/2015-11/30/2015</t>
  </si>
  <si>
    <t>ADD: 12/1-31/2015</t>
  </si>
  <si>
    <t>LESS: 09/15/2015</t>
  </si>
  <si>
    <t>LESS: MANDATORY FL 2015</t>
  </si>
  <si>
    <t>ADD: 01/1/2016-03/31/2016</t>
  </si>
  <si>
    <t>LESS: 8/1-5/2016</t>
  </si>
  <si>
    <t>ADD: 04/1/2016-12/31/2016</t>
  </si>
  <si>
    <t>ADD: 01/1/2017-5/31/2017</t>
  </si>
  <si>
    <t>LESS: 05/24/2017</t>
  </si>
  <si>
    <t>LESS: 05/31/2017 &amp; 06/01/2017</t>
  </si>
  <si>
    <t>ADD: 06/1/2017-11/30/2017</t>
  </si>
  <si>
    <t>LESS: MONETIZATION CY 2017</t>
  </si>
  <si>
    <t>ADD: 12/1-31/2017</t>
  </si>
  <si>
    <t>LESS: MANDATORY FL 2017</t>
  </si>
  <si>
    <t>ADD: 01/1-31/2018</t>
  </si>
  <si>
    <t>LESS: 02/19-23/2018</t>
  </si>
  <si>
    <t>ADD: 02/1/2018 - 06/30/2018</t>
  </si>
  <si>
    <t>LESS: MONETIZATION CY 2018</t>
  </si>
  <si>
    <t>ADD: 7/1/2018-12/31/2018</t>
  </si>
  <si>
    <t>ADD: 01/01/2019-12/31/2019</t>
  </si>
  <si>
    <t>LESS: MANDATORY FL 2019</t>
  </si>
  <si>
    <t>ADD: 01/01/2020-12/31/2020</t>
  </si>
  <si>
    <t>Less: MONETIZATION CY 2020</t>
  </si>
  <si>
    <t>LESS: MANDATORY FL 2020</t>
  </si>
  <si>
    <t>ADD: 01/01/2021-09/30/2021</t>
  </si>
  <si>
    <t>Less: MONETIZATION CY 2021</t>
  </si>
  <si>
    <t>ADD: 10/01/2021-11/30/2021</t>
  </si>
  <si>
    <t>Less: 12/21-24, 31/2021</t>
  </si>
  <si>
    <t>ADD: 01/01/2022-08/31/2022</t>
  </si>
  <si>
    <t>Less: MONETIZATION CY 2022</t>
  </si>
  <si>
    <t>ADD: 09/30/2022-10/31/2022</t>
  </si>
  <si>
    <t>ADD: 11/01-30/2022</t>
  </si>
  <si>
    <t>LESS: MONETIZATION CY 2023</t>
  </si>
  <si>
    <t>ADD: 09/01/2023-12/31/2023</t>
  </si>
  <si>
    <t>ADD:01/1/2024-04/30/2024</t>
  </si>
  <si>
    <t>ADD: 05/1-31/2024</t>
  </si>
  <si>
    <t>JUNE 15, 1998 (Designated as TIC)                                           ADD: 01/1/1999-06/1/2008                                                              (SUMMER ONLY for 10 years)                                   1 month only per year (2.5x10=25)</t>
  </si>
  <si>
    <t>LESS: 02/17/2025</t>
  </si>
  <si>
    <t>ADD: 02/1-28/2025</t>
  </si>
  <si>
    <t>LESS: 03/24/2025</t>
  </si>
  <si>
    <t>ADD: 03/1/2025-04/30/2025</t>
  </si>
  <si>
    <t>LESS: 05/26-28/2025</t>
  </si>
  <si>
    <t>ADD: 10/18/2024</t>
  </si>
  <si>
    <t>S.O. # 059, S. 2024. DEPEDACTIVITIES SY 2024-2025</t>
  </si>
  <si>
    <t>LESS: 05/29/2025</t>
  </si>
  <si>
    <t>LESS: MANDATORY FL 2008</t>
  </si>
  <si>
    <t>ADD: 05/1/2025-06/30/2025</t>
  </si>
  <si>
    <t>LESS: MONETIZATION 2025</t>
  </si>
  <si>
    <t>LESS:  FL 2007</t>
  </si>
  <si>
    <t>ADD: 07/1-31/2025</t>
  </si>
  <si>
    <t>LESS: 07/31/2025</t>
  </si>
  <si>
    <t>LESS: 08/7-8/2025</t>
  </si>
  <si>
    <t>LESS: FORCED LEAVE 2023</t>
  </si>
  <si>
    <t>ADD: 08/1-31/2025</t>
  </si>
  <si>
    <r>
      <t xml:space="preserve">ADD: UNUSED VSC:   </t>
    </r>
    <r>
      <rPr>
        <b/>
        <sz val="12"/>
        <color theme="1"/>
        <rFont val="Calibri"/>
        <family val="2"/>
        <scheme val="minor"/>
      </rPr>
      <t xml:space="preserve">56 DAYS   </t>
    </r>
    <r>
      <rPr>
        <sz val="12"/>
        <color theme="1"/>
        <rFont val="Calibri"/>
        <family val="2"/>
        <scheme val="minor"/>
      </rPr>
      <t xml:space="preserve">                           CONVERT: 30Y/69/2</t>
    </r>
  </si>
  <si>
    <t>LESS: 09/8-9/2025</t>
  </si>
  <si>
    <t>LESS: 09/17-18/2025</t>
  </si>
  <si>
    <t>ADD: 09/1-30/2025</t>
  </si>
  <si>
    <t>LESS: 10/6-7/2025</t>
  </si>
  <si>
    <t>ADD: 10/1-31/2025</t>
  </si>
  <si>
    <t>LESS: 12/22, 23, 26/2025</t>
  </si>
  <si>
    <t>ADD: 07/01/2025</t>
  </si>
  <si>
    <t>SO # 044, S. 2025 127th PHIL. INDEPENCE DAY</t>
  </si>
  <si>
    <t>LESS: 01/19/2026</t>
  </si>
  <si>
    <t>ADD: 11/1-30/2025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</si>
</sst>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0" fontId="6" fillId="0" borderId="0"/>
  </cellStyleXfs>
  <cellXfs count="162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5" fillId="0" borderId="0" xfId="0" applyFont="1"/>
    <xf numFmtId="0" fontId="0" fillId="6" borderId="0" xfId="0" applyFill="1"/>
    <xf numFmtId="0" fontId="0" fillId="7" borderId="0" xfId="0" applyFill="1"/>
    <xf numFmtId="2" fontId="0" fillId="2" borderId="5" xfId="0" applyNumberFormat="1" applyFill="1" applyBorder="1" applyAlignment="1">
      <alignment horizontal="center" vertical="center"/>
    </xf>
    <xf numFmtId="2" fontId="5" fillId="2" borderId="0" xfId="0" applyNumberFormat="1" applyFont="1" applyFill="1"/>
    <xf numFmtId="2" fontId="0" fillId="2" borderId="5" xfId="0" applyNumberFormat="1" applyFill="1" applyBorder="1" applyAlignment="1">
      <alignment horizontal="center" vertical="center" wrapText="1"/>
    </xf>
    <xf numFmtId="2" fontId="4" fillId="2" borderId="0" xfId="0" applyNumberFormat="1" applyFont="1" applyFill="1"/>
    <xf numFmtId="2" fontId="0" fillId="2" borderId="6" xfId="0" applyNumberFormat="1" applyFill="1" applyBorder="1" applyAlignment="1">
      <alignment horizontal="center" vertical="center"/>
    </xf>
    <xf numFmtId="2" fontId="8" fillId="2" borderId="6" xfId="0" applyNumberFormat="1" applyFont="1" applyFill="1" applyBorder="1" applyAlignment="1">
      <alignment horizontal="center" vertical="center"/>
    </xf>
    <xf numFmtId="164" fontId="0" fillId="2" borderId="2" xfId="1" applyNumberFormat="1" applyFont="1" applyFill="1" applyBorder="1" applyAlignment="1">
      <alignment horizontal="center" vertical="center" wrapText="1"/>
    </xf>
    <xf numFmtId="2" fontId="0" fillId="2" borderId="14" xfId="0" applyNumberFormat="1" applyFill="1" applyBorder="1" applyAlignment="1">
      <alignment horizontal="center" vertical="center"/>
    </xf>
    <xf numFmtId="2" fontId="0" fillId="2" borderId="0" xfId="0" applyNumberFormat="1" applyFill="1"/>
    <xf numFmtId="0" fontId="6" fillId="2" borderId="0" xfId="2" applyFill="1"/>
    <xf numFmtId="0" fontId="1" fillId="2" borderId="0" xfId="2" applyFont="1" applyFill="1" applyAlignment="1">
      <alignment vertical="center"/>
    </xf>
    <xf numFmtId="0" fontId="1" fillId="2" borderId="13" xfId="2" applyFont="1" applyFill="1" applyBorder="1" applyAlignment="1">
      <alignment horizontal="center" vertical="center"/>
    </xf>
    <xf numFmtId="0" fontId="1" fillId="2" borderId="0" xfId="2" applyFont="1" applyFill="1"/>
    <xf numFmtId="0" fontId="1" fillId="2" borderId="13" xfId="2" applyFont="1" applyFill="1" applyBorder="1" applyAlignment="1">
      <alignment vertical="center"/>
    </xf>
    <xf numFmtId="0" fontId="0" fillId="2" borderId="5" xfId="2" applyFont="1" applyFill="1" applyBorder="1" applyAlignment="1">
      <alignment horizontal="center" vertical="center" wrapText="1"/>
    </xf>
    <xf numFmtId="0" fontId="0" fillId="2" borderId="24" xfId="2" applyFont="1" applyFill="1" applyBorder="1" applyAlignment="1">
      <alignment horizontal="center" vertical="center"/>
    </xf>
    <xf numFmtId="0" fontId="6" fillId="2" borderId="2" xfId="2" applyFill="1" applyBorder="1" applyAlignment="1">
      <alignment horizontal="center" vertical="center" wrapText="1"/>
    </xf>
    <xf numFmtId="0" fontId="4" fillId="2" borderId="0" xfId="2" applyFont="1" applyFill="1" applyAlignment="1">
      <alignment horizontal="center" vertical="center"/>
    </xf>
    <xf numFmtId="0" fontId="6" fillId="2" borderId="0" xfId="2" applyFill="1" applyAlignment="1">
      <alignment horizontal="center"/>
    </xf>
    <xf numFmtId="0" fontId="6" fillId="0" borderId="0" xfId="2"/>
    <xf numFmtId="0" fontId="0" fillId="2" borderId="1" xfId="2" applyFont="1" applyFill="1" applyBorder="1" applyAlignment="1">
      <alignment horizontal="center" vertical="center" wrapText="1"/>
    </xf>
    <xf numFmtId="0" fontId="6" fillId="2" borderId="1" xfId="2" applyFill="1" applyBorder="1" applyAlignment="1">
      <alignment horizontal="center" vertical="center" wrapText="1"/>
    </xf>
    <xf numFmtId="0" fontId="6" fillId="0" borderId="0" xfId="2" applyAlignment="1">
      <alignment vertical="center"/>
    </xf>
    <xf numFmtId="0" fontId="13" fillId="2" borderId="0" xfId="2" applyFont="1" applyFill="1" applyAlignment="1">
      <alignment horizontal="center" vertical="center" wrapText="1"/>
    </xf>
    <xf numFmtId="0" fontId="6" fillId="2" borderId="0" xfId="2" applyFill="1" applyAlignment="1">
      <alignment horizontal="center" vertical="center" wrapText="1"/>
    </xf>
    <xf numFmtId="0" fontId="6" fillId="0" borderId="1" xfId="2" applyBorder="1"/>
    <xf numFmtId="0" fontId="0" fillId="0" borderId="13" xfId="2" applyFont="1" applyBorder="1" applyAlignment="1">
      <alignment horizontal="center" vertical="center" wrapText="1"/>
    </xf>
    <xf numFmtId="0" fontId="6" fillId="0" borderId="2" xfId="2" applyBorder="1" applyAlignment="1">
      <alignment horizontal="center" vertical="center" wrapText="1"/>
    </xf>
    <xf numFmtId="2" fontId="0" fillId="2" borderId="0" xfId="0" applyNumberFormat="1" applyFill="1" applyAlignment="1">
      <alignment vertical="center"/>
    </xf>
    <xf numFmtId="0" fontId="2" fillId="0" borderId="1" xfId="0" applyFont="1" applyBorder="1" applyAlignment="1">
      <alignment horizontal="center" vertical="center"/>
    </xf>
    <xf numFmtId="164" fontId="0" fillId="0" borderId="1" xfId="1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2" fontId="0" fillId="0" borderId="0" xfId="0" applyNumberFormat="1"/>
    <xf numFmtId="164" fontId="0" fillId="11" borderId="1" xfId="0" applyNumberForma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/>
    <xf numFmtId="0" fontId="1" fillId="0" borderId="13" xfId="0" applyFont="1" applyBorder="1" applyAlignment="1">
      <alignment vertical="center"/>
    </xf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 vertical="center"/>
    </xf>
    <xf numFmtId="2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0" fillId="0" borderId="1" xfId="1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center"/>
    </xf>
    <xf numFmtId="164" fontId="7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 wrapText="1"/>
    </xf>
    <xf numFmtId="164" fontId="0" fillId="0" borderId="15" xfId="0" applyNumberFormat="1" applyBorder="1" applyAlignment="1">
      <alignment horizontal="center" vertical="center" wrapText="1"/>
    </xf>
    <xf numFmtId="2" fontId="0" fillId="0" borderId="14" xfId="0" applyNumberFormat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vertical="center"/>
    </xf>
    <xf numFmtId="0" fontId="17" fillId="0" borderId="0" xfId="0" applyFont="1"/>
    <xf numFmtId="0" fontId="17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6" fillId="14" borderId="1" xfId="2" applyFill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18" fillId="0" borderId="1" xfId="0" applyFont="1" applyBorder="1" applyAlignment="1">
      <alignment horizontal="center" vertical="center" wrapText="1"/>
    </xf>
    <xf numFmtId="164" fontId="18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164" fontId="18" fillId="11" borderId="1" xfId="0" applyNumberFormat="1" applyFont="1" applyFill="1" applyBorder="1" applyAlignment="1">
      <alignment horizontal="center" vertical="center"/>
    </xf>
    <xf numFmtId="164" fontId="18" fillId="13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12" borderId="8" xfId="0" applyFont="1" applyFill="1" applyBorder="1" applyAlignment="1">
      <alignment horizontal="center" vertical="center"/>
    </xf>
    <xf numFmtId="0" fontId="1" fillId="12" borderId="9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6" fillId="0" borderId="0" xfId="2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6" fillId="0" borderId="0" xfId="2" applyAlignment="1">
      <alignment horizontal="center"/>
    </xf>
    <xf numFmtId="0" fontId="10" fillId="2" borderId="25" xfId="2" applyFont="1" applyFill="1" applyBorder="1" applyAlignment="1">
      <alignment horizontal="center" vertical="center" wrapText="1"/>
    </xf>
    <xf numFmtId="0" fontId="10" fillId="2" borderId="11" xfId="2" applyFont="1" applyFill="1" applyBorder="1" applyAlignment="1">
      <alignment horizontal="center" vertical="center" wrapText="1"/>
    </xf>
    <xf numFmtId="0" fontId="10" fillId="2" borderId="26" xfId="2" applyFont="1" applyFill="1" applyBorder="1" applyAlignment="1">
      <alignment horizontal="center" vertical="center" wrapText="1"/>
    </xf>
    <xf numFmtId="0" fontId="14" fillId="2" borderId="0" xfId="2" applyFont="1" applyFill="1" applyAlignment="1">
      <alignment horizontal="center" vertical="center"/>
    </xf>
    <xf numFmtId="0" fontId="13" fillId="9" borderId="25" xfId="2" applyFont="1" applyFill="1" applyBorder="1" applyAlignment="1">
      <alignment horizontal="center" vertical="center" wrapText="1"/>
    </xf>
    <xf numFmtId="0" fontId="13" fillId="9" borderId="26" xfId="2" applyFont="1" applyFill="1" applyBorder="1" applyAlignment="1">
      <alignment horizontal="center" vertical="center" wrapText="1"/>
    </xf>
    <xf numFmtId="0" fontId="6" fillId="2" borderId="0" xfId="2" applyFill="1" applyAlignment="1">
      <alignment horizontal="center" vertical="center"/>
    </xf>
    <xf numFmtId="0" fontId="11" fillId="2" borderId="10" xfId="2" applyFont="1" applyFill="1" applyBorder="1" applyAlignment="1">
      <alignment horizontal="center" vertical="center"/>
    </xf>
    <xf numFmtId="0" fontId="12" fillId="8" borderId="4" xfId="2" applyFont="1" applyFill="1" applyBorder="1" applyAlignment="1">
      <alignment horizontal="center" vertical="center"/>
    </xf>
    <xf numFmtId="0" fontId="12" fillId="8" borderId="5" xfId="2" applyFont="1" applyFill="1" applyBorder="1" applyAlignment="1">
      <alignment horizontal="center" vertical="center"/>
    </xf>
    <xf numFmtId="0" fontId="12" fillId="10" borderId="8" xfId="2" applyFont="1" applyFill="1" applyBorder="1" applyAlignment="1">
      <alignment horizontal="center" vertical="center"/>
    </xf>
    <xf numFmtId="0" fontId="12" fillId="10" borderId="9" xfId="2" applyFont="1" applyFill="1" applyBorder="1" applyAlignment="1">
      <alignment horizontal="center" vertical="center"/>
    </xf>
    <xf numFmtId="0" fontId="12" fillId="8" borderId="7" xfId="2" applyFont="1" applyFill="1" applyBorder="1" applyAlignment="1">
      <alignment horizontal="center" vertical="center"/>
    </xf>
    <xf numFmtId="0" fontId="12" fillId="8" borderId="3" xfId="2" applyFont="1" applyFill="1" applyBorder="1" applyAlignment="1">
      <alignment horizontal="center" vertical="center"/>
    </xf>
    <xf numFmtId="0" fontId="13" fillId="9" borderId="11" xfId="2" applyFont="1" applyFill="1" applyBorder="1" applyAlignment="1">
      <alignment horizontal="center" vertical="center" wrapText="1"/>
    </xf>
    <xf numFmtId="0" fontId="10" fillId="0" borderId="25" xfId="2" applyFont="1" applyBorder="1" applyAlignment="1">
      <alignment horizontal="center" vertical="center" wrapText="1"/>
    </xf>
    <xf numFmtId="0" fontId="10" fillId="0" borderId="26" xfId="2" applyFont="1" applyBorder="1" applyAlignment="1">
      <alignment horizontal="center" vertical="center" wrapText="1"/>
    </xf>
    <xf numFmtId="0" fontId="10" fillId="0" borderId="11" xfId="2" applyFont="1" applyBorder="1" applyAlignment="1">
      <alignment horizontal="center" vertical="center" wrapText="1"/>
    </xf>
    <xf numFmtId="0" fontId="1" fillId="2" borderId="0" xfId="2" applyFont="1" applyFill="1" applyAlignment="1">
      <alignment horizontal="left" vertical="center"/>
    </xf>
    <xf numFmtId="0" fontId="1" fillId="2" borderId="13" xfId="2" applyFont="1" applyFill="1" applyBorder="1" applyAlignment="1">
      <alignment horizontal="center" vertical="center"/>
    </xf>
    <xf numFmtId="0" fontId="9" fillId="2" borderId="10" xfId="2" applyFont="1" applyFill="1" applyBorder="1" applyAlignment="1">
      <alignment horizontal="center" vertical="center"/>
    </xf>
    <xf numFmtId="0" fontId="2" fillId="8" borderId="4" xfId="2" applyFont="1" applyFill="1" applyBorder="1" applyAlignment="1">
      <alignment horizontal="center" vertical="center" wrapText="1"/>
    </xf>
    <xf numFmtId="0" fontId="2" fillId="8" borderId="18" xfId="2" applyFont="1" applyFill="1" applyBorder="1" applyAlignment="1">
      <alignment horizontal="center" vertical="center" wrapText="1"/>
    </xf>
    <xf numFmtId="0" fontId="2" fillId="8" borderId="5" xfId="2" applyFont="1" applyFill="1" applyBorder="1" applyAlignment="1">
      <alignment horizontal="center" vertical="center" wrapText="1"/>
    </xf>
    <xf numFmtId="0" fontId="2" fillId="8" borderId="4" xfId="2" applyFont="1" applyFill="1" applyBorder="1" applyAlignment="1">
      <alignment horizontal="center" vertical="center"/>
    </xf>
    <xf numFmtId="0" fontId="2" fillId="8" borderId="18" xfId="2" applyFont="1" applyFill="1" applyBorder="1" applyAlignment="1">
      <alignment horizontal="center" vertical="center"/>
    </xf>
    <xf numFmtId="0" fontId="2" fillId="8" borderId="5" xfId="2" applyFont="1" applyFill="1" applyBorder="1" applyAlignment="1">
      <alignment horizontal="center" vertical="center"/>
    </xf>
    <xf numFmtId="0" fontId="10" fillId="9" borderId="16" xfId="2" applyFont="1" applyFill="1" applyBorder="1" applyAlignment="1">
      <alignment horizontal="center" vertical="center" wrapText="1"/>
    </xf>
    <xf numFmtId="0" fontId="10" fillId="9" borderId="17" xfId="2" applyFont="1" applyFill="1" applyBorder="1" applyAlignment="1">
      <alignment horizontal="center" vertical="center" wrapText="1"/>
    </xf>
    <xf numFmtId="0" fontId="10" fillId="9" borderId="19" xfId="2" applyFont="1" applyFill="1" applyBorder="1" applyAlignment="1">
      <alignment horizontal="center" vertical="center" wrapText="1"/>
    </xf>
    <xf numFmtId="0" fontId="10" fillId="9" borderId="20" xfId="2" applyFont="1" applyFill="1" applyBorder="1" applyAlignment="1">
      <alignment horizontal="center" vertical="center" wrapText="1"/>
    </xf>
    <xf numFmtId="0" fontId="10" fillId="9" borderId="22" xfId="2" applyFont="1" applyFill="1" applyBorder="1" applyAlignment="1">
      <alignment horizontal="center" vertical="center" wrapText="1"/>
    </xf>
    <xf numFmtId="0" fontId="10" fillId="9" borderId="23" xfId="2" applyFont="1" applyFill="1" applyBorder="1" applyAlignment="1">
      <alignment horizontal="center" vertical="center" wrapText="1"/>
    </xf>
    <xf numFmtId="0" fontId="2" fillId="8" borderId="7" xfId="2" applyFont="1" applyFill="1" applyBorder="1" applyAlignment="1">
      <alignment horizontal="center" vertical="center"/>
    </xf>
    <xf numFmtId="0" fontId="2" fillId="8" borderId="21" xfId="2" applyFont="1" applyFill="1" applyBorder="1" applyAlignment="1">
      <alignment horizontal="center" vertical="center"/>
    </xf>
    <xf numFmtId="0" fontId="2" fillId="8" borderId="3" xfId="2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left" vertical="center"/>
    </xf>
    <xf numFmtId="0" fontId="3" fillId="5" borderId="11" xfId="0" applyFont="1" applyFill="1" applyBorder="1" applyAlignment="1">
      <alignment horizontal="left" vertical="center"/>
    </xf>
    <xf numFmtId="0" fontId="3" fillId="5" borderId="12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0" fillId="0" borderId="25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5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14" fontId="0" fillId="0" borderId="0" xfId="0" applyNumberFormat="1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164" fontId="18" fillId="0" borderId="0" xfId="0" applyNumberFormat="1" applyFont="1" applyFill="1" applyBorder="1" applyAlignment="1">
      <alignment horizontal="center" vertical="center"/>
    </xf>
    <xf numFmtId="164" fontId="3" fillId="0" borderId="0" xfId="0" applyNumberFormat="1" applyFont="1" applyFill="1" applyBorder="1" applyAlignment="1">
      <alignment horizontal="center" vertical="center"/>
    </xf>
    <xf numFmtId="0" fontId="17" fillId="0" borderId="0" xfId="0" applyFont="1" applyFill="1"/>
    <xf numFmtId="14" fontId="0" fillId="0" borderId="1" xfId="0" applyNumberForma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 2 2" xfId="2" xr:uid="{6FFBA41C-8F20-4DF5-A34D-D776892BC3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4FD3DF-BF83-4E1D-8507-001DFA2C08E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0A56A4C-0D2F-49B3-B8CF-BC0462562C11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DIAMANTE, LYNIE C.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188703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BDF6F02-BAC2-4E9D-844F-7FF7CF315AE0}"/>
            </a:ext>
          </a:extLst>
        </xdr:cNvPr>
        <xdr:cNvSpPr txBox="1"/>
      </xdr:nvSpPr>
      <xdr:spPr>
        <a:xfrm>
          <a:off x="616683" y="1714453"/>
          <a:ext cx="2008799" cy="4331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TIC( 06/15/1998) HT I to PRINCIPAL 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3BBB050-6CC3-4E9F-A8BA-8DFA3718E5F3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BINULIG ES</a:t>
          </a:r>
        </a:p>
      </xdr:txBody>
    </xdr:sp>
    <xdr:clientData/>
  </xdr:twoCellAnchor>
  <xdr:twoCellAnchor>
    <xdr:from>
      <xdr:col>5</xdr:col>
      <xdr:colOff>347452</xdr:colOff>
      <xdr:row>127</xdr:row>
      <xdr:rowOff>53914</xdr:rowOff>
    </xdr:from>
    <xdr:to>
      <xdr:col>9</xdr:col>
      <xdr:colOff>672043</xdr:colOff>
      <xdr:row>132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1899D62-44F4-4629-8FDF-5E51E9EADE76}"/>
            </a:ext>
          </a:extLst>
        </xdr:cNvPr>
        <xdr:cNvSpPr txBox="1"/>
      </xdr:nvSpPr>
      <xdr:spPr>
        <a:xfrm>
          <a:off x="5871952" y="15532039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538615</xdr:colOff>
      <xdr:row>1</xdr:row>
      <xdr:rowOff>154669</xdr:rowOff>
    </xdr:from>
    <xdr:to>
      <xdr:col>4</xdr:col>
      <xdr:colOff>601888</xdr:colOff>
      <xdr:row>5</xdr:row>
      <xdr:rowOff>9978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A5EC0F-C419-4D93-BE1F-F6588D2E8A2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6190" y="345169"/>
          <a:ext cx="672873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8</xdr:row>
      <xdr:rowOff>170961</xdr:rowOff>
    </xdr:from>
    <xdr:to>
      <xdr:col>1</xdr:col>
      <xdr:colOff>946150</xdr:colOff>
      <xdr:row>10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491C5F8-1E75-470E-82FF-191544337A7D}"/>
            </a:ext>
          </a:extLst>
        </xdr:cNvPr>
        <xdr:cNvSpPr txBox="1"/>
      </xdr:nvSpPr>
      <xdr:spPr>
        <a:xfrm>
          <a:off x="573942" y="1371111"/>
          <a:ext cx="2248633" cy="222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DIAMANTE, LYNIE D.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11</xdr:row>
      <xdr:rowOff>19051</xdr:rowOff>
    </xdr:from>
    <xdr:to>
      <xdr:col>0</xdr:col>
      <xdr:colOff>1720850</xdr:colOff>
      <xdr:row>12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5C86FEE-A393-4764-9219-4D0DE5F90A61}"/>
            </a:ext>
          </a:extLst>
        </xdr:cNvPr>
        <xdr:cNvSpPr txBox="1"/>
      </xdr:nvSpPr>
      <xdr:spPr>
        <a:xfrm>
          <a:off x="654051" y="1676401"/>
          <a:ext cx="10667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PRINCIPAL II</a:t>
          </a:r>
        </a:p>
      </xdr:txBody>
    </xdr:sp>
    <xdr:clientData/>
  </xdr:twoCellAnchor>
  <xdr:twoCellAnchor>
    <xdr:from>
      <xdr:col>3</xdr:col>
      <xdr:colOff>526823</xdr:colOff>
      <xdr:row>11</xdr:row>
      <xdr:rowOff>42410</xdr:rowOff>
    </xdr:from>
    <xdr:to>
      <xdr:col>5</xdr:col>
      <xdr:colOff>463323</xdr:colOff>
      <xdr:row>13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C9D7363-ED6A-4D25-BE92-781ECAE51B0E}"/>
            </a:ext>
          </a:extLst>
        </xdr:cNvPr>
        <xdr:cNvSpPr txBox="1"/>
      </xdr:nvSpPr>
      <xdr:spPr>
        <a:xfrm>
          <a:off x="3927248" y="1699760"/>
          <a:ext cx="109855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BINULIG 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21</xdr:row>
      <xdr:rowOff>0</xdr:rowOff>
    </xdr:from>
    <xdr:to>
      <xdr:col>3</xdr:col>
      <xdr:colOff>533400</xdr:colOff>
      <xdr:row>26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2E22FFC-E63F-44EC-83C5-496965D77694}"/>
            </a:ext>
          </a:extLst>
        </xdr:cNvPr>
        <xdr:cNvSpPr txBox="1"/>
      </xdr:nvSpPr>
      <xdr:spPr>
        <a:xfrm>
          <a:off x="76200" y="4810125"/>
          <a:ext cx="4314825" cy="1085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 editAs="oneCell">
    <xdr:from>
      <xdr:col>2</xdr:col>
      <xdr:colOff>351743</xdr:colOff>
      <xdr:row>2</xdr:row>
      <xdr:rowOff>15396</xdr:rowOff>
    </xdr:from>
    <xdr:to>
      <xdr:col>3</xdr:col>
      <xdr:colOff>425197</xdr:colOff>
      <xdr:row>5</xdr:row>
      <xdr:rowOff>68586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1AA689-67A5-4872-AB61-475591B2268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8343" y="396396"/>
          <a:ext cx="683054" cy="62469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8</xdr:row>
      <xdr:rowOff>170961</xdr:rowOff>
    </xdr:from>
    <xdr:to>
      <xdr:col>0</xdr:col>
      <xdr:colOff>2068391</xdr:colOff>
      <xdr:row>10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165748D-48FD-4FF1-BDD7-6AE7AFC64E47}"/>
            </a:ext>
          </a:extLst>
        </xdr:cNvPr>
        <xdr:cNvSpPr txBox="1"/>
      </xdr:nvSpPr>
      <xdr:spPr>
        <a:xfrm>
          <a:off x="573942" y="932961"/>
          <a:ext cx="1399199" cy="3260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DIAMANTE, LYNIE D.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616683</xdr:colOff>
      <xdr:row>11</xdr:row>
      <xdr:rowOff>61057</xdr:rowOff>
    </xdr:from>
    <xdr:to>
      <xdr:col>0</xdr:col>
      <xdr:colOff>2625482</xdr:colOff>
      <xdr:row>13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3CFFC36-577E-491D-912F-A46014223118}"/>
            </a:ext>
          </a:extLst>
        </xdr:cNvPr>
        <xdr:cNvSpPr txBox="1"/>
      </xdr:nvSpPr>
      <xdr:spPr>
        <a:xfrm>
          <a:off x="616683" y="1394557"/>
          <a:ext cx="1351574" cy="319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PRINCIPAL II</a:t>
          </a:r>
        </a:p>
      </xdr:txBody>
    </xdr:sp>
    <xdr:clientData/>
  </xdr:twoCellAnchor>
  <xdr:twoCellAnchor>
    <xdr:from>
      <xdr:col>1</xdr:col>
      <xdr:colOff>1173095</xdr:colOff>
      <xdr:row>11</xdr:row>
      <xdr:rowOff>83709</xdr:rowOff>
    </xdr:from>
    <xdr:to>
      <xdr:col>3</xdr:col>
      <xdr:colOff>525478</xdr:colOff>
      <xdr:row>13</xdr:row>
      <xdr:rowOff>11403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A675257-5B96-420A-BFF9-903A19B7EF2A}"/>
            </a:ext>
          </a:extLst>
        </xdr:cNvPr>
        <xdr:cNvSpPr txBox="1"/>
      </xdr:nvSpPr>
      <xdr:spPr>
        <a:xfrm>
          <a:off x="3144770" y="1417209"/>
          <a:ext cx="1238333" cy="3086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BINULIG 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428626</xdr:colOff>
      <xdr:row>0</xdr:row>
      <xdr:rowOff>31750</xdr:rowOff>
    </xdr:from>
    <xdr:to>
      <xdr:col>4</xdr:col>
      <xdr:colOff>406400</xdr:colOff>
      <xdr:row>1</xdr:row>
      <xdr:rowOff>3176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5D2270-9CEA-4588-8010-989BFAF3654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6" y="31750"/>
          <a:ext cx="790574" cy="638176"/>
        </a:xfrm>
        <a:prstGeom prst="rect">
          <a:avLst/>
        </a:prstGeom>
        <a:noFill/>
      </xdr:spPr>
    </xdr:pic>
    <xdr:clientData/>
  </xdr:twoCellAnchor>
  <xdr:twoCellAnchor>
    <xdr:from>
      <xdr:col>5</xdr:col>
      <xdr:colOff>209550</xdr:colOff>
      <xdr:row>66</xdr:row>
      <xdr:rowOff>123825</xdr:rowOff>
    </xdr:from>
    <xdr:to>
      <xdr:col>9</xdr:col>
      <xdr:colOff>762000</xdr:colOff>
      <xdr:row>71</xdr:row>
      <xdr:rowOff>165100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58BEA4A-2144-4603-AB5A-1C3D5B8BFABE}"/>
            </a:ext>
          </a:extLst>
        </xdr:cNvPr>
        <xdr:cNvSpPr txBox="1"/>
      </xdr:nvSpPr>
      <xdr:spPr>
        <a:xfrm>
          <a:off x="5486400" y="10534650"/>
          <a:ext cx="3638550" cy="1031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 HRMO</a:t>
          </a:r>
          <a:endParaRPr lang="en-US" sz="1100"/>
        </a:p>
      </xdr:txBody>
    </xdr:sp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0B544FA-F211-4D2B-AE0E-92AB3B57F2BC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LYNIE D. DIAMANTE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561C473-5A20-435B-86D4-9FA2350B0440}"/>
            </a:ext>
          </a:extLst>
        </xdr:cNvPr>
        <xdr:cNvSpPr txBox="1"/>
      </xdr:nvSpPr>
      <xdr:spPr>
        <a:xfrm>
          <a:off x="616683" y="1724757"/>
          <a:ext cx="19960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PRINCIPAL II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F615B08-4E88-43B8-BACA-1ED30FB9F40E}"/>
            </a:ext>
          </a:extLst>
        </xdr:cNvPr>
        <xdr:cNvSpPr txBox="1"/>
      </xdr:nvSpPr>
      <xdr:spPr>
        <a:xfrm>
          <a:off x="383784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BINULIG ELEM. SCHOOL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FFEA-B260-4CEE-8A44-0F5601EB2425}">
  <dimension ref="A1:K131"/>
  <sheetViews>
    <sheetView tabSelected="1" view="pageBreakPreview" topLeftCell="A107" zoomScale="106" zoomScaleNormal="100" zoomScaleSheetLayoutView="106" workbookViewId="0">
      <selection activeCell="E129" sqref="E129"/>
    </sheetView>
  </sheetViews>
  <sheetFormatPr defaultRowHeight="15" x14ac:dyDescent="0.25"/>
  <cols>
    <col min="1" max="1" width="40.5703125" customWidth="1"/>
    <col min="2" max="5" width="11.5703125" customWidth="1"/>
    <col min="6" max="7" width="11.5703125" style="66" customWidth="1"/>
    <col min="8" max="9" width="11.5703125" customWidth="1"/>
    <col min="10" max="10" width="11.5703125" style="45" customWidth="1"/>
    <col min="11" max="11" width="26.42578125" style="63" customWidth="1"/>
  </cols>
  <sheetData>
    <row r="1" spans="1:11" s="1" customFormat="1" ht="52.5" customHeight="1" x14ac:dyDescent="0.25">
      <c r="J1" s="3"/>
    </row>
    <row r="2" spans="1:11" s="1" customFormat="1" ht="10.5" customHeight="1" x14ac:dyDescent="0.25">
      <c r="A2" s="81" t="s">
        <v>8</v>
      </c>
      <c r="B2" s="81"/>
      <c r="C2" s="81"/>
      <c r="D2" s="81"/>
      <c r="E2" s="81"/>
      <c r="F2" s="81"/>
      <c r="G2" s="81"/>
      <c r="H2" s="81"/>
      <c r="I2" s="81"/>
      <c r="J2" s="81"/>
    </row>
    <row r="3" spans="1:11" s="1" customFormat="1" ht="15.95" customHeight="1" x14ac:dyDescent="0.25">
      <c r="A3" s="81" t="s">
        <v>9</v>
      </c>
      <c r="B3" s="81"/>
      <c r="C3" s="81"/>
      <c r="D3" s="81"/>
      <c r="E3" s="81"/>
      <c r="F3" s="81"/>
      <c r="G3" s="81"/>
      <c r="H3" s="81"/>
      <c r="I3" s="81"/>
      <c r="J3" s="81"/>
    </row>
    <row r="4" spans="1:11" s="1" customFormat="1" ht="15.95" customHeight="1" x14ac:dyDescent="0.25">
      <c r="A4" s="81" t="s">
        <v>10</v>
      </c>
      <c r="B4" s="81"/>
      <c r="C4" s="81"/>
      <c r="D4" s="81"/>
      <c r="E4" s="81"/>
      <c r="F4" s="81"/>
      <c r="G4" s="81"/>
      <c r="H4" s="81"/>
      <c r="I4" s="81"/>
      <c r="J4" s="81"/>
    </row>
    <row r="5" spans="1:11" s="1" customFormat="1" ht="15.95" customHeight="1" x14ac:dyDescent="0.25">
      <c r="A5" s="81" t="s">
        <v>11</v>
      </c>
      <c r="B5" s="81"/>
      <c r="C5" s="81"/>
      <c r="D5" s="81"/>
      <c r="E5" s="81"/>
      <c r="F5" s="81"/>
      <c r="G5" s="81"/>
      <c r="H5" s="81"/>
      <c r="I5" s="81"/>
      <c r="J5" s="81"/>
    </row>
    <row r="6" spans="1:11" s="1" customFormat="1" ht="8.25" customHeight="1" x14ac:dyDescent="0.25">
      <c r="J6" s="3"/>
    </row>
    <row r="7" spans="1:11" s="1" customFormat="1" ht="12" customHeight="1" x14ac:dyDescent="0.25">
      <c r="A7" s="1" t="s">
        <v>37</v>
      </c>
      <c r="B7" s="80" t="s">
        <v>38</v>
      </c>
      <c r="C7" s="80"/>
      <c r="D7" s="80"/>
      <c r="H7" s="2" t="s">
        <v>51</v>
      </c>
      <c r="I7" s="61"/>
      <c r="J7" s="2"/>
    </row>
    <row r="8" spans="1:11" s="1" customFormat="1" ht="12" customHeight="1" x14ac:dyDescent="0.25">
      <c r="B8" s="3"/>
      <c r="C8" s="3"/>
      <c r="H8" s="3"/>
      <c r="I8" s="3"/>
      <c r="J8" s="3"/>
    </row>
    <row r="9" spans="1:11" s="1" customFormat="1" ht="12" customHeight="1" x14ac:dyDescent="0.25">
      <c r="A9" s="1" t="s">
        <v>39</v>
      </c>
      <c r="B9" s="80" t="s">
        <v>40</v>
      </c>
      <c r="C9" s="80"/>
      <c r="D9" s="80"/>
      <c r="H9" s="2" t="s">
        <v>41</v>
      </c>
      <c r="I9" s="62"/>
      <c r="J9" s="2"/>
    </row>
    <row r="10" spans="1:11" ht="23.25" customHeight="1" thickBot="1" x14ac:dyDescent="0.3">
      <c r="A10" s="83" t="s">
        <v>42</v>
      </c>
      <c r="B10" s="83"/>
      <c r="C10" s="83"/>
      <c r="D10" s="83"/>
      <c r="E10" s="83"/>
      <c r="F10" s="83"/>
      <c r="G10" s="83"/>
      <c r="H10" s="83"/>
      <c r="I10" s="83"/>
      <c r="J10" s="83"/>
      <c r="K10"/>
    </row>
    <row r="11" spans="1:11" ht="18.75" customHeight="1" x14ac:dyDescent="0.25">
      <c r="A11" s="84" t="s">
        <v>3</v>
      </c>
      <c r="B11" s="86" t="s">
        <v>4</v>
      </c>
      <c r="C11" s="87"/>
      <c r="D11" s="88" t="s">
        <v>5</v>
      </c>
      <c r="E11" s="89"/>
      <c r="F11" s="89"/>
      <c r="G11" s="90"/>
      <c r="H11" s="91" t="s">
        <v>6</v>
      </c>
      <c r="I11" s="92"/>
      <c r="J11" s="93" t="s">
        <v>7</v>
      </c>
      <c r="K11" s="82" t="s">
        <v>93</v>
      </c>
    </row>
    <row r="12" spans="1:11" ht="18.75" customHeight="1" x14ac:dyDescent="0.25">
      <c r="A12" s="85"/>
      <c r="B12" s="67" t="s">
        <v>0</v>
      </c>
      <c r="C12" s="67" t="s">
        <v>1</v>
      </c>
      <c r="D12" s="67" t="s">
        <v>0</v>
      </c>
      <c r="E12" s="67" t="s">
        <v>1</v>
      </c>
      <c r="F12" s="67" t="s">
        <v>2</v>
      </c>
      <c r="G12" s="67" t="s">
        <v>94</v>
      </c>
      <c r="H12" s="67" t="s">
        <v>0</v>
      </c>
      <c r="I12" s="67" t="s">
        <v>1</v>
      </c>
      <c r="J12" s="94"/>
      <c r="K12" s="82"/>
    </row>
    <row r="13" spans="1:11" ht="30.75" customHeight="1" x14ac:dyDescent="0.25">
      <c r="A13" s="72" t="s">
        <v>178</v>
      </c>
      <c r="B13" s="70">
        <v>12.173</v>
      </c>
      <c r="C13" s="70">
        <v>12.173</v>
      </c>
      <c r="D13" s="70"/>
      <c r="E13" s="70"/>
      <c r="F13" s="70"/>
      <c r="G13" s="70"/>
      <c r="H13" s="73">
        <f>B13</f>
        <v>12.173</v>
      </c>
      <c r="I13" s="73">
        <f>C13</f>
        <v>12.173</v>
      </c>
      <c r="J13" s="74">
        <f>SUM(H13:I13)</f>
        <v>24.346</v>
      </c>
    </row>
    <row r="14" spans="1:11" ht="62.25" customHeight="1" x14ac:dyDescent="0.25">
      <c r="A14" s="72" t="s">
        <v>160</v>
      </c>
      <c r="B14" s="70">
        <v>25</v>
      </c>
      <c r="C14" s="70">
        <v>25</v>
      </c>
      <c r="D14" s="70"/>
      <c r="E14" s="70"/>
      <c r="F14" s="70"/>
      <c r="G14" s="70"/>
      <c r="H14" s="73">
        <f>H13-F14-D14+B14</f>
        <v>37.173000000000002</v>
      </c>
      <c r="I14" s="73">
        <f>I13-E14+C14</f>
        <v>37.173000000000002</v>
      </c>
      <c r="J14" s="74">
        <f>SUM(H14:I14)</f>
        <v>74.346000000000004</v>
      </c>
    </row>
    <row r="15" spans="1:11" ht="16.5" customHeight="1" x14ac:dyDescent="0.25">
      <c r="A15" s="75" t="s">
        <v>103</v>
      </c>
      <c r="B15" s="70"/>
      <c r="C15" s="70"/>
      <c r="D15" s="70"/>
      <c r="E15" s="70"/>
      <c r="F15" s="70"/>
      <c r="G15" s="70"/>
      <c r="H15" s="73">
        <f>H14-F15-D15+B15</f>
        <v>37.173000000000002</v>
      </c>
      <c r="I15" s="73">
        <f>I14-E15+C15</f>
        <v>37.173000000000002</v>
      </c>
      <c r="J15" s="74">
        <f t="shared" ref="J15" si="0">SUM(H15:I15)</f>
        <v>74.346000000000004</v>
      </c>
    </row>
    <row r="16" spans="1:11" ht="16.5" customHeight="1" x14ac:dyDescent="0.25">
      <c r="A16" s="76" t="s">
        <v>104</v>
      </c>
      <c r="B16" s="70"/>
      <c r="C16" s="70"/>
      <c r="D16" s="70">
        <v>15</v>
      </c>
      <c r="E16" s="70"/>
      <c r="F16" s="70"/>
      <c r="G16" s="70"/>
      <c r="H16" s="73">
        <f t="shared" ref="H16" si="1">H15-F16-D16+B16</f>
        <v>22.173000000000002</v>
      </c>
      <c r="I16" s="73">
        <f t="shared" ref="I16" si="2">I15-E16+C16</f>
        <v>37.173000000000002</v>
      </c>
      <c r="J16" s="74">
        <f t="shared" ref="J16" si="3">SUM(H16:I16)</f>
        <v>59.346000000000004</v>
      </c>
    </row>
    <row r="17" spans="1:10" ht="16.5" customHeight="1" x14ac:dyDescent="0.25">
      <c r="A17" s="76" t="s">
        <v>172</v>
      </c>
      <c r="B17" s="70"/>
      <c r="C17" s="70"/>
      <c r="D17" s="70"/>
      <c r="E17" s="70"/>
      <c r="F17" s="70">
        <v>5</v>
      </c>
      <c r="G17" s="70"/>
      <c r="H17" s="73">
        <f t="shared" ref="H17:H80" si="4">H16-F17-D17+B17</f>
        <v>17.173000000000002</v>
      </c>
      <c r="I17" s="73">
        <f t="shared" ref="I17:I80" si="5">I16-E17+C17</f>
        <v>37.173000000000002</v>
      </c>
      <c r="J17" s="74">
        <f t="shared" ref="J17:J80" si="6">SUM(H17:I17)</f>
        <v>54.346000000000004</v>
      </c>
    </row>
    <row r="18" spans="1:10" ht="12.75" customHeight="1" x14ac:dyDescent="0.25">
      <c r="A18" s="76" t="s">
        <v>101</v>
      </c>
      <c r="B18" s="70">
        <v>1.208</v>
      </c>
      <c r="C18" s="70">
        <v>1.208</v>
      </c>
      <c r="D18" s="70"/>
      <c r="E18" s="70"/>
      <c r="F18" s="70"/>
      <c r="G18" s="70"/>
      <c r="H18" s="73">
        <f t="shared" si="4"/>
        <v>18.381</v>
      </c>
      <c r="I18" s="73">
        <f t="shared" si="5"/>
        <v>38.381</v>
      </c>
      <c r="J18" s="74">
        <f t="shared" si="6"/>
        <v>56.762</v>
      </c>
    </row>
    <row r="19" spans="1:10" s="63" customFormat="1" ht="12.75" customHeight="1" x14ac:dyDescent="0.25">
      <c r="A19" s="76" t="s">
        <v>102</v>
      </c>
      <c r="B19" s="70">
        <v>7.5</v>
      </c>
      <c r="C19" s="70">
        <v>7.5</v>
      </c>
      <c r="D19" s="70"/>
      <c r="E19" s="70"/>
      <c r="F19" s="70"/>
      <c r="G19" s="70"/>
      <c r="H19" s="73">
        <f t="shared" si="4"/>
        <v>25.881</v>
      </c>
      <c r="I19" s="73">
        <f t="shared" si="5"/>
        <v>45.881</v>
      </c>
      <c r="J19" s="74">
        <f t="shared" si="6"/>
        <v>71.762</v>
      </c>
    </row>
    <row r="20" spans="1:10" s="63" customFormat="1" ht="12" customHeight="1" x14ac:dyDescent="0.25">
      <c r="A20" s="76" t="s">
        <v>95</v>
      </c>
      <c r="B20" s="70"/>
      <c r="C20" s="70"/>
      <c r="D20" s="70">
        <v>15</v>
      </c>
      <c r="E20" s="70"/>
      <c r="F20" s="70"/>
      <c r="G20" s="70"/>
      <c r="H20" s="73">
        <f t="shared" si="4"/>
        <v>10.881</v>
      </c>
      <c r="I20" s="73">
        <f t="shared" si="5"/>
        <v>45.881</v>
      </c>
      <c r="J20" s="74">
        <f t="shared" si="6"/>
        <v>56.762</v>
      </c>
    </row>
    <row r="21" spans="1:10" s="63" customFormat="1" ht="12" customHeight="1" x14ac:dyDescent="0.25">
      <c r="A21" s="76" t="s">
        <v>169</v>
      </c>
      <c r="B21" s="70"/>
      <c r="C21" s="70"/>
      <c r="D21" s="70"/>
      <c r="E21" s="70"/>
      <c r="F21" s="70">
        <v>5</v>
      </c>
      <c r="G21" s="70"/>
      <c r="H21" s="73">
        <f t="shared" si="4"/>
        <v>5.8810000000000002</v>
      </c>
      <c r="I21" s="73">
        <f t="shared" si="5"/>
        <v>45.881</v>
      </c>
      <c r="J21" s="74">
        <f t="shared" si="6"/>
        <v>51.762</v>
      </c>
    </row>
    <row r="22" spans="1:10" s="63" customFormat="1" ht="12" customHeight="1" x14ac:dyDescent="0.25">
      <c r="A22" s="76" t="s">
        <v>105</v>
      </c>
      <c r="B22" s="70">
        <v>6.25</v>
      </c>
      <c r="C22" s="70">
        <v>6.25</v>
      </c>
      <c r="D22" s="70"/>
      <c r="E22" s="70"/>
      <c r="F22" s="70"/>
      <c r="G22" s="70"/>
      <c r="H22" s="73">
        <f t="shared" si="4"/>
        <v>12.131</v>
      </c>
      <c r="I22" s="73">
        <f t="shared" si="5"/>
        <v>52.131</v>
      </c>
      <c r="J22" s="74">
        <f t="shared" si="6"/>
        <v>64.262</v>
      </c>
    </row>
    <row r="23" spans="1:10" s="63" customFormat="1" ht="12" customHeight="1" x14ac:dyDescent="0.25">
      <c r="A23" s="76" t="s">
        <v>96</v>
      </c>
      <c r="B23" s="70"/>
      <c r="C23" s="70"/>
      <c r="D23" s="70"/>
      <c r="E23" s="70">
        <v>30</v>
      </c>
      <c r="F23" s="70"/>
      <c r="G23" s="70"/>
      <c r="H23" s="73">
        <f t="shared" si="4"/>
        <v>12.131</v>
      </c>
      <c r="I23" s="73">
        <f t="shared" si="5"/>
        <v>22.131</v>
      </c>
      <c r="J23" s="74">
        <f t="shared" si="6"/>
        <v>34.262</v>
      </c>
    </row>
    <row r="24" spans="1:10" s="63" customFormat="1" ht="12" customHeight="1" x14ac:dyDescent="0.25">
      <c r="A24" s="76" t="s">
        <v>106</v>
      </c>
      <c r="B24" s="70">
        <v>8.75</v>
      </c>
      <c r="C24" s="70">
        <v>8.75</v>
      </c>
      <c r="D24" s="70"/>
      <c r="E24" s="70"/>
      <c r="F24" s="70"/>
      <c r="G24" s="70"/>
      <c r="H24" s="73">
        <f t="shared" si="4"/>
        <v>20.881</v>
      </c>
      <c r="I24" s="73">
        <f t="shared" si="5"/>
        <v>30.881</v>
      </c>
      <c r="J24" s="74">
        <f t="shared" si="6"/>
        <v>51.762</v>
      </c>
    </row>
    <row r="25" spans="1:10" s="63" customFormat="1" ht="12" customHeight="1" x14ac:dyDescent="0.25">
      <c r="A25" s="76" t="s">
        <v>107</v>
      </c>
      <c r="B25" s="70"/>
      <c r="C25" s="70"/>
      <c r="D25" s="70"/>
      <c r="E25" s="70"/>
      <c r="F25" s="70">
        <v>5</v>
      </c>
      <c r="G25" s="70"/>
      <c r="H25" s="73">
        <f t="shared" si="4"/>
        <v>15.881</v>
      </c>
      <c r="I25" s="73">
        <f t="shared" si="5"/>
        <v>30.881</v>
      </c>
      <c r="J25" s="74">
        <f t="shared" si="6"/>
        <v>46.762</v>
      </c>
    </row>
    <row r="26" spans="1:10" s="63" customFormat="1" ht="12" customHeight="1" x14ac:dyDescent="0.25">
      <c r="A26" s="76" t="s">
        <v>108</v>
      </c>
      <c r="B26" s="70">
        <v>11.25</v>
      </c>
      <c r="C26" s="70">
        <v>11.25</v>
      </c>
      <c r="D26" s="70"/>
      <c r="E26" s="70"/>
      <c r="F26" s="70"/>
      <c r="G26" s="70"/>
      <c r="H26" s="73">
        <f t="shared" si="4"/>
        <v>27.131</v>
      </c>
      <c r="I26" s="73">
        <f t="shared" si="5"/>
        <v>42.131</v>
      </c>
      <c r="J26" s="74">
        <f t="shared" si="6"/>
        <v>69.262</v>
      </c>
    </row>
    <row r="27" spans="1:10" s="63" customFormat="1" ht="12" customHeight="1" x14ac:dyDescent="0.25">
      <c r="A27" s="76" t="s">
        <v>97</v>
      </c>
      <c r="B27" s="70"/>
      <c r="C27" s="70"/>
      <c r="D27" s="70">
        <v>15</v>
      </c>
      <c r="E27" s="70">
        <v>15</v>
      </c>
      <c r="F27" s="70"/>
      <c r="G27" s="70"/>
      <c r="H27" s="73">
        <f t="shared" si="4"/>
        <v>12.131</v>
      </c>
      <c r="I27" s="73">
        <f t="shared" si="5"/>
        <v>27.131</v>
      </c>
      <c r="J27" s="74">
        <f t="shared" si="6"/>
        <v>39.262</v>
      </c>
    </row>
    <row r="28" spans="1:10" s="63" customFormat="1" ht="12.75" customHeight="1" x14ac:dyDescent="0.25">
      <c r="A28" s="76" t="s">
        <v>109</v>
      </c>
      <c r="B28" s="70">
        <v>3.75</v>
      </c>
      <c r="C28" s="70">
        <v>3.75</v>
      </c>
      <c r="D28" s="70"/>
      <c r="E28" s="70"/>
      <c r="F28" s="70"/>
      <c r="G28" s="70"/>
      <c r="H28" s="73">
        <f t="shared" si="4"/>
        <v>15.881</v>
      </c>
      <c r="I28" s="73">
        <f t="shared" si="5"/>
        <v>30.881</v>
      </c>
      <c r="J28" s="74">
        <f t="shared" si="6"/>
        <v>46.762</v>
      </c>
    </row>
    <row r="29" spans="1:10" s="63" customFormat="1" ht="12" customHeight="1" x14ac:dyDescent="0.25">
      <c r="A29" s="76" t="s">
        <v>110</v>
      </c>
      <c r="B29" s="70"/>
      <c r="C29" s="70"/>
      <c r="D29" s="70">
        <v>8</v>
      </c>
      <c r="E29" s="70">
        <v>12</v>
      </c>
      <c r="F29" s="70"/>
      <c r="G29" s="70"/>
      <c r="H29" s="73">
        <f t="shared" si="4"/>
        <v>7.8810000000000002</v>
      </c>
      <c r="I29" s="73">
        <f t="shared" si="5"/>
        <v>18.881</v>
      </c>
      <c r="J29" s="74">
        <f t="shared" si="6"/>
        <v>26.762</v>
      </c>
    </row>
    <row r="30" spans="1:10" s="63" customFormat="1" ht="12" customHeight="1" x14ac:dyDescent="0.25">
      <c r="A30" s="76" t="s">
        <v>111</v>
      </c>
      <c r="B30" s="70"/>
      <c r="C30" s="70"/>
      <c r="D30" s="70"/>
      <c r="E30" s="70"/>
      <c r="F30" s="70">
        <v>5</v>
      </c>
      <c r="G30" s="70"/>
      <c r="H30" s="73">
        <f t="shared" si="4"/>
        <v>2.8810000000000002</v>
      </c>
      <c r="I30" s="73">
        <f t="shared" si="5"/>
        <v>18.881</v>
      </c>
      <c r="J30" s="74">
        <f t="shared" si="6"/>
        <v>21.762</v>
      </c>
    </row>
    <row r="31" spans="1:10" s="63" customFormat="1" ht="12" customHeight="1" x14ac:dyDescent="0.25">
      <c r="A31" s="76" t="s">
        <v>112</v>
      </c>
      <c r="B31" s="70">
        <v>15</v>
      </c>
      <c r="C31" s="70">
        <v>15</v>
      </c>
      <c r="D31" s="70"/>
      <c r="E31" s="70"/>
      <c r="F31" s="70"/>
      <c r="G31" s="70"/>
      <c r="H31" s="73">
        <f t="shared" si="4"/>
        <v>17.881</v>
      </c>
      <c r="I31" s="73">
        <f t="shared" si="5"/>
        <v>33.881</v>
      </c>
      <c r="J31" s="74">
        <f t="shared" si="6"/>
        <v>51.762</v>
      </c>
    </row>
    <row r="32" spans="1:10" s="63" customFormat="1" ht="12" customHeight="1" x14ac:dyDescent="0.25">
      <c r="A32" s="76" t="s">
        <v>113</v>
      </c>
      <c r="B32" s="70"/>
      <c r="C32" s="70"/>
      <c r="D32" s="70"/>
      <c r="E32" s="70"/>
      <c r="F32" s="70">
        <v>5</v>
      </c>
      <c r="G32" s="70"/>
      <c r="H32" s="73">
        <f t="shared" si="4"/>
        <v>12.881</v>
      </c>
      <c r="I32" s="73">
        <f t="shared" si="5"/>
        <v>33.881</v>
      </c>
      <c r="J32" s="74">
        <f t="shared" si="6"/>
        <v>46.762</v>
      </c>
    </row>
    <row r="33" spans="1:11" s="63" customFormat="1" ht="21.75" customHeight="1" x14ac:dyDescent="0.25">
      <c r="A33" s="72" t="s">
        <v>114</v>
      </c>
      <c r="B33" s="70">
        <v>15</v>
      </c>
      <c r="C33" s="70">
        <v>15</v>
      </c>
      <c r="D33" s="70"/>
      <c r="E33" s="70"/>
      <c r="F33" s="70"/>
      <c r="G33" s="70"/>
      <c r="H33" s="73">
        <f t="shared" si="4"/>
        <v>27.881</v>
      </c>
      <c r="I33" s="73">
        <f t="shared" si="5"/>
        <v>48.881</v>
      </c>
      <c r="J33" s="74">
        <f t="shared" si="6"/>
        <v>76.762</v>
      </c>
    </row>
    <row r="34" spans="1:11" s="63" customFormat="1" ht="12" customHeight="1" x14ac:dyDescent="0.25">
      <c r="A34" s="76" t="s">
        <v>116</v>
      </c>
      <c r="B34" s="70"/>
      <c r="C34" s="70"/>
      <c r="D34" s="70">
        <v>5</v>
      </c>
      <c r="E34" s="70">
        <v>25</v>
      </c>
      <c r="F34" s="70"/>
      <c r="G34" s="70"/>
      <c r="H34" s="73">
        <f t="shared" si="4"/>
        <v>22.881</v>
      </c>
      <c r="I34" s="73">
        <f t="shared" si="5"/>
        <v>23.881</v>
      </c>
      <c r="J34" s="74">
        <f t="shared" si="6"/>
        <v>46.762</v>
      </c>
    </row>
    <row r="35" spans="1:11" s="63" customFormat="1" ht="13.5" customHeight="1" x14ac:dyDescent="0.25">
      <c r="A35" s="69" t="s">
        <v>115</v>
      </c>
      <c r="B35" s="70"/>
      <c r="C35" s="70"/>
      <c r="D35" s="70"/>
      <c r="E35" s="70"/>
      <c r="F35" s="70">
        <v>5</v>
      </c>
      <c r="G35" s="70"/>
      <c r="H35" s="73">
        <f t="shared" si="4"/>
        <v>17.881</v>
      </c>
      <c r="I35" s="73">
        <f t="shared" si="5"/>
        <v>23.881</v>
      </c>
      <c r="J35" s="74">
        <f t="shared" si="6"/>
        <v>41.762</v>
      </c>
    </row>
    <row r="36" spans="1:11" ht="12" customHeight="1" x14ac:dyDescent="0.25">
      <c r="A36" s="76" t="s">
        <v>117</v>
      </c>
      <c r="B36" s="70">
        <v>15</v>
      </c>
      <c r="C36" s="70">
        <v>15</v>
      </c>
      <c r="D36" s="70"/>
      <c r="E36" s="70"/>
      <c r="F36" s="70"/>
      <c r="G36" s="70"/>
      <c r="H36" s="73">
        <f t="shared" si="4"/>
        <v>32.881</v>
      </c>
      <c r="I36" s="73">
        <f t="shared" si="5"/>
        <v>38.881</v>
      </c>
      <c r="J36" s="74">
        <f t="shared" si="6"/>
        <v>71.762</v>
      </c>
    </row>
    <row r="37" spans="1:11" ht="12" customHeight="1" x14ac:dyDescent="0.25">
      <c r="A37" s="76" t="s">
        <v>118</v>
      </c>
      <c r="B37" s="70"/>
      <c r="C37" s="70"/>
      <c r="D37" s="70"/>
      <c r="E37" s="70"/>
      <c r="F37" s="70">
        <v>5</v>
      </c>
      <c r="G37" s="70"/>
      <c r="H37" s="73">
        <f t="shared" si="4"/>
        <v>27.881</v>
      </c>
      <c r="I37" s="73">
        <f t="shared" si="5"/>
        <v>38.881</v>
      </c>
      <c r="J37" s="74">
        <f t="shared" si="6"/>
        <v>66.762</v>
      </c>
    </row>
    <row r="38" spans="1:11" ht="14.25" customHeight="1" x14ac:dyDescent="0.25">
      <c r="A38" s="76" t="s">
        <v>119</v>
      </c>
      <c r="B38" s="70">
        <v>11.25</v>
      </c>
      <c r="C38" s="70">
        <v>11.25</v>
      </c>
      <c r="D38" s="70"/>
      <c r="E38" s="70"/>
      <c r="F38" s="70"/>
      <c r="G38" s="70"/>
      <c r="H38" s="73">
        <f t="shared" si="4"/>
        <v>39.131</v>
      </c>
      <c r="I38" s="73">
        <f t="shared" si="5"/>
        <v>50.131</v>
      </c>
      <c r="J38" s="74">
        <f t="shared" si="6"/>
        <v>89.262</v>
      </c>
    </row>
    <row r="39" spans="1:11" ht="12" customHeight="1" x14ac:dyDescent="0.25">
      <c r="A39" s="76" t="s">
        <v>120</v>
      </c>
      <c r="B39" s="70"/>
      <c r="C39" s="70"/>
      <c r="D39" s="70"/>
      <c r="E39" s="70"/>
      <c r="F39" s="70">
        <v>5</v>
      </c>
      <c r="G39" s="70"/>
      <c r="H39" s="73">
        <f t="shared" si="4"/>
        <v>34.131</v>
      </c>
      <c r="I39" s="73">
        <f t="shared" si="5"/>
        <v>50.131</v>
      </c>
      <c r="J39" s="74">
        <f t="shared" si="6"/>
        <v>84.262</v>
      </c>
    </row>
    <row r="40" spans="1:11" ht="12" customHeight="1" x14ac:dyDescent="0.25">
      <c r="A40" s="76" t="s">
        <v>121</v>
      </c>
      <c r="B40" s="70"/>
      <c r="C40" s="70"/>
      <c r="D40" s="70">
        <v>3</v>
      </c>
      <c r="E40" s="70"/>
      <c r="F40" s="70"/>
      <c r="G40" s="70"/>
      <c r="H40" s="73">
        <f t="shared" si="4"/>
        <v>31.131</v>
      </c>
      <c r="I40" s="73">
        <f t="shared" si="5"/>
        <v>50.131</v>
      </c>
      <c r="J40" s="74">
        <f t="shared" si="6"/>
        <v>81.262</v>
      </c>
    </row>
    <row r="41" spans="1:11" ht="12" customHeight="1" x14ac:dyDescent="0.25">
      <c r="A41" s="76" t="s">
        <v>122</v>
      </c>
      <c r="B41" s="70"/>
      <c r="C41" s="70"/>
      <c r="D41" s="70"/>
      <c r="E41" s="70">
        <v>4</v>
      </c>
      <c r="F41" s="70"/>
      <c r="G41" s="70"/>
      <c r="H41" s="73">
        <f t="shared" si="4"/>
        <v>31.131</v>
      </c>
      <c r="I41" s="73">
        <f t="shared" si="5"/>
        <v>46.131</v>
      </c>
      <c r="J41" s="74">
        <f t="shared" si="6"/>
        <v>77.262</v>
      </c>
    </row>
    <row r="42" spans="1:11" s="65" customFormat="1" ht="12" customHeight="1" x14ac:dyDescent="0.25">
      <c r="A42" s="76" t="s">
        <v>123</v>
      </c>
      <c r="B42" s="70">
        <v>3.75</v>
      </c>
      <c r="C42" s="70">
        <v>3.75</v>
      </c>
      <c r="D42" s="70"/>
      <c r="E42" s="70"/>
      <c r="F42" s="70"/>
      <c r="G42" s="70"/>
      <c r="H42" s="73">
        <f t="shared" si="4"/>
        <v>34.881</v>
      </c>
      <c r="I42" s="73">
        <f t="shared" si="5"/>
        <v>49.881</v>
      </c>
      <c r="J42" s="74">
        <f t="shared" si="6"/>
        <v>84.762</v>
      </c>
      <c r="K42" s="64"/>
    </row>
    <row r="43" spans="1:11" s="65" customFormat="1" ht="12" customHeight="1" x14ac:dyDescent="0.25">
      <c r="A43" s="76" t="s">
        <v>98</v>
      </c>
      <c r="B43" s="70"/>
      <c r="C43" s="70"/>
      <c r="D43" s="70">
        <v>10</v>
      </c>
      <c r="E43" s="70"/>
      <c r="F43" s="70"/>
      <c r="G43" s="70"/>
      <c r="H43" s="73">
        <f t="shared" si="4"/>
        <v>24.881</v>
      </c>
      <c r="I43" s="73">
        <f t="shared" si="5"/>
        <v>49.881</v>
      </c>
      <c r="J43" s="74">
        <f t="shared" si="6"/>
        <v>74.762</v>
      </c>
      <c r="K43" s="64"/>
    </row>
    <row r="44" spans="1:11" s="65" customFormat="1" ht="12.75" customHeight="1" x14ac:dyDescent="0.25">
      <c r="A44" s="76" t="s">
        <v>124</v>
      </c>
      <c r="B44" s="70">
        <v>13.75</v>
      </c>
      <c r="C44" s="70">
        <v>13.75</v>
      </c>
      <c r="D44" s="70"/>
      <c r="E44" s="70"/>
      <c r="F44" s="70"/>
      <c r="G44" s="70"/>
      <c r="H44" s="73">
        <f t="shared" si="4"/>
        <v>38.631</v>
      </c>
      <c r="I44" s="73">
        <f t="shared" si="5"/>
        <v>63.631</v>
      </c>
      <c r="J44" s="74">
        <f t="shared" si="6"/>
        <v>102.262</v>
      </c>
      <c r="K44" s="64"/>
    </row>
    <row r="45" spans="1:11" ht="12" customHeight="1" x14ac:dyDescent="0.25">
      <c r="A45" s="76" t="s">
        <v>99</v>
      </c>
      <c r="B45" s="70"/>
      <c r="C45" s="70"/>
      <c r="D45" s="70">
        <v>10</v>
      </c>
      <c r="E45" s="70"/>
      <c r="F45" s="70"/>
      <c r="G45" s="70"/>
      <c r="H45" s="73">
        <f t="shared" si="4"/>
        <v>28.631</v>
      </c>
      <c r="I45" s="73">
        <f t="shared" si="5"/>
        <v>63.631</v>
      </c>
      <c r="J45" s="74">
        <f t="shared" si="6"/>
        <v>92.262</v>
      </c>
    </row>
    <row r="46" spans="1:11" ht="15.75" customHeight="1" x14ac:dyDescent="0.25">
      <c r="A46" s="76" t="s">
        <v>125</v>
      </c>
      <c r="B46" s="70">
        <v>1.25</v>
      </c>
      <c r="C46" s="70">
        <v>1.25</v>
      </c>
      <c r="D46" s="70"/>
      <c r="E46" s="70"/>
      <c r="F46" s="70"/>
      <c r="G46" s="70"/>
      <c r="H46" s="73">
        <f t="shared" si="4"/>
        <v>29.881</v>
      </c>
      <c r="I46" s="73">
        <f t="shared" si="5"/>
        <v>64.881</v>
      </c>
      <c r="J46" s="74">
        <f t="shared" si="6"/>
        <v>94.762</v>
      </c>
    </row>
    <row r="47" spans="1:11" s="65" customFormat="1" ht="16.5" customHeight="1" x14ac:dyDescent="0.25">
      <c r="A47" s="76" t="s">
        <v>126</v>
      </c>
      <c r="B47" s="70"/>
      <c r="C47" s="70"/>
      <c r="D47" s="70"/>
      <c r="E47" s="70"/>
      <c r="F47" s="70">
        <v>1</v>
      </c>
      <c r="G47" s="70"/>
      <c r="H47" s="73">
        <f t="shared" si="4"/>
        <v>28.881</v>
      </c>
      <c r="I47" s="73">
        <f t="shared" si="5"/>
        <v>64.881</v>
      </c>
      <c r="J47" s="74">
        <f t="shared" si="6"/>
        <v>93.762</v>
      </c>
      <c r="K47" s="64"/>
    </row>
    <row r="48" spans="1:11" s="65" customFormat="1" ht="12" customHeight="1" x14ac:dyDescent="0.25">
      <c r="A48" s="76" t="s">
        <v>127</v>
      </c>
      <c r="B48" s="70"/>
      <c r="C48" s="70"/>
      <c r="D48" s="70"/>
      <c r="E48" s="70"/>
      <c r="F48" s="70">
        <v>4</v>
      </c>
      <c r="G48" s="70"/>
      <c r="H48" s="73">
        <f t="shared" si="4"/>
        <v>24.881</v>
      </c>
      <c r="I48" s="73">
        <f t="shared" si="5"/>
        <v>64.881</v>
      </c>
      <c r="J48" s="74">
        <f t="shared" si="6"/>
        <v>89.762</v>
      </c>
      <c r="K48" s="64"/>
    </row>
    <row r="49" spans="1:10" ht="12" customHeight="1" x14ac:dyDescent="0.25">
      <c r="A49" s="76" t="s">
        <v>128</v>
      </c>
      <c r="B49" s="70">
        <v>3.75</v>
      </c>
      <c r="C49" s="70">
        <v>3.75</v>
      </c>
      <c r="D49" s="70"/>
      <c r="E49" s="70"/>
      <c r="F49" s="70"/>
      <c r="G49" s="70"/>
      <c r="H49" s="73">
        <f t="shared" si="4"/>
        <v>28.631</v>
      </c>
      <c r="I49" s="73">
        <f t="shared" si="5"/>
        <v>68.631</v>
      </c>
      <c r="J49" s="74">
        <f t="shared" si="6"/>
        <v>97.262</v>
      </c>
    </row>
    <row r="50" spans="1:10" ht="12" customHeight="1" x14ac:dyDescent="0.25">
      <c r="A50" s="76" t="s">
        <v>129</v>
      </c>
      <c r="B50" s="70"/>
      <c r="C50" s="70"/>
      <c r="D50" s="70"/>
      <c r="E50" s="70"/>
      <c r="F50" s="70">
        <v>5</v>
      </c>
      <c r="G50" s="70"/>
      <c r="H50" s="73">
        <f t="shared" si="4"/>
        <v>23.631</v>
      </c>
      <c r="I50" s="73">
        <f t="shared" si="5"/>
        <v>68.631</v>
      </c>
      <c r="J50" s="74">
        <f t="shared" si="6"/>
        <v>92.262</v>
      </c>
    </row>
    <row r="51" spans="1:10" ht="12" customHeight="1" x14ac:dyDescent="0.25">
      <c r="A51" s="76" t="s">
        <v>130</v>
      </c>
      <c r="B51" s="70">
        <v>11.25</v>
      </c>
      <c r="C51" s="70">
        <v>11.25</v>
      </c>
      <c r="D51" s="70"/>
      <c r="E51" s="70"/>
      <c r="F51" s="70"/>
      <c r="G51" s="70"/>
      <c r="H51" s="73">
        <f t="shared" si="4"/>
        <v>34.881</v>
      </c>
      <c r="I51" s="73">
        <f t="shared" si="5"/>
        <v>79.881</v>
      </c>
      <c r="J51" s="74">
        <f t="shared" si="6"/>
        <v>114.762</v>
      </c>
    </row>
    <row r="52" spans="1:10" ht="12" customHeight="1" x14ac:dyDescent="0.25">
      <c r="A52" s="76" t="s">
        <v>131</v>
      </c>
      <c r="B52" s="70">
        <v>6.25</v>
      </c>
      <c r="C52" s="70">
        <v>6.25</v>
      </c>
      <c r="D52" s="70"/>
      <c r="E52" s="70"/>
      <c r="F52" s="70"/>
      <c r="G52" s="70"/>
      <c r="H52" s="73">
        <f t="shared" si="4"/>
        <v>41.131</v>
      </c>
      <c r="I52" s="73">
        <f t="shared" si="5"/>
        <v>86.131</v>
      </c>
      <c r="J52" s="74">
        <f t="shared" si="6"/>
        <v>127.262</v>
      </c>
    </row>
    <row r="53" spans="1:10" ht="14.25" customHeight="1" x14ac:dyDescent="0.25">
      <c r="A53" s="76" t="s">
        <v>132</v>
      </c>
      <c r="B53" s="70"/>
      <c r="C53" s="70"/>
      <c r="D53" s="70"/>
      <c r="E53" s="70"/>
      <c r="F53" s="70">
        <v>1</v>
      </c>
      <c r="G53" s="70"/>
      <c r="H53" s="73">
        <f t="shared" si="4"/>
        <v>40.131</v>
      </c>
      <c r="I53" s="73">
        <f t="shared" si="5"/>
        <v>86.131</v>
      </c>
      <c r="J53" s="74">
        <f t="shared" si="6"/>
        <v>126.262</v>
      </c>
    </row>
    <row r="54" spans="1:10" ht="15.75" customHeight="1" x14ac:dyDescent="0.25">
      <c r="A54" s="76" t="s">
        <v>133</v>
      </c>
      <c r="B54" s="70"/>
      <c r="C54" s="70"/>
      <c r="D54" s="70"/>
      <c r="E54" s="70"/>
      <c r="F54" s="70">
        <v>2</v>
      </c>
      <c r="G54" s="70"/>
      <c r="H54" s="73">
        <f t="shared" si="4"/>
        <v>38.131</v>
      </c>
      <c r="I54" s="73">
        <f t="shared" si="5"/>
        <v>86.131</v>
      </c>
      <c r="J54" s="74">
        <f t="shared" si="6"/>
        <v>124.262</v>
      </c>
    </row>
    <row r="55" spans="1:10" ht="12.75" customHeight="1" x14ac:dyDescent="0.25">
      <c r="A55" s="76" t="s">
        <v>134</v>
      </c>
      <c r="B55" s="70">
        <v>7.5</v>
      </c>
      <c r="C55" s="70">
        <v>7.5</v>
      </c>
      <c r="D55" s="70"/>
      <c r="E55" s="70"/>
      <c r="F55" s="70"/>
      <c r="G55" s="70"/>
      <c r="H55" s="73">
        <f t="shared" si="4"/>
        <v>45.631</v>
      </c>
      <c r="I55" s="73">
        <f t="shared" si="5"/>
        <v>93.631</v>
      </c>
      <c r="J55" s="74">
        <f t="shared" si="6"/>
        <v>139.262</v>
      </c>
    </row>
    <row r="56" spans="1:10" ht="12" customHeight="1" x14ac:dyDescent="0.25">
      <c r="A56" s="76" t="s">
        <v>135</v>
      </c>
      <c r="B56" s="70"/>
      <c r="C56" s="70"/>
      <c r="D56" s="70">
        <v>15</v>
      </c>
      <c r="E56" s="70"/>
      <c r="F56" s="70"/>
      <c r="G56" s="70"/>
      <c r="H56" s="73">
        <f t="shared" si="4"/>
        <v>30.631</v>
      </c>
      <c r="I56" s="73">
        <f t="shared" si="5"/>
        <v>93.631</v>
      </c>
      <c r="J56" s="74">
        <f t="shared" si="6"/>
        <v>124.262</v>
      </c>
    </row>
    <row r="57" spans="1:10" ht="12" customHeight="1" x14ac:dyDescent="0.25">
      <c r="A57" s="76" t="s">
        <v>136</v>
      </c>
      <c r="B57" s="70">
        <v>1.25</v>
      </c>
      <c r="C57" s="70">
        <v>1.25</v>
      </c>
      <c r="D57" s="70"/>
      <c r="E57" s="70"/>
      <c r="F57" s="70"/>
      <c r="G57" s="70"/>
      <c r="H57" s="73">
        <f t="shared" si="4"/>
        <v>31.881</v>
      </c>
      <c r="I57" s="73">
        <f t="shared" si="5"/>
        <v>94.881</v>
      </c>
      <c r="J57" s="74">
        <f t="shared" si="6"/>
        <v>126.762</v>
      </c>
    </row>
    <row r="58" spans="1:10" ht="12" customHeight="1" x14ac:dyDescent="0.25">
      <c r="A58" s="76" t="s">
        <v>137</v>
      </c>
      <c r="B58" s="70"/>
      <c r="C58" s="70"/>
      <c r="D58" s="70"/>
      <c r="E58" s="70"/>
      <c r="F58" s="70">
        <v>2</v>
      </c>
      <c r="G58" s="70"/>
      <c r="H58" s="73">
        <f t="shared" si="4"/>
        <v>29.881</v>
      </c>
      <c r="I58" s="73">
        <f t="shared" si="5"/>
        <v>94.881</v>
      </c>
      <c r="J58" s="74">
        <f t="shared" si="6"/>
        <v>124.762</v>
      </c>
    </row>
    <row r="59" spans="1:10" ht="12" customHeight="1" x14ac:dyDescent="0.25">
      <c r="A59" s="76" t="s">
        <v>138</v>
      </c>
      <c r="B59" s="70">
        <v>1.25</v>
      </c>
      <c r="C59" s="70">
        <v>1.25</v>
      </c>
      <c r="D59" s="70"/>
      <c r="E59" s="70"/>
      <c r="F59" s="70"/>
      <c r="G59" s="70"/>
      <c r="H59" s="73">
        <f t="shared" si="4"/>
        <v>31.131</v>
      </c>
      <c r="I59" s="73">
        <f t="shared" si="5"/>
        <v>96.131</v>
      </c>
      <c r="J59" s="74">
        <f t="shared" si="6"/>
        <v>127.262</v>
      </c>
    </row>
    <row r="60" spans="1:10" ht="12" customHeight="1" x14ac:dyDescent="0.25">
      <c r="A60" s="76" t="s">
        <v>139</v>
      </c>
      <c r="B60" s="70"/>
      <c r="C60" s="70"/>
      <c r="D60" s="70"/>
      <c r="E60" s="70"/>
      <c r="F60" s="70">
        <v>5</v>
      </c>
      <c r="G60" s="70"/>
      <c r="H60" s="73">
        <f t="shared" si="4"/>
        <v>26.131</v>
      </c>
      <c r="I60" s="73">
        <f t="shared" si="5"/>
        <v>96.131</v>
      </c>
      <c r="J60" s="74">
        <f t="shared" si="6"/>
        <v>122.262</v>
      </c>
    </row>
    <row r="61" spans="1:10" ht="12" customHeight="1" x14ac:dyDescent="0.25">
      <c r="A61" s="76" t="s">
        <v>140</v>
      </c>
      <c r="B61" s="70">
        <v>6.25</v>
      </c>
      <c r="C61" s="70">
        <v>6.25</v>
      </c>
      <c r="D61" s="70"/>
      <c r="E61" s="70"/>
      <c r="F61" s="70"/>
      <c r="G61" s="70"/>
      <c r="H61" s="73">
        <f t="shared" si="4"/>
        <v>32.381</v>
      </c>
      <c r="I61" s="73">
        <f t="shared" si="5"/>
        <v>102.381</v>
      </c>
      <c r="J61" s="74">
        <f t="shared" si="6"/>
        <v>134.762</v>
      </c>
    </row>
    <row r="62" spans="1:10" ht="12" customHeight="1" x14ac:dyDescent="0.25">
      <c r="A62" s="76" t="s">
        <v>141</v>
      </c>
      <c r="B62" s="70"/>
      <c r="C62" s="70"/>
      <c r="D62" s="70">
        <v>20</v>
      </c>
      <c r="E62" s="70">
        <v>9</v>
      </c>
      <c r="F62" s="70"/>
      <c r="G62" s="70"/>
      <c r="H62" s="73">
        <f t="shared" si="4"/>
        <v>12.381</v>
      </c>
      <c r="I62" s="73">
        <f t="shared" si="5"/>
        <v>93.381</v>
      </c>
      <c r="J62" s="74">
        <f t="shared" si="6"/>
        <v>105.762</v>
      </c>
    </row>
    <row r="63" spans="1:10" ht="12" customHeight="1" x14ac:dyDescent="0.25">
      <c r="A63" s="76" t="s">
        <v>142</v>
      </c>
      <c r="B63" s="70">
        <v>7.5</v>
      </c>
      <c r="C63" s="70">
        <v>7.5</v>
      </c>
      <c r="D63" s="70"/>
      <c r="E63" s="70"/>
      <c r="F63" s="70"/>
      <c r="G63" s="70"/>
      <c r="H63" s="73">
        <f t="shared" si="4"/>
        <v>19.881</v>
      </c>
      <c r="I63" s="73">
        <f t="shared" si="5"/>
        <v>100.881</v>
      </c>
      <c r="J63" s="74">
        <f t="shared" si="6"/>
        <v>120.762</v>
      </c>
    </row>
    <row r="64" spans="1:10" ht="12" customHeight="1" x14ac:dyDescent="0.25">
      <c r="A64" s="76" t="s">
        <v>143</v>
      </c>
      <c r="B64" s="70">
        <v>15</v>
      </c>
      <c r="C64" s="70">
        <v>15</v>
      </c>
      <c r="D64" s="70"/>
      <c r="E64" s="70"/>
      <c r="F64" s="70"/>
      <c r="G64" s="70"/>
      <c r="H64" s="73">
        <f t="shared" si="4"/>
        <v>34.881</v>
      </c>
      <c r="I64" s="73">
        <f t="shared" si="5"/>
        <v>115.881</v>
      </c>
      <c r="J64" s="74">
        <f t="shared" si="6"/>
        <v>150.762</v>
      </c>
    </row>
    <row r="65" spans="1:10" ht="12" customHeight="1" x14ac:dyDescent="0.25">
      <c r="A65" s="76" t="s">
        <v>144</v>
      </c>
      <c r="B65" s="70"/>
      <c r="C65" s="70"/>
      <c r="D65" s="70"/>
      <c r="E65" s="70"/>
      <c r="F65" s="70">
        <v>5</v>
      </c>
      <c r="G65" s="70"/>
      <c r="H65" s="73">
        <f t="shared" si="4"/>
        <v>29.881</v>
      </c>
      <c r="I65" s="73">
        <f t="shared" si="5"/>
        <v>115.881</v>
      </c>
      <c r="J65" s="74">
        <f t="shared" si="6"/>
        <v>145.762</v>
      </c>
    </row>
    <row r="66" spans="1:10" ht="12" customHeight="1" x14ac:dyDescent="0.25">
      <c r="A66" s="76" t="s">
        <v>145</v>
      </c>
      <c r="B66" s="70">
        <v>15</v>
      </c>
      <c r="C66" s="70">
        <v>15</v>
      </c>
      <c r="D66" s="70"/>
      <c r="E66" s="70"/>
      <c r="F66" s="70"/>
      <c r="G66" s="70"/>
      <c r="H66" s="73">
        <f t="shared" si="4"/>
        <v>44.881</v>
      </c>
      <c r="I66" s="73">
        <f t="shared" si="5"/>
        <v>130.881</v>
      </c>
      <c r="J66" s="74">
        <f t="shared" si="6"/>
        <v>175.762</v>
      </c>
    </row>
    <row r="67" spans="1:10" ht="12" customHeight="1" x14ac:dyDescent="0.25">
      <c r="A67" s="76" t="s">
        <v>146</v>
      </c>
      <c r="B67" s="70"/>
      <c r="C67" s="70"/>
      <c r="D67" s="70">
        <v>5</v>
      </c>
      <c r="E67" s="70"/>
      <c r="F67" s="70"/>
      <c r="G67" s="70"/>
      <c r="H67" s="73">
        <f t="shared" si="4"/>
        <v>39.881</v>
      </c>
      <c r="I67" s="73">
        <f t="shared" si="5"/>
        <v>130.881</v>
      </c>
      <c r="J67" s="74">
        <f t="shared" si="6"/>
        <v>170.762</v>
      </c>
    </row>
    <row r="68" spans="1:10" ht="12" customHeight="1" x14ac:dyDescent="0.25">
      <c r="A68" s="76" t="s">
        <v>147</v>
      </c>
      <c r="B68" s="70"/>
      <c r="C68" s="70"/>
      <c r="D68" s="70"/>
      <c r="E68" s="70"/>
      <c r="F68" s="70">
        <v>5</v>
      </c>
      <c r="G68" s="70"/>
      <c r="H68" s="73">
        <f t="shared" si="4"/>
        <v>34.881</v>
      </c>
      <c r="I68" s="73">
        <f t="shared" si="5"/>
        <v>130.881</v>
      </c>
      <c r="J68" s="74">
        <f t="shared" si="6"/>
        <v>165.762</v>
      </c>
    </row>
    <row r="69" spans="1:10" ht="12" customHeight="1" x14ac:dyDescent="0.25">
      <c r="A69" s="76" t="s">
        <v>148</v>
      </c>
      <c r="B69" s="70">
        <v>11.25</v>
      </c>
      <c r="C69" s="70">
        <v>11.25</v>
      </c>
      <c r="D69" s="70"/>
      <c r="E69" s="70"/>
      <c r="F69" s="70"/>
      <c r="G69" s="70"/>
      <c r="H69" s="73">
        <f t="shared" si="4"/>
        <v>46.131</v>
      </c>
      <c r="I69" s="73">
        <f t="shared" si="5"/>
        <v>142.131</v>
      </c>
      <c r="J69" s="74">
        <f t="shared" si="6"/>
        <v>188.262</v>
      </c>
    </row>
    <row r="70" spans="1:10" ht="12" customHeight="1" x14ac:dyDescent="0.25">
      <c r="A70" s="76" t="s">
        <v>149</v>
      </c>
      <c r="B70" s="70"/>
      <c r="C70" s="70"/>
      <c r="D70" s="70">
        <v>29</v>
      </c>
      <c r="E70" s="70"/>
      <c r="F70" s="70"/>
      <c r="G70" s="70"/>
      <c r="H70" s="73">
        <f t="shared" si="4"/>
        <v>17.131</v>
      </c>
      <c r="I70" s="73">
        <f t="shared" si="5"/>
        <v>142.131</v>
      </c>
      <c r="J70" s="74">
        <f t="shared" si="6"/>
        <v>159.262</v>
      </c>
    </row>
    <row r="71" spans="1:10" ht="12" customHeight="1" x14ac:dyDescent="0.25">
      <c r="A71" s="76" t="s">
        <v>150</v>
      </c>
      <c r="B71" s="70">
        <v>2.5</v>
      </c>
      <c r="C71" s="70">
        <v>2.5</v>
      </c>
      <c r="D71" s="70"/>
      <c r="E71" s="70"/>
      <c r="F71" s="70"/>
      <c r="G71" s="70"/>
      <c r="H71" s="73">
        <f t="shared" si="4"/>
        <v>19.631</v>
      </c>
      <c r="I71" s="73">
        <f t="shared" si="5"/>
        <v>144.631</v>
      </c>
      <c r="J71" s="74">
        <f t="shared" si="6"/>
        <v>164.262</v>
      </c>
    </row>
    <row r="72" spans="1:10" ht="12" customHeight="1" x14ac:dyDescent="0.25">
      <c r="A72" s="76" t="s">
        <v>151</v>
      </c>
      <c r="B72" s="70"/>
      <c r="C72" s="70"/>
      <c r="D72" s="70"/>
      <c r="E72" s="70"/>
      <c r="F72" s="70">
        <v>5</v>
      </c>
      <c r="G72" s="70"/>
      <c r="H72" s="73">
        <f t="shared" si="4"/>
        <v>14.631</v>
      </c>
      <c r="I72" s="73">
        <f t="shared" si="5"/>
        <v>144.631</v>
      </c>
      <c r="J72" s="74">
        <f t="shared" si="6"/>
        <v>159.262</v>
      </c>
    </row>
    <row r="73" spans="1:10" ht="12" customHeight="1" x14ac:dyDescent="0.25">
      <c r="A73" s="76" t="s">
        <v>23</v>
      </c>
      <c r="B73" s="70">
        <v>1.25</v>
      </c>
      <c r="C73" s="70">
        <v>1.25</v>
      </c>
      <c r="D73" s="70"/>
      <c r="E73" s="70"/>
      <c r="F73" s="70"/>
      <c r="G73" s="70"/>
      <c r="H73" s="73">
        <f t="shared" si="4"/>
        <v>15.881</v>
      </c>
      <c r="I73" s="73">
        <f t="shared" si="5"/>
        <v>145.881</v>
      </c>
      <c r="J73" s="74">
        <f t="shared" si="6"/>
        <v>161.762</v>
      </c>
    </row>
    <row r="74" spans="1:10" ht="12" customHeight="1" x14ac:dyDescent="0.25">
      <c r="A74" s="76" t="s">
        <v>152</v>
      </c>
      <c r="B74" s="70">
        <v>10</v>
      </c>
      <c r="C74" s="70">
        <v>10</v>
      </c>
      <c r="D74" s="70"/>
      <c r="E74" s="70"/>
      <c r="F74" s="70"/>
      <c r="G74" s="70"/>
      <c r="H74" s="73">
        <f t="shared" si="4"/>
        <v>25.881</v>
      </c>
      <c r="I74" s="73">
        <f t="shared" si="5"/>
        <v>155.881</v>
      </c>
      <c r="J74" s="74">
        <f t="shared" si="6"/>
        <v>181.762</v>
      </c>
    </row>
    <row r="75" spans="1:10" ht="12" customHeight="1" x14ac:dyDescent="0.25">
      <c r="A75" s="76" t="s">
        <v>153</v>
      </c>
      <c r="B75" s="70"/>
      <c r="C75" s="70"/>
      <c r="D75" s="70">
        <v>12</v>
      </c>
      <c r="E75" s="70">
        <v>17</v>
      </c>
      <c r="F75" s="70"/>
      <c r="G75" s="70"/>
      <c r="H75" s="73">
        <f t="shared" si="4"/>
        <v>13.881</v>
      </c>
      <c r="I75" s="73">
        <f t="shared" si="5"/>
        <v>138.881</v>
      </c>
      <c r="J75" s="74">
        <f t="shared" si="6"/>
        <v>152.762</v>
      </c>
    </row>
    <row r="76" spans="1:10" ht="12" customHeight="1" x14ac:dyDescent="0.25">
      <c r="A76" s="76" t="s">
        <v>154</v>
      </c>
      <c r="B76" s="70">
        <v>2.5</v>
      </c>
      <c r="C76" s="70">
        <v>2.5</v>
      </c>
      <c r="D76" s="70"/>
      <c r="E76" s="70"/>
      <c r="F76" s="70"/>
      <c r="G76" s="70"/>
      <c r="H76" s="73">
        <f t="shared" si="4"/>
        <v>16.381</v>
      </c>
      <c r="I76" s="73">
        <f t="shared" si="5"/>
        <v>141.381</v>
      </c>
      <c r="J76" s="74">
        <f t="shared" si="6"/>
        <v>157.762</v>
      </c>
    </row>
    <row r="77" spans="1:10" ht="12" customHeight="1" x14ac:dyDescent="0.25">
      <c r="A77" s="76" t="s">
        <v>25</v>
      </c>
      <c r="B77" s="70"/>
      <c r="C77" s="70"/>
      <c r="D77" s="70"/>
      <c r="E77" s="70"/>
      <c r="F77" s="70"/>
      <c r="G77" s="70">
        <v>1</v>
      </c>
      <c r="H77" s="73">
        <f t="shared" si="4"/>
        <v>16.381</v>
      </c>
      <c r="I77" s="73">
        <f t="shared" si="5"/>
        <v>141.381</v>
      </c>
      <c r="J77" s="74">
        <f t="shared" si="6"/>
        <v>157.762</v>
      </c>
    </row>
    <row r="78" spans="1:10" ht="12" customHeight="1" x14ac:dyDescent="0.25">
      <c r="A78" s="76" t="s">
        <v>155</v>
      </c>
      <c r="B78" s="70">
        <v>1.25</v>
      </c>
      <c r="C78" s="70">
        <v>1.25</v>
      </c>
      <c r="D78" s="70"/>
      <c r="E78" s="70"/>
      <c r="F78" s="70"/>
      <c r="G78" s="70"/>
      <c r="H78" s="73">
        <f t="shared" si="4"/>
        <v>17.631</v>
      </c>
      <c r="I78" s="73">
        <f t="shared" si="5"/>
        <v>142.631</v>
      </c>
      <c r="J78" s="74">
        <f t="shared" si="6"/>
        <v>160.262</v>
      </c>
    </row>
    <row r="79" spans="1:10" ht="12" customHeight="1" x14ac:dyDescent="0.25">
      <c r="A79" s="76" t="s">
        <v>30</v>
      </c>
      <c r="B79" s="70"/>
      <c r="C79" s="70"/>
      <c r="D79" s="70"/>
      <c r="E79" s="70"/>
      <c r="F79" s="70">
        <v>5</v>
      </c>
      <c r="G79" s="70"/>
      <c r="H79" s="73">
        <f t="shared" si="4"/>
        <v>12.631</v>
      </c>
      <c r="I79" s="73">
        <f t="shared" si="5"/>
        <v>142.631</v>
      </c>
      <c r="J79" s="74">
        <f t="shared" si="6"/>
        <v>155.262</v>
      </c>
    </row>
    <row r="80" spans="1:10" ht="16.5" customHeight="1" x14ac:dyDescent="0.25">
      <c r="A80" s="76" t="s">
        <v>31</v>
      </c>
      <c r="B80" s="70"/>
      <c r="C80" s="70"/>
      <c r="D80" s="70"/>
      <c r="E80" s="70"/>
      <c r="F80" s="70"/>
      <c r="G80" s="70">
        <v>2</v>
      </c>
      <c r="H80" s="73">
        <f t="shared" si="4"/>
        <v>12.631</v>
      </c>
      <c r="I80" s="73">
        <f t="shared" si="5"/>
        <v>142.631</v>
      </c>
      <c r="J80" s="74">
        <f t="shared" si="6"/>
        <v>155.262</v>
      </c>
    </row>
    <row r="81" spans="1:10" ht="12" customHeight="1" x14ac:dyDescent="0.25">
      <c r="A81" s="76" t="s">
        <v>32</v>
      </c>
      <c r="B81" s="70">
        <v>1.25</v>
      </c>
      <c r="C81" s="70">
        <v>1.25</v>
      </c>
      <c r="D81" s="70"/>
      <c r="E81" s="70"/>
      <c r="F81" s="70"/>
      <c r="G81" s="70"/>
      <c r="H81" s="73">
        <f t="shared" ref="H81:H113" si="7">H80-F81-D81+B81</f>
        <v>13.881</v>
      </c>
      <c r="I81" s="73">
        <f t="shared" ref="I81:I113" si="8">I80-E81+C81</f>
        <v>143.881</v>
      </c>
      <c r="J81" s="74">
        <f t="shared" ref="J81:J113" si="9">SUM(H81:I81)</f>
        <v>157.762</v>
      </c>
    </row>
    <row r="82" spans="1:10" s="63" customFormat="1" ht="12" customHeight="1" x14ac:dyDescent="0.25">
      <c r="A82" s="76" t="s">
        <v>34</v>
      </c>
      <c r="B82" s="70"/>
      <c r="C82" s="70"/>
      <c r="D82" s="70"/>
      <c r="E82" s="70"/>
      <c r="F82" s="70">
        <v>2</v>
      </c>
      <c r="G82" s="70"/>
      <c r="H82" s="73">
        <f t="shared" si="7"/>
        <v>11.881</v>
      </c>
      <c r="I82" s="73">
        <f t="shared" si="8"/>
        <v>143.881</v>
      </c>
      <c r="J82" s="74">
        <f t="shared" si="9"/>
        <v>155.762</v>
      </c>
    </row>
    <row r="83" spans="1:10" s="63" customFormat="1" ht="12" customHeight="1" x14ac:dyDescent="0.25">
      <c r="A83" s="76" t="s">
        <v>33</v>
      </c>
      <c r="B83" s="70">
        <v>1.25</v>
      </c>
      <c r="C83" s="70">
        <v>1.25</v>
      </c>
      <c r="D83" s="70"/>
      <c r="E83" s="70"/>
      <c r="F83" s="70"/>
      <c r="G83" s="70"/>
      <c r="H83" s="73">
        <f t="shared" si="7"/>
        <v>13.131</v>
      </c>
      <c r="I83" s="73">
        <f t="shared" si="8"/>
        <v>145.131</v>
      </c>
      <c r="J83" s="74">
        <f t="shared" si="9"/>
        <v>158.262</v>
      </c>
    </row>
    <row r="84" spans="1:10" s="63" customFormat="1" ht="12" customHeight="1" x14ac:dyDescent="0.25">
      <c r="A84" s="76" t="s">
        <v>36</v>
      </c>
      <c r="B84" s="70"/>
      <c r="C84" s="70"/>
      <c r="D84" s="70"/>
      <c r="E84" s="70"/>
      <c r="F84" s="70">
        <v>1</v>
      </c>
      <c r="G84" s="70"/>
      <c r="H84" s="73">
        <f t="shared" si="7"/>
        <v>12.131</v>
      </c>
      <c r="I84" s="73">
        <f t="shared" si="8"/>
        <v>145.131</v>
      </c>
      <c r="J84" s="74">
        <f t="shared" si="9"/>
        <v>157.262</v>
      </c>
    </row>
    <row r="85" spans="1:10" s="63" customFormat="1" ht="12" customHeight="1" x14ac:dyDescent="0.25">
      <c r="A85" s="76" t="s">
        <v>35</v>
      </c>
      <c r="B85" s="70">
        <v>1.25</v>
      </c>
      <c r="C85" s="70">
        <v>1.25</v>
      </c>
      <c r="D85" s="70"/>
      <c r="E85" s="70"/>
      <c r="F85" s="70"/>
      <c r="G85" s="70"/>
      <c r="H85" s="73">
        <f t="shared" si="7"/>
        <v>13.381</v>
      </c>
      <c r="I85" s="73">
        <f t="shared" si="8"/>
        <v>146.381</v>
      </c>
      <c r="J85" s="74">
        <f t="shared" si="9"/>
        <v>159.762</v>
      </c>
    </row>
    <row r="86" spans="1:10" s="63" customFormat="1" ht="14.25" customHeight="1" x14ac:dyDescent="0.25">
      <c r="A86" s="76" t="s">
        <v>46</v>
      </c>
      <c r="B86" s="70">
        <v>3.75</v>
      </c>
      <c r="C86" s="70">
        <v>3.75</v>
      </c>
      <c r="D86" s="70"/>
      <c r="E86" s="70"/>
      <c r="F86" s="70"/>
      <c r="G86" s="70"/>
      <c r="H86" s="73">
        <f t="shared" si="7"/>
        <v>17.131</v>
      </c>
      <c r="I86" s="73">
        <f t="shared" si="8"/>
        <v>150.131</v>
      </c>
      <c r="J86" s="74">
        <f t="shared" si="9"/>
        <v>167.262</v>
      </c>
    </row>
    <row r="87" spans="1:10" s="63" customFormat="1" ht="12" customHeight="1" x14ac:dyDescent="0.25">
      <c r="A87" s="76" t="s">
        <v>47</v>
      </c>
      <c r="B87" s="70"/>
      <c r="C87" s="70"/>
      <c r="D87" s="70"/>
      <c r="E87" s="70"/>
      <c r="F87" s="70">
        <v>1</v>
      </c>
      <c r="G87" s="70"/>
      <c r="H87" s="73">
        <f t="shared" si="7"/>
        <v>16.131</v>
      </c>
      <c r="I87" s="73">
        <f t="shared" si="8"/>
        <v>150.131</v>
      </c>
      <c r="J87" s="74">
        <f t="shared" si="9"/>
        <v>166.262</v>
      </c>
    </row>
    <row r="88" spans="1:10" s="63" customFormat="1" ht="15.75" customHeight="1" x14ac:dyDescent="0.25">
      <c r="A88" s="76" t="s">
        <v>48</v>
      </c>
      <c r="B88" s="70"/>
      <c r="C88" s="70"/>
      <c r="D88" s="70"/>
      <c r="E88" s="70"/>
      <c r="F88" s="70"/>
      <c r="G88" s="70">
        <v>3</v>
      </c>
      <c r="H88" s="73">
        <f t="shared" si="7"/>
        <v>16.131</v>
      </c>
      <c r="I88" s="73">
        <f t="shared" si="8"/>
        <v>150.131</v>
      </c>
      <c r="J88" s="74">
        <f t="shared" si="9"/>
        <v>166.262</v>
      </c>
    </row>
    <row r="89" spans="1:10" s="63" customFormat="1" ht="12" customHeight="1" x14ac:dyDescent="0.25">
      <c r="A89" s="76" t="s">
        <v>49</v>
      </c>
      <c r="B89" s="70">
        <v>3.75</v>
      </c>
      <c r="C89" s="70">
        <v>3.75</v>
      </c>
      <c r="D89" s="70"/>
      <c r="E89" s="70"/>
      <c r="F89" s="70"/>
      <c r="G89" s="70"/>
      <c r="H89" s="73">
        <f t="shared" si="7"/>
        <v>19.881</v>
      </c>
      <c r="I89" s="73">
        <f t="shared" si="8"/>
        <v>153.881</v>
      </c>
      <c r="J89" s="74">
        <f t="shared" si="9"/>
        <v>173.762</v>
      </c>
    </row>
    <row r="90" spans="1:10" s="63" customFormat="1" ht="14.25" customHeight="1" x14ac:dyDescent="0.25">
      <c r="A90" s="76" t="s">
        <v>156</v>
      </c>
      <c r="B90" s="70"/>
      <c r="C90" s="70"/>
      <c r="D90" s="70">
        <v>5</v>
      </c>
      <c r="E90" s="70">
        <v>24</v>
      </c>
      <c r="F90" s="70"/>
      <c r="G90" s="70"/>
      <c r="H90" s="73">
        <f t="shared" si="7"/>
        <v>14.881</v>
      </c>
      <c r="I90" s="73">
        <f t="shared" si="8"/>
        <v>129.881</v>
      </c>
      <c r="J90" s="74">
        <f t="shared" si="9"/>
        <v>144.762</v>
      </c>
    </row>
    <row r="91" spans="1:10" s="63" customFormat="1" ht="15" customHeight="1" x14ac:dyDescent="0.25">
      <c r="A91" s="76" t="s">
        <v>157</v>
      </c>
      <c r="B91" s="70">
        <v>5</v>
      </c>
      <c r="C91" s="70">
        <v>5</v>
      </c>
      <c r="D91" s="70"/>
      <c r="E91" s="70"/>
      <c r="F91" s="70"/>
      <c r="G91" s="70"/>
      <c r="H91" s="73">
        <f t="shared" si="7"/>
        <v>19.881</v>
      </c>
      <c r="I91" s="73">
        <f t="shared" si="8"/>
        <v>134.881</v>
      </c>
      <c r="J91" s="74">
        <f t="shared" si="9"/>
        <v>154.762</v>
      </c>
    </row>
    <row r="92" spans="1:10" s="63" customFormat="1" ht="12" customHeight="1" x14ac:dyDescent="0.25">
      <c r="A92" s="76" t="s">
        <v>176</v>
      </c>
      <c r="B92" s="70"/>
      <c r="C92" s="70"/>
      <c r="D92" s="70"/>
      <c r="E92" s="70"/>
      <c r="F92" s="70">
        <v>1</v>
      </c>
      <c r="G92" s="70"/>
      <c r="H92" s="73">
        <f t="shared" si="7"/>
        <v>18.881</v>
      </c>
      <c r="I92" s="73">
        <f t="shared" si="8"/>
        <v>134.881</v>
      </c>
      <c r="J92" s="74">
        <f t="shared" si="9"/>
        <v>153.762</v>
      </c>
    </row>
    <row r="93" spans="1:10" s="63" customFormat="1" ht="12" customHeight="1" x14ac:dyDescent="0.25">
      <c r="A93" s="76" t="s">
        <v>74</v>
      </c>
      <c r="B93" s="70"/>
      <c r="C93" s="70"/>
      <c r="D93" s="70"/>
      <c r="E93" s="70"/>
      <c r="F93" s="70"/>
      <c r="G93" s="70">
        <v>1</v>
      </c>
      <c r="H93" s="73">
        <f t="shared" si="7"/>
        <v>18.881</v>
      </c>
      <c r="I93" s="73">
        <f t="shared" si="8"/>
        <v>134.881</v>
      </c>
      <c r="J93" s="74">
        <f t="shared" si="9"/>
        <v>153.762</v>
      </c>
    </row>
    <row r="94" spans="1:10" s="63" customFormat="1" ht="15.75" customHeight="1" x14ac:dyDescent="0.25">
      <c r="A94" s="76" t="s">
        <v>158</v>
      </c>
      <c r="B94" s="70">
        <v>5</v>
      </c>
      <c r="C94" s="70">
        <v>5</v>
      </c>
      <c r="D94" s="70"/>
      <c r="E94" s="70"/>
      <c r="F94" s="70"/>
      <c r="G94" s="70"/>
      <c r="H94" s="73">
        <f t="shared" si="7"/>
        <v>23.881</v>
      </c>
      <c r="I94" s="73">
        <f t="shared" si="8"/>
        <v>139.881</v>
      </c>
      <c r="J94" s="74">
        <f t="shared" si="9"/>
        <v>163.762</v>
      </c>
    </row>
    <row r="95" spans="1:10" s="63" customFormat="1" ht="13.5" customHeight="1" x14ac:dyDescent="0.25">
      <c r="A95" s="76" t="s">
        <v>78</v>
      </c>
      <c r="B95" s="70"/>
      <c r="C95" s="70"/>
      <c r="D95" s="70"/>
      <c r="E95" s="70"/>
      <c r="F95" s="70">
        <v>1</v>
      </c>
      <c r="G95" s="70"/>
      <c r="H95" s="73">
        <f t="shared" si="7"/>
        <v>22.881</v>
      </c>
      <c r="I95" s="73">
        <f t="shared" si="8"/>
        <v>139.881</v>
      </c>
      <c r="J95" s="74">
        <f t="shared" si="9"/>
        <v>162.762</v>
      </c>
    </row>
    <row r="96" spans="1:10" s="63" customFormat="1" ht="12" customHeight="1" x14ac:dyDescent="0.25">
      <c r="A96" s="76" t="s">
        <v>159</v>
      </c>
      <c r="B96" s="70">
        <v>1.25</v>
      </c>
      <c r="C96" s="70">
        <v>1.25</v>
      </c>
      <c r="D96" s="70"/>
      <c r="E96" s="70"/>
      <c r="F96" s="70"/>
      <c r="G96" s="70"/>
      <c r="H96" s="73">
        <f t="shared" si="7"/>
        <v>24.131</v>
      </c>
      <c r="I96" s="73">
        <f t="shared" si="8"/>
        <v>141.131</v>
      </c>
      <c r="J96" s="74">
        <f t="shared" si="9"/>
        <v>165.262</v>
      </c>
    </row>
    <row r="97" spans="1:10" s="63" customFormat="1" ht="12" customHeight="1" x14ac:dyDescent="0.25">
      <c r="A97" s="76" t="s">
        <v>80</v>
      </c>
      <c r="B97" s="70"/>
      <c r="C97" s="70"/>
      <c r="D97" s="70"/>
      <c r="E97" s="70"/>
      <c r="F97" s="70">
        <v>1</v>
      </c>
      <c r="G97" s="70"/>
      <c r="H97" s="73">
        <f t="shared" si="7"/>
        <v>23.131</v>
      </c>
      <c r="I97" s="73">
        <f t="shared" si="8"/>
        <v>141.131</v>
      </c>
      <c r="J97" s="74">
        <f t="shared" si="9"/>
        <v>164.262</v>
      </c>
    </row>
    <row r="98" spans="1:10" s="63" customFormat="1" ht="12" customHeight="1" x14ac:dyDescent="0.25">
      <c r="A98" s="76" t="s">
        <v>81</v>
      </c>
      <c r="B98" s="70"/>
      <c r="C98" s="70"/>
      <c r="D98" s="70"/>
      <c r="E98" s="70"/>
      <c r="F98" s="70">
        <v>1</v>
      </c>
      <c r="G98" s="70"/>
      <c r="H98" s="73">
        <f t="shared" si="7"/>
        <v>22.131</v>
      </c>
      <c r="I98" s="73">
        <f t="shared" si="8"/>
        <v>141.131</v>
      </c>
      <c r="J98" s="74">
        <f t="shared" si="9"/>
        <v>163.262</v>
      </c>
    </row>
    <row r="99" spans="1:10" s="63" customFormat="1" ht="12" customHeight="1" x14ac:dyDescent="0.25">
      <c r="A99" s="76" t="s">
        <v>82</v>
      </c>
      <c r="B99" s="70">
        <v>1.25</v>
      </c>
      <c r="C99" s="70">
        <v>1.25</v>
      </c>
      <c r="D99" s="70"/>
      <c r="E99" s="70"/>
      <c r="F99" s="70"/>
      <c r="G99" s="70"/>
      <c r="H99" s="73">
        <f t="shared" si="7"/>
        <v>23.381</v>
      </c>
      <c r="I99" s="73">
        <f t="shared" si="8"/>
        <v>142.381</v>
      </c>
      <c r="J99" s="74">
        <f t="shared" si="9"/>
        <v>165.762</v>
      </c>
    </row>
    <row r="100" spans="1:10" s="63" customFormat="1" ht="12" customHeight="1" x14ac:dyDescent="0.25">
      <c r="A100" s="76" t="s">
        <v>83</v>
      </c>
      <c r="B100" s="70"/>
      <c r="C100" s="70"/>
      <c r="D100" s="70"/>
      <c r="E100" s="70">
        <v>1</v>
      </c>
      <c r="F100" s="70"/>
      <c r="G100" s="70"/>
      <c r="H100" s="73">
        <f t="shared" si="7"/>
        <v>23.381</v>
      </c>
      <c r="I100" s="73">
        <f t="shared" si="8"/>
        <v>141.381</v>
      </c>
      <c r="J100" s="74">
        <f t="shared" si="9"/>
        <v>164.762</v>
      </c>
    </row>
    <row r="101" spans="1:10" s="63" customFormat="1" ht="12" customHeight="1" x14ac:dyDescent="0.25">
      <c r="A101" s="76" t="s">
        <v>85</v>
      </c>
      <c r="B101" s="70"/>
      <c r="C101" s="70"/>
      <c r="D101" s="70"/>
      <c r="E101" s="70"/>
      <c r="F101" s="70">
        <v>2</v>
      </c>
      <c r="G101" s="70"/>
      <c r="H101" s="73">
        <f t="shared" si="7"/>
        <v>21.381</v>
      </c>
      <c r="I101" s="73">
        <f t="shared" si="8"/>
        <v>141.381</v>
      </c>
      <c r="J101" s="74">
        <f t="shared" si="9"/>
        <v>162.762</v>
      </c>
    </row>
    <row r="102" spans="1:10" s="63" customFormat="1" ht="12" customHeight="1" x14ac:dyDescent="0.25">
      <c r="A102" s="76" t="s">
        <v>86</v>
      </c>
      <c r="B102" s="70">
        <v>1.25</v>
      </c>
      <c r="C102" s="70">
        <v>1.25</v>
      </c>
      <c r="D102" s="70"/>
      <c r="E102" s="70"/>
      <c r="F102" s="70"/>
      <c r="G102" s="70"/>
      <c r="H102" s="73">
        <f t="shared" si="7"/>
        <v>22.631</v>
      </c>
      <c r="I102" s="73">
        <f t="shared" si="8"/>
        <v>142.631</v>
      </c>
      <c r="J102" s="74">
        <f t="shared" si="9"/>
        <v>165.262</v>
      </c>
    </row>
    <row r="103" spans="1:10" s="63" customFormat="1" ht="12" customHeight="1" x14ac:dyDescent="0.25">
      <c r="A103" s="76" t="s">
        <v>87</v>
      </c>
      <c r="B103" s="70"/>
      <c r="C103" s="70"/>
      <c r="D103" s="70">
        <v>13</v>
      </c>
      <c r="E103" s="70"/>
      <c r="F103" s="70"/>
      <c r="G103" s="70"/>
      <c r="H103" s="73">
        <f t="shared" si="7"/>
        <v>9.6310000000000002</v>
      </c>
      <c r="I103" s="73">
        <f t="shared" si="8"/>
        <v>142.631</v>
      </c>
      <c r="J103" s="74">
        <f t="shared" si="9"/>
        <v>152.262</v>
      </c>
    </row>
    <row r="104" spans="1:10" s="63" customFormat="1" ht="12" customHeight="1" x14ac:dyDescent="0.25">
      <c r="A104" s="76" t="s">
        <v>88</v>
      </c>
      <c r="B104" s="70">
        <v>1.25</v>
      </c>
      <c r="C104" s="70">
        <v>1.25</v>
      </c>
      <c r="D104" s="70"/>
      <c r="E104" s="70"/>
      <c r="F104" s="70"/>
      <c r="G104" s="70"/>
      <c r="H104" s="73">
        <f t="shared" si="7"/>
        <v>10.881</v>
      </c>
      <c r="I104" s="73">
        <f t="shared" si="8"/>
        <v>143.881</v>
      </c>
      <c r="J104" s="74">
        <f t="shared" si="9"/>
        <v>154.762</v>
      </c>
    </row>
    <row r="105" spans="1:10" s="63" customFormat="1" ht="12" customHeight="1" x14ac:dyDescent="0.25">
      <c r="A105" s="76" t="s">
        <v>89</v>
      </c>
      <c r="B105" s="70"/>
      <c r="C105" s="70"/>
      <c r="D105" s="70"/>
      <c r="E105" s="70">
        <v>1</v>
      </c>
      <c r="F105" s="70"/>
      <c r="G105" s="70"/>
      <c r="H105" s="73">
        <f t="shared" si="7"/>
        <v>10.881</v>
      </c>
      <c r="I105" s="73">
        <f t="shared" si="8"/>
        <v>142.881</v>
      </c>
      <c r="J105" s="74">
        <f t="shared" si="9"/>
        <v>153.762</v>
      </c>
    </row>
    <row r="106" spans="1:10" s="63" customFormat="1" ht="12" customHeight="1" x14ac:dyDescent="0.25">
      <c r="A106" s="76" t="s">
        <v>90</v>
      </c>
      <c r="B106" s="70">
        <v>5</v>
      </c>
      <c r="C106" s="70">
        <v>5</v>
      </c>
      <c r="D106" s="70"/>
      <c r="E106" s="70"/>
      <c r="F106" s="70"/>
      <c r="G106" s="70"/>
      <c r="H106" s="73">
        <f t="shared" si="7"/>
        <v>15.881</v>
      </c>
      <c r="I106" s="73">
        <f t="shared" si="8"/>
        <v>147.881</v>
      </c>
      <c r="J106" s="74">
        <f t="shared" si="9"/>
        <v>163.762</v>
      </c>
    </row>
    <row r="107" spans="1:10" s="63" customFormat="1" ht="12" customHeight="1" x14ac:dyDescent="0.25">
      <c r="A107" s="76" t="s">
        <v>91</v>
      </c>
      <c r="B107" s="70">
        <v>1.25</v>
      </c>
      <c r="C107" s="70">
        <v>1.25</v>
      </c>
      <c r="D107" s="70"/>
      <c r="E107" s="70"/>
      <c r="F107" s="70"/>
      <c r="G107" s="70"/>
      <c r="H107" s="73">
        <f t="shared" si="7"/>
        <v>17.131</v>
      </c>
      <c r="I107" s="73">
        <f t="shared" si="8"/>
        <v>149.131</v>
      </c>
      <c r="J107" s="74">
        <f t="shared" si="9"/>
        <v>166.262</v>
      </c>
    </row>
    <row r="108" spans="1:10" s="63" customFormat="1" ht="12" customHeight="1" x14ac:dyDescent="0.25">
      <c r="A108" s="76" t="s">
        <v>92</v>
      </c>
      <c r="B108" s="70"/>
      <c r="C108" s="70"/>
      <c r="D108" s="70"/>
      <c r="E108" s="70"/>
      <c r="F108" s="77">
        <v>2</v>
      </c>
      <c r="G108" s="70"/>
      <c r="H108" s="73">
        <f t="shared" si="7"/>
        <v>15.131</v>
      </c>
      <c r="I108" s="73">
        <f t="shared" si="8"/>
        <v>149.131</v>
      </c>
      <c r="J108" s="74">
        <f t="shared" si="9"/>
        <v>164.262</v>
      </c>
    </row>
    <row r="109" spans="1:10" s="63" customFormat="1" ht="12" customHeight="1" x14ac:dyDescent="0.25">
      <c r="A109" s="76" t="s">
        <v>161</v>
      </c>
      <c r="B109" s="70"/>
      <c r="C109" s="70"/>
      <c r="D109" s="70">
        <v>0.5</v>
      </c>
      <c r="E109" s="70"/>
      <c r="F109" s="70"/>
      <c r="G109" s="70"/>
      <c r="H109" s="73">
        <f t="shared" si="7"/>
        <v>14.631</v>
      </c>
      <c r="I109" s="73">
        <f t="shared" si="8"/>
        <v>149.131</v>
      </c>
      <c r="J109" s="74">
        <f t="shared" si="9"/>
        <v>163.762</v>
      </c>
    </row>
    <row r="110" spans="1:10" s="63" customFormat="1" ht="12" customHeight="1" x14ac:dyDescent="0.25">
      <c r="A110" s="76" t="s">
        <v>162</v>
      </c>
      <c r="B110" s="70">
        <v>1.25</v>
      </c>
      <c r="C110" s="70">
        <v>1.25</v>
      </c>
      <c r="D110" s="70"/>
      <c r="E110" s="70"/>
      <c r="F110" s="70"/>
      <c r="G110" s="70"/>
      <c r="H110" s="73">
        <f t="shared" si="7"/>
        <v>15.881</v>
      </c>
      <c r="I110" s="73">
        <f t="shared" si="8"/>
        <v>150.381</v>
      </c>
      <c r="J110" s="74">
        <f t="shared" si="9"/>
        <v>166.262</v>
      </c>
    </row>
    <row r="111" spans="1:10" s="63" customFormat="1" ht="12" customHeight="1" x14ac:dyDescent="0.25">
      <c r="A111" s="69" t="s">
        <v>163</v>
      </c>
      <c r="B111" s="70"/>
      <c r="C111" s="70"/>
      <c r="D111" s="70"/>
      <c r="E111" s="70">
        <v>1</v>
      </c>
      <c r="F111" s="70"/>
      <c r="G111" s="70"/>
      <c r="H111" s="73">
        <f t="shared" si="7"/>
        <v>15.881</v>
      </c>
      <c r="I111" s="73">
        <f t="shared" si="8"/>
        <v>149.381</v>
      </c>
      <c r="J111" s="74">
        <f t="shared" si="9"/>
        <v>165.262</v>
      </c>
    </row>
    <row r="112" spans="1:10" s="63" customFormat="1" ht="12" customHeight="1" x14ac:dyDescent="0.25">
      <c r="A112" s="69" t="s">
        <v>164</v>
      </c>
      <c r="B112" s="70">
        <v>2.5</v>
      </c>
      <c r="C112" s="70">
        <v>2.5</v>
      </c>
      <c r="D112" s="70"/>
      <c r="E112" s="70"/>
      <c r="F112" s="70"/>
      <c r="G112" s="70"/>
      <c r="H112" s="73">
        <f t="shared" si="7"/>
        <v>18.381</v>
      </c>
      <c r="I112" s="73">
        <f t="shared" si="8"/>
        <v>151.881</v>
      </c>
      <c r="J112" s="74">
        <f t="shared" si="9"/>
        <v>170.262</v>
      </c>
    </row>
    <row r="113" spans="1:10" s="63" customFormat="1" ht="12" customHeight="1" x14ac:dyDescent="0.25">
      <c r="A113" s="69" t="s">
        <v>165</v>
      </c>
      <c r="B113" s="70"/>
      <c r="C113" s="70"/>
      <c r="D113" s="70"/>
      <c r="E113" s="70"/>
      <c r="F113" s="70"/>
      <c r="G113" s="78">
        <v>3</v>
      </c>
      <c r="H113" s="73">
        <f t="shared" si="7"/>
        <v>18.381</v>
      </c>
      <c r="I113" s="73">
        <f t="shared" si="8"/>
        <v>151.881</v>
      </c>
      <c r="J113" s="74">
        <f t="shared" si="9"/>
        <v>170.262</v>
      </c>
    </row>
    <row r="114" spans="1:10" s="63" customFormat="1" ht="12" customHeight="1" x14ac:dyDescent="0.25">
      <c r="A114" s="69" t="s">
        <v>170</v>
      </c>
      <c r="B114" s="70">
        <v>2.5</v>
      </c>
      <c r="C114" s="70">
        <v>2.5</v>
      </c>
      <c r="D114" s="70"/>
      <c r="E114" s="70"/>
      <c r="F114" s="70"/>
      <c r="G114" s="70"/>
      <c r="H114" s="73">
        <f t="shared" ref="H114:H115" si="10">H113-F114-D114+B114</f>
        <v>20.881</v>
      </c>
      <c r="I114" s="73">
        <f t="shared" ref="I114:I115" si="11">I113-E114+C114</f>
        <v>154.381</v>
      </c>
      <c r="J114" s="74">
        <f t="shared" ref="J114:J115" si="12">SUM(H114:I114)</f>
        <v>175.262</v>
      </c>
    </row>
    <row r="115" spans="1:10" s="63" customFormat="1" ht="12" customHeight="1" x14ac:dyDescent="0.25">
      <c r="A115" s="69" t="s">
        <v>171</v>
      </c>
      <c r="B115" s="70"/>
      <c r="C115" s="70"/>
      <c r="D115" s="70">
        <v>15</v>
      </c>
      <c r="E115" s="70"/>
      <c r="F115" s="70"/>
      <c r="G115" s="70"/>
      <c r="H115" s="73">
        <f t="shared" si="10"/>
        <v>5.8810000000000002</v>
      </c>
      <c r="I115" s="73">
        <f t="shared" si="11"/>
        <v>154.381</v>
      </c>
      <c r="J115" s="74">
        <f t="shared" si="12"/>
        <v>160.262</v>
      </c>
    </row>
    <row r="116" spans="1:10" s="71" customFormat="1" ht="16.5" customHeight="1" x14ac:dyDescent="0.25">
      <c r="A116" s="69" t="s">
        <v>173</v>
      </c>
      <c r="B116" s="70">
        <v>1.25</v>
      </c>
      <c r="C116" s="70">
        <v>1.25</v>
      </c>
      <c r="D116" s="70"/>
      <c r="E116" s="70"/>
      <c r="F116" s="70"/>
      <c r="G116" s="70"/>
      <c r="H116" s="73">
        <f t="shared" ref="H116:H117" si="13">H115-F116-D116+B116</f>
        <v>7.1310000000000002</v>
      </c>
      <c r="I116" s="73">
        <f t="shared" ref="I116:I117" si="14">I115-E116+C116</f>
        <v>155.631</v>
      </c>
      <c r="J116" s="74">
        <f t="shared" ref="J116:J117" si="15">SUM(H116:I116)</f>
        <v>162.762</v>
      </c>
    </row>
    <row r="117" spans="1:10" s="71" customFormat="1" ht="16.5" customHeight="1" x14ac:dyDescent="0.25">
      <c r="A117" s="69" t="s">
        <v>174</v>
      </c>
      <c r="B117" s="70"/>
      <c r="C117" s="70"/>
      <c r="D117" s="70"/>
      <c r="E117" s="70">
        <v>1</v>
      </c>
      <c r="F117" s="70"/>
      <c r="G117" s="70"/>
      <c r="H117" s="73">
        <f t="shared" si="13"/>
        <v>7.1310000000000002</v>
      </c>
      <c r="I117" s="73">
        <f t="shared" si="14"/>
        <v>154.631</v>
      </c>
      <c r="J117" s="74">
        <f t="shared" si="15"/>
        <v>161.762</v>
      </c>
    </row>
    <row r="118" spans="1:10" s="71" customFormat="1" ht="16.5" customHeight="1" x14ac:dyDescent="0.25">
      <c r="A118" s="69" t="s">
        <v>175</v>
      </c>
      <c r="B118" s="70"/>
      <c r="C118" s="70"/>
      <c r="D118" s="70"/>
      <c r="E118" s="70">
        <v>2</v>
      </c>
      <c r="F118" s="70"/>
      <c r="G118" s="70"/>
      <c r="H118" s="73">
        <f t="shared" ref="H118" si="16">H117-F118-D118+B118</f>
        <v>7.1310000000000002</v>
      </c>
      <c r="I118" s="73">
        <f t="shared" ref="I118" si="17">I117-E118+C118</f>
        <v>152.631</v>
      </c>
      <c r="J118" s="74">
        <f t="shared" ref="J118" si="18">SUM(H118:I118)</f>
        <v>159.762</v>
      </c>
    </row>
    <row r="119" spans="1:10" s="71" customFormat="1" ht="16.5" customHeight="1" x14ac:dyDescent="0.25">
      <c r="A119" s="69" t="s">
        <v>177</v>
      </c>
      <c r="B119" s="70">
        <v>1.25</v>
      </c>
      <c r="C119" s="70">
        <v>1.25</v>
      </c>
      <c r="D119" s="70"/>
      <c r="E119" s="70"/>
      <c r="F119" s="70"/>
      <c r="G119" s="70"/>
      <c r="H119" s="73">
        <f t="shared" ref="H119:H120" si="19">H118-F119-D119+B119</f>
        <v>8.3810000000000002</v>
      </c>
      <c r="I119" s="73">
        <f t="shared" ref="I119:I120" si="20">I118-E119+C119</f>
        <v>153.881</v>
      </c>
      <c r="J119" s="74">
        <f t="shared" ref="J119:J120" si="21">SUM(H119:I119)</f>
        <v>162.262</v>
      </c>
    </row>
    <row r="120" spans="1:10" s="71" customFormat="1" ht="16.5" customHeight="1" x14ac:dyDescent="0.25">
      <c r="A120" s="69" t="s">
        <v>179</v>
      </c>
      <c r="B120" s="70"/>
      <c r="C120" s="70"/>
      <c r="D120" s="70"/>
      <c r="E120" s="70">
        <v>2</v>
      </c>
      <c r="F120" s="70"/>
      <c r="G120" s="70"/>
      <c r="H120" s="73">
        <f t="shared" si="19"/>
        <v>8.3810000000000002</v>
      </c>
      <c r="I120" s="73">
        <f t="shared" si="20"/>
        <v>151.881</v>
      </c>
      <c r="J120" s="74">
        <f t="shared" si="21"/>
        <v>160.262</v>
      </c>
    </row>
    <row r="121" spans="1:10" s="71" customFormat="1" ht="16.5" customHeight="1" x14ac:dyDescent="0.25">
      <c r="A121" s="69" t="s">
        <v>180</v>
      </c>
      <c r="B121" s="70"/>
      <c r="C121" s="70"/>
      <c r="D121" s="70"/>
      <c r="E121" s="70">
        <v>2</v>
      </c>
      <c r="F121" s="70"/>
      <c r="G121" s="70"/>
      <c r="H121" s="73">
        <f t="shared" ref="H121" si="22">H120-F121-D121+B121</f>
        <v>8.3810000000000002</v>
      </c>
      <c r="I121" s="73">
        <f t="shared" ref="I121" si="23">I120-E121+C121</f>
        <v>149.881</v>
      </c>
      <c r="J121" s="74">
        <f t="shared" ref="J121" si="24">SUM(H121:I121)</f>
        <v>158.262</v>
      </c>
    </row>
    <row r="122" spans="1:10" s="71" customFormat="1" ht="16.5" customHeight="1" x14ac:dyDescent="0.25">
      <c r="A122" s="69" t="s">
        <v>181</v>
      </c>
      <c r="B122" s="70">
        <v>1.25</v>
      </c>
      <c r="C122" s="70">
        <v>1.25</v>
      </c>
      <c r="D122" s="70"/>
      <c r="E122" s="70"/>
      <c r="F122" s="70"/>
      <c r="G122" s="70"/>
      <c r="H122" s="73">
        <f t="shared" ref="H122:H123" si="25">H121-F122-D122+B122</f>
        <v>9.6310000000000002</v>
      </c>
      <c r="I122" s="73">
        <f t="shared" ref="I122:I123" si="26">I121-E122+C122</f>
        <v>151.131</v>
      </c>
      <c r="J122" s="74">
        <f t="shared" ref="J122:J123" si="27">SUM(H122:I122)</f>
        <v>160.762</v>
      </c>
    </row>
    <row r="123" spans="1:10" s="71" customFormat="1" ht="16.5" customHeight="1" x14ac:dyDescent="0.25">
      <c r="A123" s="69" t="s">
        <v>182</v>
      </c>
      <c r="B123" s="70"/>
      <c r="C123" s="70"/>
      <c r="D123" s="70"/>
      <c r="E123" s="70">
        <v>2</v>
      </c>
      <c r="F123" s="70"/>
      <c r="G123" s="70"/>
      <c r="H123" s="73">
        <f t="shared" si="25"/>
        <v>9.6310000000000002</v>
      </c>
      <c r="I123" s="73">
        <f t="shared" si="26"/>
        <v>149.131</v>
      </c>
      <c r="J123" s="74">
        <f t="shared" si="27"/>
        <v>158.762</v>
      </c>
    </row>
    <row r="124" spans="1:10" s="71" customFormat="1" ht="16.5" customHeight="1" x14ac:dyDescent="0.25">
      <c r="A124" s="69" t="s">
        <v>183</v>
      </c>
      <c r="B124" s="70">
        <v>1.25</v>
      </c>
      <c r="C124" s="70">
        <v>1.25</v>
      </c>
      <c r="D124" s="70"/>
      <c r="E124" s="70"/>
      <c r="F124" s="70"/>
      <c r="G124" s="70"/>
      <c r="H124" s="73">
        <f t="shared" ref="H124:H125" si="28">H123-F124-D124+B124</f>
        <v>10.881</v>
      </c>
      <c r="I124" s="73">
        <f t="shared" ref="I124:I125" si="29">I123-E124+C124</f>
        <v>150.381</v>
      </c>
      <c r="J124" s="74">
        <f t="shared" ref="J124:J125" si="30">SUM(H124:I124)</f>
        <v>161.262</v>
      </c>
    </row>
    <row r="125" spans="1:10" s="63" customFormat="1" ht="15.75" customHeight="1" x14ac:dyDescent="0.25">
      <c r="A125" s="79" t="s">
        <v>184</v>
      </c>
      <c r="B125" s="38"/>
      <c r="C125" s="38"/>
      <c r="D125" s="38"/>
      <c r="E125" s="38"/>
      <c r="F125" s="42">
        <v>3</v>
      </c>
      <c r="G125" s="38"/>
      <c r="H125" s="73">
        <f t="shared" si="28"/>
        <v>7.8810000000000002</v>
      </c>
      <c r="I125" s="73">
        <f t="shared" si="29"/>
        <v>150.381</v>
      </c>
      <c r="J125" s="74">
        <f t="shared" si="30"/>
        <v>158.262</v>
      </c>
    </row>
    <row r="126" spans="1:10" s="159" customFormat="1" ht="15.75" customHeight="1" x14ac:dyDescent="0.25">
      <c r="A126" s="160" t="s">
        <v>188</v>
      </c>
      <c r="B126" s="161">
        <v>1.25</v>
      </c>
      <c r="C126" s="161">
        <v>1.25</v>
      </c>
      <c r="D126" s="161"/>
      <c r="E126" s="161"/>
      <c r="F126" s="161"/>
      <c r="G126" s="161"/>
      <c r="H126" s="73">
        <f t="shared" ref="H126" si="31">H125-F126-D126+B126</f>
        <v>9.1310000000000002</v>
      </c>
      <c r="I126" s="73">
        <f t="shared" ref="I126" si="32">I125-E126+C126</f>
        <v>151.631</v>
      </c>
      <c r="J126" s="74">
        <f t="shared" ref="J126" si="33">SUM(H126:I126)</f>
        <v>160.762</v>
      </c>
    </row>
    <row r="127" spans="1:10" s="159" customFormat="1" ht="15.75" customHeight="1" x14ac:dyDescent="0.25">
      <c r="A127" s="155"/>
      <c r="B127" s="156"/>
      <c r="C127" s="156"/>
      <c r="D127" s="156"/>
      <c r="E127" s="156"/>
      <c r="F127" s="156"/>
      <c r="G127" s="156"/>
      <c r="H127" s="157"/>
      <c r="I127" s="157"/>
      <c r="J127" s="158"/>
    </row>
    <row r="131" spans="1:10" s="63" customFormat="1" x14ac:dyDescent="0.25">
      <c r="A131"/>
      <c r="B131"/>
      <c r="C131"/>
      <c r="D131"/>
      <c r="E131"/>
      <c r="F131" s="66" t="s">
        <v>100</v>
      </c>
      <c r="G131" s="66"/>
      <c r="H131"/>
      <c r="I131"/>
      <c r="J131" s="45"/>
    </row>
  </sheetData>
  <mergeCells count="13">
    <mergeCell ref="K11:K12"/>
    <mergeCell ref="A10:J10"/>
    <mergeCell ref="A11:A12"/>
    <mergeCell ref="B11:C11"/>
    <mergeCell ref="D11:G11"/>
    <mergeCell ref="H11:I11"/>
    <mergeCell ref="J11:J12"/>
    <mergeCell ref="B9:D9"/>
    <mergeCell ref="A2:J2"/>
    <mergeCell ref="A3:J3"/>
    <mergeCell ref="A4:J4"/>
    <mergeCell ref="A5:J5"/>
    <mergeCell ref="B7:D7"/>
  </mergeCells>
  <phoneticPr fontId="15" type="noConversion"/>
  <printOptions horizontalCentered="1"/>
  <pageMargins left="0.23622047244094491" right="0.23622047244094491" top="0.59055118110236227" bottom="0.11811023622047245" header="0.31496062992125984" footer="0.31496062992125984"/>
  <pageSetup paperSize="9" scale="65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72EA0-9A0B-490C-8ACD-B8EE3A97F600}">
  <sheetPr>
    <pageSetUpPr fitToPage="1"/>
  </sheetPr>
  <dimension ref="A1:L29"/>
  <sheetViews>
    <sheetView workbookViewId="0">
      <selection activeCell="C25" sqref="C25"/>
    </sheetView>
  </sheetViews>
  <sheetFormatPr defaultRowHeight="15" x14ac:dyDescent="0.25"/>
  <cols>
    <col min="1" max="1" width="33.5703125" style="26" customWidth="1"/>
    <col min="2" max="4" width="9.140625" style="26"/>
    <col min="5" max="5" width="10.5703125" style="26" customWidth="1"/>
    <col min="6" max="10" width="9.140625" style="26"/>
    <col min="11" max="11" width="6.42578125" style="26" customWidth="1"/>
    <col min="12" max="12" width="9.140625" style="26"/>
  </cols>
  <sheetData>
    <row r="1" spans="1:12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</row>
    <row r="4" spans="1:12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spans="1:12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 spans="1:12" x14ac:dyDescent="0.25">
      <c r="A6" s="104" t="s">
        <v>8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</row>
    <row r="7" spans="1:12" x14ac:dyDescent="0.25">
      <c r="A7" s="104" t="s">
        <v>9</v>
      </c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</row>
    <row r="8" spans="1:12" x14ac:dyDescent="0.25">
      <c r="A8" s="104" t="s">
        <v>10</v>
      </c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</row>
    <row r="9" spans="1:12" x14ac:dyDescent="0.25">
      <c r="A9" s="104" t="s">
        <v>11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</row>
    <row r="10" spans="1:12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x14ac:dyDescent="0.25">
      <c r="A11" s="16" t="s">
        <v>37</v>
      </c>
      <c r="B11" s="16"/>
      <c r="C11" s="17" t="s">
        <v>38</v>
      </c>
      <c r="D11" s="17"/>
      <c r="E11" s="16"/>
      <c r="F11" s="16"/>
      <c r="G11" s="17" t="s">
        <v>51</v>
      </c>
      <c r="H11" s="18"/>
      <c r="I11" s="16"/>
      <c r="J11" s="16"/>
      <c r="K11" s="16"/>
      <c r="L11" s="16"/>
    </row>
    <row r="12" spans="1:12" x14ac:dyDescent="0.25">
      <c r="A12" s="16"/>
      <c r="B12" s="16"/>
      <c r="C12" s="19"/>
      <c r="D12" s="16"/>
      <c r="E12" s="16"/>
      <c r="F12" s="16"/>
      <c r="G12" s="19"/>
      <c r="H12" s="19"/>
      <c r="I12" s="16"/>
      <c r="J12" s="16"/>
      <c r="K12" s="16"/>
      <c r="L12" s="16"/>
    </row>
    <row r="13" spans="1:12" x14ac:dyDescent="0.25">
      <c r="A13" s="16" t="s">
        <v>39</v>
      </c>
      <c r="B13" s="16"/>
      <c r="C13" s="17" t="s">
        <v>40</v>
      </c>
      <c r="D13" s="17"/>
      <c r="E13" s="16"/>
      <c r="F13" s="16"/>
      <c r="G13" s="17" t="s">
        <v>41</v>
      </c>
      <c r="H13" s="20"/>
      <c r="I13" s="16"/>
      <c r="J13" s="16"/>
      <c r="K13" s="16"/>
      <c r="L13" s="16"/>
    </row>
    <row r="14" spans="1:12" ht="21.75" thickBot="1" x14ac:dyDescent="0.3">
      <c r="A14" s="105" t="s">
        <v>63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</row>
    <row r="15" spans="1:12" x14ac:dyDescent="0.25">
      <c r="A15" s="106" t="s">
        <v>3</v>
      </c>
      <c r="B15" s="108" t="s">
        <v>4</v>
      </c>
      <c r="C15" s="109"/>
      <c r="D15" s="109"/>
      <c r="E15" s="109"/>
      <c r="F15" s="109"/>
      <c r="G15" s="109"/>
      <c r="H15" s="109"/>
      <c r="I15" s="109"/>
      <c r="J15" s="109"/>
      <c r="K15" s="109"/>
      <c r="L15" s="110" t="s">
        <v>7</v>
      </c>
    </row>
    <row r="16" spans="1:12" x14ac:dyDescent="0.25">
      <c r="A16" s="107"/>
      <c r="B16" s="102" t="s">
        <v>64</v>
      </c>
      <c r="C16" s="112"/>
      <c r="D16" s="112"/>
      <c r="E16" s="103"/>
      <c r="F16" s="102" t="s">
        <v>56</v>
      </c>
      <c r="G16" s="103"/>
      <c r="H16" s="102" t="s">
        <v>57</v>
      </c>
      <c r="I16" s="103"/>
      <c r="J16" s="102" t="s">
        <v>58</v>
      </c>
      <c r="K16" s="103"/>
      <c r="L16" s="111"/>
    </row>
    <row r="17" spans="1:12" ht="24.75" customHeight="1" x14ac:dyDescent="0.25">
      <c r="A17" s="27" t="s">
        <v>65</v>
      </c>
      <c r="B17" s="98" t="s">
        <v>66</v>
      </c>
      <c r="C17" s="99"/>
      <c r="D17" s="99"/>
      <c r="E17" s="100"/>
      <c r="F17" s="98">
        <v>1</v>
      </c>
      <c r="G17" s="100"/>
      <c r="H17" s="98">
        <v>0</v>
      </c>
      <c r="I17" s="100"/>
      <c r="J17" s="98">
        <v>1</v>
      </c>
      <c r="K17" s="100"/>
      <c r="L17" s="28">
        <v>1</v>
      </c>
    </row>
    <row r="18" spans="1:12" ht="24.75" customHeight="1" x14ac:dyDescent="0.25">
      <c r="A18" s="27" t="s">
        <v>72</v>
      </c>
      <c r="B18" s="98" t="s">
        <v>66</v>
      </c>
      <c r="C18" s="99"/>
      <c r="D18" s="99"/>
      <c r="E18" s="100"/>
      <c r="F18" s="98"/>
      <c r="G18" s="100"/>
      <c r="H18" s="98">
        <v>1</v>
      </c>
      <c r="I18" s="100"/>
      <c r="J18" s="98">
        <v>0</v>
      </c>
      <c r="K18" s="100"/>
      <c r="L18" s="68">
        <v>0</v>
      </c>
    </row>
    <row r="19" spans="1:12" ht="24.75" hidden="1" customHeight="1" x14ac:dyDescent="0.25">
      <c r="A19" s="27" t="s">
        <v>166</v>
      </c>
      <c r="B19" s="98" t="s">
        <v>167</v>
      </c>
      <c r="C19" s="99"/>
      <c r="D19" s="99"/>
      <c r="E19" s="100"/>
      <c r="F19" s="98">
        <v>1</v>
      </c>
      <c r="G19" s="100"/>
      <c r="H19" s="98">
        <v>0</v>
      </c>
      <c r="I19" s="100"/>
      <c r="J19" s="98">
        <v>1</v>
      </c>
      <c r="K19" s="100"/>
      <c r="L19" s="28">
        <v>1</v>
      </c>
    </row>
    <row r="20" spans="1:12" ht="24.75" hidden="1" customHeight="1" x14ac:dyDescent="0.25">
      <c r="A20" s="27" t="s">
        <v>168</v>
      </c>
      <c r="B20" s="98" t="s">
        <v>167</v>
      </c>
      <c r="C20" s="99"/>
      <c r="D20" s="99"/>
      <c r="E20" s="100"/>
      <c r="F20" s="98"/>
      <c r="G20" s="100"/>
      <c r="H20" s="98">
        <v>1</v>
      </c>
      <c r="I20" s="100"/>
      <c r="J20" s="98">
        <v>0</v>
      </c>
      <c r="K20" s="100"/>
      <c r="L20" s="68">
        <v>0</v>
      </c>
    </row>
    <row r="21" spans="1:12" s="4" customFormat="1" ht="24" customHeight="1" x14ac:dyDescent="0.2">
      <c r="A21" s="147" t="s">
        <v>185</v>
      </c>
      <c r="B21" s="148" t="s">
        <v>186</v>
      </c>
      <c r="C21" s="149"/>
      <c r="D21" s="149"/>
      <c r="E21" s="150"/>
      <c r="F21" s="151">
        <v>1</v>
      </c>
      <c r="G21" s="152"/>
      <c r="H21" s="148">
        <v>0</v>
      </c>
      <c r="I21" s="150"/>
      <c r="J21" s="148">
        <v>1</v>
      </c>
      <c r="K21" s="150"/>
      <c r="L21" s="153">
        <v>1</v>
      </c>
    </row>
    <row r="22" spans="1:12" s="4" customFormat="1" ht="25.5" customHeight="1" x14ac:dyDescent="0.2">
      <c r="A22" s="147" t="s">
        <v>187</v>
      </c>
      <c r="B22" s="148" t="s">
        <v>186</v>
      </c>
      <c r="C22" s="149"/>
      <c r="D22" s="149"/>
      <c r="E22" s="150"/>
      <c r="F22" s="151"/>
      <c r="G22" s="152"/>
      <c r="H22" s="148">
        <v>1</v>
      </c>
      <c r="I22" s="150"/>
      <c r="J22" s="148">
        <v>0</v>
      </c>
      <c r="K22" s="150"/>
      <c r="L22" s="154">
        <v>0</v>
      </c>
    </row>
    <row r="23" spans="1:12" ht="24.75" customHeight="1" x14ac:dyDescent="0.25">
      <c r="A23" s="29" t="s">
        <v>67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x14ac:dyDescent="0.25">
      <c r="A24" s="101"/>
      <c r="B24" s="101"/>
      <c r="C24" s="101"/>
      <c r="D24" s="101"/>
      <c r="E24" s="101"/>
      <c r="F24" s="101"/>
      <c r="G24" s="101"/>
      <c r="H24" s="101"/>
      <c r="I24" s="101"/>
      <c r="J24" s="101"/>
      <c r="K24" s="101"/>
      <c r="L24" s="101"/>
    </row>
    <row r="25" spans="1:12" x14ac:dyDescent="0.25">
      <c r="C25" s="25"/>
      <c r="D25" s="16"/>
      <c r="E25" s="16"/>
      <c r="F25" s="16"/>
      <c r="G25" s="16"/>
      <c r="H25" s="16"/>
      <c r="I25" s="16" t="s">
        <v>68</v>
      </c>
      <c r="J25" s="16"/>
      <c r="K25" s="16"/>
      <c r="L25" s="16"/>
    </row>
    <row r="26" spans="1:12" x14ac:dyDescent="0.25">
      <c r="C26" s="25"/>
      <c r="D26" s="16"/>
      <c r="E26" s="16"/>
      <c r="F26" s="16"/>
      <c r="G26" s="16"/>
      <c r="H26" s="16"/>
      <c r="I26" s="16"/>
      <c r="J26" s="16"/>
      <c r="K26" s="16"/>
      <c r="L26" s="16"/>
    </row>
    <row r="27" spans="1:12" x14ac:dyDescent="0.25">
      <c r="I27" s="96" t="s">
        <v>69</v>
      </c>
      <c r="J27" s="96"/>
      <c r="K27" s="96"/>
    </row>
    <row r="28" spans="1:12" x14ac:dyDescent="0.25">
      <c r="I28" s="97" t="s">
        <v>70</v>
      </c>
      <c r="J28" s="97"/>
      <c r="K28" s="97"/>
    </row>
    <row r="29" spans="1:12" x14ac:dyDescent="0.25">
      <c r="I29" s="95" t="s">
        <v>71</v>
      </c>
      <c r="J29" s="95"/>
      <c r="K29" s="95"/>
    </row>
  </sheetData>
  <mergeCells count="38">
    <mergeCell ref="H21:I21"/>
    <mergeCell ref="J21:K21"/>
    <mergeCell ref="B22:E22"/>
    <mergeCell ref="H22:I22"/>
    <mergeCell ref="J22:K22"/>
    <mergeCell ref="H16:I16"/>
    <mergeCell ref="J16:K16"/>
    <mergeCell ref="A6:L6"/>
    <mergeCell ref="A7:L7"/>
    <mergeCell ref="A8:L8"/>
    <mergeCell ref="A9:L9"/>
    <mergeCell ref="A14:L14"/>
    <mergeCell ref="A15:A16"/>
    <mergeCell ref="B15:K15"/>
    <mergeCell ref="L15:L16"/>
    <mergeCell ref="B16:E16"/>
    <mergeCell ref="F16:G16"/>
    <mergeCell ref="B17:E17"/>
    <mergeCell ref="F17:G17"/>
    <mergeCell ref="H17:I17"/>
    <mergeCell ref="J17:K17"/>
    <mergeCell ref="J19:K19"/>
    <mergeCell ref="I29:K29"/>
    <mergeCell ref="I27:K27"/>
    <mergeCell ref="I28:K28"/>
    <mergeCell ref="B18:E18"/>
    <mergeCell ref="F18:G18"/>
    <mergeCell ref="H18:I18"/>
    <mergeCell ref="B19:E19"/>
    <mergeCell ref="F19:G19"/>
    <mergeCell ref="H19:I19"/>
    <mergeCell ref="J18:K18"/>
    <mergeCell ref="A24:L24"/>
    <mergeCell ref="J20:K20"/>
    <mergeCell ref="B20:E20"/>
    <mergeCell ref="F20:G20"/>
    <mergeCell ref="H20:I20"/>
    <mergeCell ref="B21:E21"/>
  </mergeCells>
  <phoneticPr fontId="15" type="noConversion"/>
  <pageMargins left="0.7" right="0.7" top="0.75" bottom="0.75" header="0.3" footer="0.3"/>
  <pageSetup paperSize="9" scale="66" fitToHeight="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479C4-65A5-42CA-AB84-62CB124C9FD6}">
  <dimension ref="A1:M23"/>
  <sheetViews>
    <sheetView workbookViewId="0">
      <selection activeCell="A19" sqref="A19:XFD19"/>
    </sheetView>
  </sheetViews>
  <sheetFormatPr defaultRowHeight="15" x14ac:dyDescent="0.25"/>
  <cols>
    <col min="1" max="1" width="29.5703125" style="26" customWidth="1"/>
    <col min="2" max="2" width="19.5703125" style="26" customWidth="1"/>
    <col min="3" max="3" width="9.140625" style="26"/>
    <col min="4" max="4" width="7.42578125" style="26" customWidth="1"/>
    <col min="5" max="5" width="9.140625" style="26"/>
    <col min="6" max="6" width="5.140625" style="26" customWidth="1"/>
    <col min="7" max="7" width="9.140625" style="26"/>
    <col min="8" max="8" width="10.85546875" style="26" customWidth="1"/>
    <col min="9" max="9" width="7.5703125" style="26" customWidth="1"/>
    <col min="10" max="10" width="5.140625" style="26" customWidth="1"/>
    <col min="11" max="11" width="7.140625" style="26" customWidth="1"/>
    <col min="12" max="12" width="3.85546875" style="26" customWidth="1"/>
    <col min="13" max="13" width="8" style="26" customWidth="1"/>
  </cols>
  <sheetData>
    <row r="1" spans="1:13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1:13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1:13" x14ac:dyDescent="0.25">
      <c r="A6" s="104" t="s">
        <v>8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6"/>
      <c r="M6" s="16"/>
    </row>
    <row r="7" spans="1:13" x14ac:dyDescent="0.25">
      <c r="A7" s="104" t="s">
        <v>9</v>
      </c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6"/>
      <c r="M7" s="16"/>
    </row>
    <row r="8" spans="1:13" x14ac:dyDescent="0.25">
      <c r="A8" s="104" t="s">
        <v>10</v>
      </c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6"/>
      <c r="M8" s="16"/>
    </row>
    <row r="9" spans="1:13" x14ac:dyDescent="0.25">
      <c r="A9" s="104" t="s">
        <v>11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6"/>
      <c r="M9" s="16"/>
    </row>
    <row r="10" spans="1:13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</row>
    <row r="11" spans="1:13" x14ac:dyDescent="0.25">
      <c r="A11" s="16" t="s">
        <v>37</v>
      </c>
      <c r="B11" s="116" t="s">
        <v>38</v>
      </c>
      <c r="C11" s="116"/>
      <c r="D11" s="116"/>
      <c r="E11" s="16"/>
      <c r="F11" s="16"/>
      <c r="G11" s="16"/>
      <c r="H11" s="17" t="s">
        <v>51</v>
      </c>
      <c r="I11" s="117"/>
      <c r="J11" s="117"/>
      <c r="K11" s="17"/>
      <c r="L11" s="16"/>
      <c r="M11" s="16"/>
    </row>
    <row r="12" spans="1:13" x14ac:dyDescent="0.25">
      <c r="A12" s="16"/>
      <c r="B12" s="19"/>
      <c r="C12" s="19"/>
      <c r="D12" s="16"/>
      <c r="E12" s="16"/>
      <c r="F12" s="16"/>
      <c r="G12" s="16"/>
      <c r="H12" s="19"/>
      <c r="I12" s="19"/>
      <c r="J12" s="19"/>
      <c r="K12" s="19"/>
      <c r="L12" s="16"/>
      <c r="M12" s="16"/>
    </row>
    <row r="13" spans="1:13" x14ac:dyDescent="0.25">
      <c r="A13" s="16" t="s">
        <v>39</v>
      </c>
      <c r="B13" s="116" t="s">
        <v>40</v>
      </c>
      <c r="C13" s="116"/>
      <c r="D13" s="116"/>
      <c r="E13" s="16"/>
      <c r="F13" s="16"/>
      <c r="G13" s="16"/>
      <c r="H13" s="17" t="s">
        <v>41</v>
      </c>
      <c r="I13" s="20"/>
      <c r="J13" s="20"/>
      <c r="K13" s="17"/>
      <c r="L13" s="16"/>
      <c r="M13" s="16"/>
    </row>
    <row r="14" spans="1:13" ht="21.75" thickBot="1" x14ac:dyDescent="0.3">
      <c r="A14" s="118" t="s">
        <v>52</v>
      </c>
      <c r="B14" s="118"/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</row>
    <row r="15" spans="1:13" x14ac:dyDescent="0.25">
      <c r="A15" s="119" t="s">
        <v>53</v>
      </c>
      <c r="B15" s="122" t="s">
        <v>3</v>
      </c>
      <c r="C15" s="125" t="s">
        <v>54</v>
      </c>
      <c r="D15" s="126"/>
      <c r="E15" s="125" t="s">
        <v>55</v>
      </c>
      <c r="F15" s="126"/>
      <c r="G15" s="125" t="s">
        <v>56</v>
      </c>
      <c r="H15" s="126"/>
      <c r="I15" s="125" t="s">
        <v>57</v>
      </c>
      <c r="J15" s="126"/>
      <c r="K15" s="125" t="s">
        <v>58</v>
      </c>
      <c r="L15" s="126"/>
      <c r="M15" s="131" t="s">
        <v>7</v>
      </c>
    </row>
    <row r="16" spans="1:13" x14ac:dyDescent="0.25">
      <c r="A16" s="120"/>
      <c r="B16" s="123"/>
      <c r="C16" s="127"/>
      <c r="D16" s="128"/>
      <c r="E16" s="127"/>
      <c r="F16" s="128"/>
      <c r="G16" s="127"/>
      <c r="H16" s="128"/>
      <c r="I16" s="127"/>
      <c r="J16" s="128"/>
      <c r="K16" s="127"/>
      <c r="L16" s="128"/>
      <c r="M16" s="132"/>
    </row>
    <row r="17" spans="1:13" x14ac:dyDescent="0.25">
      <c r="A17" s="121"/>
      <c r="B17" s="124"/>
      <c r="C17" s="129"/>
      <c r="D17" s="130"/>
      <c r="E17" s="129"/>
      <c r="F17" s="130"/>
      <c r="G17" s="129"/>
      <c r="H17" s="130"/>
      <c r="I17" s="129"/>
      <c r="J17" s="130"/>
      <c r="K17" s="129"/>
      <c r="L17" s="130"/>
      <c r="M17" s="133"/>
    </row>
    <row r="18" spans="1:13" ht="26.25" customHeight="1" x14ac:dyDescent="0.25">
      <c r="A18" s="21" t="s">
        <v>59</v>
      </c>
      <c r="B18" s="22" t="s">
        <v>60</v>
      </c>
      <c r="C18" s="98"/>
      <c r="D18" s="99"/>
      <c r="E18" s="98" t="s">
        <v>61</v>
      </c>
      <c r="F18" s="99"/>
      <c r="G18" s="98">
        <v>5</v>
      </c>
      <c r="H18" s="100"/>
      <c r="I18" s="98">
        <v>0</v>
      </c>
      <c r="J18" s="100"/>
      <c r="K18" s="98">
        <f>G18-I18</f>
        <v>5</v>
      </c>
      <c r="L18" s="100"/>
      <c r="M18" s="23">
        <v>5</v>
      </c>
    </row>
    <row r="19" spans="1:13" ht="22.5" customHeight="1" x14ac:dyDescent="0.25">
      <c r="A19" s="32"/>
      <c r="B19" s="33" t="s">
        <v>62</v>
      </c>
      <c r="C19" s="113"/>
      <c r="D19" s="114"/>
      <c r="E19" s="113" t="s">
        <v>61</v>
      </c>
      <c r="F19" s="115"/>
      <c r="G19" s="113"/>
      <c r="H19" s="114"/>
      <c r="I19" s="113">
        <v>2</v>
      </c>
      <c r="J19" s="114"/>
      <c r="K19" s="113">
        <v>3</v>
      </c>
      <c r="L19" s="114"/>
      <c r="M19" s="34">
        <v>3</v>
      </c>
    </row>
    <row r="20" spans="1:13" ht="22.5" customHeight="1" x14ac:dyDescent="0.25">
      <c r="A20" s="32"/>
      <c r="B20" s="33" t="s">
        <v>76</v>
      </c>
      <c r="C20" s="113"/>
      <c r="D20" s="114"/>
      <c r="E20" s="113" t="s">
        <v>61</v>
      </c>
      <c r="F20" s="115"/>
      <c r="G20" s="113"/>
      <c r="H20" s="114"/>
      <c r="I20" s="113">
        <v>1</v>
      </c>
      <c r="J20" s="114"/>
      <c r="K20" s="113">
        <v>2</v>
      </c>
      <c r="L20" s="114"/>
      <c r="M20" s="34">
        <v>2</v>
      </c>
    </row>
    <row r="21" spans="1:13" x14ac:dyDescent="0.25">
      <c r="A21" s="24"/>
      <c r="B21" s="24"/>
      <c r="C21" s="16"/>
      <c r="D21" s="25"/>
      <c r="E21" s="16"/>
      <c r="F21" s="16"/>
      <c r="G21" s="16"/>
      <c r="H21" s="16"/>
      <c r="I21" s="16"/>
      <c r="J21" s="16"/>
      <c r="K21" s="16"/>
      <c r="L21" s="16"/>
      <c r="M21" s="24"/>
    </row>
    <row r="22" spans="1:13" x14ac:dyDescent="0.25">
      <c r="A22" s="16"/>
      <c r="B22" s="16"/>
      <c r="C22" s="16"/>
      <c r="D22" s="25"/>
      <c r="E22" s="16"/>
      <c r="F22" s="16"/>
      <c r="G22" s="16"/>
      <c r="H22" s="16"/>
      <c r="I22" s="16"/>
      <c r="J22" s="16"/>
      <c r="K22" s="16"/>
      <c r="L22" s="16"/>
      <c r="M22" s="16"/>
    </row>
    <row r="23" spans="1:13" x14ac:dyDescent="0.25">
      <c r="A23" s="16"/>
      <c r="B23" s="16"/>
      <c r="C23" s="16"/>
      <c r="D23" s="25"/>
      <c r="E23" s="16"/>
      <c r="F23" s="16"/>
      <c r="G23" s="16"/>
      <c r="H23" s="16"/>
      <c r="I23" s="16"/>
      <c r="J23" s="16"/>
      <c r="K23" s="16"/>
      <c r="L23" s="16"/>
      <c r="M23" s="16"/>
    </row>
  </sheetData>
  <mergeCells count="31"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B13:D13"/>
    <mergeCell ref="A14:M14"/>
    <mergeCell ref="A15:A17"/>
    <mergeCell ref="B15:B17"/>
    <mergeCell ref="C15:D17"/>
    <mergeCell ref="E15:F17"/>
    <mergeCell ref="G15:H17"/>
    <mergeCell ref="I15:J17"/>
    <mergeCell ref="K15:L17"/>
    <mergeCell ref="M15:M17"/>
    <mergeCell ref="A6:K6"/>
    <mergeCell ref="A7:K7"/>
    <mergeCell ref="A8:K8"/>
    <mergeCell ref="A9:K9"/>
    <mergeCell ref="B11:D11"/>
    <mergeCell ref="I11:J11"/>
    <mergeCell ref="C20:D20"/>
    <mergeCell ref="E20:F20"/>
    <mergeCell ref="G20:H20"/>
    <mergeCell ref="I20:J20"/>
    <mergeCell ref="K20:L20"/>
  </mergeCells>
  <phoneticPr fontId="15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32A69-E3FF-428F-BE01-6554F89F3743}">
  <sheetPr>
    <pageSetUpPr fitToPage="1"/>
  </sheetPr>
  <dimension ref="A1:J72"/>
  <sheetViews>
    <sheetView view="pageBreakPreview" topLeftCell="A18" zoomScaleNormal="100" zoomScaleSheetLayoutView="100" workbookViewId="0">
      <selection activeCell="A66" sqref="A66"/>
    </sheetView>
  </sheetViews>
  <sheetFormatPr defaultRowHeight="15" x14ac:dyDescent="0.25"/>
  <cols>
    <col min="1" max="1" width="35.5703125" style="50" customWidth="1"/>
    <col min="2" max="2" width="11.5703125" style="5" customWidth="1"/>
    <col min="3" max="3" width="11.5703125" style="6" customWidth="1"/>
    <col min="4" max="4" width="11.5703125" style="5" customWidth="1"/>
    <col min="5" max="5" width="11.5703125" style="6" customWidth="1"/>
    <col min="6" max="10" width="11.5703125" customWidth="1"/>
  </cols>
  <sheetData>
    <row r="1" spans="1:10" s="1" customFormat="1" ht="52.5" customHeight="1" x14ac:dyDescent="0.25">
      <c r="A1" s="47"/>
      <c r="F1"/>
      <c r="H1"/>
      <c r="I1"/>
    </row>
    <row r="2" spans="1:10" s="1" customFormat="1" ht="10.5" customHeight="1" x14ac:dyDescent="0.25">
      <c r="A2" s="81" t="s">
        <v>8</v>
      </c>
      <c r="B2" s="81"/>
      <c r="C2" s="81"/>
      <c r="D2" s="81"/>
      <c r="E2" s="81"/>
      <c r="F2" s="81"/>
      <c r="G2" s="81"/>
      <c r="H2" s="81"/>
      <c r="I2" s="81"/>
      <c r="J2" s="81"/>
    </row>
    <row r="3" spans="1:10" s="1" customFormat="1" ht="15.95" customHeight="1" x14ac:dyDescent="0.25">
      <c r="A3" s="81" t="s">
        <v>9</v>
      </c>
      <c r="B3" s="81"/>
      <c r="C3" s="81"/>
      <c r="D3" s="81"/>
      <c r="E3" s="81"/>
      <c r="F3" s="81"/>
      <c r="G3" s="81"/>
      <c r="H3" s="81"/>
      <c r="I3" s="81"/>
      <c r="J3" s="81"/>
    </row>
    <row r="4" spans="1:10" s="1" customFormat="1" ht="15.95" customHeight="1" x14ac:dyDescent="0.25">
      <c r="A4" s="81" t="s">
        <v>10</v>
      </c>
      <c r="B4" s="81"/>
      <c r="C4" s="81"/>
      <c r="D4" s="81"/>
      <c r="E4" s="81"/>
      <c r="F4" s="81"/>
      <c r="G4" s="81"/>
      <c r="H4" s="81"/>
      <c r="I4" s="81"/>
      <c r="J4" s="81"/>
    </row>
    <row r="5" spans="1:10" s="1" customFormat="1" ht="15.95" customHeight="1" x14ac:dyDescent="0.25">
      <c r="A5" s="81" t="s">
        <v>11</v>
      </c>
      <c r="B5" s="81"/>
      <c r="C5" s="81"/>
      <c r="D5" s="81"/>
      <c r="E5" s="81"/>
      <c r="F5" s="81"/>
      <c r="G5" s="81"/>
      <c r="H5" s="81"/>
      <c r="I5" s="81"/>
      <c r="J5" s="81"/>
    </row>
    <row r="6" spans="1:10" s="1" customFormat="1" ht="8.25" customHeight="1" x14ac:dyDescent="0.25">
      <c r="A6" s="47"/>
      <c r="F6"/>
      <c r="H6"/>
      <c r="I6"/>
    </row>
    <row r="7" spans="1:10" s="1" customFormat="1" ht="12" customHeight="1" x14ac:dyDescent="0.25">
      <c r="A7" s="47" t="s">
        <v>37</v>
      </c>
      <c r="B7" s="80" t="s">
        <v>38</v>
      </c>
      <c r="C7" s="80"/>
      <c r="D7" s="80"/>
      <c r="F7"/>
      <c r="H7" s="43" t="s">
        <v>43</v>
      </c>
      <c r="I7" s="44"/>
      <c r="J7" s="2"/>
    </row>
    <row r="8" spans="1:10" s="1" customFormat="1" ht="12" customHeight="1" x14ac:dyDescent="0.25">
      <c r="A8" s="47"/>
      <c r="B8" s="3"/>
      <c r="C8" s="3"/>
      <c r="F8"/>
      <c r="H8" s="45"/>
      <c r="I8" s="45"/>
      <c r="J8" s="3"/>
    </row>
    <row r="9" spans="1:10" s="1" customFormat="1" ht="12" customHeight="1" x14ac:dyDescent="0.25">
      <c r="A9" s="47" t="s">
        <v>39</v>
      </c>
      <c r="B9" s="80" t="s">
        <v>40</v>
      </c>
      <c r="C9" s="80"/>
      <c r="D9" s="80"/>
      <c r="F9"/>
      <c r="H9" s="43" t="s">
        <v>41</v>
      </c>
      <c r="I9" s="46"/>
      <c r="J9" s="2"/>
    </row>
    <row r="10" spans="1:10" ht="16.5" customHeight="1" thickBot="1" x14ac:dyDescent="0.3">
      <c r="A10" s="83" t="s">
        <v>42</v>
      </c>
      <c r="B10" s="83"/>
      <c r="C10" s="83"/>
      <c r="D10" s="83"/>
      <c r="E10" s="83"/>
      <c r="F10" s="83"/>
      <c r="G10" s="83"/>
      <c r="H10" s="83"/>
      <c r="I10" s="83"/>
      <c r="J10" s="83"/>
    </row>
    <row r="11" spans="1:10" s="4" customFormat="1" ht="18.75" customHeight="1" thickBot="1" x14ac:dyDescent="0.25">
      <c r="A11" s="134" t="s">
        <v>28</v>
      </c>
      <c r="B11" s="135"/>
      <c r="C11" s="135"/>
      <c r="D11" s="135"/>
      <c r="E11" s="135"/>
      <c r="F11" s="135"/>
      <c r="G11" s="135"/>
      <c r="H11" s="135"/>
      <c r="I11" s="135"/>
      <c r="J11" s="136"/>
    </row>
    <row r="12" spans="1:10" s="4" customFormat="1" ht="15.95" customHeight="1" x14ac:dyDescent="0.2">
      <c r="A12" s="137" t="s">
        <v>3</v>
      </c>
      <c r="B12" s="139" t="s">
        <v>4</v>
      </c>
      <c r="C12" s="140"/>
      <c r="D12" s="141" t="s">
        <v>5</v>
      </c>
      <c r="E12" s="142"/>
      <c r="F12" s="142"/>
      <c r="G12" s="142"/>
      <c r="H12" s="143" t="s">
        <v>6</v>
      </c>
      <c r="I12" s="144"/>
      <c r="J12" s="145" t="s">
        <v>7</v>
      </c>
    </row>
    <row r="13" spans="1:10" s="4" customFormat="1" ht="41.25" customHeight="1" x14ac:dyDescent="0.2">
      <c r="A13" s="138"/>
      <c r="B13" s="36" t="s">
        <v>0</v>
      </c>
      <c r="C13" s="36" t="s">
        <v>1</v>
      </c>
      <c r="D13" s="36" t="s">
        <v>0</v>
      </c>
      <c r="E13" s="36" t="s">
        <v>1</v>
      </c>
      <c r="F13" s="36" t="s">
        <v>2</v>
      </c>
      <c r="G13" s="53" t="s">
        <v>13</v>
      </c>
      <c r="H13" s="36" t="s">
        <v>0</v>
      </c>
      <c r="I13" s="36" t="s">
        <v>1</v>
      </c>
      <c r="J13" s="146"/>
    </row>
    <row r="14" spans="1:10" s="8" customFormat="1" ht="15.95" customHeight="1" x14ac:dyDescent="0.2">
      <c r="A14" s="7" t="s">
        <v>12</v>
      </c>
      <c r="B14" s="37"/>
      <c r="C14" s="37"/>
      <c r="D14" s="37"/>
      <c r="E14" s="37"/>
      <c r="F14" s="37"/>
      <c r="G14" s="54"/>
      <c r="H14" s="37">
        <v>8.6999999999999993</v>
      </c>
      <c r="I14" s="37">
        <v>102.7</v>
      </c>
      <c r="J14" s="13">
        <f>H14+I14</f>
        <v>111.4</v>
      </c>
    </row>
    <row r="15" spans="1:10" s="10" customFormat="1" ht="15.95" customHeight="1" x14ac:dyDescent="0.2">
      <c r="A15" s="9" t="s">
        <v>16</v>
      </c>
      <c r="B15" s="37">
        <v>7.5</v>
      </c>
      <c r="C15" s="37">
        <v>7.5</v>
      </c>
      <c r="D15" s="37"/>
      <c r="E15" s="37"/>
      <c r="F15" s="37"/>
      <c r="G15" s="54"/>
      <c r="H15" s="37">
        <f>H14-F15-D15+B15</f>
        <v>16.2</v>
      </c>
      <c r="I15" s="37">
        <f>I14-E15+C15</f>
        <v>110.2</v>
      </c>
      <c r="J15" s="13">
        <f t="shared" ref="J15" si="0">H15+I15</f>
        <v>126.4</v>
      </c>
    </row>
    <row r="16" spans="1:10" s="10" customFormat="1" ht="15.95" customHeight="1" x14ac:dyDescent="0.2">
      <c r="A16" s="9" t="s">
        <v>15</v>
      </c>
      <c r="B16" s="37">
        <v>15</v>
      </c>
      <c r="C16" s="37">
        <v>15</v>
      </c>
      <c r="D16" s="37"/>
      <c r="E16" s="37"/>
      <c r="F16" s="37"/>
      <c r="G16" s="54"/>
      <c r="H16" s="37">
        <f t="shared" ref="H16:H38" si="1">H15-F16-D16+B16</f>
        <v>31.2</v>
      </c>
      <c r="I16" s="37">
        <f t="shared" ref="I16:I38" si="2">I15-E16+C16</f>
        <v>125.2</v>
      </c>
      <c r="J16" s="13">
        <f t="shared" ref="J16:J39" si="3">H16+I16</f>
        <v>156.4</v>
      </c>
    </row>
    <row r="17" spans="1:10" s="10" customFormat="1" ht="15.95" customHeight="1" x14ac:dyDescent="0.2">
      <c r="A17" s="9" t="s">
        <v>44</v>
      </c>
      <c r="B17" s="37"/>
      <c r="C17" s="37"/>
      <c r="D17" s="37"/>
      <c r="E17" s="37"/>
      <c r="F17" s="37">
        <v>5</v>
      </c>
      <c r="G17" s="54"/>
      <c r="H17" s="37">
        <f t="shared" si="1"/>
        <v>26.2</v>
      </c>
      <c r="I17" s="37">
        <f t="shared" si="2"/>
        <v>125.2</v>
      </c>
      <c r="J17" s="13">
        <f t="shared" si="3"/>
        <v>151.4</v>
      </c>
    </row>
    <row r="18" spans="1:10" s="10" customFormat="1" ht="15.95" customHeight="1" x14ac:dyDescent="0.2">
      <c r="A18" s="9" t="s">
        <v>14</v>
      </c>
      <c r="B18" s="37">
        <v>7.5</v>
      </c>
      <c r="C18" s="37">
        <v>7.5</v>
      </c>
      <c r="D18" s="37"/>
      <c r="E18" s="37"/>
      <c r="F18" s="37"/>
      <c r="G18" s="54"/>
      <c r="H18" s="37">
        <f t="shared" si="1"/>
        <v>33.700000000000003</v>
      </c>
      <c r="I18" s="37">
        <f t="shared" si="2"/>
        <v>132.69999999999999</v>
      </c>
      <c r="J18" s="13">
        <f t="shared" si="3"/>
        <v>166.39999999999998</v>
      </c>
    </row>
    <row r="19" spans="1:10" s="10" customFormat="1" ht="15.95" customHeight="1" x14ac:dyDescent="0.2">
      <c r="A19" s="9" t="s">
        <v>17</v>
      </c>
      <c r="B19" s="37">
        <v>7.5</v>
      </c>
      <c r="C19" s="37">
        <v>7.5</v>
      </c>
      <c r="D19" s="37"/>
      <c r="E19" s="37"/>
      <c r="F19" s="37"/>
      <c r="G19" s="54"/>
      <c r="H19" s="37">
        <f t="shared" si="1"/>
        <v>41.2</v>
      </c>
      <c r="I19" s="37">
        <f t="shared" si="2"/>
        <v>140.19999999999999</v>
      </c>
      <c r="J19" s="13">
        <f t="shared" si="3"/>
        <v>181.39999999999998</v>
      </c>
    </row>
    <row r="20" spans="1:10" s="10" customFormat="1" ht="15.95" customHeight="1" x14ac:dyDescent="0.2">
      <c r="A20" s="9" t="s">
        <v>20</v>
      </c>
      <c r="B20" s="38"/>
      <c r="C20" s="38"/>
      <c r="D20" s="38">
        <v>5</v>
      </c>
      <c r="E20" s="38"/>
      <c r="F20" s="38"/>
      <c r="G20" s="52"/>
      <c r="H20" s="37">
        <f t="shared" si="1"/>
        <v>36.200000000000003</v>
      </c>
      <c r="I20" s="37">
        <f t="shared" si="2"/>
        <v>140.19999999999999</v>
      </c>
      <c r="J20" s="13">
        <f t="shared" si="3"/>
        <v>176.39999999999998</v>
      </c>
    </row>
    <row r="21" spans="1:10" s="10" customFormat="1" ht="15.95" customHeight="1" x14ac:dyDescent="0.2">
      <c r="A21" s="9" t="s">
        <v>45</v>
      </c>
      <c r="B21" s="38"/>
      <c r="C21" s="38"/>
      <c r="D21" s="38"/>
      <c r="E21" s="38"/>
      <c r="F21" s="38">
        <v>5</v>
      </c>
      <c r="G21" s="52"/>
      <c r="H21" s="37">
        <f t="shared" si="1"/>
        <v>31.200000000000003</v>
      </c>
      <c r="I21" s="37">
        <f t="shared" si="2"/>
        <v>140.19999999999999</v>
      </c>
      <c r="J21" s="13">
        <f t="shared" si="3"/>
        <v>171.39999999999998</v>
      </c>
    </row>
    <row r="22" spans="1:10" s="10" customFormat="1" ht="15.95" customHeight="1" x14ac:dyDescent="0.2">
      <c r="A22" s="9" t="s">
        <v>18</v>
      </c>
      <c r="B22" s="38">
        <v>11.25</v>
      </c>
      <c r="C22" s="38">
        <v>11.25</v>
      </c>
      <c r="D22" s="38"/>
      <c r="E22" s="38"/>
      <c r="F22" s="38"/>
      <c r="G22" s="52"/>
      <c r="H22" s="37">
        <f t="shared" si="1"/>
        <v>42.45</v>
      </c>
      <c r="I22" s="37">
        <f t="shared" si="2"/>
        <v>151.44999999999999</v>
      </c>
      <c r="J22" s="13">
        <f t="shared" si="3"/>
        <v>193.89999999999998</v>
      </c>
    </row>
    <row r="23" spans="1:10" s="10" customFormat="1" ht="15.95" customHeight="1" x14ac:dyDescent="0.2">
      <c r="A23" s="9" t="s">
        <v>19</v>
      </c>
      <c r="B23" s="38"/>
      <c r="C23" s="38"/>
      <c r="D23" s="38">
        <v>29</v>
      </c>
      <c r="E23" s="38"/>
      <c r="F23" s="38"/>
      <c r="G23" s="52"/>
      <c r="H23" s="37">
        <f t="shared" si="1"/>
        <v>13.450000000000003</v>
      </c>
      <c r="I23" s="37">
        <f t="shared" si="2"/>
        <v>151.44999999999999</v>
      </c>
      <c r="J23" s="13">
        <f t="shared" si="3"/>
        <v>164.89999999999998</v>
      </c>
    </row>
    <row r="24" spans="1:10" s="10" customFormat="1" ht="15.95" customHeight="1" x14ac:dyDescent="0.2">
      <c r="A24" s="9" t="s">
        <v>22</v>
      </c>
      <c r="B24" s="38">
        <v>2.5</v>
      </c>
      <c r="C24" s="38">
        <v>2.5</v>
      </c>
      <c r="D24" s="38"/>
      <c r="E24" s="38"/>
      <c r="F24" s="38"/>
      <c r="G24" s="52"/>
      <c r="H24" s="37">
        <f t="shared" si="1"/>
        <v>15.950000000000003</v>
      </c>
      <c r="I24" s="37">
        <f t="shared" si="2"/>
        <v>153.94999999999999</v>
      </c>
      <c r="J24" s="13">
        <f t="shared" si="3"/>
        <v>169.89999999999998</v>
      </c>
    </row>
    <row r="25" spans="1:10" s="10" customFormat="1" ht="15.95" customHeight="1" x14ac:dyDescent="0.2">
      <c r="A25" s="11" t="s">
        <v>21</v>
      </c>
      <c r="B25" s="38"/>
      <c r="C25" s="38"/>
      <c r="D25" s="38"/>
      <c r="E25" s="38"/>
      <c r="F25" s="38">
        <v>5</v>
      </c>
      <c r="G25" s="52"/>
      <c r="H25" s="37">
        <f t="shared" si="1"/>
        <v>10.950000000000003</v>
      </c>
      <c r="I25" s="37">
        <f t="shared" si="2"/>
        <v>153.94999999999999</v>
      </c>
      <c r="J25" s="13">
        <f t="shared" si="3"/>
        <v>164.89999999999998</v>
      </c>
    </row>
    <row r="26" spans="1:10" s="10" customFormat="1" ht="15.95" customHeight="1" x14ac:dyDescent="0.2">
      <c r="A26" s="11" t="s">
        <v>23</v>
      </c>
      <c r="B26" s="38">
        <v>1.25</v>
      </c>
      <c r="C26" s="38">
        <v>1.25</v>
      </c>
      <c r="D26" s="55"/>
      <c r="E26" s="38"/>
      <c r="F26" s="38"/>
      <c r="G26" s="52"/>
      <c r="H26" s="37">
        <f t="shared" si="1"/>
        <v>12.200000000000003</v>
      </c>
      <c r="I26" s="37">
        <f t="shared" si="2"/>
        <v>155.19999999999999</v>
      </c>
      <c r="J26" s="13">
        <f t="shared" si="3"/>
        <v>167.39999999999998</v>
      </c>
    </row>
    <row r="27" spans="1:10" s="10" customFormat="1" ht="15.95" customHeight="1" x14ac:dyDescent="0.2">
      <c r="A27" s="11" t="s">
        <v>24</v>
      </c>
      <c r="B27" s="38">
        <v>10</v>
      </c>
      <c r="C27" s="38">
        <v>10</v>
      </c>
      <c r="D27" s="55"/>
      <c r="E27" s="38"/>
      <c r="F27" s="38"/>
      <c r="G27" s="52"/>
      <c r="H27" s="37">
        <f t="shared" si="1"/>
        <v>22.200000000000003</v>
      </c>
      <c r="I27" s="37">
        <f t="shared" si="2"/>
        <v>165.2</v>
      </c>
      <c r="J27" s="13">
        <f t="shared" si="3"/>
        <v>187.39999999999998</v>
      </c>
    </row>
    <row r="28" spans="1:10" s="10" customFormat="1" ht="15.95" customHeight="1" x14ac:dyDescent="0.2">
      <c r="A28" s="12" t="s">
        <v>26</v>
      </c>
      <c r="B28" s="56"/>
      <c r="C28" s="56"/>
      <c r="D28" s="57">
        <v>12</v>
      </c>
      <c r="E28" s="57">
        <v>17</v>
      </c>
      <c r="F28" s="57"/>
      <c r="G28" s="58"/>
      <c r="H28" s="37">
        <f t="shared" si="1"/>
        <v>10.200000000000003</v>
      </c>
      <c r="I28" s="37">
        <f t="shared" si="2"/>
        <v>148.19999999999999</v>
      </c>
      <c r="J28" s="13">
        <f t="shared" si="3"/>
        <v>158.39999999999998</v>
      </c>
    </row>
    <row r="29" spans="1:10" s="10" customFormat="1" ht="15.95" customHeight="1" x14ac:dyDescent="0.2">
      <c r="A29" s="11" t="s">
        <v>27</v>
      </c>
      <c r="B29" s="38">
        <v>2.5</v>
      </c>
      <c r="C29" s="38">
        <v>2.5</v>
      </c>
      <c r="D29" s="55"/>
      <c r="E29" s="38"/>
      <c r="F29" s="38"/>
      <c r="G29" s="52"/>
      <c r="H29" s="37">
        <f t="shared" si="1"/>
        <v>12.700000000000003</v>
      </c>
      <c r="I29" s="37">
        <f t="shared" si="2"/>
        <v>150.69999999999999</v>
      </c>
      <c r="J29" s="13">
        <f t="shared" si="3"/>
        <v>163.39999999999998</v>
      </c>
    </row>
    <row r="30" spans="1:10" s="10" customFormat="1" ht="15.95" customHeight="1" x14ac:dyDescent="0.2">
      <c r="A30" s="11" t="s">
        <v>25</v>
      </c>
      <c r="B30" s="38"/>
      <c r="C30" s="38"/>
      <c r="D30" s="55"/>
      <c r="E30" s="38"/>
      <c r="F30" s="38"/>
      <c r="G30" s="52">
        <v>1</v>
      </c>
      <c r="H30" s="37">
        <f t="shared" si="1"/>
        <v>12.700000000000003</v>
      </c>
      <c r="I30" s="37">
        <f t="shared" si="2"/>
        <v>150.69999999999999</v>
      </c>
      <c r="J30" s="13">
        <f t="shared" si="3"/>
        <v>163.39999999999998</v>
      </c>
    </row>
    <row r="31" spans="1:10" s="10" customFormat="1" ht="15.95" customHeight="1" x14ac:dyDescent="0.2">
      <c r="A31" s="11" t="s">
        <v>29</v>
      </c>
      <c r="B31" s="38">
        <v>1.25</v>
      </c>
      <c r="C31" s="38">
        <v>1.25</v>
      </c>
      <c r="D31" s="55"/>
      <c r="E31" s="38"/>
      <c r="F31" s="38"/>
      <c r="G31" s="52"/>
      <c r="H31" s="37">
        <f t="shared" si="1"/>
        <v>13.950000000000003</v>
      </c>
      <c r="I31" s="37">
        <f t="shared" si="2"/>
        <v>151.94999999999999</v>
      </c>
      <c r="J31" s="13">
        <f t="shared" si="3"/>
        <v>165.89999999999998</v>
      </c>
    </row>
    <row r="32" spans="1:10" s="10" customFormat="1" ht="15.95" customHeight="1" x14ac:dyDescent="0.2">
      <c r="A32" s="11" t="s">
        <v>30</v>
      </c>
      <c r="B32" s="38"/>
      <c r="C32" s="38"/>
      <c r="D32" s="55"/>
      <c r="E32" s="38"/>
      <c r="F32" s="38">
        <v>5</v>
      </c>
      <c r="G32" s="52"/>
      <c r="H32" s="37">
        <f t="shared" si="1"/>
        <v>8.9500000000000028</v>
      </c>
      <c r="I32" s="37">
        <f t="shared" si="2"/>
        <v>151.94999999999999</v>
      </c>
      <c r="J32" s="13">
        <f t="shared" si="3"/>
        <v>160.89999999999998</v>
      </c>
    </row>
    <row r="33" spans="1:10" s="10" customFormat="1" ht="15.95" customHeight="1" x14ac:dyDescent="0.2">
      <c r="A33" s="11" t="s">
        <v>31</v>
      </c>
      <c r="B33" s="38"/>
      <c r="C33" s="38"/>
      <c r="D33" s="55"/>
      <c r="E33" s="38"/>
      <c r="F33" s="38"/>
      <c r="G33" s="52">
        <v>2</v>
      </c>
      <c r="H33" s="37">
        <f t="shared" si="1"/>
        <v>8.9500000000000028</v>
      </c>
      <c r="I33" s="37">
        <f t="shared" si="2"/>
        <v>151.94999999999999</v>
      </c>
      <c r="J33" s="13">
        <f t="shared" si="3"/>
        <v>160.89999999999998</v>
      </c>
    </row>
    <row r="34" spans="1:10" s="10" customFormat="1" ht="15.95" customHeight="1" x14ac:dyDescent="0.2">
      <c r="A34" s="11" t="s">
        <v>32</v>
      </c>
      <c r="B34" s="38">
        <v>1.25</v>
      </c>
      <c r="C34" s="38">
        <v>1.25</v>
      </c>
      <c r="D34" s="38"/>
      <c r="E34" s="38"/>
      <c r="F34" s="38"/>
      <c r="G34" s="52"/>
      <c r="H34" s="37">
        <f t="shared" si="1"/>
        <v>10.200000000000003</v>
      </c>
      <c r="I34" s="37">
        <f t="shared" si="2"/>
        <v>153.19999999999999</v>
      </c>
      <c r="J34" s="13">
        <f t="shared" si="3"/>
        <v>163.39999999999998</v>
      </c>
    </row>
    <row r="35" spans="1:10" s="10" customFormat="1" ht="15.95" customHeight="1" x14ac:dyDescent="0.2">
      <c r="A35" s="11" t="s">
        <v>34</v>
      </c>
      <c r="B35" s="38"/>
      <c r="C35" s="38"/>
      <c r="D35" s="38"/>
      <c r="E35" s="38"/>
      <c r="F35" s="38">
        <v>2</v>
      </c>
      <c r="G35" s="52"/>
      <c r="H35" s="37">
        <f t="shared" si="1"/>
        <v>8.2000000000000028</v>
      </c>
      <c r="I35" s="37">
        <f t="shared" si="2"/>
        <v>153.19999999999999</v>
      </c>
      <c r="J35" s="13">
        <f t="shared" si="3"/>
        <v>161.39999999999998</v>
      </c>
    </row>
    <row r="36" spans="1:10" s="10" customFormat="1" ht="15.95" customHeight="1" x14ac:dyDescent="0.2">
      <c r="A36" s="11" t="s">
        <v>33</v>
      </c>
      <c r="B36" s="38">
        <v>1.25</v>
      </c>
      <c r="C36" s="38">
        <v>1.25</v>
      </c>
      <c r="D36" s="38"/>
      <c r="E36" s="38"/>
      <c r="F36" s="38"/>
      <c r="G36" s="52"/>
      <c r="H36" s="37">
        <f t="shared" si="1"/>
        <v>9.4500000000000028</v>
      </c>
      <c r="I36" s="37">
        <f t="shared" si="2"/>
        <v>154.44999999999999</v>
      </c>
      <c r="J36" s="13">
        <f t="shared" si="3"/>
        <v>163.89999999999998</v>
      </c>
    </row>
    <row r="37" spans="1:10" s="10" customFormat="1" ht="15.95" customHeight="1" x14ac:dyDescent="0.2">
      <c r="A37" s="11" t="s">
        <v>36</v>
      </c>
      <c r="B37" s="38"/>
      <c r="C37" s="38"/>
      <c r="D37" s="38"/>
      <c r="E37" s="38"/>
      <c r="F37" s="38">
        <v>1</v>
      </c>
      <c r="G37" s="52"/>
      <c r="H37" s="37">
        <f t="shared" si="1"/>
        <v>8.4500000000000028</v>
      </c>
      <c r="I37" s="37">
        <f t="shared" si="2"/>
        <v>154.44999999999999</v>
      </c>
      <c r="J37" s="13">
        <f t="shared" si="3"/>
        <v>162.89999999999998</v>
      </c>
    </row>
    <row r="38" spans="1:10" s="10" customFormat="1" ht="15.95" customHeight="1" x14ac:dyDescent="0.2">
      <c r="A38" s="11" t="s">
        <v>35</v>
      </c>
      <c r="B38" s="38">
        <v>1.25</v>
      </c>
      <c r="C38" s="38">
        <v>1.25</v>
      </c>
      <c r="D38" s="38"/>
      <c r="E38" s="38"/>
      <c r="F38" s="38"/>
      <c r="G38" s="52"/>
      <c r="H38" s="37">
        <f t="shared" si="1"/>
        <v>9.7000000000000028</v>
      </c>
      <c r="I38" s="37">
        <f t="shared" si="2"/>
        <v>155.69999999999999</v>
      </c>
      <c r="J38" s="13">
        <f t="shared" si="3"/>
        <v>165.39999999999998</v>
      </c>
    </row>
    <row r="39" spans="1:10" s="10" customFormat="1" ht="15.95" customHeight="1" x14ac:dyDescent="0.2">
      <c r="A39" s="11" t="s">
        <v>46</v>
      </c>
      <c r="B39" s="38">
        <f>1.25*3</f>
        <v>3.75</v>
      </c>
      <c r="C39" s="38">
        <v>3.75</v>
      </c>
      <c r="D39" s="38"/>
      <c r="E39" s="38"/>
      <c r="F39" s="38"/>
      <c r="G39" s="52"/>
      <c r="H39" s="37">
        <f>H38-F39-D39+B39</f>
        <v>13.450000000000003</v>
      </c>
      <c r="I39" s="37">
        <f>I38-E39+C39</f>
        <v>159.44999999999999</v>
      </c>
      <c r="J39" s="13">
        <f t="shared" si="3"/>
        <v>172.89999999999998</v>
      </c>
    </row>
    <row r="40" spans="1:10" s="10" customFormat="1" ht="15.95" customHeight="1" x14ac:dyDescent="0.2">
      <c r="A40" s="11" t="s">
        <v>47</v>
      </c>
      <c r="B40" s="38"/>
      <c r="C40" s="38"/>
      <c r="D40" s="38"/>
      <c r="E40" s="38"/>
      <c r="F40" s="38">
        <v>1</v>
      </c>
      <c r="G40" s="52"/>
      <c r="H40" s="37">
        <f t="shared" ref="H40:H57" si="4">H39-F40-D40+B40</f>
        <v>12.450000000000003</v>
      </c>
      <c r="I40" s="37">
        <f t="shared" ref="I40:I57" si="5">I39-E40+C40</f>
        <v>159.44999999999999</v>
      </c>
      <c r="J40" s="13">
        <f t="shared" ref="J40:J57" si="6">H40+I40</f>
        <v>171.89999999999998</v>
      </c>
    </row>
    <row r="41" spans="1:10" s="10" customFormat="1" ht="15.95" customHeight="1" x14ac:dyDescent="0.2">
      <c r="A41" s="11" t="s">
        <v>48</v>
      </c>
      <c r="B41" s="38"/>
      <c r="C41" s="38"/>
      <c r="D41" s="38"/>
      <c r="E41" s="38"/>
      <c r="F41" s="38"/>
      <c r="G41" s="52">
        <v>3</v>
      </c>
      <c r="H41" s="37">
        <f t="shared" si="4"/>
        <v>12.450000000000003</v>
      </c>
      <c r="I41" s="37">
        <f t="shared" si="5"/>
        <v>159.44999999999999</v>
      </c>
      <c r="J41" s="13">
        <f t="shared" si="6"/>
        <v>171.89999999999998</v>
      </c>
    </row>
    <row r="42" spans="1:10" s="10" customFormat="1" ht="15.95" customHeight="1" x14ac:dyDescent="0.2">
      <c r="A42" s="11" t="s">
        <v>49</v>
      </c>
      <c r="B42" s="38">
        <f>1.25*3</f>
        <v>3.75</v>
      </c>
      <c r="C42" s="38">
        <v>3.75</v>
      </c>
      <c r="D42" s="39"/>
      <c r="E42" s="39"/>
      <c r="F42" s="39"/>
      <c r="G42" s="59"/>
      <c r="H42" s="37">
        <f t="shared" si="4"/>
        <v>16.200000000000003</v>
      </c>
      <c r="I42" s="37">
        <f t="shared" si="5"/>
        <v>163.19999999999999</v>
      </c>
      <c r="J42" s="13">
        <f t="shared" si="6"/>
        <v>179.39999999999998</v>
      </c>
    </row>
    <row r="43" spans="1:10" s="10" customFormat="1" ht="15.95" customHeight="1" x14ac:dyDescent="0.2">
      <c r="A43" s="14" t="s">
        <v>50</v>
      </c>
      <c r="B43" s="39"/>
      <c r="C43" s="39"/>
      <c r="D43" s="39">
        <v>5</v>
      </c>
      <c r="E43" s="39">
        <v>24</v>
      </c>
      <c r="F43" s="39"/>
      <c r="G43" s="59"/>
      <c r="H43" s="37">
        <f t="shared" si="4"/>
        <v>11.200000000000003</v>
      </c>
      <c r="I43" s="37">
        <f t="shared" si="5"/>
        <v>139.19999999999999</v>
      </c>
      <c r="J43" s="13">
        <f t="shared" si="6"/>
        <v>150.39999999999998</v>
      </c>
    </row>
    <row r="44" spans="1:10" s="10" customFormat="1" ht="15.95" customHeight="1" x14ac:dyDescent="0.2">
      <c r="A44" s="14" t="s">
        <v>73</v>
      </c>
      <c r="B44" s="39">
        <v>2.5</v>
      </c>
      <c r="C44" s="39">
        <v>2.5</v>
      </c>
      <c r="D44" s="39"/>
      <c r="E44" s="39"/>
      <c r="F44" s="39"/>
      <c r="G44" s="59"/>
      <c r="H44" s="37">
        <f t="shared" si="4"/>
        <v>13.700000000000003</v>
      </c>
      <c r="I44" s="37">
        <f t="shared" si="5"/>
        <v>141.69999999999999</v>
      </c>
      <c r="J44" s="13">
        <f t="shared" si="6"/>
        <v>155.39999999999998</v>
      </c>
    </row>
    <row r="45" spans="1:10" s="10" customFormat="1" ht="15.95" customHeight="1" x14ac:dyDescent="0.2">
      <c r="A45" s="14" t="s">
        <v>75</v>
      </c>
      <c r="B45" s="39">
        <v>2.5</v>
      </c>
      <c r="C45" s="39">
        <v>2.5</v>
      </c>
      <c r="D45" s="39"/>
      <c r="E45" s="39"/>
      <c r="F45" s="39"/>
      <c r="G45" s="59"/>
      <c r="H45" s="37">
        <f t="shared" si="4"/>
        <v>16.200000000000003</v>
      </c>
      <c r="I45" s="37">
        <f t="shared" si="5"/>
        <v>144.19999999999999</v>
      </c>
      <c r="J45" s="13">
        <f t="shared" si="6"/>
        <v>160.39999999999998</v>
      </c>
    </row>
    <row r="46" spans="1:10" s="10" customFormat="1" ht="15.95" customHeight="1" x14ac:dyDescent="0.2">
      <c r="A46" s="60" t="s">
        <v>84</v>
      </c>
      <c r="B46" s="39"/>
      <c r="C46" s="39"/>
      <c r="D46" s="39"/>
      <c r="E46" s="39"/>
      <c r="F46" s="39">
        <v>1</v>
      </c>
      <c r="G46" s="59"/>
      <c r="H46" s="37">
        <f t="shared" si="4"/>
        <v>15.200000000000003</v>
      </c>
      <c r="I46" s="37">
        <f t="shared" si="5"/>
        <v>144.19999999999999</v>
      </c>
      <c r="J46" s="13">
        <f t="shared" si="6"/>
        <v>159.39999999999998</v>
      </c>
    </row>
    <row r="47" spans="1:10" s="10" customFormat="1" ht="15.95" customHeight="1" x14ac:dyDescent="0.2">
      <c r="A47" s="60" t="s">
        <v>74</v>
      </c>
      <c r="B47" s="39"/>
      <c r="C47" s="39"/>
      <c r="D47" s="39"/>
      <c r="E47" s="39"/>
      <c r="F47" s="39"/>
      <c r="G47" s="59">
        <v>1</v>
      </c>
      <c r="H47" s="37">
        <f t="shared" si="4"/>
        <v>15.200000000000003</v>
      </c>
      <c r="I47" s="37">
        <f t="shared" si="5"/>
        <v>144.19999999999999</v>
      </c>
      <c r="J47" s="13">
        <f t="shared" si="6"/>
        <v>159.39999999999998</v>
      </c>
    </row>
    <row r="48" spans="1:10" s="10" customFormat="1" ht="15.95" customHeight="1" x14ac:dyDescent="0.2">
      <c r="A48" s="60" t="s">
        <v>77</v>
      </c>
      <c r="B48" s="39">
        <v>5</v>
      </c>
      <c r="C48" s="39">
        <v>5</v>
      </c>
      <c r="D48" s="39"/>
      <c r="E48" s="39"/>
      <c r="F48" s="39"/>
      <c r="G48" s="59"/>
      <c r="H48" s="37">
        <f t="shared" si="4"/>
        <v>20.200000000000003</v>
      </c>
      <c r="I48" s="37">
        <f t="shared" si="5"/>
        <v>149.19999999999999</v>
      </c>
      <c r="J48" s="13">
        <f t="shared" si="6"/>
        <v>169.39999999999998</v>
      </c>
    </row>
    <row r="49" spans="1:10" s="10" customFormat="1" ht="15.95" customHeight="1" x14ac:dyDescent="0.2">
      <c r="A49" s="60" t="s">
        <v>78</v>
      </c>
      <c r="B49" s="39"/>
      <c r="C49" s="39"/>
      <c r="D49" s="39"/>
      <c r="E49" s="39"/>
      <c r="F49" s="39">
        <v>1</v>
      </c>
      <c r="G49" s="59"/>
      <c r="H49" s="37">
        <f t="shared" si="4"/>
        <v>19.200000000000003</v>
      </c>
      <c r="I49" s="37">
        <f t="shared" si="5"/>
        <v>149.19999999999999</v>
      </c>
      <c r="J49" s="13">
        <f t="shared" si="6"/>
        <v>168.39999999999998</v>
      </c>
    </row>
    <row r="50" spans="1:10" s="10" customFormat="1" ht="15.95" customHeight="1" x14ac:dyDescent="0.2">
      <c r="A50" s="60" t="s">
        <v>79</v>
      </c>
      <c r="B50" s="39">
        <v>1.25</v>
      </c>
      <c r="C50" s="39">
        <v>1.25</v>
      </c>
      <c r="D50" s="39"/>
      <c r="E50" s="39"/>
      <c r="F50" s="39"/>
      <c r="G50" s="59"/>
      <c r="H50" s="37">
        <f t="shared" si="4"/>
        <v>20.450000000000003</v>
      </c>
      <c r="I50" s="37">
        <f t="shared" si="5"/>
        <v>150.44999999999999</v>
      </c>
      <c r="J50" s="13">
        <f t="shared" si="6"/>
        <v>170.89999999999998</v>
      </c>
    </row>
    <row r="51" spans="1:10" s="10" customFormat="1" ht="15.95" customHeight="1" x14ac:dyDescent="0.2">
      <c r="A51" s="51" t="s">
        <v>80</v>
      </c>
      <c r="B51" s="38"/>
      <c r="C51" s="38"/>
      <c r="D51" s="38"/>
      <c r="E51" s="38"/>
      <c r="F51" s="38">
        <v>1</v>
      </c>
      <c r="G51" s="52"/>
      <c r="H51" s="37">
        <f t="shared" si="4"/>
        <v>19.450000000000003</v>
      </c>
      <c r="I51" s="37">
        <f t="shared" si="5"/>
        <v>150.44999999999999</v>
      </c>
      <c r="J51" s="13">
        <f t="shared" si="6"/>
        <v>169.89999999999998</v>
      </c>
    </row>
    <row r="52" spans="1:10" s="10" customFormat="1" ht="15.95" customHeight="1" x14ac:dyDescent="0.2">
      <c r="A52" s="51" t="s">
        <v>81</v>
      </c>
      <c r="B52" s="38"/>
      <c r="C52" s="38"/>
      <c r="D52" s="38"/>
      <c r="E52" s="38"/>
      <c r="F52" s="38">
        <v>1</v>
      </c>
      <c r="G52" s="52"/>
      <c r="H52" s="37">
        <f t="shared" si="4"/>
        <v>18.450000000000003</v>
      </c>
      <c r="I52" s="37">
        <f t="shared" si="5"/>
        <v>150.44999999999999</v>
      </c>
      <c r="J52" s="13">
        <f t="shared" si="6"/>
        <v>168.89999999999998</v>
      </c>
    </row>
    <row r="53" spans="1:10" s="10" customFormat="1" ht="15.95" customHeight="1" x14ac:dyDescent="0.2">
      <c r="A53" s="51" t="s">
        <v>82</v>
      </c>
      <c r="B53" s="38">
        <v>1.25</v>
      </c>
      <c r="C53" s="38">
        <v>1.25</v>
      </c>
      <c r="D53" s="38"/>
      <c r="E53" s="38"/>
      <c r="F53" s="38"/>
      <c r="G53" s="52"/>
      <c r="H53" s="37">
        <f t="shared" si="4"/>
        <v>19.700000000000003</v>
      </c>
      <c r="I53" s="37">
        <f t="shared" si="5"/>
        <v>151.69999999999999</v>
      </c>
      <c r="J53" s="13">
        <f t="shared" si="6"/>
        <v>171.39999999999998</v>
      </c>
    </row>
    <row r="54" spans="1:10" s="10" customFormat="1" ht="15.95" customHeight="1" x14ac:dyDescent="0.2">
      <c r="A54" s="51" t="s">
        <v>83</v>
      </c>
      <c r="B54" s="38"/>
      <c r="C54" s="38"/>
      <c r="D54" s="38"/>
      <c r="E54" s="38">
        <v>1</v>
      </c>
      <c r="F54" s="38"/>
      <c r="G54" s="52"/>
      <c r="H54" s="37">
        <f t="shared" si="4"/>
        <v>19.700000000000003</v>
      </c>
      <c r="I54" s="37">
        <f t="shared" si="5"/>
        <v>150.69999999999999</v>
      </c>
      <c r="J54" s="13">
        <f t="shared" si="6"/>
        <v>170.39999999999998</v>
      </c>
    </row>
    <row r="55" spans="1:10" s="10" customFormat="1" ht="15.95" customHeight="1" x14ac:dyDescent="0.2">
      <c r="A55" s="51" t="s">
        <v>85</v>
      </c>
      <c r="B55" s="38"/>
      <c r="C55" s="38"/>
      <c r="D55" s="38"/>
      <c r="E55" s="38"/>
      <c r="F55" s="38">
        <v>2</v>
      </c>
      <c r="G55" s="52"/>
      <c r="H55" s="37">
        <f t="shared" si="4"/>
        <v>17.700000000000003</v>
      </c>
      <c r="I55" s="37">
        <f t="shared" si="5"/>
        <v>150.69999999999999</v>
      </c>
      <c r="J55" s="13">
        <f t="shared" si="6"/>
        <v>168.39999999999998</v>
      </c>
    </row>
    <row r="56" spans="1:10" s="10" customFormat="1" ht="15.95" customHeight="1" x14ac:dyDescent="0.2">
      <c r="A56" s="51" t="s">
        <v>86</v>
      </c>
      <c r="B56" s="38">
        <v>1.25</v>
      </c>
      <c r="C56" s="38">
        <v>1.25</v>
      </c>
      <c r="D56" s="38"/>
      <c r="E56" s="38"/>
      <c r="F56" s="38"/>
      <c r="G56" s="52"/>
      <c r="H56" s="37">
        <f t="shared" si="4"/>
        <v>18.950000000000003</v>
      </c>
      <c r="I56" s="37">
        <f t="shared" si="5"/>
        <v>151.94999999999999</v>
      </c>
      <c r="J56" s="13">
        <f t="shared" si="6"/>
        <v>170.89999999999998</v>
      </c>
    </row>
    <row r="57" spans="1:10" s="10" customFormat="1" ht="15.95" customHeight="1" x14ac:dyDescent="0.2">
      <c r="A57" s="51" t="s">
        <v>87</v>
      </c>
      <c r="B57" s="38"/>
      <c r="C57" s="38"/>
      <c r="D57" s="38">
        <v>13</v>
      </c>
      <c r="E57" s="38"/>
      <c r="F57" s="38"/>
      <c r="G57" s="52"/>
      <c r="H57" s="37">
        <f t="shared" si="4"/>
        <v>5.9500000000000028</v>
      </c>
      <c r="I57" s="37">
        <f t="shared" si="5"/>
        <v>151.94999999999999</v>
      </c>
      <c r="J57" s="54">
        <f t="shared" si="6"/>
        <v>157.89999999999998</v>
      </c>
    </row>
    <row r="58" spans="1:10" s="10" customFormat="1" ht="15.95" customHeight="1" x14ac:dyDescent="0.2">
      <c r="A58" s="51" t="s">
        <v>88</v>
      </c>
      <c r="B58" s="38">
        <v>1.25</v>
      </c>
      <c r="C58" s="38">
        <v>1.25</v>
      </c>
      <c r="D58" s="38"/>
      <c r="E58" s="38"/>
      <c r="F58" s="38"/>
      <c r="G58" s="52"/>
      <c r="H58" s="37">
        <f t="shared" ref="H58:H59" si="7">H57-F58-D58+B58</f>
        <v>7.2000000000000028</v>
      </c>
      <c r="I58" s="37">
        <f t="shared" ref="I58:I59" si="8">I57-E58+C58</f>
        <v>153.19999999999999</v>
      </c>
      <c r="J58" s="54">
        <f t="shared" ref="J58:J59" si="9">H58+I58</f>
        <v>160.39999999999998</v>
      </c>
    </row>
    <row r="59" spans="1:10" s="10" customFormat="1" ht="15.95" customHeight="1" x14ac:dyDescent="0.2">
      <c r="A59" s="51" t="s">
        <v>89</v>
      </c>
      <c r="B59" s="38"/>
      <c r="C59" s="38"/>
      <c r="D59" s="38"/>
      <c r="E59" s="38">
        <v>1</v>
      </c>
      <c r="F59" s="38"/>
      <c r="G59" s="52"/>
      <c r="H59" s="37">
        <f t="shared" si="7"/>
        <v>7.2000000000000028</v>
      </c>
      <c r="I59" s="37">
        <f t="shared" si="8"/>
        <v>152.19999999999999</v>
      </c>
      <c r="J59" s="54">
        <f t="shared" si="9"/>
        <v>159.39999999999998</v>
      </c>
    </row>
    <row r="60" spans="1:10" s="10" customFormat="1" ht="15.95" customHeight="1" x14ac:dyDescent="0.2">
      <c r="A60" s="51" t="s">
        <v>90</v>
      </c>
      <c r="B60" s="38">
        <v>5</v>
      </c>
      <c r="C60" s="38">
        <v>5</v>
      </c>
      <c r="D60" s="38"/>
      <c r="E60" s="38"/>
      <c r="F60" s="38"/>
      <c r="G60" s="52"/>
      <c r="H60" s="37">
        <f t="shared" ref="H60:H62" si="10">H59-F60-D60+B60</f>
        <v>12.200000000000003</v>
      </c>
      <c r="I60" s="37">
        <f t="shared" ref="I60:I62" si="11">I59-E60+C60</f>
        <v>157.19999999999999</v>
      </c>
      <c r="J60" s="54">
        <f t="shared" ref="J60:J62" si="12">H60+I60</f>
        <v>169.39999999999998</v>
      </c>
    </row>
    <row r="61" spans="1:10" s="10" customFormat="1" ht="15.95" customHeight="1" x14ac:dyDescent="0.2">
      <c r="A61" s="51" t="s">
        <v>91</v>
      </c>
      <c r="B61" s="38">
        <v>1.25</v>
      </c>
      <c r="C61" s="38">
        <v>1.25</v>
      </c>
      <c r="D61" s="38"/>
      <c r="E61" s="38"/>
      <c r="F61" s="38"/>
      <c r="G61" s="52"/>
      <c r="H61" s="37">
        <f t="shared" si="10"/>
        <v>13.450000000000003</v>
      </c>
      <c r="I61" s="37">
        <f t="shared" si="11"/>
        <v>158.44999999999999</v>
      </c>
      <c r="J61" s="54">
        <f t="shared" si="12"/>
        <v>171.89999999999998</v>
      </c>
    </row>
    <row r="62" spans="1:10" s="10" customFormat="1" ht="15.95" customHeight="1" x14ac:dyDescent="0.2">
      <c r="A62" s="51" t="s">
        <v>92</v>
      </c>
      <c r="B62" s="38"/>
      <c r="C62" s="38"/>
      <c r="D62" s="38"/>
      <c r="E62" s="38"/>
      <c r="F62" s="42">
        <v>2</v>
      </c>
      <c r="G62" s="52"/>
      <c r="H62" s="37">
        <f t="shared" si="10"/>
        <v>11.450000000000003</v>
      </c>
      <c r="I62" s="37">
        <f t="shared" si="11"/>
        <v>158.44999999999999</v>
      </c>
      <c r="J62" s="54">
        <f t="shared" si="12"/>
        <v>169.89999999999998</v>
      </c>
    </row>
    <row r="63" spans="1:10" s="10" customFormat="1" ht="15.95" customHeight="1" x14ac:dyDescent="0.2">
      <c r="A63" s="51"/>
      <c r="B63" s="38"/>
      <c r="C63" s="38"/>
      <c r="D63" s="38"/>
      <c r="E63" s="38"/>
      <c r="F63" s="38"/>
      <c r="G63" s="52"/>
      <c r="H63" s="37"/>
      <c r="I63" s="37"/>
      <c r="J63" s="54"/>
    </row>
    <row r="64" spans="1:10" s="10" customFormat="1" ht="15.95" customHeight="1" x14ac:dyDescent="0.2">
      <c r="A64" s="51"/>
      <c r="B64" s="38"/>
      <c r="C64" s="38"/>
      <c r="D64" s="38"/>
      <c r="E64" s="38"/>
      <c r="F64" s="38"/>
      <c r="G64" s="52"/>
      <c r="H64" s="37"/>
      <c r="I64" s="37"/>
      <c r="J64" s="54"/>
    </row>
    <row r="65" spans="1:10" s="10" customFormat="1" ht="15.95" customHeight="1" x14ac:dyDescent="0.2">
      <c r="A65" s="51"/>
      <c r="B65" s="38"/>
      <c r="C65" s="38"/>
      <c r="D65" s="38"/>
      <c r="E65" s="38"/>
      <c r="F65" s="38"/>
      <c r="G65" s="52"/>
      <c r="H65" s="37"/>
      <c r="I65" s="37"/>
      <c r="J65" s="54"/>
    </row>
    <row r="66" spans="1:10" s="10" customFormat="1" ht="15.95" customHeight="1" x14ac:dyDescent="0.2">
      <c r="A66" s="51"/>
      <c r="B66" s="38"/>
      <c r="C66" s="38"/>
      <c r="D66" s="38"/>
      <c r="E66" s="38"/>
      <c r="F66" s="38"/>
      <c r="G66" s="52"/>
      <c r="H66" s="37"/>
      <c r="I66" s="37"/>
      <c r="J66" s="54"/>
    </row>
    <row r="67" spans="1:10" s="35" customFormat="1" ht="15.95" customHeight="1" x14ac:dyDescent="0.25">
      <c r="A67" s="48"/>
      <c r="F67" s="40"/>
      <c r="H67" s="40"/>
      <c r="I67" s="40"/>
    </row>
    <row r="68" spans="1:10" s="35" customFormat="1" ht="15.95" customHeight="1" x14ac:dyDescent="0.25">
      <c r="A68" s="48"/>
      <c r="F68" s="40"/>
      <c r="H68" s="40"/>
      <c r="I68" s="40"/>
    </row>
    <row r="69" spans="1:10" s="35" customFormat="1" ht="15.95" customHeight="1" x14ac:dyDescent="0.25">
      <c r="A69" s="48"/>
      <c r="F69" s="40"/>
      <c r="H69" s="40"/>
      <c r="I69" s="40"/>
    </row>
    <row r="70" spans="1:10" s="35" customFormat="1" ht="15.95" customHeight="1" x14ac:dyDescent="0.25">
      <c r="A70" s="48"/>
      <c r="F70" s="40"/>
      <c r="H70" s="40"/>
      <c r="I70" s="40"/>
    </row>
    <row r="71" spans="1:10" s="15" customFormat="1" x14ac:dyDescent="0.25">
      <c r="A71" s="49"/>
      <c r="F71" s="41"/>
      <c r="H71" s="41"/>
      <c r="I71" s="41"/>
    </row>
    <row r="72" spans="1:10" s="1" customFormat="1" x14ac:dyDescent="0.25">
      <c r="A72" s="47"/>
      <c r="F72"/>
      <c r="H72"/>
      <c r="I72"/>
    </row>
  </sheetData>
  <mergeCells count="13">
    <mergeCell ref="B9:D9"/>
    <mergeCell ref="A10:J10"/>
    <mergeCell ref="A11:J11"/>
    <mergeCell ref="A12:A13"/>
    <mergeCell ref="B12:C12"/>
    <mergeCell ref="D12:G12"/>
    <mergeCell ref="H12:I12"/>
    <mergeCell ref="J12:J13"/>
    <mergeCell ref="A2:J2"/>
    <mergeCell ref="A3:J3"/>
    <mergeCell ref="A4:J4"/>
    <mergeCell ref="A5:J5"/>
    <mergeCell ref="B7:D7"/>
  </mergeCells>
  <printOptions horizontalCentered="1"/>
  <pageMargins left="0.5" right="0.5" top="0.5" bottom="0.5" header="0.31496062992126" footer="0.31496062992126"/>
  <pageSetup paperSize="9" scale="66" fitToHeight="0" orientation="portrait" horizontalDpi="4294967293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CORRECTED</vt:lpstr>
      <vt:lpstr>CTO</vt:lpstr>
      <vt:lpstr>Sheet1</vt:lpstr>
      <vt:lpstr>DIAMANTE</vt:lpstr>
      <vt:lpstr>CORRECTED!Print_Area</vt:lpstr>
      <vt:lpstr>DIAMANTE!Print_Area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2026-01-08T01:27:36Z</cp:lastPrinted>
  <dcterms:created xsi:type="dcterms:W3CDTF">2021-10-07T06:10:16Z</dcterms:created>
  <dcterms:modified xsi:type="dcterms:W3CDTF">2026-01-08T01:29:15Z</dcterms:modified>
</cp:coreProperties>
</file>