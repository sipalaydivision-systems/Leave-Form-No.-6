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3" r:id="rId1"/>
    <sheet name="Election &amp; NLC" sheetId="4" r:id="rId2"/>
    <sheet name="CTO" sheetId="18" r:id="rId3"/>
  </sheets>
  <definedNames>
    <definedName name="_xlnm.Print_Area" localSheetId="2">CTO!$A$1:$L$19</definedName>
    <definedName name="_xlnm.Print_Area" localSheetId="1">'Election &amp; NLC'!$A$1:$G$21</definedName>
    <definedName name="_xlnm.Print_Area" localSheetId="0">'Leave Card as TIC'!$A$1:$J$31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<sst xmlns="http://schemas.openxmlformats.org/spreadsheetml/2006/main" count="88" uniqueCount="68">
  <si>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</si>
  <si>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</si>
  <si>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</si>
  <si>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</si>
  <si>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</si>
  <si>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</si>
  <si>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</si>
  <si>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</si>
  <si>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</si>
  <si>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</si>
  <si>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</si>
  <si>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</si>
  <si>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</si>
  <si>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</si>
  <si>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</si>
  <si>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</si>
  <si>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</si>
  <si>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</si>
  <si>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</si>
  <si>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</si>
  <si>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</si>
  <si>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DESIGNATED AS TIC (NON-TEACHING): EFFECTIVE JULY 29, 2024</t>
  </si>
  <si>
    <r>
      <rPr>
        <sz val="11"/>
        <color theme="1"/>
        <rFont val="Calibri"/>
        <charset val="134"/>
        <scheme val="minor"/>
      </rPr>
      <t xml:space="preserve">ADD: CONVERTED VSC </t>
    </r>
    <r>
      <rPr>
        <b/>
        <sz val="11"/>
        <color rgb="FF002060"/>
        <rFont val="Calibri"/>
        <charset val="134"/>
        <scheme val="minor"/>
      </rPr>
      <t>11 DAYS</t>
    </r>
    <r>
      <rPr>
        <sz val="11"/>
        <color theme="1"/>
        <rFont val="Calibri"/>
        <charset val="134"/>
        <scheme val="minor"/>
      </rPr>
      <t xml:space="preserve">:                                   FORMULA: 30Y/69/2 </t>
    </r>
  </si>
  <si>
    <t>ADD: 07/29-31/2024</t>
  </si>
  <si>
    <t>ADD: 08/1/2024-12/31/2024</t>
  </si>
  <si>
    <t>LESS: 01/27-28/2025</t>
  </si>
  <si>
    <t>ADD: 01/1/2025-08/31/2025</t>
  </si>
  <si>
    <t>LESS: MONETIZATION 2025</t>
  </si>
  <si>
    <t>ADD: 09/1/2025-11/30/2025</t>
  </si>
  <si>
    <t>LESS: 12/10-12/2025</t>
  </si>
  <si>
    <t>LESS: 12/22,23 &amp; 26/2025</t>
  </si>
  <si>
    <t xml:space="preserve">  </t>
  </si>
  <si>
    <t>REGION VI-WESTERN VISAYAS</t>
  </si>
  <si>
    <t>NAME          :LLOMO, JELENDRE E.</t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</si>
  <si>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</si>
  <si>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</si>
  <si>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</si>
  <si>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  <r>
      <rPr>
        <b/>
        <sz val="12"/>
        <color theme="1"/>
        <rFont val="Calibri"/>
        <charset val="134"/>
        <scheme val="minor"/>
      </rPr>
      <t>II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</si>
  <si>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</si>
  <si>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</si>
  <si>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</si>
  <si>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</si>
  <si>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</si>
  <si>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</si>
  <si>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</si>
  <si>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</si>
  <si>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</si>
  <si>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SO # 010, S. 2024</t>
  </si>
  <si>
    <t>04/30/2024</t>
  </si>
  <si>
    <t>OCT. 30, 2023 ELECTION</t>
  </si>
  <si>
    <t>SO # 053, S. 2024</t>
  </si>
  <si>
    <t>10/18/2024</t>
  </si>
  <si>
    <t>DEPED ACTIVITIES AND TRAININGS FOR SY 2024-2025</t>
  </si>
  <si>
    <t>11 DAYS-CONVERTED</t>
  </si>
  <si>
    <t>NAME         : LLOMO, JELENDRE</t>
  </si>
  <si>
    <t>DISTRICT             : _______________________</t>
  </si>
  <si>
    <t>EMPLOYEE NO   : __________</t>
  </si>
  <si>
    <t>SCHOOL/OFFICE : CAYHAGAN NHS</t>
  </si>
  <si>
    <t>STATION CODE   : __________</t>
  </si>
  <si>
    <t>POSITION   : TEACHER III</t>
  </si>
  <si>
    <t>DIVISION CODE   : __________</t>
  </si>
  <si>
    <t>COMPENSATORY TIME OFF (CTO)</t>
  </si>
  <si>
    <t>Special Order No. and Date Issued</t>
  </si>
  <si>
    <t>ADD: NOVEMBER 28, 2022</t>
  </si>
  <si>
    <t>S.O. # 119, S. 2022. BRIGADA ESKWELA 2022</t>
  </si>
  <si>
    <t>LESS: JUNE 01 &amp; 02, 2023</t>
  </si>
  <si>
    <t>NOTE:  Valid for one (1) year only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</si>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</sst>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5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29" applyNumberFormat="0" applyAlignment="0" applyProtection="0">
      <alignment vertical="center"/>
    </xf>
    <xf numFmtId="0" fontId="24" fillId="17" borderId="30" applyNumberFormat="0" applyAlignment="0" applyProtection="0">
      <alignment vertical="center"/>
    </xf>
    <xf numFmtId="0" fontId="25" fillId="17" borderId="29" applyNumberFormat="0" applyAlignment="0" applyProtection="0">
      <alignment vertical="center"/>
    </xf>
    <xf numFmtId="0" fontId="26" fillId="18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1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49" applyFill="1"/>
    <xf numFmtId="0" fontId="1" fillId="0" borderId="0" xfId="49" applyFont="1"/>
    <xf numFmtId="0" fontId="2" fillId="0" borderId="0" xfId="49" applyFont="1"/>
    <xf numFmtId="0" fontId="0" fillId="0" borderId="0" xfId="49"/>
    <xf numFmtId="0" fontId="0" fillId="3" borderId="0" xfId="49" applyFill="1"/>
    <xf numFmtId="0" fontId="0" fillId="4" borderId="0" xfId="49" applyFill="1"/>
    <xf numFmtId="0" fontId="0" fillId="2" borderId="0" xfId="49" applyFill="1" applyAlignment="1">
      <alignment horizontal="center"/>
    </xf>
    <xf numFmtId="0" fontId="3" fillId="2" borderId="0" xfId="49" applyFont="1" applyFill="1" applyAlignment="1">
      <alignment horizontal="center" vertical="center"/>
    </xf>
    <xf numFmtId="0" fontId="7" fillId="2" borderId="0" xfId="49" applyFont="1" applyFill="1" applyAlignment="1">
      <alignment vertical="center"/>
    </xf>
    <xf numFmtId="0" fontId="3" fillId="2" borderId="0" xfId="49" applyFont="1" applyFill="1" applyAlignment="1">
      <alignment horizontal="left" vertical="center"/>
    </xf>
    <xf numFmtId="0" fontId="3" fillId="2" borderId="0" xfId="49" applyFont="1" applyFill="1" applyAlignment="1">
      <alignment vertical="center"/>
    </xf>
    <xf numFmtId="0" fontId="8" fillId="2" borderId="0" xfId="49" applyFont="1" applyFill="1"/>
    <xf numFmtId="0" fontId="3" fillId="2" borderId="0" xfId="49" applyFont="1" applyFill="1"/>
    <xf numFmtId="0" fontId="3" fillId="2" borderId="0" xfId="49" applyFont="1" applyFill="1" applyAlignment="1">
      <alignment horizontal="left"/>
    </xf>
    <xf numFmtId="0" fontId="4" fillId="2" borderId="12" xfId="49" applyFont="1" applyFill="1" applyBorder="1" applyAlignment="1">
      <alignment horizontal="center" vertical="center"/>
    </xf>
    <xf numFmtId="0" fontId="4" fillId="2" borderId="13" xfId="49" applyFont="1" applyFill="1" applyBorder="1" applyAlignment="1">
      <alignment horizontal="center" vertical="center"/>
    </xf>
    <xf numFmtId="0" fontId="4" fillId="2" borderId="14" xfId="49" applyFont="1" applyFill="1" applyBorder="1" applyAlignment="1">
      <alignment horizontal="center" vertical="center"/>
    </xf>
    <xf numFmtId="0" fontId="5" fillId="6" borderId="12" xfId="49" applyFont="1" applyFill="1" applyBorder="1" applyAlignment="1">
      <alignment horizontal="center" vertical="center" wrapText="1"/>
    </xf>
    <xf numFmtId="0" fontId="5" fillId="6" borderId="12" xfId="49" applyFont="1" applyFill="1" applyBorder="1" applyAlignment="1">
      <alignment horizontal="center" vertical="center"/>
    </xf>
    <xf numFmtId="0" fontId="6" fillId="8" borderId="15" xfId="49" applyFont="1" applyFill="1" applyBorder="1" applyAlignment="1">
      <alignment horizontal="center" vertical="center" wrapText="1"/>
    </xf>
    <xf numFmtId="0" fontId="5" fillId="6" borderId="16" xfId="49" applyFont="1" applyFill="1" applyBorder="1" applyAlignment="1">
      <alignment horizontal="center" vertical="center"/>
    </xf>
    <xf numFmtId="0" fontId="0" fillId="2" borderId="17" xfId="51" applyFont="1" applyFill="1" applyBorder="1" applyAlignment="1">
      <alignment horizontal="center" vertical="center" wrapText="1"/>
    </xf>
    <xf numFmtId="58" fontId="0" fillId="2" borderId="18" xfId="51" applyNumberFormat="1" applyFont="1" applyFill="1" applyBorder="1" applyAlignment="1">
      <alignment horizontal="center" vertical="center"/>
    </xf>
    <xf numFmtId="0" fontId="6" fillId="2" borderId="18" xfId="51" applyFont="1" applyFill="1" applyBorder="1" applyAlignment="1">
      <alignment vertical="center" wrapText="1"/>
    </xf>
    <xf numFmtId="0" fontId="6" fillId="2" borderId="18" xfId="51" applyFont="1" applyFill="1" applyBorder="1" applyAlignment="1">
      <alignment horizontal="center" vertical="center" wrapText="1"/>
    </xf>
    <xf numFmtId="0" fontId="9" fillId="2" borderId="19" xfId="49" applyFont="1" applyFill="1" applyBorder="1" applyAlignment="1">
      <alignment horizontal="center" vertical="center" wrapText="1"/>
    </xf>
    <xf numFmtId="0" fontId="7" fillId="2" borderId="10" xfId="49" applyFont="1" applyFill="1" applyBorder="1" applyAlignment="1">
      <alignment horizontal="center" vertical="center" wrapText="1"/>
    </xf>
    <xf numFmtId="0" fontId="0" fillId="2" borderId="18" xfId="51" applyFont="1" applyFill="1" applyBorder="1" applyAlignment="1">
      <alignment horizontal="center" vertical="center"/>
    </xf>
    <xf numFmtId="0" fontId="6" fillId="2" borderId="20" xfId="51" applyFont="1" applyFill="1" applyBorder="1" applyAlignment="1">
      <alignment vertical="center" wrapText="1"/>
    </xf>
    <xf numFmtId="0" fontId="6" fillId="2" borderId="20" xfId="51" applyFont="1" applyFill="1" applyBorder="1" applyAlignment="1">
      <alignment horizontal="center" vertical="center" wrapText="1"/>
    </xf>
    <xf numFmtId="0" fontId="0" fillId="2" borderId="20" xfId="5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9" fillId="2" borderId="6" xfId="49" applyFont="1" applyFill="1" applyBorder="1" applyAlignment="1">
      <alignment horizontal="center" vertical="center" wrapText="1"/>
    </xf>
    <xf numFmtId="0" fontId="7" fillId="2" borderId="11" xfId="49" applyFont="1" applyFill="1" applyBorder="1" applyAlignment="1">
      <alignment horizontal="center" vertical="center" wrapText="1"/>
    </xf>
    <xf numFmtId="0" fontId="7" fillId="2" borderId="21" xfId="49" applyFont="1" applyFill="1" applyBorder="1" applyAlignment="1">
      <alignment horizontal="right" vertical="center" wrapText="1"/>
    </xf>
    <xf numFmtId="0" fontId="7" fillId="2" borderId="7" xfId="49" applyFont="1" applyFill="1" applyBorder="1" applyAlignment="1">
      <alignment horizontal="right" vertical="center" wrapText="1"/>
    </xf>
    <xf numFmtId="0" fontId="7" fillId="2" borderId="8" xfId="49" applyFont="1" applyFill="1" applyBorder="1" applyAlignment="1">
      <alignment horizontal="right" vertical="center" wrapText="1"/>
    </xf>
    <xf numFmtId="0" fontId="11" fillId="2" borderId="11" xfId="49" applyFont="1" applyFill="1" applyBorder="1" applyAlignment="1">
      <alignment horizontal="center" vertical="center" wrapText="1"/>
    </xf>
    <xf numFmtId="0" fontId="2" fillId="2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3" fillId="9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left" vertical="center"/>
    </xf>
    <xf numFmtId="0" fontId="0" fillId="2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176" fontId="0" fillId="2" borderId="18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395378</xdr:colOff>
      <xdr:row>0</xdr:row>
      <xdr:rowOff>71887</xdr:rowOff>
    </xdr:from>
    <xdr:to>
      <xdr:col>4</xdr:col>
      <xdr:colOff>230291</xdr:colOff>
      <xdr:row>0</xdr:row>
      <xdr:rowOff>655967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90720" y="71755"/>
          <a:ext cx="628650" cy="5842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LLOMO, JELENDRE E. 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(Teacher-In-Charge)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966595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CAYHAGAN</a:t>
          </a:r>
          <a:r>
            <a:rPr lang="en-US" sz="1100" baseline="0"/>
            <a:t> NHS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25</xdr:row>
      <xdr:rowOff>53914</xdr:rowOff>
    </xdr:from>
    <xdr:to>
      <xdr:col>9</xdr:col>
      <xdr:colOff>672043</xdr:colOff>
      <xdr:row>30</xdr:row>
      <xdr:rowOff>170731</xdr:rowOff>
    </xdr:to>
    <xdr:sp>
      <xdr:nvSpPr>
        <xdr:cNvPr id="6" name="TextBox 5"/>
        <xdr:cNvSpPr txBox="1"/>
      </xdr:nvSpPr>
      <xdr:spPr>
        <a:xfrm>
          <a:off x="6030595" y="557403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Personnel</a:t>
          </a:r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Section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962025</xdr:colOff>
      <xdr:row>20</xdr:row>
      <xdr:rowOff>123825</xdr:rowOff>
    </xdr:to>
    <xdr:sp>
      <xdr:nvSpPr>
        <xdr:cNvPr id="3" name="TextBox 2"/>
        <xdr:cNvSpPr txBox="1"/>
      </xdr:nvSpPr>
      <xdr:spPr>
        <a:xfrm>
          <a:off x="76200" y="4642485"/>
          <a:ext cx="3795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>
      <xdr:nvSpPr>
        <xdr:cNvPr id="4" name="TextBox 3"/>
        <xdr:cNvSpPr txBox="1"/>
      </xdr:nvSpPr>
      <xdr:spPr>
        <a:xfrm>
          <a:off x="5386070" y="466915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>
      <xdr:nvSpPr>
        <xdr:cNvPr id="3" name="TextBox 2"/>
        <xdr:cNvSpPr txBox="1"/>
      </xdr:nvSpPr>
      <xdr:spPr>
        <a:xfrm>
          <a:off x="76200" y="358521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9"/>
  <sheetViews>
    <sheetView tabSelected="1" view="pageBreakPreview" zoomScale="106" zoomScaleNormal="100" topLeftCell="A10" workbookViewId="0">
      <selection activeCell="A20" sqref="$A20:$XFD20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77" customWidth="1"/>
    <col min="8" max="10" width="11.5740740740741" customWidth="1"/>
    <col min="11" max="11" width="26.4259259259259" style="78" customWidth="1"/>
  </cols>
  <sheetData>
    <row r="1" s="1" customFormat="1" ht="52.5" customHeight="1"/>
    <row r="2" s="1" customFormat="1" ht="10.5" customHeight="1" spans="1:10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="1" customFormat="1" ht="15.95" customHeight="1" spans="1:10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4" s="1" customFormat="1" ht="15.95" customHeight="1" spans="1:10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="1" customFormat="1" ht="15.95" customHeight="1" spans="1:10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="1" customFormat="1" ht="8.25" customHeight="1"/>
    <row r="7" s="1" customFormat="1" ht="12" customHeight="1" spans="1:10">
      <c r="A7" s="1" t="s">
        <v>4</v>
      </c>
      <c r="B7" s="13" t="s">
        <v>5</v>
      </c>
      <c r="C7" s="13"/>
      <c r="D7" s="13"/>
      <c r="H7" s="12" t="s">
        <v>6</v>
      </c>
      <c r="I7" s="104"/>
      <c r="J7" s="12"/>
    </row>
    <row r="8" s="1" customFormat="1" ht="12" customHeight="1" spans="2:10">
      <c r="B8" s="14"/>
      <c r="C8" s="14"/>
      <c r="H8" s="14"/>
      <c r="I8" s="14"/>
      <c r="J8" s="14"/>
    </row>
    <row r="9" s="1" customFormat="1" ht="12" customHeight="1" spans="1:10">
      <c r="A9" s="1" t="s">
        <v>7</v>
      </c>
      <c r="B9" s="13" t="s">
        <v>8</v>
      </c>
      <c r="C9" s="13"/>
      <c r="D9" s="13"/>
      <c r="H9" s="12" t="s">
        <v>9</v>
      </c>
      <c r="I9" s="105"/>
      <c r="J9" s="12"/>
    </row>
    <row r="10" ht="23.25" customHeight="1" spans="1:11">
      <c r="A10" s="16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/>
    </row>
    <row r="11" ht="18.75" customHeight="1" spans="1:11">
      <c r="A11" s="79" t="s">
        <v>11</v>
      </c>
      <c r="B11" s="80" t="s">
        <v>12</v>
      </c>
      <c r="C11" s="81"/>
      <c r="D11" s="82" t="s">
        <v>13</v>
      </c>
      <c r="E11" s="83"/>
      <c r="F11" s="83"/>
      <c r="G11" s="84"/>
      <c r="H11" s="85" t="s">
        <v>14</v>
      </c>
      <c r="I11" s="106"/>
      <c r="J11" s="107" t="s">
        <v>15</v>
      </c>
      <c r="K11" s="108" t="s">
        <v>16</v>
      </c>
    </row>
    <row r="12" ht="15.15" spans="1:11">
      <c r="A12" s="86"/>
      <c r="B12" s="87" t="s">
        <v>17</v>
      </c>
      <c r="C12" s="87" t="s">
        <v>18</v>
      </c>
      <c r="D12" s="87" t="s">
        <v>17</v>
      </c>
      <c r="E12" s="87" t="s">
        <v>18</v>
      </c>
      <c r="F12" s="87" t="s">
        <v>19</v>
      </c>
      <c r="G12" s="87" t="s">
        <v>20</v>
      </c>
      <c r="H12" s="87" t="s">
        <v>17</v>
      </c>
      <c r="I12" s="87" t="s">
        <v>18</v>
      </c>
      <c r="J12" s="109"/>
      <c r="K12" s="108"/>
    </row>
    <row r="13" ht="15.15" spans="1:11">
      <c r="A13" s="88" t="s">
        <v>21</v>
      </c>
      <c r="B13" s="89"/>
      <c r="C13" s="89"/>
      <c r="D13" s="89"/>
      <c r="E13" s="89"/>
      <c r="F13" s="89"/>
      <c r="G13" s="89"/>
      <c r="H13" s="89"/>
      <c r="I13" s="89"/>
      <c r="J13" s="110"/>
      <c r="K13" s="111"/>
    </row>
    <row r="14" ht="33.75" customHeight="1" spans="1:10">
      <c r="A14" s="28" t="s">
        <v>22</v>
      </c>
      <c r="B14" s="90">
        <v>2.391</v>
      </c>
      <c r="C14" s="91">
        <v>2.391</v>
      </c>
      <c r="D14" s="91"/>
      <c r="E14" s="90"/>
      <c r="F14" s="90"/>
      <c r="G14" s="90"/>
      <c r="H14" s="92">
        <f>B14</f>
        <v>2.391</v>
      </c>
      <c r="I14" s="92">
        <f>C14</f>
        <v>2.391</v>
      </c>
      <c r="J14" s="112">
        <f>SUM(H14:I14)</f>
        <v>4.782</v>
      </c>
    </row>
    <row r="15" ht="17.25" customHeight="1" spans="1:10">
      <c r="A15" s="28" t="s">
        <v>23</v>
      </c>
      <c r="B15" s="90">
        <v>0.125</v>
      </c>
      <c r="C15" s="91">
        <v>0.125</v>
      </c>
      <c r="D15" s="93"/>
      <c r="E15" s="94"/>
      <c r="F15" s="94"/>
      <c r="G15" s="94"/>
      <c r="H15" s="95">
        <f>H14-F15-D15+B15</f>
        <v>2.516</v>
      </c>
      <c r="I15" s="95">
        <f>I14-E15+C15</f>
        <v>2.516</v>
      </c>
      <c r="J15" s="113">
        <f>SUM(H15:I15)</f>
        <v>5.032</v>
      </c>
    </row>
    <row r="16" ht="17.25" customHeight="1" spans="1:10">
      <c r="A16" s="28" t="s">
        <v>24</v>
      </c>
      <c r="B16" s="90">
        <v>6.25</v>
      </c>
      <c r="C16" s="91">
        <v>6.25</v>
      </c>
      <c r="D16" s="93"/>
      <c r="E16" s="94"/>
      <c r="F16" s="94"/>
      <c r="G16" s="94"/>
      <c r="H16" s="95">
        <f t="shared" ref="H16:H18" si="0">H15-F16-D16+B16</f>
        <v>8.766</v>
      </c>
      <c r="I16" s="95">
        <f t="shared" ref="I16:I18" si="1">I15-E16+C16</f>
        <v>8.766</v>
      </c>
      <c r="J16" s="113">
        <f t="shared" ref="J16:J18" si="2">SUM(H16:I16)</f>
        <v>17.532</v>
      </c>
    </row>
    <row r="17" ht="15.75" customHeight="1" spans="1:10">
      <c r="A17" s="28" t="s">
        <v>25</v>
      </c>
      <c r="B17" s="94"/>
      <c r="C17" s="93"/>
      <c r="D17" s="93"/>
      <c r="E17" s="94"/>
      <c r="F17" s="96">
        <v>2</v>
      </c>
      <c r="G17" s="94"/>
      <c r="H17" s="95">
        <f t="shared" si="0"/>
        <v>6.766</v>
      </c>
      <c r="I17" s="95">
        <f t="shared" si="1"/>
        <v>8.766</v>
      </c>
      <c r="J17" s="113">
        <f t="shared" si="2"/>
        <v>15.532</v>
      </c>
    </row>
    <row r="18" ht="15.75" customHeight="1" spans="1:10">
      <c r="A18" s="28" t="s">
        <v>26</v>
      </c>
      <c r="B18" s="94">
        <v>10</v>
      </c>
      <c r="C18" s="93">
        <v>10</v>
      </c>
      <c r="D18" s="93"/>
      <c r="E18" s="94"/>
      <c r="F18" s="97"/>
      <c r="G18" s="94"/>
      <c r="H18" s="95">
        <f t="shared" si="0"/>
        <v>16.766</v>
      </c>
      <c r="I18" s="95">
        <f t="shared" si="1"/>
        <v>18.766</v>
      </c>
      <c r="J18" s="113">
        <f t="shared" si="2"/>
        <v>35.532</v>
      </c>
    </row>
    <row r="19" ht="15.75" customHeight="1" spans="1:10">
      <c r="A19" s="93" t="s">
        <v>27</v>
      </c>
      <c r="B19" s="94"/>
      <c r="C19" s="93"/>
      <c r="D19" s="93">
        <v>10</v>
      </c>
      <c r="E19" s="94"/>
      <c r="F19" s="97"/>
      <c r="G19" s="94"/>
      <c r="H19" s="95">
        <f t="shared" ref="H19" si="3">H18-F19-D19+B19</f>
        <v>6.766</v>
      </c>
      <c r="I19" s="95">
        <f t="shared" ref="I19" si="4">I18-E19+C19</f>
        <v>18.766</v>
      </c>
      <c r="J19" s="113">
        <f t="shared" ref="J19" si="5">SUM(H19:I19)</f>
        <v>25.532</v>
      </c>
    </row>
    <row r="20" ht="15.75" customHeight="1" spans="1:10">
      <c r="A20" s="93" t="s">
        <v>28</v>
      </c>
      <c r="B20" s="94">
        <v>3.75</v>
      </c>
      <c r="C20" s="93">
        <v>3.75</v>
      </c>
      <c r="D20" s="93"/>
      <c r="E20" s="94"/>
      <c r="F20" s="97"/>
      <c r="G20" s="94"/>
      <c r="H20" s="95">
        <f>H19-F20-D20+B20</f>
        <v>10.516</v>
      </c>
      <c r="I20" s="95">
        <f>I19-E20+C20</f>
        <v>22.516</v>
      </c>
      <c r="J20" s="113">
        <f>SUM(H20:I20)</f>
        <v>33.032</v>
      </c>
    </row>
    <row r="21" ht="15.75" customHeight="1" spans="1:10">
      <c r="A21" s="93" t="s">
        <v>29</v>
      </c>
      <c r="B21" s="94"/>
      <c r="C21" s="93"/>
      <c r="D21" s="93"/>
      <c r="E21" s="94"/>
      <c r="F21" s="96">
        <v>3</v>
      </c>
      <c r="G21" s="94"/>
      <c r="H21" s="95">
        <f>H20-F21-D21+B21</f>
        <v>7.516</v>
      </c>
      <c r="I21" s="95">
        <f>I20-E21+C21</f>
        <v>22.516</v>
      </c>
      <c r="J21" s="113">
        <f>SUM(H21:I21)</f>
        <v>30.032</v>
      </c>
    </row>
    <row r="22" ht="15.75" customHeight="1" spans="1:10">
      <c r="A22" s="93" t="s">
        <v>30</v>
      </c>
      <c r="B22" s="94"/>
      <c r="C22" s="93"/>
      <c r="D22" s="93"/>
      <c r="E22" s="94"/>
      <c r="F22" s="97"/>
      <c r="G22" s="98">
        <v>3</v>
      </c>
      <c r="H22" s="95">
        <f>H21-F22-D22+B22</f>
        <v>7.516</v>
      </c>
      <c r="I22" s="95">
        <f>I21-E22+C22</f>
        <v>22.516</v>
      </c>
      <c r="J22" s="113">
        <f>SUM(H22:I22)</f>
        <v>30.032</v>
      </c>
    </row>
    <row r="23" ht="15.75" customHeight="1" spans="1:10">
      <c r="A23" s="99"/>
      <c r="B23" s="100"/>
      <c r="C23" s="99"/>
      <c r="D23" s="99"/>
      <c r="E23" s="100"/>
      <c r="F23" s="101"/>
      <c r="G23" s="100"/>
      <c r="H23" s="102"/>
      <c r="I23" s="102"/>
      <c r="J23" s="102"/>
    </row>
    <row r="24" spans="8:10">
      <c r="H24" s="103"/>
      <c r="I24" s="103"/>
      <c r="J24" s="103"/>
    </row>
    <row r="25" spans="8:10">
      <c r="H25" s="103"/>
      <c r="I25" s="103"/>
      <c r="J25" s="103"/>
    </row>
    <row r="29" spans="6:6">
      <c r="F29" s="77" t="s">
        <v>31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view="pageBreakPreview" zoomScaleNormal="100" workbookViewId="0">
      <selection activeCell="C16" sqref="C16"/>
    </sheetView>
  </sheetViews>
  <sheetFormatPr defaultColWidth="9" defaultRowHeight="14.4" outlineLevelCol="6"/>
  <cols>
    <col min="1" max="1" width="23.5740740740741" style="41" customWidth="1"/>
    <col min="2" max="2" width="18.8518518518519" style="41" customWidth="1"/>
    <col min="3" max="3" width="35" style="42" customWidth="1"/>
    <col min="4" max="4" width="11.712962962963" style="43" customWidth="1"/>
    <col min="5" max="5" width="11" style="41" customWidth="1"/>
    <col min="6" max="6" width="11.8518518518519" style="43" customWidth="1"/>
    <col min="7" max="7" width="22" style="41" customWidth="1"/>
    <col min="8" max="16384" width="9" style="41"/>
  </cols>
  <sheetData>
    <row r="1" s="38" customFormat="1" ht="52.5" customHeight="1" spans="5:5">
      <c r="E1" s="44"/>
    </row>
    <row r="2" s="38" customFormat="1" ht="10.5" customHeight="1" spans="1:7">
      <c r="A2" s="45" t="s">
        <v>0</v>
      </c>
      <c r="B2" s="45"/>
      <c r="C2" s="45"/>
      <c r="D2" s="45"/>
      <c r="E2" s="45"/>
      <c r="F2" s="45"/>
      <c r="G2" s="45"/>
    </row>
    <row r="3" s="38" customFormat="1" ht="15.95" customHeight="1" spans="1:7">
      <c r="A3" s="45" t="s">
        <v>1</v>
      </c>
      <c r="B3" s="45"/>
      <c r="C3" s="45"/>
      <c r="D3" s="45"/>
      <c r="E3" s="45"/>
      <c r="F3" s="45"/>
      <c r="G3" s="45"/>
    </row>
    <row r="4" s="38" customFormat="1" ht="15.95" customHeight="1" spans="1:7">
      <c r="A4" s="45" t="s">
        <v>32</v>
      </c>
      <c r="B4" s="45"/>
      <c r="C4" s="45"/>
      <c r="D4" s="45"/>
      <c r="E4" s="45"/>
      <c r="F4" s="45"/>
      <c r="G4" s="45"/>
    </row>
    <row r="5" s="38" customFormat="1" ht="15.95" customHeight="1" spans="1:7">
      <c r="A5" s="45" t="s">
        <v>3</v>
      </c>
      <c r="B5" s="45"/>
      <c r="C5" s="45"/>
      <c r="D5" s="45"/>
      <c r="E5" s="45"/>
      <c r="F5" s="45"/>
      <c r="G5" s="45"/>
    </row>
    <row r="6" s="38" customFormat="1" ht="8.25" customHeight="1" spans="5:5">
      <c r="E6" s="44"/>
    </row>
    <row r="7" s="38" customFormat="1" ht="8.25" customHeight="1" spans="5:5">
      <c r="E7" s="44"/>
    </row>
    <row r="8" s="38" customFormat="1" ht="17.25" customHeight="1" spans="1:7">
      <c r="A8" s="46" t="s">
        <v>33</v>
      </c>
      <c r="B8" s="46"/>
      <c r="C8" s="46" t="s">
        <v>34</v>
      </c>
      <c r="D8" s="47"/>
      <c r="E8" s="46" t="s">
        <v>35</v>
      </c>
      <c r="F8" s="47"/>
      <c r="G8" s="48"/>
    </row>
    <row r="9" s="38" customFormat="1" ht="12" customHeight="1" spans="1:7">
      <c r="A9" s="49"/>
      <c r="B9" s="49"/>
      <c r="C9" s="50"/>
      <c r="E9" s="46" t="s">
        <v>36</v>
      </c>
      <c r="F9" s="51"/>
      <c r="G9" s="50"/>
    </row>
    <row r="10" s="38" customFormat="1" ht="14.25" customHeight="1" spans="1:7">
      <c r="A10" s="46" t="s">
        <v>37</v>
      </c>
      <c r="B10" s="46"/>
      <c r="C10" s="46" t="s">
        <v>38</v>
      </c>
      <c r="D10" s="47"/>
      <c r="E10" s="46" t="s">
        <v>39</v>
      </c>
      <c r="F10" s="47"/>
      <c r="G10" s="48"/>
    </row>
    <row r="11" s="38" customFormat="1" ht="12" customHeight="1" spans="1:7">
      <c r="A11" s="48"/>
      <c r="B11" s="48"/>
      <c r="C11" s="48"/>
      <c r="F11" s="47"/>
      <c r="G11" s="48"/>
    </row>
    <row r="12" ht="23.25" customHeight="1" spans="1:7">
      <c r="A12" s="52" t="s">
        <v>40</v>
      </c>
      <c r="B12" s="53"/>
      <c r="C12" s="53"/>
      <c r="D12" s="53"/>
      <c r="E12" s="53"/>
      <c r="F12" s="53"/>
      <c r="G12" s="54"/>
    </row>
    <row r="13" s="39" customFormat="1" ht="37.5" customHeight="1" spans="1:7">
      <c r="A13" s="55" t="s">
        <v>41</v>
      </c>
      <c r="B13" s="56" t="s">
        <v>42</v>
      </c>
      <c r="C13" s="57" t="s">
        <v>43</v>
      </c>
      <c r="D13" s="57" t="s">
        <v>44</v>
      </c>
      <c r="E13" s="57" t="s">
        <v>45</v>
      </c>
      <c r="F13" s="57" t="s">
        <v>46</v>
      </c>
      <c r="G13" s="58" t="s">
        <v>15</v>
      </c>
    </row>
    <row r="14" s="39" customFormat="1" ht="24.75" customHeight="1" spans="1:7">
      <c r="A14" s="59" t="s">
        <v>47</v>
      </c>
      <c r="B14" s="60" t="s">
        <v>48</v>
      </c>
      <c r="C14" s="61" t="s">
        <v>49</v>
      </c>
      <c r="D14" s="62">
        <v>5</v>
      </c>
      <c r="E14" s="63">
        <v>0</v>
      </c>
      <c r="F14" s="63">
        <v>5</v>
      </c>
      <c r="G14" s="64">
        <v>5</v>
      </c>
    </row>
    <row r="15" s="39" customFormat="1" ht="22.5" customHeight="1" spans="1:7">
      <c r="A15" s="59" t="s">
        <v>50</v>
      </c>
      <c r="B15" s="65" t="s">
        <v>51</v>
      </c>
      <c r="C15" s="66" t="s">
        <v>52</v>
      </c>
      <c r="D15" s="67">
        <v>6</v>
      </c>
      <c r="E15" s="63">
        <v>0</v>
      </c>
      <c r="F15" s="63">
        <v>6</v>
      </c>
      <c r="G15" s="64">
        <v>6</v>
      </c>
    </row>
    <row r="16" s="40" customFormat="1" ht="27" customHeight="1" spans="1:7">
      <c r="A16" s="68"/>
      <c r="B16" s="68"/>
      <c r="C16" s="69"/>
      <c r="D16" s="70"/>
      <c r="E16" s="70"/>
      <c r="F16" s="70"/>
      <c r="G16" s="64"/>
    </row>
    <row r="17" s="40" customFormat="1" ht="15.6" spans="1:7">
      <c r="A17" s="68"/>
      <c r="B17" s="68"/>
      <c r="C17" s="66"/>
      <c r="D17" s="70"/>
      <c r="E17" s="70"/>
      <c r="F17" s="70"/>
      <c r="G17" s="71"/>
    </row>
    <row r="18" s="40" customFormat="1" ht="15.6" spans="1:7">
      <c r="A18" s="72" t="s">
        <v>15</v>
      </c>
      <c r="B18" s="73"/>
      <c r="C18" s="73"/>
      <c r="D18" s="73"/>
      <c r="E18" s="73"/>
      <c r="F18" s="74"/>
      <c r="G18" s="75" t="s">
        <v>53</v>
      </c>
    </row>
    <row r="19" s="38" customFormat="1" ht="75.75" customHeight="1" spans="1:7">
      <c r="A19" s="76"/>
      <c r="B19" s="76"/>
      <c r="G19" s="76"/>
    </row>
    <row r="20" s="38" customFormat="1"/>
    <row r="21" s="38" customFormat="1"/>
  </sheetData>
  <mergeCells count="6">
    <mergeCell ref="A2:G2"/>
    <mergeCell ref="A3:G3"/>
    <mergeCell ref="A4:G4"/>
    <mergeCell ref="A5:G5"/>
    <mergeCell ref="A12:G12"/>
    <mergeCell ref="A18:F18"/>
  </mergeCells>
  <pageMargins left="0.25" right="0.25" top="0.75" bottom="0.75" header="0.3" footer="0.3"/>
  <pageSetup paperSize="9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view="pageBreakPreview" zoomScale="112" zoomScaleNormal="100" topLeftCell="A4" workbookViewId="0">
      <selection activeCell="B12" sqref="B12:K12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0"/>
    </row>
    <row r="2" s="1" customFormat="1" ht="10.5" customHeight="1" spans="1:1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15.95" customHeight="1" spans="1:1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5.95" customHeight="1" spans="1:12">
      <c r="A4" s="11" t="s">
        <v>32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="1" customFormat="1" ht="15.95" customHeight="1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1" customFormat="1" ht="8.25" customHeight="1" spans="3:8">
      <c r="C6" s="10"/>
      <c r="H6" s="10"/>
    </row>
    <row r="7" s="1" customFormat="1" ht="8.25" customHeight="1" spans="3:8">
      <c r="C7" s="10"/>
      <c r="H7" s="10"/>
    </row>
    <row r="8" s="1" customFormat="1" ht="12" customHeight="1" spans="1:12">
      <c r="A8" s="12" t="s">
        <v>54</v>
      </c>
      <c r="B8" s="12"/>
      <c r="C8" s="13" t="s">
        <v>55</v>
      </c>
      <c r="D8" s="13"/>
      <c r="E8" s="13"/>
      <c r="F8" s="13"/>
      <c r="G8" s="13"/>
      <c r="I8" s="13" t="s">
        <v>56</v>
      </c>
      <c r="J8" s="13"/>
      <c r="K8" s="13"/>
      <c r="L8" s="12"/>
    </row>
    <row r="9" s="1" customFormat="1" ht="12" customHeight="1" spans="2:12">
      <c r="B9" s="14"/>
      <c r="C9" s="13" t="s">
        <v>57</v>
      </c>
      <c r="D9" s="13"/>
      <c r="E9" s="13"/>
      <c r="F9" s="13"/>
      <c r="G9" s="13"/>
      <c r="I9" s="32" t="s">
        <v>58</v>
      </c>
      <c r="J9" s="32"/>
      <c r="K9" s="32"/>
      <c r="L9" s="14"/>
    </row>
    <row r="10" s="1" customFormat="1" ht="12" customHeight="1" spans="1:12">
      <c r="A10" s="12" t="s">
        <v>59</v>
      </c>
      <c r="B10" s="12"/>
      <c r="C10" s="15"/>
      <c r="D10" s="14"/>
      <c r="E10" s="14"/>
      <c r="I10" s="13" t="s">
        <v>60</v>
      </c>
      <c r="J10" s="13"/>
      <c r="K10" s="13"/>
      <c r="L10" s="12"/>
    </row>
    <row r="11" ht="16.5" customHeight="1" spans="1:12">
      <c r="A11" s="16" t="s">
        <v>61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7" t="s">
        <v>11</v>
      </c>
      <c r="B12" s="18" t="s">
        <v>12</v>
      </c>
      <c r="C12" s="19"/>
      <c r="D12" s="19"/>
      <c r="E12" s="19"/>
      <c r="F12" s="19"/>
      <c r="G12" s="19"/>
      <c r="H12" s="19"/>
      <c r="I12" s="19"/>
      <c r="J12" s="19"/>
      <c r="K12" s="19"/>
      <c r="L12" s="33" t="s">
        <v>15</v>
      </c>
    </row>
    <row r="13" s="2" customFormat="1" ht="24" customHeight="1" spans="1:12">
      <c r="A13" s="20"/>
      <c r="B13" s="21" t="s">
        <v>62</v>
      </c>
      <c r="C13" s="22"/>
      <c r="D13" s="22"/>
      <c r="E13" s="23"/>
      <c r="F13" s="21" t="s">
        <v>44</v>
      </c>
      <c r="G13" s="23"/>
      <c r="H13" s="21" t="s">
        <v>45</v>
      </c>
      <c r="I13" s="23"/>
      <c r="J13" s="21" t="s">
        <v>46</v>
      </c>
      <c r="K13" s="23"/>
      <c r="L13" s="34"/>
    </row>
    <row r="14" s="2" customFormat="1" spans="1:12">
      <c r="A14" s="24" t="s">
        <v>63</v>
      </c>
      <c r="B14" s="25" t="s">
        <v>64</v>
      </c>
      <c r="C14" s="26"/>
      <c r="D14" s="26"/>
      <c r="E14" s="27"/>
      <c r="F14" s="25">
        <v>10</v>
      </c>
      <c r="G14" s="27"/>
      <c r="H14" s="25">
        <v>0</v>
      </c>
      <c r="I14" s="27"/>
      <c r="J14" s="25">
        <v>10</v>
      </c>
      <c r="K14" s="27"/>
      <c r="L14" s="35">
        <v>10</v>
      </c>
    </row>
    <row r="15" s="3" customFormat="1" spans="1:12">
      <c r="A15" s="28" t="s">
        <v>65</v>
      </c>
      <c r="B15" s="25" t="s">
        <v>64</v>
      </c>
      <c r="C15" s="26"/>
      <c r="D15" s="26"/>
      <c r="E15" s="27"/>
      <c r="F15" s="25">
        <v>10</v>
      </c>
      <c r="G15" s="27"/>
      <c r="H15" s="25">
        <v>2</v>
      </c>
      <c r="I15" s="27"/>
      <c r="J15" s="25">
        <v>8</v>
      </c>
      <c r="K15" s="27"/>
      <c r="L15" s="36">
        <v>8</v>
      </c>
    </row>
    <row r="16" s="3" customFormat="1" spans="1:12">
      <c r="A16" s="29" t="s">
        <v>66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7"/>
    </row>
    <row r="17" ht="75.75" customHeight="1" spans="1:1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s="1" customFormat="1" spans="3:3">
      <c r="C18" s="10"/>
    </row>
    <row r="19" s="1" customFormat="1" spans="3:3">
      <c r="C19" s="10"/>
    </row>
    <row r="21" spans="7:7">
      <c r="G21" s="7" t="s">
        <v>67</v>
      </c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as TIC</vt:lpstr>
      <vt:lpstr>Election &amp; NLC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2022-11-24T07:01:00Z</dcterms:created>
  <cp:lastPrinted>2025-09-02T05:06:00Z</cp:lastPrinted>
  <dcterms:modified xsi:type="dcterms:W3CDTF">2026-01-01T03:08:09Z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DB4A96B80FAC4B2C99F52BD9991935C9_12</vt:lpwstr>
  </property>
  <property fmtid="{D5CDD505-2E9C-101B-9397-08002B2CF9AE}" pid="3" name="KSOProductBuildVer">
    <vt:lpwstr>1033-12.2.0.23196</vt:lpwstr>
  </property>
</Properties>
</file>