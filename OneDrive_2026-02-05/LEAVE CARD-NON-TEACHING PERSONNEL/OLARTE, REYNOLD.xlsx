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B33F571-D10F-4E2B-9BE7-40B6987BC432}" xr6:coauthVersionLast="47" xr6:coauthVersionMax="47" xr10:uidLastSave="{00000000-0000-0000-0000-000000000000}"/>
  <bookViews>
    <workbookView xWindow="-120" yWindow="-120" windowWidth="29040" windowHeight="15720" xr2:uid="{8DA85902-6E67-4CAF-A792-BC4A5E5EAC14}"/>
  </bookViews>
  <sheets>
    <sheet name="Leave Card CORRECTED " sheetId="3" r:id="rId1"/>
  </sheets>
  <definedNames>
    <definedName name="_xlnm.Print_Area" localSheetId="0">'Leave Card CORRECTED '!$A$1:$J$57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3" l="1"/>
  <c r="I48" i="3" s="1"/>
  <c r="I49" i="3" s="1"/>
  <c r="H47" i="3"/>
  <c r="J47" i="3" s="1"/>
  <c r="J46" i="3"/>
  <c r="I46" i="3"/>
  <c r="H46" i="3"/>
  <c r="H48" i="3" l="1"/>
  <c r="J48" i="3" l="1"/>
  <c r="H49" i="3"/>
  <c r="J49" i="3" s="1"/>
  <c r="B38" i="3" l="1"/>
  <c r="B36" i="3"/>
  <c r="C34" i="3"/>
  <c r="B34" i="3"/>
  <c r="C32" i="3"/>
  <c r="B32" i="3"/>
  <c r="I14" i="3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H14" i="3"/>
  <c r="H15" i="3" s="1"/>
  <c r="H16" i="3" s="1"/>
  <c r="I32" i="3" l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J14" i="3"/>
  <c r="J16" i="3"/>
  <c r="H17" i="3"/>
  <c r="J15" i="3"/>
  <c r="H18" i="3" l="1"/>
  <c r="J17" i="3"/>
  <c r="J18" i="3" l="1"/>
  <c r="H19" i="3"/>
  <c r="H20" i="3" l="1"/>
  <c r="J19" i="3"/>
  <c r="J20" i="3" l="1"/>
  <c r="H21" i="3"/>
  <c r="H22" i="3" l="1"/>
  <c r="J21" i="3"/>
  <c r="J22" i="3" l="1"/>
  <c r="H23" i="3"/>
  <c r="H24" i="3" l="1"/>
  <c r="J23" i="3"/>
  <c r="J24" i="3" l="1"/>
  <c r="H25" i="3"/>
  <c r="H26" i="3" l="1"/>
  <c r="J25" i="3"/>
  <c r="H27" i="3" l="1"/>
  <c r="J26" i="3"/>
  <c r="H28" i="3" l="1"/>
  <c r="J27" i="3"/>
  <c r="H29" i="3" l="1"/>
  <c r="J28" i="3"/>
  <c r="H30" i="3" l="1"/>
  <c r="J29" i="3"/>
  <c r="J30" i="3" l="1"/>
  <c r="H31" i="3"/>
  <c r="H32" i="3" l="1"/>
  <c r="J31" i="3"/>
  <c r="J32" i="3" l="1"/>
  <c r="H33" i="3"/>
  <c r="H34" i="3" l="1"/>
  <c r="J33" i="3"/>
  <c r="J34" i="3" l="1"/>
  <c r="H35" i="3"/>
  <c r="H36" i="3" l="1"/>
  <c r="J35" i="3"/>
  <c r="J36" i="3" l="1"/>
  <c r="H37" i="3"/>
  <c r="H38" i="3" l="1"/>
  <c r="J37" i="3"/>
  <c r="J38" i="3" l="1"/>
  <c r="H39" i="3"/>
  <c r="H40" i="3" l="1"/>
  <c r="J39" i="3"/>
  <c r="J40" i="3" l="1"/>
  <c r="H41" i="3"/>
  <c r="J41" i="3" l="1"/>
  <c r="H42" i="3"/>
  <c r="J42" i="3" l="1"/>
  <c r="H43" i="3"/>
  <c r="J43" i="3" l="1"/>
  <c r="H44" i="3"/>
  <c r="H45" i="3" s="1"/>
  <c r="J45" i="3" s="1"/>
  <c r="J44" i="3" l="1"/>
</calcChain>
</file>

<file path=xl/sharedStrings.xml><?xml version="1.0" encoding="utf-8"?>
<sst xmlns="http://schemas.openxmlformats.org/spreadsheetml/2006/main" count="63" uniqueCount="59">
  <si>
    <t>Republic of the Philippines</t>
  </si>
  <si>
    <t>Department of Education</t>
  </si>
  <si>
    <t>SCHOOLS DIVISION OF SIPALAY CITY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</si>
  <si>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</si>
  <si>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</si>
  <si>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</si>
  <si>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</si>
  <si>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</si>
  <si>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</si>
  <si>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</si>
  <si>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</si>
  <si>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ADD: 01/01/2019-12/31/2019</t>
  </si>
  <si>
    <t>ADD: 01/01/2020-12/31/2020</t>
  </si>
  <si>
    <t>ADD: 01/01/2021-09/30/2021</t>
  </si>
  <si>
    <t>ADD: 10/01/21-12/31/2021</t>
  </si>
  <si>
    <t>ADD:01/01/2022-08/31/2022</t>
  </si>
  <si>
    <t>ADD:09/01/2022-12/31/2022</t>
  </si>
  <si>
    <t>ADD:01/01/2023-08/31/2023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</si>
  <si>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</si>
  <si>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</si>
  <si>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</si>
  <si>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</si>
  <si>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</si>
  <si>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</si>
  <si>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</si>
  <si>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DATE FILED/RECEIVED</t>
  </si>
  <si>
    <t>SPECIAL</t>
  </si>
  <si>
    <t>BALANCE FORWARDED (NEG.OCC)</t>
  </si>
  <si>
    <t xml:space="preserve">  </t>
  </si>
  <si>
    <t>ADD: SEPT.-DECEMBER 31, 2023</t>
  </si>
  <si>
    <t>ADD: JAN. -JULY 31, 2024</t>
  </si>
  <si>
    <t>ADD: 08/13-31/2012</t>
  </si>
  <si>
    <t>ADD: 09/01/2012-12/31/2012</t>
  </si>
  <si>
    <t>ADD: 01/01/2013-12/31/2013</t>
  </si>
  <si>
    <t>ADD: 01/01/2014-12/31/2014</t>
  </si>
  <si>
    <t>ADD: 01/01/2015-12/31/2015</t>
  </si>
  <si>
    <t>ADD: 01/01/2016-12/31/2016</t>
  </si>
  <si>
    <t>ADD: 01/01/2017-12/31/2017</t>
  </si>
  <si>
    <t>ADD: 01/01/2018-12/31/2018</t>
  </si>
  <si>
    <t>LESS: MONETIZATION 2024</t>
  </si>
  <si>
    <t>NEGROS ISLAND REGION</t>
  </si>
  <si>
    <t>LESS:  FL 2013</t>
  </si>
  <si>
    <t>LESS:  FL 2014</t>
  </si>
  <si>
    <t>LESS:  FL 2015</t>
  </si>
  <si>
    <t>LESS:  FL 2016</t>
  </si>
  <si>
    <t>LESS:  FL 2017</t>
  </si>
  <si>
    <t>LESS:  FL 2018</t>
  </si>
  <si>
    <t>LESS: FL 2019</t>
  </si>
  <si>
    <t>LESS:  FL 2020</t>
  </si>
  <si>
    <t>LESS: MONETIZATION 2021</t>
  </si>
  <si>
    <t>LESS:  FL 2021</t>
  </si>
  <si>
    <t>LESS: MONETIZATION 2022</t>
  </si>
  <si>
    <t>LESS:  FL 2022</t>
  </si>
  <si>
    <t>LESS: 29 DAYS MONETIZATION 2023</t>
  </si>
  <si>
    <t>LESS:  FL 2023</t>
  </si>
  <si>
    <t>ADD: 08/1/2024-12/31/2024</t>
  </si>
  <si>
    <t>LESS: FL 2024</t>
  </si>
  <si>
    <t>ADD: 01/1/2025-08/31/2025</t>
  </si>
  <si>
    <t>LESS: MONETIZATION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</si>
</sst>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4" fillId="0" borderId="0" xfId="0" applyFont="1"/>
    <xf numFmtId="164" fontId="0" fillId="2" borderId="6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467264</xdr:colOff>
      <xdr:row>0</xdr:row>
      <xdr:rowOff>107830</xdr:rowOff>
    </xdr:from>
    <xdr:to>
      <xdr:col>4</xdr:col>
      <xdr:colOff>215661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81310-C18C-40A9-ADD0-B10A1C44907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7995" y="107830"/>
          <a:ext cx="521180" cy="55712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6C3CEB-12F6-4DE7-8305-18BB054B9EBD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OLARTE, REYNOLD  A.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80E967-15CB-4CED-B8BB-5478F09C1950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TEACHER II (ALS)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B103AF-9EB6-4F52-9B54-11101E34025E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CAMBOGUI-OT ES</a:t>
          </a:r>
        </a:p>
      </xdr:txBody>
    </xdr:sp>
    <xdr:clientData/>
  </xdr:twoCellAnchor>
  <xdr:twoCellAnchor>
    <xdr:from>
      <xdr:col>5</xdr:col>
      <xdr:colOff>347452</xdr:colOff>
      <xdr:row>51</xdr:row>
      <xdr:rowOff>53914</xdr:rowOff>
    </xdr:from>
    <xdr:to>
      <xdr:col>9</xdr:col>
      <xdr:colOff>672043</xdr:colOff>
      <xdr:row>56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977D13-3642-4663-BEFC-1C5D42DA351B}"/>
            </a:ext>
          </a:extLst>
        </xdr:cNvPr>
        <xdr:cNvSpPr txBox="1"/>
      </xdr:nvSpPr>
      <xdr:spPr>
        <a:xfrm>
          <a:off x="5871952" y="745483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B087-1709-4597-8B05-7D277660047F}">
  <sheetPr>
    <pageSetUpPr fitToPage="1"/>
  </sheetPr>
  <dimension ref="A1:K55"/>
  <sheetViews>
    <sheetView tabSelected="1" view="pageBreakPreview" topLeftCell="A38" zoomScale="106" zoomScaleNormal="100" zoomScaleSheetLayoutView="106" workbookViewId="0">
      <selection activeCell="H48" sqref="H48:J48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20" customWidth="1"/>
    <col min="8" max="10" width="11.5703125" customWidth="1"/>
    <col min="11" max="11" width="26.42578125" style="15" customWidth="1"/>
  </cols>
  <sheetData>
    <row r="1" spans="1:11" s="1" customFormat="1" ht="52.5" customHeight="1" x14ac:dyDescent="0.25"/>
    <row r="2" spans="1:11" s="1" customFormat="1" ht="10.5" customHeight="1" x14ac:dyDescent="0.25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</row>
    <row r="3" spans="1:11" s="1" customFormat="1" ht="15.95" customHeight="1" x14ac:dyDescent="0.25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</row>
    <row r="4" spans="1:11" s="1" customFormat="1" ht="15.95" customHeight="1" x14ac:dyDescent="0.25">
      <c r="A4" s="29" t="s">
        <v>40</v>
      </c>
      <c r="B4" s="29"/>
      <c r="C4" s="29"/>
      <c r="D4" s="29"/>
      <c r="E4" s="29"/>
      <c r="F4" s="29"/>
      <c r="G4" s="29"/>
      <c r="H4" s="29"/>
      <c r="I4" s="29"/>
      <c r="J4" s="29"/>
    </row>
    <row r="5" spans="1:11" s="1" customFormat="1" ht="15.95" customHeight="1" x14ac:dyDescent="0.25">
      <c r="A5" s="29" t="s">
        <v>2</v>
      </c>
      <c r="B5" s="29"/>
      <c r="C5" s="29"/>
      <c r="D5" s="29"/>
      <c r="E5" s="29"/>
      <c r="F5" s="29"/>
      <c r="G5" s="29"/>
      <c r="H5" s="29"/>
      <c r="I5" s="29"/>
      <c r="J5" s="29"/>
    </row>
    <row r="6" spans="1:11" s="1" customFormat="1" ht="8.25" customHeight="1" x14ac:dyDescent="0.25"/>
    <row r="7" spans="1:11" s="1" customFormat="1" ht="12" customHeight="1" x14ac:dyDescent="0.25">
      <c r="A7" s="1" t="s">
        <v>18</v>
      </c>
      <c r="B7" s="28" t="s">
        <v>19</v>
      </c>
      <c r="C7" s="28"/>
      <c r="D7" s="28"/>
      <c r="H7" s="2" t="s">
        <v>20</v>
      </c>
      <c r="I7" s="7"/>
      <c r="J7" s="2"/>
    </row>
    <row r="8" spans="1:11" s="1" customFormat="1" ht="12" customHeight="1" x14ac:dyDescent="0.25">
      <c r="B8" s="3"/>
      <c r="C8" s="3"/>
      <c r="H8" s="3"/>
      <c r="I8" s="3"/>
      <c r="J8" s="3"/>
    </row>
    <row r="9" spans="1:11" s="1" customFormat="1" ht="12" customHeight="1" x14ac:dyDescent="0.25">
      <c r="A9" s="1" t="s">
        <v>21</v>
      </c>
      <c r="B9" s="28" t="s">
        <v>22</v>
      </c>
      <c r="C9" s="28"/>
      <c r="D9" s="28"/>
      <c r="H9" s="2" t="s">
        <v>23</v>
      </c>
      <c r="I9" s="8"/>
      <c r="J9" s="2"/>
    </row>
    <row r="10" spans="1:11" ht="23.25" customHeight="1" thickBot="1" x14ac:dyDescent="0.3">
      <c r="A10" s="31" t="s">
        <v>24</v>
      </c>
      <c r="B10" s="31"/>
      <c r="C10" s="31"/>
      <c r="D10" s="31"/>
      <c r="E10" s="31"/>
      <c r="F10" s="31"/>
      <c r="G10" s="31"/>
      <c r="H10" s="31"/>
      <c r="I10" s="31"/>
      <c r="J10" s="31"/>
      <c r="K10"/>
    </row>
    <row r="11" spans="1:11" ht="18.75" customHeight="1" x14ac:dyDescent="0.25">
      <c r="A11" s="32" t="s">
        <v>3</v>
      </c>
      <c r="B11" s="34" t="s">
        <v>4</v>
      </c>
      <c r="C11" s="35"/>
      <c r="D11" s="36" t="s">
        <v>5</v>
      </c>
      <c r="E11" s="37"/>
      <c r="F11" s="37"/>
      <c r="G11" s="38"/>
      <c r="H11" s="39" t="s">
        <v>6</v>
      </c>
      <c r="I11" s="40"/>
      <c r="J11" s="41" t="s">
        <v>7</v>
      </c>
      <c r="K11" s="30" t="s">
        <v>25</v>
      </c>
    </row>
    <row r="12" spans="1:11" ht="15.75" thickBot="1" x14ac:dyDescent="0.3">
      <c r="A12" s="33"/>
      <c r="B12" s="9" t="s">
        <v>8</v>
      </c>
      <c r="C12" s="9" t="s">
        <v>9</v>
      </c>
      <c r="D12" s="9" t="s">
        <v>8</v>
      </c>
      <c r="E12" s="9" t="s">
        <v>9</v>
      </c>
      <c r="F12" s="9" t="s">
        <v>10</v>
      </c>
      <c r="G12" s="10" t="s">
        <v>26</v>
      </c>
      <c r="H12" s="10" t="s">
        <v>8</v>
      </c>
      <c r="I12" s="10" t="s">
        <v>9</v>
      </c>
      <c r="J12" s="42"/>
      <c r="K12" s="30"/>
    </row>
    <row r="13" spans="1:11" x14ac:dyDescent="0.25">
      <c r="A13" s="11" t="s">
        <v>27</v>
      </c>
      <c r="B13" s="11"/>
      <c r="C13" s="11"/>
      <c r="D13" s="11"/>
      <c r="E13" s="11"/>
      <c r="F13" s="11"/>
      <c r="G13" s="11"/>
      <c r="H13" s="11"/>
      <c r="I13" s="11"/>
      <c r="J13" s="11"/>
      <c r="K13" s="12"/>
    </row>
    <row r="14" spans="1:11" ht="16.5" customHeight="1" x14ac:dyDescent="0.25">
      <c r="A14" s="4" t="s">
        <v>31</v>
      </c>
      <c r="B14" s="5">
        <v>0.79200000000000004</v>
      </c>
      <c r="C14" s="6">
        <v>0.79200000000000004</v>
      </c>
      <c r="D14" s="6"/>
      <c r="E14" s="5"/>
      <c r="F14" s="5"/>
      <c r="G14" s="5"/>
      <c r="H14" s="13">
        <f>B14</f>
        <v>0.79200000000000004</v>
      </c>
      <c r="I14" s="13">
        <f>C14</f>
        <v>0.79200000000000004</v>
      </c>
      <c r="J14" s="14">
        <f>SUM(H14:I14)</f>
        <v>1.5840000000000001</v>
      </c>
    </row>
    <row r="15" spans="1:11" ht="12" customHeight="1" x14ac:dyDescent="0.25">
      <c r="A15" s="4" t="s">
        <v>32</v>
      </c>
      <c r="B15" s="5">
        <v>5</v>
      </c>
      <c r="C15" s="6">
        <v>5</v>
      </c>
      <c r="D15" s="6"/>
      <c r="E15" s="5"/>
      <c r="F15" s="5"/>
      <c r="G15" s="5"/>
      <c r="H15" s="16">
        <f>H14-F15-D15+B15</f>
        <v>5.7919999999999998</v>
      </c>
      <c r="I15" s="16">
        <f>I14-E15+C15</f>
        <v>5.7919999999999998</v>
      </c>
      <c r="J15" s="17">
        <f>SUM(H15:I15)</f>
        <v>11.584</v>
      </c>
    </row>
    <row r="16" spans="1:11" ht="12" customHeight="1" x14ac:dyDescent="0.25">
      <c r="A16" s="4" t="s">
        <v>33</v>
      </c>
      <c r="B16" s="5">
        <v>15</v>
      </c>
      <c r="C16" s="6">
        <v>15</v>
      </c>
      <c r="D16" s="6"/>
      <c r="E16" s="5"/>
      <c r="F16" s="5"/>
      <c r="G16" s="5"/>
      <c r="H16" s="16">
        <f t="shared" ref="H16:H40" si="0">H15-F16-D16+B16</f>
        <v>20.792000000000002</v>
      </c>
      <c r="I16" s="16">
        <f t="shared" ref="I16:I40" si="1">I15-E16+C16</f>
        <v>20.792000000000002</v>
      </c>
      <c r="J16" s="17">
        <f t="shared" ref="J16:J40" si="2">SUM(H16:I16)</f>
        <v>41.584000000000003</v>
      </c>
    </row>
    <row r="17" spans="1:10" ht="12" customHeight="1" x14ac:dyDescent="0.25">
      <c r="A17" s="4" t="s">
        <v>41</v>
      </c>
      <c r="B17" s="5"/>
      <c r="C17" s="6"/>
      <c r="D17" s="6"/>
      <c r="E17" s="5"/>
      <c r="F17" s="5">
        <v>5</v>
      </c>
      <c r="G17" s="5"/>
      <c r="H17" s="16">
        <f t="shared" si="0"/>
        <v>15.792000000000002</v>
      </c>
      <c r="I17" s="16">
        <f t="shared" si="1"/>
        <v>20.792000000000002</v>
      </c>
      <c r="J17" s="17">
        <f t="shared" si="2"/>
        <v>36.584000000000003</v>
      </c>
    </row>
    <row r="18" spans="1:10" ht="12" customHeight="1" x14ac:dyDescent="0.25">
      <c r="A18" s="4" t="s">
        <v>34</v>
      </c>
      <c r="B18" s="5">
        <v>15</v>
      </c>
      <c r="C18" s="6">
        <v>15</v>
      </c>
      <c r="D18" s="6"/>
      <c r="E18" s="5"/>
      <c r="F18" s="5"/>
      <c r="G18" s="5"/>
      <c r="H18" s="16">
        <f t="shared" si="0"/>
        <v>30.792000000000002</v>
      </c>
      <c r="I18" s="16">
        <f t="shared" si="1"/>
        <v>35.792000000000002</v>
      </c>
      <c r="J18" s="17">
        <f t="shared" si="2"/>
        <v>66.584000000000003</v>
      </c>
    </row>
    <row r="19" spans="1:10" ht="12" customHeight="1" x14ac:dyDescent="0.25">
      <c r="A19" s="4" t="s">
        <v>42</v>
      </c>
      <c r="B19" s="5"/>
      <c r="C19" s="6"/>
      <c r="D19" s="6"/>
      <c r="E19" s="5"/>
      <c r="F19" s="5">
        <v>5</v>
      </c>
      <c r="G19" s="5"/>
      <c r="H19" s="16">
        <f t="shared" si="0"/>
        <v>25.792000000000002</v>
      </c>
      <c r="I19" s="16">
        <f t="shared" si="1"/>
        <v>35.792000000000002</v>
      </c>
      <c r="J19" s="17">
        <f t="shared" si="2"/>
        <v>61.584000000000003</v>
      </c>
    </row>
    <row r="20" spans="1:10" ht="12" customHeight="1" x14ac:dyDescent="0.25">
      <c r="A20" s="4" t="s">
        <v>35</v>
      </c>
      <c r="B20" s="5">
        <v>15</v>
      </c>
      <c r="C20" s="6">
        <v>15</v>
      </c>
      <c r="D20" s="6"/>
      <c r="E20" s="5"/>
      <c r="F20" s="5"/>
      <c r="G20" s="5"/>
      <c r="H20" s="16">
        <f t="shared" si="0"/>
        <v>40.792000000000002</v>
      </c>
      <c r="I20" s="16">
        <f t="shared" si="1"/>
        <v>50.792000000000002</v>
      </c>
      <c r="J20" s="17">
        <f t="shared" si="2"/>
        <v>91.584000000000003</v>
      </c>
    </row>
    <row r="21" spans="1:10" ht="12" customHeight="1" x14ac:dyDescent="0.25">
      <c r="A21" s="4" t="s">
        <v>43</v>
      </c>
      <c r="B21" s="5"/>
      <c r="C21" s="6"/>
      <c r="D21" s="6"/>
      <c r="E21" s="5"/>
      <c r="F21" s="5">
        <v>5</v>
      </c>
      <c r="G21" s="5"/>
      <c r="H21" s="16">
        <f t="shared" si="0"/>
        <v>35.792000000000002</v>
      </c>
      <c r="I21" s="16">
        <f t="shared" si="1"/>
        <v>50.792000000000002</v>
      </c>
      <c r="J21" s="17">
        <f t="shared" si="2"/>
        <v>86.584000000000003</v>
      </c>
    </row>
    <row r="22" spans="1:10" ht="12" customHeight="1" x14ac:dyDescent="0.25">
      <c r="A22" s="4" t="s">
        <v>36</v>
      </c>
      <c r="B22" s="5">
        <v>15</v>
      </c>
      <c r="C22" s="6">
        <v>15</v>
      </c>
      <c r="D22" s="6"/>
      <c r="E22" s="5"/>
      <c r="F22" s="5"/>
      <c r="G22" s="5"/>
      <c r="H22" s="16">
        <f t="shared" si="0"/>
        <v>50.792000000000002</v>
      </c>
      <c r="I22" s="16">
        <f t="shared" si="1"/>
        <v>65.792000000000002</v>
      </c>
      <c r="J22" s="17">
        <f t="shared" si="2"/>
        <v>116.584</v>
      </c>
    </row>
    <row r="23" spans="1:10" ht="12" customHeight="1" x14ac:dyDescent="0.25">
      <c r="A23" s="4" t="s">
        <v>44</v>
      </c>
      <c r="B23" s="5"/>
      <c r="C23" s="6"/>
      <c r="D23" s="6"/>
      <c r="E23" s="5"/>
      <c r="F23" s="5">
        <v>5</v>
      </c>
      <c r="G23" s="5"/>
      <c r="H23" s="16">
        <f t="shared" si="0"/>
        <v>45.792000000000002</v>
      </c>
      <c r="I23" s="16">
        <f t="shared" si="1"/>
        <v>65.792000000000002</v>
      </c>
      <c r="J23" s="17">
        <f t="shared" si="2"/>
        <v>111.584</v>
      </c>
    </row>
    <row r="24" spans="1:10" ht="12" customHeight="1" x14ac:dyDescent="0.25">
      <c r="A24" s="4" t="s">
        <v>37</v>
      </c>
      <c r="B24" s="5">
        <v>15</v>
      </c>
      <c r="C24" s="6">
        <v>15</v>
      </c>
      <c r="D24" s="6"/>
      <c r="E24" s="5"/>
      <c r="F24" s="5"/>
      <c r="G24" s="5"/>
      <c r="H24" s="16">
        <f t="shared" si="0"/>
        <v>60.792000000000002</v>
      </c>
      <c r="I24" s="16">
        <f t="shared" si="1"/>
        <v>80.792000000000002</v>
      </c>
      <c r="J24" s="17">
        <f t="shared" si="2"/>
        <v>141.584</v>
      </c>
    </row>
    <row r="25" spans="1:10" ht="12" customHeight="1" x14ac:dyDescent="0.25">
      <c r="A25" s="4" t="s">
        <v>45</v>
      </c>
      <c r="B25" s="5"/>
      <c r="C25" s="6"/>
      <c r="D25" s="6"/>
      <c r="E25" s="5"/>
      <c r="F25" s="5">
        <v>5</v>
      </c>
      <c r="G25" s="5"/>
      <c r="H25" s="16">
        <f t="shared" si="0"/>
        <v>55.792000000000002</v>
      </c>
      <c r="I25" s="16">
        <f t="shared" si="1"/>
        <v>80.792000000000002</v>
      </c>
      <c r="J25" s="17">
        <f t="shared" si="2"/>
        <v>136.584</v>
      </c>
    </row>
    <row r="26" spans="1:10" ht="16.5" customHeight="1" x14ac:dyDescent="0.25">
      <c r="A26" s="4" t="s">
        <v>38</v>
      </c>
      <c r="B26" s="5">
        <v>15</v>
      </c>
      <c r="C26" s="6">
        <v>15</v>
      </c>
      <c r="D26" s="6"/>
      <c r="E26" s="5"/>
      <c r="F26" s="5"/>
      <c r="G26" s="5"/>
      <c r="H26" s="16">
        <f t="shared" si="0"/>
        <v>70.792000000000002</v>
      </c>
      <c r="I26" s="16">
        <f t="shared" si="1"/>
        <v>95.792000000000002</v>
      </c>
      <c r="J26" s="17">
        <f t="shared" si="2"/>
        <v>166.584</v>
      </c>
    </row>
    <row r="27" spans="1:10" ht="12" customHeight="1" x14ac:dyDescent="0.25">
      <c r="A27" s="4" t="s">
        <v>46</v>
      </c>
      <c r="B27" s="5"/>
      <c r="C27" s="6"/>
      <c r="D27" s="6"/>
      <c r="E27" s="5"/>
      <c r="F27" s="5">
        <v>5</v>
      </c>
      <c r="G27" s="5"/>
      <c r="H27" s="16">
        <f t="shared" si="0"/>
        <v>65.792000000000002</v>
      </c>
      <c r="I27" s="16">
        <f t="shared" si="1"/>
        <v>95.792000000000002</v>
      </c>
      <c r="J27" s="17">
        <f t="shared" si="2"/>
        <v>161.584</v>
      </c>
    </row>
    <row r="28" spans="1:10" ht="12" customHeight="1" x14ac:dyDescent="0.25">
      <c r="A28" s="4" t="s">
        <v>11</v>
      </c>
      <c r="B28" s="5">
        <v>15</v>
      </c>
      <c r="C28" s="6">
        <v>15</v>
      </c>
      <c r="D28" s="6"/>
      <c r="E28" s="5"/>
      <c r="F28" s="5"/>
      <c r="G28" s="5"/>
      <c r="H28" s="16">
        <f t="shared" si="0"/>
        <v>80.792000000000002</v>
      </c>
      <c r="I28" s="16">
        <f t="shared" si="1"/>
        <v>110.792</v>
      </c>
      <c r="J28" s="17">
        <f t="shared" si="2"/>
        <v>191.584</v>
      </c>
    </row>
    <row r="29" spans="1:10" ht="12" customHeight="1" x14ac:dyDescent="0.25">
      <c r="A29" s="4" t="s">
        <v>47</v>
      </c>
      <c r="B29" s="5"/>
      <c r="C29" s="6"/>
      <c r="D29" s="6"/>
      <c r="E29" s="5"/>
      <c r="F29" s="5">
        <v>5</v>
      </c>
      <c r="G29" s="5"/>
      <c r="H29" s="16">
        <f t="shared" si="0"/>
        <v>75.792000000000002</v>
      </c>
      <c r="I29" s="16">
        <f t="shared" si="1"/>
        <v>110.792</v>
      </c>
      <c r="J29" s="17">
        <f t="shared" si="2"/>
        <v>186.584</v>
      </c>
    </row>
    <row r="30" spans="1:10" ht="12" customHeight="1" x14ac:dyDescent="0.25">
      <c r="A30" s="4" t="s">
        <v>12</v>
      </c>
      <c r="B30" s="5">
        <v>15</v>
      </c>
      <c r="C30" s="6">
        <v>15</v>
      </c>
      <c r="D30" s="6"/>
      <c r="E30" s="5"/>
      <c r="F30" s="5"/>
      <c r="G30" s="5"/>
      <c r="H30" s="16">
        <f t="shared" si="0"/>
        <v>90.792000000000002</v>
      </c>
      <c r="I30" s="16">
        <f t="shared" si="1"/>
        <v>125.792</v>
      </c>
      <c r="J30" s="17">
        <f t="shared" si="2"/>
        <v>216.584</v>
      </c>
    </row>
    <row r="31" spans="1:10" ht="12" customHeight="1" x14ac:dyDescent="0.25">
      <c r="A31" s="4" t="s">
        <v>48</v>
      </c>
      <c r="B31" s="5"/>
      <c r="C31" s="6"/>
      <c r="D31" s="6"/>
      <c r="E31" s="5"/>
      <c r="F31" s="5">
        <v>5</v>
      </c>
      <c r="G31" s="5"/>
      <c r="H31" s="16">
        <f t="shared" si="0"/>
        <v>85.792000000000002</v>
      </c>
      <c r="I31" s="16">
        <f t="shared" si="1"/>
        <v>125.792</v>
      </c>
      <c r="J31" s="17">
        <f t="shared" si="2"/>
        <v>211.584</v>
      </c>
    </row>
    <row r="32" spans="1:10" ht="12" customHeight="1" x14ac:dyDescent="0.25">
      <c r="A32" s="4" t="s">
        <v>13</v>
      </c>
      <c r="B32" s="5">
        <f>1.25*9</f>
        <v>11.25</v>
      </c>
      <c r="C32" s="5">
        <f>1.25*9</f>
        <v>11.25</v>
      </c>
      <c r="D32" s="6"/>
      <c r="E32" s="5"/>
      <c r="F32" s="5"/>
      <c r="G32" s="5"/>
      <c r="H32" s="16">
        <f t="shared" si="0"/>
        <v>97.042000000000002</v>
      </c>
      <c r="I32" s="16">
        <f t="shared" si="1"/>
        <v>137.042</v>
      </c>
      <c r="J32" s="17">
        <f t="shared" si="2"/>
        <v>234.084</v>
      </c>
    </row>
    <row r="33" spans="1:11" s="19" customFormat="1" ht="12" customHeight="1" x14ac:dyDescent="0.25">
      <c r="A33" s="4" t="s">
        <v>49</v>
      </c>
      <c r="B33" s="5"/>
      <c r="C33" s="6"/>
      <c r="D33" s="6">
        <v>29</v>
      </c>
      <c r="E33" s="5"/>
      <c r="F33" s="5"/>
      <c r="G33" s="5"/>
      <c r="H33" s="16">
        <f t="shared" si="0"/>
        <v>68.042000000000002</v>
      </c>
      <c r="I33" s="16">
        <f t="shared" si="1"/>
        <v>137.042</v>
      </c>
      <c r="J33" s="17">
        <f t="shared" si="2"/>
        <v>205.084</v>
      </c>
      <c r="K33" s="18"/>
    </row>
    <row r="34" spans="1:11" s="19" customFormat="1" ht="12" customHeight="1" x14ac:dyDescent="0.25">
      <c r="A34" s="4" t="s">
        <v>14</v>
      </c>
      <c r="B34" s="5">
        <f>1.25*3</f>
        <v>3.75</v>
      </c>
      <c r="C34" s="5">
        <f>1.25*3</f>
        <v>3.75</v>
      </c>
      <c r="D34" s="6"/>
      <c r="E34" s="5"/>
      <c r="F34" s="5"/>
      <c r="G34" s="5"/>
      <c r="H34" s="16">
        <f t="shared" si="0"/>
        <v>71.792000000000002</v>
      </c>
      <c r="I34" s="16">
        <f t="shared" si="1"/>
        <v>140.792</v>
      </c>
      <c r="J34" s="17">
        <f t="shared" si="2"/>
        <v>212.584</v>
      </c>
      <c r="K34" s="18"/>
    </row>
    <row r="35" spans="1:11" s="19" customFormat="1" ht="12" customHeight="1" x14ac:dyDescent="0.25">
      <c r="A35" s="4" t="s">
        <v>50</v>
      </c>
      <c r="B35" s="5"/>
      <c r="C35" s="6"/>
      <c r="D35" s="6"/>
      <c r="E35" s="5"/>
      <c r="F35" s="5">
        <v>5</v>
      </c>
      <c r="G35" s="5"/>
      <c r="H35" s="16">
        <f t="shared" si="0"/>
        <v>66.792000000000002</v>
      </c>
      <c r="I35" s="16">
        <f t="shared" si="1"/>
        <v>140.792</v>
      </c>
      <c r="J35" s="17">
        <f t="shared" si="2"/>
        <v>207.584</v>
      </c>
      <c r="K35" s="18"/>
    </row>
    <row r="36" spans="1:11" s="19" customFormat="1" ht="12.75" customHeight="1" x14ac:dyDescent="0.25">
      <c r="A36" s="4" t="s">
        <v>15</v>
      </c>
      <c r="B36" s="5">
        <f>1.25*8</f>
        <v>10</v>
      </c>
      <c r="C36" s="6">
        <v>10</v>
      </c>
      <c r="D36" s="6"/>
      <c r="E36" s="5"/>
      <c r="F36" s="5"/>
      <c r="G36" s="5"/>
      <c r="H36" s="16">
        <f t="shared" si="0"/>
        <v>76.792000000000002</v>
      </c>
      <c r="I36" s="16">
        <f t="shared" si="1"/>
        <v>150.792</v>
      </c>
      <c r="J36" s="17">
        <f t="shared" si="2"/>
        <v>227.584</v>
      </c>
      <c r="K36" s="18"/>
    </row>
    <row r="37" spans="1:11" ht="12" customHeight="1" x14ac:dyDescent="0.25">
      <c r="A37" s="4" t="s">
        <v>51</v>
      </c>
      <c r="B37" s="5"/>
      <c r="C37" s="6"/>
      <c r="D37" s="6">
        <v>5</v>
      </c>
      <c r="E37" s="5">
        <v>24</v>
      </c>
      <c r="F37" s="5"/>
      <c r="G37" s="5"/>
      <c r="H37" s="16">
        <f t="shared" si="0"/>
        <v>71.792000000000002</v>
      </c>
      <c r="I37" s="16">
        <f t="shared" si="1"/>
        <v>126.792</v>
      </c>
      <c r="J37" s="17">
        <f t="shared" si="2"/>
        <v>198.584</v>
      </c>
    </row>
    <row r="38" spans="1:11" s="19" customFormat="1" ht="12" customHeight="1" x14ac:dyDescent="0.25">
      <c r="A38" s="4" t="s">
        <v>16</v>
      </c>
      <c r="B38" s="5">
        <f>1.25*4</f>
        <v>5</v>
      </c>
      <c r="C38" s="6">
        <v>5</v>
      </c>
      <c r="D38" s="6"/>
      <c r="E38" s="5"/>
      <c r="F38" s="5"/>
      <c r="G38" s="5"/>
      <c r="H38" s="16">
        <f t="shared" si="0"/>
        <v>76.792000000000002</v>
      </c>
      <c r="I38" s="16">
        <f t="shared" si="1"/>
        <v>131.792</v>
      </c>
      <c r="J38" s="17">
        <f t="shared" si="2"/>
        <v>208.584</v>
      </c>
      <c r="K38" s="18"/>
    </row>
    <row r="39" spans="1:11" s="19" customFormat="1" ht="15" customHeight="1" x14ac:dyDescent="0.25">
      <c r="A39" s="4" t="s">
        <v>52</v>
      </c>
      <c r="B39" s="5"/>
      <c r="C39" s="6"/>
      <c r="D39" s="6"/>
      <c r="E39" s="5"/>
      <c r="F39" s="5">
        <v>5</v>
      </c>
      <c r="G39" s="5"/>
      <c r="H39" s="16">
        <f t="shared" si="0"/>
        <v>71.792000000000002</v>
      </c>
      <c r="I39" s="16">
        <f t="shared" si="1"/>
        <v>131.792</v>
      </c>
      <c r="J39" s="17">
        <f t="shared" si="2"/>
        <v>203.584</v>
      </c>
      <c r="K39" s="18"/>
    </row>
    <row r="40" spans="1:11" s="19" customFormat="1" ht="16.5" customHeight="1" x14ac:dyDescent="0.25">
      <c r="A40" s="4" t="s">
        <v>17</v>
      </c>
      <c r="B40" s="5">
        <v>10</v>
      </c>
      <c r="C40" s="6">
        <v>10</v>
      </c>
      <c r="D40" s="6"/>
      <c r="E40" s="5"/>
      <c r="F40" s="5"/>
      <c r="G40" s="5"/>
      <c r="H40" s="16">
        <f t="shared" si="0"/>
        <v>81.792000000000002</v>
      </c>
      <c r="I40" s="16">
        <f t="shared" si="1"/>
        <v>141.792</v>
      </c>
      <c r="J40" s="17">
        <f t="shared" si="2"/>
        <v>223.584</v>
      </c>
      <c r="K40" s="18"/>
    </row>
    <row r="41" spans="1:11" s="19" customFormat="1" ht="16.5" customHeight="1" x14ac:dyDescent="0.25">
      <c r="A41" s="4" t="s">
        <v>53</v>
      </c>
      <c r="B41" s="5"/>
      <c r="C41" s="6"/>
      <c r="D41" s="6">
        <v>6</v>
      </c>
      <c r="E41" s="5">
        <v>23</v>
      </c>
      <c r="F41" s="5"/>
      <c r="G41" s="5"/>
      <c r="H41" s="16">
        <f t="shared" ref="H41:H42" si="3">H40-F41-D41+B41</f>
        <v>75.792000000000002</v>
      </c>
      <c r="I41" s="16">
        <f t="shared" ref="I41:I42" si="4">I40-E41+C41</f>
        <v>118.792</v>
      </c>
      <c r="J41" s="17">
        <f t="shared" ref="J41:J42" si="5">SUM(H41:I41)</f>
        <v>194.584</v>
      </c>
      <c r="K41" s="18"/>
    </row>
    <row r="42" spans="1:11" x14ac:dyDescent="0.25">
      <c r="A42" s="4" t="s">
        <v>29</v>
      </c>
      <c r="B42" s="5">
        <v>5</v>
      </c>
      <c r="C42" s="6">
        <v>5</v>
      </c>
      <c r="D42" s="6"/>
      <c r="E42" s="5"/>
      <c r="F42" s="5"/>
      <c r="G42" s="5"/>
      <c r="H42" s="16">
        <f t="shared" si="3"/>
        <v>80.792000000000002</v>
      </c>
      <c r="I42" s="16">
        <f t="shared" si="4"/>
        <v>123.792</v>
      </c>
      <c r="J42" s="17">
        <f t="shared" si="5"/>
        <v>204.584</v>
      </c>
    </row>
    <row r="43" spans="1:11" x14ac:dyDescent="0.25">
      <c r="A43" s="4" t="s">
        <v>54</v>
      </c>
      <c r="B43" s="5"/>
      <c r="C43" s="6"/>
      <c r="D43" s="6"/>
      <c r="E43" s="5"/>
      <c r="F43" s="5">
        <v>5</v>
      </c>
      <c r="G43" s="5"/>
      <c r="H43" s="16">
        <f t="shared" ref="H43:H44" si="6">H42-F43-D43+B43</f>
        <v>75.792000000000002</v>
      </c>
      <c r="I43" s="16">
        <f t="shared" ref="I43:I44" si="7">I42-E43+C43</f>
        <v>123.792</v>
      </c>
      <c r="J43" s="17">
        <f t="shared" ref="J43:J44" si="8">SUM(H43:I43)</f>
        <v>199.584</v>
      </c>
    </row>
    <row r="44" spans="1:11" x14ac:dyDescent="0.25">
      <c r="A44" s="4" t="s">
        <v>30</v>
      </c>
      <c r="B44" s="5">
        <v>8.75</v>
      </c>
      <c r="C44" s="6">
        <v>8.75</v>
      </c>
      <c r="D44" s="6"/>
      <c r="E44" s="5"/>
      <c r="F44" s="5"/>
      <c r="G44" s="5"/>
      <c r="H44" s="16">
        <f t="shared" si="6"/>
        <v>84.542000000000002</v>
      </c>
      <c r="I44" s="16">
        <f t="shared" si="7"/>
        <v>132.542</v>
      </c>
      <c r="J44" s="17">
        <f t="shared" si="8"/>
        <v>217.084</v>
      </c>
    </row>
    <row r="45" spans="1:11" x14ac:dyDescent="0.25">
      <c r="A45" s="22" t="s">
        <v>39</v>
      </c>
      <c r="B45" s="22"/>
      <c r="C45" s="22"/>
      <c r="D45" s="22">
        <v>10</v>
      </c>
      <c r="E45" s="22"/>
      <c r="F45" s="23"/>
      <c r="G45" s="23"/>
      <c r="H45" s="24">
        <f t="shared" ref="H45" si="9">H44-F45-D45+B45</f>
        <v>74.542000000000002</v>
      </c>
      <c r="I45" s="24">
        <f t="shared" ref="I45" si="10">I44-E45+C45</f>
        <v>132.542</v>
      </c>
      <c r="J45" s="25">
        <f t="shared" ref="J45" si="11">SUM(H45:I45)</f>
        <v>207.084</v>
      </c>
    </row>
    <row r="46" spans="1:11" x14ac:dyDescent="0.25">
      <c r="A46" s="22" t="s">
        <v>55</v>
      </c>
      <c r="B46" s="22">
        <v>6.25</v>
      </c>
      <c r="C46" s="22">
        <v>6.25</v>
      </c>
      <c r="D46" s="22"/>
      <c r="E46" s="22"/>
      <c r="F46" s="23"/>
      <c r="G46" s="23"/>
      <c r="H46" s="24">
        <f t="shared" ref="H46:H49" si="12">H45-F46-D46+B46</f>
        <v>80.792000000000002</v>
      </c>
      <c r="I46" s="24">
        <f t="shared" ref="I46:I49" si="13">I45-E46+C46</f>
        <v>138.792</v>
      </c>
      <c r="J46" s="25">
        <f t="shared" ref="J46:J49" si="14">SUM(H46:I46)</f>
        <v>219.584</v>
      </c>
    </row>
    <row r="47" spans="1:11" x14ac:dyDescent="0.25">
      <c r="A47" s="22" t="s">
        <v>56</v>
      </c>
      <c r="B47" s="22"/>
      <c r="C47" s="22"/>
      <c r="D47" s="22"/>
      <c r="E47" s="22"/>
      <c r="F47" s="23">
        <v>5</v>
      </c>
      <c r="G47" s="23"/>
      <c r="H47" s="24">
        <f t="shared" si="12"/>
        <v>75.792000000000002</v>
      </c>
      <c r="I47" s="24">
        <f t="shared" si="13"/>
        <v>138.792</v>
      </c>
      <c r="J47" s="25">
        <f t="shared" si="14"/>
        <v>214.584</v>
      </c>
    </row>
    <row r="48" spans="1:11" x14ac:dyDescent="0.25">
      <c r="A48" s="22" t="s">
        <v>57</v>
      </c>
      <c r="B48" s="22">
        <v>10</v>
      </c>
      <c r="C48" s="22">
        <v>10</v>
      </c>
      <c r="D48" s="22"/>
      <c r="E48" s="22"/>
      <c r="F48" s="23"/>
      <c r="G48" s="23"/>
      <c r="H48" s="24">
        <f t="shared" si="12"/>
        <v>85.792000000000002</v>
      </c>
      <c r="I48" s="24">
        <f t="shared" si="13"/>
        <v>148.792</v>
      </c>
      <c r="J48" s="25">
        <f t="shared" si="14"/>
        <v>234.584</v>
      </c>
    </row>
    <row r="49" spans="1:10" x14ac:dyDescent="0.25">
      <c r="A49" s="22" t="s">
        <v>58</v>
      </c>
      <c r="B49" s="22"/>
      <c r="C49" s="22"/>
      <c r="D49" s="22">
        <v>30</v>
      </c>
      <c r="E49" s="22"/>
      <c r="F49" s="23"/>
      <c r="G49" s="23"/>
      <c r="H49" s="24">
        <f t="shared" si="12"/>
        <v>55.792000000000002</v>
      </c>
      <c r="I49" s="24">
        <f t="shared" si="13"/>
        <v>148.792</v>
      </c>
      <c r="J49" s="25">
        <f t="shared" si="14"/>
        <v>204.584</v>
      </c>
    </row>
    <row r="50" spans="1:10" x14ac:dyDescent="0.25">
      <c r="A50" s="26"/>
      <c r="B50" s="26"/>
      <c r="C50" s="26"/>
      <c r="D50" s="26"/>
      <c r="E50" s="26"/>
      <c r="H50" s="27"/>
      <c r="I50" s="27"/>
      <c r="J50" s="27"/>
    </row>
    <row r="51" spans="1:10" x14ac:dyDescent="0.25">
      <c r="H51" s="21"/>
      <c r="I51" s="21"/>
      <c r="J51" s="21"/>
    </row>
    <row r="55" spans="1:10" x14ac:dyDescent="0.25">
      <c r="F55" s="20" t="s">
        <v>28</v>
      </c>
    </row>
  </sheetData>
  <mergeCells count="13">
    <mergeCell ref="K11:K12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 CORRECTED </vt:lpstr>
      <vt:lpstr>'Leave Card CORRECTED 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2025-09-01T23:08:56Z</cp:lastPrinted>
  <dcterms:created xsi:type="dcterms:W3CDTF">2024-01-16T00:34:07Z</dcterms:created>
  <dcterms:modified xsi:type="dcterms:W3CDTF">2025-09-01T23:32:45Z</dcterms:modified>
</cp:coreProperties>
</file>