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1429073C-0DA2-4607-A91C-9A65A08E42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(NE)" sheetId="15" r:id="rId1"/>
    <sheet name="CTO (2)" sheetId="11" r:id="rId2"/>
    <sheet name="WRONG COMPUTATION" sheetId="12" r:id="rId3"/>
  </sheets>
  <definedNames>
    <definedName name="_xlnm.Print_Area" localSheetId="0">'Leave Card (NE)'!$A$1:$J$69</definedName>
    <definedName name="_xlnm.Print_Area" localSheetId="2">'WRONG COMPUTATION'!$A$1:$J$61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6" i="15" l="1"/>
  <c r="J56" i="15" s="1"/>
  <c r="I56" i="15"/>
  <c r="H57" i="15"/>
  <c r="I57" i="15"/>
  <c r="J57" i="15"/>
  <c r="I13" i="15"/>
  <c r="I14" i="15" s="1"/>
  <c r="I15" i="15" s="1"/>
  <c r="I16" i="15" s="1"/>
  <c r="I17" i="15" s="1"/>
  <c r="I18" i="15" s="1"/>
  <c r="I19" i="15" s="1"/>
  <c r="I20" i="15" s="1"/>
  <c r="I21" i="15" s="1"/>
  <c r="I22" i="15" s="1"/>
  <c r="I23" i="15" s="1"/>
  <c r="I24" i="15" s="1"/>
  <c r="I25" i="15" s="1"/>
  <c r="I26" i="15" s="1"/>
  <c r="I27" i="15" s="1"/>
  <c r="I28" i="15" s="1"/>
  <c r="I29" i="15" s="1"/>
  <c r="I30" i="15" s="1"/>
  <c r="I31" i="15" s="1"/>
  <c r="I32" i="15" s="1"/>
  <c r="I33" i="15" s="1"/>
  <c r="I34" i="15" s="1"/>
  <c r="I35" i="15" s="1"/>
  <c r="I36" i="15" s="1"/>
  <c r="I37" i="15" s="1"/>
  <c r="I38" i="15" s="1"/>
  <c r="I39" i="15" s="1"/>
  <c r="I40" i="15" s="1"/>
  <c r="I41" i="15" s="1"/>
  <c r="I42" i="15" s="1"/>
  <c r="I43" i="15" s="1"/>
  <c r="I44" i="15" s="1"/>
  <c r="I45" i="15" s="1"/>
  <c r="I46" i="15" s="1"/>
  <c r="I47" i="15" s="1"/>
  <c r="I48" i="15" s="1"/>
  <c r="I49" i="15" s="1"/>
  <c r="I50" i="15" s="1"/>
  <c r="I51" i="15" s="1"/>
  <c r="I52" i="15" s="1"/>
  <c r="I53" i="15" s="1"/>
  <c r="I54" i="15" s="1"/>
  <c r="I55" i="15" s="1"/>
  <c r="H13" i="15"/>
  <c r="H14" i="15" s="1"/>
  <c r="J14" i="15" l="1"/>
  <c r="H15" i="15"/>
  <c r="J13" i="15"/>
  <c r="H16" i="15" l="1"/>
  <c r="J15" i="15"/>
  <c r="J16" i="15" l="1"/>
  <c r="H17" i="15"/>
  <c r="H18" i="15" l="1"/>
  <c r="J17" i="15"/>
  <c r="J18" i="15" l="1"/>
  <c r="H19" i="15"/>
  <c r="H20" i="15" l="1"/>
  <c r="J19" i="15"/>
  <c r="J20" i="15" l="1"/>
  <c r="H21" i="15"/>
  <c r="H22" i="15" l="1"/>
  <c r="J21" i="15"/>
  <c r="J22" i="15" l="1"/>
  <c r="H23" i="15"/>
  <c r="H24" i="15" l="1"/>
  <c r="J23" i="15"/>
  <c r="J24" i="15" l="1"/>
  <c r="H25" i="15"/>
  <c r="H26" i="15" l="1"/>
  <c r="J25" i="15"/>
  <c r="J26" i="15" l="1"/>
  <c r="H27" i="15"/>
  <c r="H28" i="15" l="1"/>
  <c r="J27" i="15"/>
  <c r="J28" i="15" l="1"/>
  <c r="H29" i="15"/>
  <c r="H30" i="15" l="1"/>
  <c r="J29" i="15"/>
  <c r="J30" i="15" l="1"/>
  <c r="H31" i="15"/>
  <c r="H32" i="15" l="1"/>
  <c r="J31" i="15"/>
  <c r="J32" i="15" l="1"/>
  <c r="H33" i="15"/>
  <c r="H34" i="15" l="1"/>
  <c r="J33" i="15"/>
  <c r="J34" i="15" l="1"/>
  <c r="H35" i="15"/>
  <c r="H36" i="15" l="1"/>
  <c r="J35" i="15"/>
  <c r="J36" i="15" l="1"/>
  <c r="H37" i="15"/>
  <c r="H38" i="15" l="1"/>
  <c r="J37" i="15"/>
  <c r="J38" i="15" l="1"/>
  <c r="H39" i="15"/>
  <c r="H40" i="15" l="1"/>
  <c r="J39" i="15"/>
  <c r="J40" i="15" l="1"/>
  <c r="H41" i="15"/>
  <c r="H42" i="15" l="1"/>
  <c r="J41" i="15"/>
  <c r="J42" i="15" l="1"/>
  <c r="H43" i="15"/>
  <c r="H44" i="15" l="1"/>
  <c r="H45" i="15" s="1"/>
  <c r="J43" i="15"/>
  <c r="H46" i="15" l="1"/>
  <c r="H47" i="15" s="1"/>
  <c r="H48" i="15" s="1"/>
  <c r="H49" i="15" s="1"/>
  <c r="H50" i="15" s="1"/>
  <c r="H51" i="15" s="1"/>
  <c r="H52" i="15" s="1"/>
  <c r="H53" i="15" s="1"/>
  <c r="H54" i="15" s="1"/>
  <c r="H55" i="15" s="1"/>
  <c r="J45" i="15"/>
  <c r="J44" i="15"/>
  <c r="J46" i="15" l="1"/>
  <c r="J47" i="15" l="1"/>
  <c r="J48" i="15" l="1"/>
  <c r="J49" i="15" l="1"/>
  <c r="J50" i="15" l="1"/>
  <c r="J51" i="15" l="1"/>
  <c r="J52" i="15" l="1"/>
  <c r="J53" i="15" l="1"/>
  <c r="J54" i="15" l="1"/>
  <c r="J55" i="15" l="1"/>
  <c r="I13" i="12" l="1"/>
  <c r="I14" i="12" s="1"/>
  <c r="I15" i="12" s="1"/>
  <c r="I16" i="12" s="1"/>
  <c r="I17" i="12" s="1"/>
  <c r="I18" i="12" s="1"/>
  <c r="H13" i="12"/>
  <c r="H14" i="12" s="1"/>
  <c r="I19" i="12" l="1"/>
  <c r="I20" i="12" s="1"/>
  <c r="I21" i="12" s="1"/>
  <c r="I22" i="12" s="1"/>
  <c r="I23" i="12" s="1"/>
  <c r="I24" i="12" s="1"/>
  <c r="I25" i="12" s="1"/>
  <c r="I26" i="12" s="1"/>
  <c r="I27" i="12" s="1"/>
  <c r="I28" i="12" s="1"/>
  <c r="I29" i="12" s="1"/>
  <c r="I30" i="12" s="1"/>
  <c r="I31" i="12" s="1"/>
  <c r="I32" i="12" s="1"/>
  <c r="I33" i="12" s="1"/>
  <c r="I34" i="12" s="1"/>
  <c r="I35" i="12" s="1"/>
  <c r="I36" i="12" s="1"/>
  <c r="I37" i="12" s="1"/>
  <c r="I38" i="12" s="1"/>
  <c r="I39" i="12" s="1"/>
  <c r="I40" i="12" s="1"/>
  <c r="I41" i="12" s="1"/>
  <c r="I42" i="12" s="1"/>
  <c r="I43" i="12" s="1"/>
  <c r="I44" i="12" s="1"/>
  <c r="H45" i="12"/>
  <c r="J14" i="12"/>
  <c r="H15" i="12"/>
  <c r="J13" i="12"/>
  <c r="I45" i="12" l="1"/>
  <c r="I46" i="12" s="1"/>
  <c r="I47" i="12" s="1"/>
  <c r="I48" i="12" s="1"/>
  <c r="I49" i="12" s="1"/>
  <c r="I50" i="12" s="1"/>
  <c r="I51" i="12" s="1"/>
  <c r="I52" i="12" s="1"/>
  <c r="I53" i="12" s="1"/>
  <c r="I54" i="12" s="1"/>
  <c r="J44" i="12"/>
  <c r="J45" i="12"/>
  <c r="H46" i="12"/>
  <c r="J46" i="12" s="1"/>
  <c r="H16" i="12"/>
  <c r="J15" i="12"/>
  <c r="H47" i="12" l="1"/>
  <c r="J47" i="12" s="1"/>
  <c r="H48" i="12"/>
  <c r="J16" i="12"/>
  <c r="H17" i="12"/>
  <c r="J48" i="12" l="1"/>
  <c r="H49" i="12"/>
  <c r="H18" i="12"/>
  <c r="H19" i="12" s="1"/>
  <c r="J17" i="12"/>
  <c r="J19" i="12" l="1"/>
  <c r="H20" i="12"/>
  <c r="J49" i="12"/>
  <c r="H50" i="12"/>
  <c r="J18" i="12"/>
  <c r="H21" i="12" l="1"/>
  <c r="J20" i="12"/>
  <c r="J50" i="12"/>
  <c r="H51" i="12"/>
  <c r="J21" i="12" l="1"/>
  <c r="H22" i="12"/>
  <c r="J51" i="12"/>
  <c r="H52" i="12"/>
  <c r="H23" i="12" l="1"/>
  <c r="J22" i="12"/>
  <c r="J52" i="12"/>
  <c r="H53" i="12"/>
  <c r="J23" i="12" l="1"/>
  <c r="H24" i="12"/>
  <c r="J53" i="12"/>
  <c r="H54" i="12"/>
  <c r="H25" i="12" l="1"/>
  <c r="J24" i="12"/>
  <c r="J54" i="12"/>
  <c r="J25" i="12" l="1"/>
  <c r="H26" i="12"/>
  <c r="H27" i="12" l="1"/>
  <c r="J26" i="12"/>
  <c r="J27" i="12" l="1"/>
  <c r="H28" i="12"/>
  <c r="H29" i="12" l="1"/>
  <c r="J28" i="12"/>
  <c r="J29" i="12" l="1"/>
  <c r="H30" i="12"/>
  <c r="H31" i="12" l="1"/>
  <c r="J30" i="12"/>
  <c r="J31" i="12" l="1"/>
  <c r="H32" i="12"/>
  <c r="H33" i="12" l="1"/>
  <c r="J32" i="12"/>
  <c r="J33" i="12" l="1"/>
  <c r="H34" i="12"/>
  <c r="H35" i="12" l="1"/>
  <c r="J35" i="12" s="1"/>
  <c r="J34" i="12"/>
  <c r="H36" i="12" l="1"/>
  <c r="J36" i="12" l="1"/>
  <c r="H37" i="12"/>
  <c r="H38" i="12" l="1"/>
  <c r="J37" i="12"/>
  <c r="J38" i="12" l="1"/>
  <c r="H39" i="12"/>
  <c r="H40" i="12" l="1"/>
  <c r="J39" i="12"/>
  <c r="J40" i="12" l="1"/>
  <c r="H41" i="12"/>
  <c r="J41" i="12" l="1"/>
  <c r="H42" i="12"/>
  <c r="H43" i="12" l="1"/>
  <c r="J43" i="12" s="1"/>
  <c r="J42" i="12"/>
</calcChain>
</file>

<file path=xl/sharedStrings.xml><?xml version="1.0" encoding="utf-8"?>
<sst xmlns="http://schemas.openxmlformats.org/spreadsheetml/2006/main" count="167" uniqueCount="81">
  <si>
    <t>Republic of the Philippines</t>
  </si>
  <si>
    <t>Department of Education</t>
  </si>
  <si>
    <t>REGION VI-WESTERN VISAYAS</t>
  </si>
  <si>
    <t>SCHOOLS DIVISION OF SIPALAY CITY</t>
  </si>
  <si>
    <t>PERIOD COVERED</t>
  </si>
  <si>
    <t>LEAVE EARNED</t>
  </si>
  <si>
    <t>LEAVE SPENT</t>
  </si>
  <si>
    <t>BALANCE</t>
  </si>
  <si>
    <t>TOTAL</t>
  </si>
  <si>
    <t>VACATION</t>
  </si>
  <si>
    <t>SICK</t>
  </si>
  <si>
    <t>FORCED</t>
  </si>
  <si>
    <t>ADD:01/01/2019-10/31/2019</t>
  </si>
  <si>
    <t>ADD:11/1/2019-12/31/2019</t>
  </si>
  <si>
    <t>ADD:01/01/2020-12/31/2020</t>
  </si>
  <si>
    <t>LESS: FL 2020</t>
  </si>
  <si>
    <t>ADD:01/01/2021-12/31/2021</t>
  </si>
  <si>
    <t>LESS: FL 2021</t>
  </si>
  <si>
    <t>LESS: 10/14/22</t>
  </si>
  <si>
    <t>LESS: MONETIZATION 2022</t>
  </si>
  <si>
    <t>ADD: 10/01/2022-10/31/2022</t>
  </si>
  <si>
    <t>LESS: 11/23/2022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</si>
  <si>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</si>
  <si>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</si>
  <si>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</si>
  <si>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</si>
  <si>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</si>
  <si>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</si>
  <si>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</si>
  <si>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ADD: 11/01/2022-11/30/2022</t>
  </si>
  <si>
    <t>LESS: 12/2 &amp; 5/2022</t>
  </si>
  <si>
    <t>LESS: 12/16, 19 &amp; 20/2022</t>
  </si>
  <si>
    <t>ADD: 3/1/2018-12/31/2018</t>
  </si>
  <si>
    <t>ADD: 12/01/2022-12/31/2022</t>
  </si>
  <si>
    <t>ADD: 01/01/2023-02/28/2023</t>
  </si>
  <si>
    <t>LESS: 03/15/2023</t>
  </si>
  <si>
    <t>LESS: 03/22/2023</t>
  </si>
  <si>
    <t>ADD: 03/01/2023-03/31/2023</t>
  </si>
  <si>
    <t>LESS: 04/14/2023</t>
  </si>
  <si>
    <t>ADD: 04/01/2023-06/30/2023</t>
  </si>
  <si>
    <t>LESS: 07/11/2023</t>
  </si>
  <si>
    <t xml:space="preserve"> </t>
  </si>
  <si>
    <t>LESS: MONETIZATION 2023</t>
  </si>
  <si>
    <t>ADD: 07/01/2023-08/31/2023</t>
  </si>
  <si>
    <t>ADD: 09/01/2023-12/31/2023</t>
  </si>
  <si>
    <t>ADD: 01/1/2024-04/30/2024</t>
  </si>
  <si>
    <t>LESS: 05/29/2024</t>
  </si>
  <si>
    <t>LESS: FL 2023</t>
  </si>
  <si>
    <t>ADD: 05/1/2024-10/31/2024</t>
  </si>
  <si>
    <t>LESS: 11/14/2024</t>
  </si>
  <si>
    <t>LESS: MONETIZATION FY 2020</t>
  </si>
  <si>
    <t>LESS: MONETIZATION FY 2019</t>
  </si>
  <si>
    <t>DATE FILED/RECEIVED</t>
  </si>
  <si>
    <t>SPECIAL</t>
  </si>
  <si>
    <t xml:space="preserve">  </t>
  </si>
  <si>
    <t>COMPENSATORY TIME OFF (CTO)</t>
  </si>
  <si>
    <t>Special Order No. and Date Issued</t>
  </si>
  <si>
    <t>No. of Days Granted</t>
  </si>
  <si>
    <t>No. of Days Used</t>
  </si>
  <si>
    <t>Balance</t>
  </si>
  <si>
    <t>NOTE:  Valid for one (1) year only</t>
  </si>
  <si>
    <t>Certified Correct:</t>
  </si>
  <si>
    <t>MA. LUISA B. CATIGAN</t>
  </si>
  <si>
    <t>Administrative Officer IV</t>
  </si>
  <si>
    <t>HRMO</t>
  </si>
  <si>
    <t>ADD: SO 273, S. 2023</t>
  </si>
  <si>
    <t>BRIGADA ESKWELA 2023</t>
  </si>
  <si>
    <t>LESS: 11/15/2024</t>
  </si>
  <si>
    <t>ADD: 11/1-30/2024</t>
  </si>
  <si>
    <t>LESS: 12/12-13, 26-27/2024</t>
  </si>
  <si>
    <t>LESS: 12/17-18/2024</t>
  </si>
  <si>
    <t>ADD: 12/1-31/2024</t>
  </si>
  <si>
    <t>ADD: 01/1/2025-03/31/2025</t>
  </si>
  <si>
    <t>LESS: MONETIZATION 2025</t>
  </si>
  <si>
    <t>LESS: 04/28/2025</t>
  </si>
  <si>
    <t>LESS: MANDATORY FL 2019</t>
  </si>
  <si>
    <t>LESS: 29 DAYS MONETIZATION FY 2021</t>
  </si>
  <si>
    <t>ADD: 01/01/2022-09/30/2022</t>
  </si>
  <si>
    <t>LESS: FL 2018</t>
  </si>
  <si>
    <t>ADD: 04/1/2025-07/31/2025</t>
  </si>
  <si>
    <t>LESS: 08/7/2025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</si>
</sst>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3" fillId="0" borderId="0"/>
    <xf numFmtId="0" fontId="3" fillId="0" borderId="0"/>
    <xf numFmtId="0" fontId="2" fillId="0" borderId="0"/>
    <xf numFmtId="0" fontId="1" fillId="0" borderId="0"/>
  </cellStyleXfs>
  <cellXfs count="110">
    <xf numFmtId="0" fontId="0" fillId="0" borderId="0" xfId="0"/>
    <xf numFmtId="0" fontId="3" fillId="2" borderId="0" xfId="2" applyFill="1"/>
    <xf numFmtId="0" fontId="3" fillId="0" borderId="0" xfId="2"/>
    <xf numFmtId="0" fontId="6" fillId="2" borderId="0" xfId="2" applyFont="1" applyFill="1" applyAlignment="1">
      <alignment vertical="center"/>
    </xf>
    <xf numFmtId="0" fontId="6" fillId="2" borderId="8" xfId="2" applyFont="1" applyFill="1" applyBorder="1" applyAlignment="1">
      <alignment horizontal="center" vertical="center"/>
    </xf>
    <xf numFmtId="0" fontId="6" fillId="2" borderId="0" xfId="2" applyFont="1" applyFill="1"/>
    <xf numFmtId="0" fontId="6" fillId="2" borderId="8" xfId="2" applyFont="1" applyFill="1" applyBorder="1" applyAlignment="1">
      <alignment vertical="center"/>
    </xf>
    <xf numFmtId="0" fontId="3" fillId="2" borderId="7" xfId="2" applyFill="1" applyBorder="1" applyAlignment="1">
      <alignment horizontal="center" vertical="center" wrapText="1"/>
    </xf>
    <xf numFmtId="0" fontId="3" fillId="10" borderId="7" xfId="2" applyFill="1" applyBorder="1" applyAlignment="1">
      <alignment horizontal="center" vertical="center" wrapText="1"/>
    </xf>
    <xf numFmtId="0" fontId="3" fillId="0" borderId="0" xfId="2" applyAlignment="1">
      <alignment vertical="center"/>
    </xf>
    <xf numFmtId="0" fontId="10" fillId="2" borderId="0" xfId="2" applyFont="1" applyFill="1" applyAlignment="1">
      <alignment horizontal="center" vertical="center" wrapText="1"/>
    </xf>
    <xf numFmtId="0" fontId="3" fillId="2" borderId="0" xfId="2" applyFill="1" applyAlignment="1">
      <alignment horizontal="center" vertical="center" wrapText="1"/>
    </xf>
    <xf numFmtId="0" fontId="3" fillId="2" borderId="0" xfId="2" applyFill="1" applyAlignment="1">
      <alignment horizontal="center"/>
    </xf>
    <xf numFmtId="0" fontId="11" fillId="0" borderId="0" xfId="2" applyFont="1" applyAlignment="1">
      <alignment vertical="center"/>
    </xf>
    <xf numFmtId="0" fontId="12" fillId="0" borderId="0" xfId="2" applyFont="1"/>
    <xf numFmtId="0" fontId="2" fillId="2" borderId="0" xfId="3" applyFill="1"/>
    <xf numFmtId="0" fontId="6" fillId="2" borderId="0" xfId="3" applyFont="1" applyFill="1" applyAlignment="1">
      <alignment vertical="center"/>
    </xf>
    <xf numFmtId="0" fontId="6" fillId="2" borderId="8" xfId="3" applyFont="1" applyFill="1" applyBorder="1" applyAlignment="1">
      <alignment horizontal="center" vertical="center"/>
    </xf>
    <xf numFmtId="0" fontId="6" fillId="2" borderId="0" xfId="3" applyFont="1" applyFill="1"/>
    <xf numFmtId="0" fontId="6" fillId="2" borderId="8" xfId="3" applyFont="1" applyFill="1" applyBorder="1" applyAlignment="1">
      <alignment vertical="center"/>
    </xf>
    <xf numFmtId="0" fontId="2" fillId="0" borderId="0" xfId="3"/>
    <xf numFmtId="0" fontId="6" fillId="2" borderId="18" xfId="3" applyFont="1" applyFill="1" applyBorder="1" applyAlignment="1">
      <alignment horizontal="center" vertical="center"/>
    </xf>
    <xf numFmtId="0" fontId="2" fillId="0" borderId="6" xfId="3" applyBorder="1" applyAlignment="1">
      <alignment horizontal="center" vertical="center" wrapText="1"/>
    </xf>
    <xf numFmtId="164" fontId="2" fillId="0" borderId="14" xfId="3" applyNumberFormat="1" applyBorder="1" applyAlignment="1">
      <alignment horizontal="center" vertical="center"/>
    </xf>
    <xf numFmtId="164" fontId="2" fillId="2" borderId="14" xfId="3" applyNumberFormat="1" applyFill="1" applyBorder="1" applyAlignment="1">
      <alignment horizontal="center" vertical="center"/>
    </xf>
    <xf numFmtId="164" fontId="2" fillId="2" borderId="10" xfId="3" applyNumberFormat="1" applyFill="1" applyBorder="1" applyAlignment="1">
      <alignment horizontal="center" vertical="center"/>
    </xf>
    <xf numFmtId="0" fontId="9" fillId="0" borderId="0" xfId="3" applyFont="1"/>
    <xf numFmtId="0" fontId="2" fillId="0" borderId="20" xfId="3" applyBorder="1" applyAlignment="1">
      <alignment horizontal="center" vertical="center"/>
    </xf>
    <xf numFmtId="164" fontId="2" fillId="0" borderId="7" xfId="3" applyNumberFormat="1" applyBorder="1" applyAlignment="1">
      <alignment horizontal="center" vertical="center"/>
    </xf>
    <xf numFmtId="164" fontId="2" fillId="2" borderId="7" xfId="3" applyNumberFormat="1" applyFill="1" applyBorder="1" applyAlignment="1">
      <alignment horizontal="center" vertical="center"/>
    </xf>
    <xf numFmtId="164" fontId="2" fillId="2" borderId="11" xfId="3" applyNumberFormat="1" applyFill="1" applyBorder="1" applyAlignment="1">
      <alignment horizontal="center" vertical="center"/>
    </xf>
    <xf numFmtId="0" fontId="2" fillId="0" borderId="20" xfId="3" applyBorder="1" applyAlignment="1">
      <alignment horizontal="center" vertical="center" wrapText="1"/>
    </xf>
    <xf numFmtId="14" fontId="2" fillId="0" borderId="20" xfId="3" applyNumberFormat="1" applyBorder="1" applyAlignment="1">
      <alignment horizontal="center" vertical="center"/>
    </xf>
    <xf numFmtId="0" fontId="9" fillId="0" borderId="0" xfId="3" applyFont="1" applyAlignment="1">
      <alignment vertical="center"/>
    </xf>
    <xf numFmtId="0" fontId="2" fillId="0" borderId="0" xfId="3" applyAlignment="1">
      <alignment vertical="center"/>
    </xf>
    <xf numFmtId="164" fontId="2" fillId="0" borderId="21" xfId="3" applyNumberFormat="1" applyBorder="1" applyAlignment="1">
      <alignment horizontal="center" vertical="center"/>
    </xf>
    <xf numFmtId="0" fontId="2" fillId="0" borderId="22" xfId="3" applyBorder="1" applyAlignment="1">
      <alignment horizontal="center" vertical="center"/>
    </xf>
    <xf numFmtId="0" fontId="2" fillId="0" borderId="2" xfId="3" applyBorder="1" applyAlignment="1">
      <alignment horizontal="center" vertical="center"/>
    </xf>
    <xf numFmtId="0" fontId="2" fillId="0" borderId="15" xfId="3" applyBorder="1" applyAlignment="1">
      <alignment horizontal="center" vertical="center"/>
    </xf>
    <xf numFmtId="0" fontId="2" fillId="0" borderId="7" xfId="3" applyBorder="1" applyAlignment="1">
      <alignment horizontal="center"/>
    </xf>
    <xf numFmtId="0" fontId="2" fillId="0" borderId="0" xfId="3" applyAlignment="1">
      <alignment horizontal="center" vertical="center"/>
    </xf>
    <xf numFmtId="0" fontId="8" fillId="0" borderId="13" xfId="3" applyFont="1" applyBorder="1" applyAlignment="1">
      <alignment horizontal="center" vertical="center"/>
    </xf>
    <xf numFmtId="0" fontId="7" fillId="2" borderId="1" xfId="3" applyFont="1" applyFill="1" applyBorder="1" applyAlignment="1">
      <alignment horizontal="center" vertical="center"/>
    </xf>
    <xf numFmtId="0" fontId="6" fillId="6" borderId="3" xfId="3" applyFont="1" applyFill="1" applyBorder="1" applyAlignment="1">
      <alignment horizontal="center" vertical="center"/>
    </xf>
    <xf numFmtId="0" fontId="6" fillId="6" borderId="17" xfId="3" applyFont="1" applyFill="1" applyBorder="1" applyAlignment="1">
      <alignment horizontal="center" vertical="center"/>
    </xf>
    <xf numFmtId="0" fontId="6" fillId="4" borderId="4" xfId="3" applyFont="1" applyFill="1" applyBorder="1" applyAlignment="1">
      <alignment horizontal="center" vertical="center"/>
    </xf>
    <xf numFmtId="0" fontId="6" fillId="4" borderId="5" xfId="3" applyFont="1" applyFill="1" applyBorder="1" applyAlignment="1">
      <alignment horizontal="center" vertical="center"/>
    </xf>
    <xf numFmtId="0" fontId="6" fillId="7" borderId="4" xfId="3" applyFont="1" applyFill="1" applyBorder="1" applyAlignment="1">
      <alignment horizontal="center" vertical="center"/>
    </xf>
    <xf numFmtId="0" fontId="6" fillId="7" borderId="5" xfId="3" applyFont="1" applyFill="1" applyBorder="1" applyAlignment="1">
      <alignment horizontal="center" vertical="center"/>
    </xf>
    <xf numFmtId="0" fontId="6" fillId="7" borderId="12" xfId="3" applyFont="1" applyFill="1" applyBorder="1" applyAlignment="1">
      <alignment horizontal="center" vertical="center"/>
    </xf>
    <xf numFmtId="0" fontId="6" fillId="5" borderId="4" xfId="3" applyFont="1" applyFill="1" applyBorder="1" applyAlignment="1">
      <alignment horizontal="center" vertical="center"/>
    </xf>
    <xf numFmtId="0" fontId="6" fillId="5" borderId="5" xfId="3" applyFont="1" applyFill="1" applyBorder="1" applyAlignment="1">
      <alignment horizontal="center" vertical="center"/>
    </xf>
    <xf numFmtId="0" fontId="6" fillId="6" borderId="9" xfId="3" applyFont="1" applyFill="1" applyBorder="1" applyAlignment="1">
      <alignment horizontal="center" vertical="center"/>
    </xf>
    <xf numFmtId="0" fontId="6" fillId="6" borderId="19" xfId="3" applyFont="1" applyFill="1" applyBorder="1" applyAlignment="1">
      <alignment horizontal="center" vertical="center"/>
    </xf>
    <xf numFmtId="0" fontId="2" fillId="2" borderId="0" xfId="3" applyFill="1" applyAlignment="1">
      <alignment horizontal="center" vertical="center"/>
    </xf>
    <xf numFmtId="0" fontId="6" fillId="2" borderId="0" xfId="3" applyFont="1" applyFill="1" applyAlignment="1">
      <alignment horizontal="left" vertical="center"/>
    </xf>
    <xf numFmtId="0" fontId="3" fillId="0" borderId="0" xfId="2" applyAlignment="1">
      <alignment horizontal="center" vertical="center"/>
    </xf>
    <xf numFmtId="0" fontId="10" fillId="2" borderId="15" xfId="2" applyFont="1" applyFill="1" applyBorder="1" applyAlignment="1">
      <alignment horizontal="center" vertical="center" wrapText="1"/>
    </xf>
    <xf numFmtId="0" fontId="10" fillId="2" borderId="2" xfId="2" applyFont="1" applyFill="1" applyBorder="1" applyAlignment="1">
      <alignment horizontal="center" vertical="center" wrapText="1"/>
    </xf>
    <xf numFmtId="0" fontId="10" fillId="2" borderId="16" xfId="2" applyFont="1" applyFill="1" applyBorder="1" applyAlignment="1">
      <alignment horizontal="center" vertical="center" wrapText="1"/>
    </xf>
    <xf numFmtId="0" fontId="4" fillId="2" borderId="0" xfId="2" applyFont="1" applyFill="1" applyAlignment="1">
      <alignment horizontal="center" vertical="center"/>
    </xf>
    <xf numFmtId="0" fontId="3" fillId="2" borderId="0" xfId="2" applyFill="1" applyAlignment="1">
      <alignment horizontal="center" vertical="center"/>
    </xf>
    <xf numFmtId="0" fontId="7" fillId="2" borderId="1" xfId="2" applyFont="1" applyFill="1" applyBorder="1" applyAlignment="1">
      <alignment horizontal="center" vertical="center"/>
    </xf>
    <xf numFmtId="0" fontId="5" fillId="3" borderId="3" xfId="2" applyFont="1" applyFill="1" applyBorder="1" applyAlignment="1">
      <alignment horizontal="center" vertical="center"/>
    </xf>
    <xf numFmtId="0" fontId="5" fillId="3" borderId="6" xfId="2" applyFont="1" applyFill="1" applyBorder="1" applyAlignment="1">
      <alignment horizontal="center" vertical="center"/>
    </xf>
    <xf numFmtId="0" fontId="5" fillId="8" borderId="4" xfId="2" applyFont="1" applyFill="1" applyBorder="1" applyAlignment="1">
      <alignment horizontal="center" vertical="center"/>
    </xf>
    <xf numFmtId="0" fontId="5" fillId="8" borderId="5" xfId="2" applyFont="1" applyFill="1" applyBorder="1" applyAlignment="1">
      <alignment horizontal="center" vertical="center"/>
    </xf>
    <xf numFmtId="0" fontId="5" fillId="3" borderId="9" xfId="2" applyFont="1" applyFill="1" applyBorder="1" applyAlignment="1">
      <alignment horizontal="center" vertical="center"/>
    </xf>
    <xf numFmtId="0" fontId="5" fillId="3" borderId="10" xfId="2" applyFont="1" applyFill="1" applyBorder="1" applyAlignment="1">
      <alignment horizontal="center" vertical="center"/>
    </xf>
    <xf numFmtId="0" fontId="10" fillId="9" borderId="15" xfId="2" applyFont="1" applyFill="1" applyBorder="1" applyAlignment="1">
      <alignment horizontal="center" vertical="center" wrapText="1"/>
    </xf>
    <xf numFmtId="0" fontId="10" fillId="9" borderId="2" xfId="2" applyFont="1" applyFill="1" applyBorder="1" applyAlignment="1">
      <alignment horizontal="center" vertical="center" wrapText="1"/>
    </xf>
    <xf numFmtId="0" fontId="10" fillId="9" borderId="16" xfId="2" applyFont="1" applyFill="1" applyBorder="1" applyAlignment="1">
      <alignment horizontal="center" vertical="center" wrapText="1"/>
    </xf>
    <xf numFmtId="0" fontId="1" fillId="2" borderId="0" xfId="4" applyFill="1"/>
    <xf numFmtId="0" fontId="1" fillId="2" borderId="0" xfId="4" applyFill="1" applyAlignment="1">
      <alignment horizontal="center" vertical="center"/>
    </xf>
    <xf numFmtId="0" fontId="6" fillId="2" borderId="0" xfId="4" applyFont="1" applyFill="1" applyAlignment="1">
      <alignment horizontal="left" vertical="center"/>
    </xf>
    <xf numFmtId="0" fontId="6" fillId="2" borderId="0" xfId="4" applyFont="1" applyFill="1" applyAlignment="1">
      <alignment vertical="center"/>
    </xf>
    <xf numFmtId="0" fontId="6" fillId="2" borderId="8" xfId="4" applyFont="1" applyFill="1" applyBorder="1" applyAlignment="1">
      <alignment horizontal="center" vertical="center"/>
    </xf>
    <xf numFmtId="0" fontId="6" fillId="2" borderId="0" xfId="4" applyFont="1" applyFill="1"/>
    <xf numFmtId="0" fontId="6" fillId="2" borderId="8" xfId="4" applyFont="1" applyFill="1" applyBorder="1" applyAlignment="1">
      <alignment vertical="center"/>
    </xf>
    <xf numFmtId="0" fontId="7" fillId="2" borderId="1" xfId="4" applyFont="1" applyFill="1" applyBorder="1" applyAlignment="1">
      <alignment horizontal="center" vertical="center"/>
    </xf>
    <xf numFmtId="0" fontId="1" fillId="0" borderId="0" xfId="4"/>
    <xf numFmtId="0" fontId="6" fillId="6" borderId="3" xfId="4" applyFont="1" applyFill="1" applyBorder="1" applyAlignment="1">
      <alignment horizontal="center" vertical="center"/>
    </xf>
    <xf numFmtId="0" fontId="6" fillId="4" borderId="4" xfId="4" applyFont="1" applyFill="1" applyBorder="1" applyAlignment="1">
      <alignment horizontal="center" vertical="center"/>
    </xf>
    <xf numFmtId="0" fontId="6" fillId="4" borderId="5" xfId="4" applyFont="1" applyFill="1" applyBorder="1" applyAlignment="1">
      <alignment horizontal="center" vertical="center"/>
    </xf>
    <xf numFmtId="0" fontId="6" fillId="7" borderId="4" xfId="4" applyFont="1" applyFill="1" applyBorder="1" applyAlignment="1">
      <alignment horizontal="center" vertical="center"/>
    </xf>
    <xf numFmtId="0" fontId="6" fillId="7" borderId="5" xfId="4" applyFont="1" applyFill="1" applyBorder="1" applyAlignment="1">
      <alignment horizontal="center" vertical="center"/>
    </xf>
    <xf numFmtId="0" fontId="6" fillId="7" borderId="12" xfId="4" applyFont="1" applyFill="1" applyBorder="1" applyAlignment="1">
      <alignment horizontal="center" vertical="center"/>
    </xf>
    <xf numFmtId="0" fontId="6" fillId="5" borderId="4" xfId="4" applyFont="1" applyFill="1" applyBorder="1" applyAlignment="1">
      <alignment horizontal="center" vertical="center"/>
    </xf>
    <xf numFmtId="0" fontId="6" fillId="5" borderId="5" xfId="4" applyFont="1" applyFill="1" applyBorder="1" applyAlignment="1">
      <alignment horizontal="center" vertical="center"/>
    </xf>
    <xf numFmtId="0" fontId="6" fillId="6" borderId="9" xfId="4" applyFont="1" applyFill="1" applyBorder="1" applyAlignment="1">
      <alignment horizontal="center" vertical="center"/>
    </xf>
    <xf numFmtId="0" fontId="8" fillId="0" borderId="13" xfId="4" applyFont="1" applyBorder="1" applyAlignment="1">
      <alignment horizontal="center" vertical="center"/>
    </xf>
    <xf numFmtId="164" fontId="1" fillId="2" borderId="14" xfId="4" applyNumberFormat="1" applyFill="1" applyBorder="1" applyAlignment="1">
      <alignment horizontal="center" vertical="center"/>
    </xf>
    <xf numFmtId="0" fontId="9" fillId="0" borderId="0" xfId="4" applyFont="1"/>
    <xf numFmtId="164" fontId="1" fillId="2" borderId="7" xfId="4" applyNumberFormat="1" applyFill="1" applyBorder="1" applyAlignment="1">
      <alignment horizontal="center" vertical="center"/>
    </xf>
    <xf numFmtId="0" fontId="9" fillId="0" borderId="0" xfId="4" applyFont="1" applyAlignment="1">
      <alignment vertical="center"/>
    </xf>
    <xf numFmtId="0" fontId="1" fillId="0" borderId="0" xfId="4" applyAlignment="1">
      <alignment vertical="center"/>
    </xf>
    <xf numFmtId="0" fontId="1" fillId="0" borderId="0" xfId="4" applyAlignment="1">
      <alignment horizontal="center" vertical="center"/>
    </xf>
    <xf numFmtId="164" fontId="1" fillId="2" borderId="0" xfId="4" applyNumberFormat="1" applyFill="1" applyBorder="1" applyAlignment="1">
      <alignment horizontal="center" vertical="center"/>
    </xf>
    <xf numFmtId="0" fontId="1" fillId="0" borderId="7" xfId="4" applyFill="1" applyBorder="1" applyAlignment="1">
      <alignment horizontal="center" vertical="center"/>
    </xf>
    <xf numFmtId="164" fontId="1" fillId="0" borderId="7" xfId="4" applyNumberFormat="1" applyFill="1" applyBorder="1" applyAlignment="1">
      <alignment horizontal="center" vertical="center"/>
    </xf>
    <xf numFmtId="0" fontId="1" fillId="0" borderId="7" xfId="4" applyFill="1" applyBorder="1" applyAlignment="1">
      <alignment horizontal="center" vertical="center" wrapText="1"/>
    </xf>
    <xf numFmtId="0" fontId="6" fillId="6" borderId="17" xfId="4" applyFont="1" applyFill="1" applyBorder="1" applyAlignment="1">
      <alignment horizontal="center" vertical="center"/>
    </xf>
    <xf numFmtId="0" fontId="6" fillId="2" borderId="18" xfId="4" applyFont="1" applyFill="1" applyBorder="1" applyAlignment="1">
      <alignment horizontal="center" vertical="center"/>
    </xf>
    <xf numFmtId="0" fontId="6" fillId="6" borderId="19" xfId="4" applyFont="1" applyFill="1" applyBorder="1" applyAlignment="1">
      <alignment horizontal="center" vertical="center"/>
    </xf>
    <xf numFmtId="164" fontId="1" fillId="11" borderId="7" xfId="4" applyNumberFormat="1" applyFill="1" applyBorder="1" applyAlignment="1">
      <alignment horizontal="center" vertical="center"/>
    </xf>
    <xf numFmtId="14" fontId="1" fillId="0" borderId="7" xfId="4" applyNumberFormat="1" applyFill="1" applyBorder="1" applyAlignment="1">
      <alignment horizontal="center" vertical="center"/>
    </xf>
    <xf numFmtId="164" fontId="1" fillId="0" borderId="7" xfId="4" applyNumberFormat="1" applyFont="1" applyFill="1" applyBorder="1" applyAlignment="1">
      <alignment horizontal="center" vertical="center"/>
    </xf>
    <xf numFmtId="164" fontId="1" fillId="0" borderId="14" xfId="4" applyNumberFormat="1" applyFill="1" applyBorder="1" applyAlignment="1">
      <alignment horizontal="center" vertical="center"/>
    </xf>
    <xf numFmtId="0" fontId="1" fillId="0" borderId="0" xfId="4" applyFill="1" applyBorder="1" applyAlignment="1">
      <alignment horizontal="center" vertical="center"/>
    </xf>
    <xf numFmtId="164" fontId="1" fillId="0" borderId="0" xfId="4" applyNumberFormat="1" applyFill="1" applyBorder="1" applyAlignment="1">
      <alignment horizontal="center" vertical="center"/>
    </xf>
  </cellXfs>
  <cellStyles count="5">
    <cellStyle name="Normal" xfId="0" builtinId="0"/>
    <cellStyle name="Normal 2" xfId="2" xr:uid="{C14DC4AF-0FB0-4207-AE5A-FC97CF48A4DB}"/>
    <cellStyle name="Normal 3" xfId="1" xr:uid="{99CF5D5A-6057-4171-AE69-70CAE1E7F26D}"/>
    <cellStyle name="Normal 4" xfId="3" xr:uid="{51107A16-D090-44C3-9C58-96EB6BFDF71B}"/>
    <cellStyle name="Normal 5" xfId="4" xr:uid="{88D9F413-EFFF-4F0E-9AD9-76AF930828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350447</xdr:colOff>
      <xdr:row>0</xdr:row>
      <xdr:rowOff>25040</xdr:rowOff>
    </xdr:from>
    <xdr:to>
      <xdr:col>4</xdr:col>
      <xdr:colOff>176375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B9C447-CD77-4C78-8C88-51BEC2A93F4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1897" y="25040"/>
          <a:ext cx="597453" cy="6417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02B3467-38EC-458C-A127-C8AF34731C99}"/>
            </a:ext>
          </a:extLst>
        </xdr:cNvPr>
        <xdr:cNvSpPr txBox="1"/>
      </xdr:nvSpPr>
      <xdr:spPr>
        <a:xfrm>
          <a:off x="573942" y="1371111"/>
          <a:ext cx="1865924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VILLALION, RECHELLE J</a:t>
          </a:r>
          <a:r>
            <a:rPr lang="en-US" sz="1100" baseline="0"/>
            <a:t>. 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1249BE4-5227-4241-92EE-B92129A8E12D}"/>
            </a:ext>
          </a:extLst>
        </xdr:cNvPr>
        <xdr:cNvSpPr txBox="1"/>
      </xdr:nvSpPr>
      <xdr:spPr>
        <a:xfrm>
          <a:off x="616683" y="1718407"/>
          <a:ext cx="18182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AO II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B37BCD0-EC7F-4157-A1D2-FFD7741D7CDA}"/>
            </a:ext>
          </a:extLst>
        </xdr:cNvPr>
        <xdr:cNvSpPr txBox="1"/>
      </xdr:nvSpPr>
      <xdr:spPr>
        <a:xfrm>
          <a:off x="3625118" y="1700091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CANTURAY ES</a:t>
          </a:r>
        </a:p>
      </xdr:txBody>
    </xdr:sp>
    <xdr:clientData/>
  </xdr:twoCellAnchor>
  <xdr:twoCellAnchor>
    <xdr:from>
      <xdr:col>5</xdr:col>
      <xdr:colOff>329481</xdr:colOff>
      <xdr:row>63</xdr:row>
      <xdr:rowOff>8985</xdr:rowOff>
    </xdr:from>
    <xdr:to>
      <xdr:col>9</xdr:col>
      <xdr:colOff>654072</xdr:colOff>
      <xdr:row>68</xdr:row>
      <xdr:rowOff>125802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EEC4F28-E0E6-481B-960E-588D38029FD4}"/>
            </a:ext>
          </a:extLst>
        </xdr:cNvPr>
        <xdr:cNvSpPr txBox="1"/>
      </xdr:nvSpPr>
      <xdr:spPr>
        <a:xfrm>
          <a:off x="5853981" y="16953960"/>
          <a:ext cx="3410691" cy="10693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272596</xdr:colOff>
      <xdr:row>0</xdr:row>
      <xdr:rowOff>29030</xdr:rowOff>
    </xdr:from>
    <xdr:ext cx="708251" cy="617309"/>
    <xdr:pic>
      <xdr:nvPicPr>
        <xdr:cNvPr id="2" name="Picture 1">
          <a:extLst>
            <a:ext uri="{FF2B5EF4-FFF2-40B4-BE49-F238E27FC236}">
              <a16:creationId xmlns:a16="http://schemas.microsoft.com/office/drawing/2014/main" id="{22F44A88-B0C6-4B0C-90F5-71870A18A20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4496" y="29030"/>
          <a:ext cx="708251" cy="617309"/>
        </a:xfrm>
        <a:prstGeom prst="rect">
          <a:avLst/>
        </a:prstGeom>
        <a:noFill/>
      </xdr:spPr>
    </xdr:pic>
    <xdr:clientData/>
  </xdr:oneCellAnchor>
  <xdr:twoCellAnchor>
    <xdr:from>
      <xdr:col>0</xdr:col>
      <xdr:colOff>573942</xdr:colOff>
      <xdr:row>6</xdr:row>
      <xdr:rowOff>170961</xdr:rowOff>
    </xdr:from>
    <xdr:to>
      <xdr:col>1</xdr:col>
      <xdr:colOff>946150</xdr:colOff>
      <xdr:row>8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FF8311E-10EE-45A7-AF1C-857889C335E7}"/>
            </a:ext>
          </a:extLst>
        </xdr:cNvPr>
        <xdr:cNvSpPr txBox="1"/>
      </xdr:nvSpPr>
      <xdr:spPr>
        <a:xfrm>
          <a:off x="573942" y="1313961"/>
          <a:ext cx="1981933" cy="2989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VILLALION,</a:t>
          </a:r>
          <a:r>
            <a:rPr lang="en-US" sz="1100" baseline="0"/>
            <a:t> RECHELLE</a:t>
          </a:r>
          <a:endParaRPr lang="en-US" sz="1100"/>
        </a:p>
      </xdr:txBody>
    </xdr:sp>
    <xdr:clientData/>
  </xdr:twoCellAnchor>
  <xdr:twoCellAnchor>
    <xdr:from>
      <xdr:col>0</xdr:col>
      <xdr:colOff>654051</xdr:colOff>
      <xdr:row>9</xdr:row>
      <xdr:rowOff>19051</xdr:rowOff>
    </xdr:from>
    <xdr:to>
      <xdr:col>0</xdr:col>
      <xdr:colOff>1720850</xdr:colOff>
      <xdr:row>10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2F707D5-7CE0-490E-8A5D-76BECF375215}"/>
            </a:ext>
          </a:extLst>
        </xdr:cNvPr>
        <xdr:cNvSpPr txBox="1"/>
      </xdr:nvSpPr>
      <xdr:spPr>
        <a:xfrm>
          <a:off x="654051" y="1733551"/>
          <a:ext cx="1066799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AO II</a:t>
          </a:r>
        </a:p>
      </xdr:txBody>
    </xdr:sp>
    <xdr:clientData/>
  </xdr:twoCellAnchor>
  <xdr:twoCellAnchor>
    <xdr:from>
      <xdr:col>3</xdr:col>
      <xdr:colOff>526823</xdr:colOff>
      <xdr:row>9</xdr:row>
      <xdr:rowOff>42410</xdr:rowOff>
    </xdr:from>
    <xdr:to>
      <xdr:col>5</xdr:col>
      <xdr:colOff>463323</xdr:colOff>
      <xdr:row>11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CC22279-7778-4210-86E5-EDC706816307}"/>
            </a:ext>
          </a:extLst>
        </xdr:cNvPr>
        <xdr:cNvSpPr txBox="1"/>
      </xdr:nvSpPr>
      <xdr:spPr>
        <a:xfrm>
          <a:off x="3689123" y="1756910"/>
          <a:ext cx="1412875" cy="3493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CANTURAY</a:t>
          </a:r>
          <a:r>
            <a:rPr lang="en-US" sz="1100" baseline="0"/>
            <a:t> ES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350447</xdr:colOff>
      <xdr:row>0</xdr:row>
      <xdr:rowOff>25040</xdr:rowOff>
    </xdr:from>
    <xdr:to>
      <xdr:col>4</xdr:col>
      <xdr:colOff>176375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8BF679-3469-4E0C-86C3-24CB4836F9C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1897" y="25040"/>
          <a:ext cx="597453" cy="6417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EA84C96-E66C-44D6-B585-7A925FA174BA}"/>
            </a:ext>
          </a:extLst>
        </xdr:cNvPr>
        <xdr:cNvSpPr txBox="1"/>
      </xdr:nvSpPr>
      <xdr:spPr>
        <a:xfrm>
          <a:off x="573942" y="1371111"/>
          <a:ext cx="1865924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VILLALION, RECHELLE J.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E51AAC9-241C-49D3-A7BC-51320571E145}"/>
            </a:ext>
          </a:extLst>
        </xdr:cNvPr>
        <xdr:cNvSpPr txBox="1"/>
      </xdr:nvSpPr>
      <xdr:spPr>
        <a:xfrm>
          <a:off x="616683" y="1718407"/>
          <a:ext cx="18182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AO II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A08CDDB-3899-46ED-ABEE-A126C583E829}"/>
            </a:ext>
          </a:extLst>
        </xdr:cNvPr>
        <xdr:cNvSpPr txBox="1"/>
      </xdr:nvSpPr>
      <xdr:spPr>
        <a:xfrm>
          <a:off x="3625118" y="1700091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CANTURAY ES</a:t>
          </a:r>
        </a:p>
      </xdr:txBody>
    </xdr:sp>
    <xdr:clientData/>
  </xdr:twoCellAnchor>
  <xdr:twoCellAnchor>
    <xdr:from>
      <xdr:col>5</xdr:col>
      <xdr:colOff>347452</xdr:colOff>
      <xdr:row>55</xdr:row>
      <xdr:rowOff>53914</xdr:rowOff>
    </xdr:from>
    <xdr:to>
      <xdr:col>9</xdr:col>
      <xdr:colOff>672043</xdr:colOff>
      <xdr:row>60</xdr:row>
      <xdr:rowOff>170731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A3A573E-9DAB-495F-80C4-2DD35C44624D}"/>
            </a:ext>
          </a:extLst>
        </xdr:cNvPr>
        <xdr:cNvSpPr txBox="1"/>
      </xdr:nvSpPr>
      <xdr:spPr>
        <a:xfrm>
          <a:off x="5871952" y="16074964"/>
          <a:ext cx="3410691" cy="10693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0EB48-E35A-45A7-9E6E-6FEAC596EDEF}">
  <dimension ref="A1:K65"/>
  <sheetViews>
    <sheetView tabSelected="1" view="pageBreakPreview" topLeftCell="A33" zoomScale="106" zoomScaleNormal="100" zoomScaleSheetLayoutView="106" workbookViewId="0">
      <selection activeCell="B55" sqref="B55"/>
    </sheetView>
  </sheetViews>
  <sheetFormatPr defaultRowHeight="15"/>
  <cols>
    <col min="1" max="1" width="36.5703125" style="80" customWidth="1"/>
    <col min="2" max="5" width="11.5703125" style="80" customWidth="1"/>
    <col min="6" max="7" width="11.5703125" style="96" customWidth="1"/>
    <col min="8" max="10" width="11.5703125" style="80" customWidth="1"/>
    <col min="11" max="11" width="26.42578125" style="92" customWidth="1"/>
    <col min="12" max="16384" width="9.140625" style="80"/>
  </cols>
  <sheetData>
    <row r="1" spans="1:11" s="72" customFormat="1" ht="52.5" customHeight="1"/>
    <row r="2" spans="1:11" s="72" customFormat="1" ht="10.5" customHeight="1">
      <c r="A2" s="73" t="s">
        <v>0</v>
      </c>
      <c r="B2" s="73"/>
      <c r="C2" s="73"/>
      <c r="D2" s="73"/>
      <c r="E2" s="73"/>
      <c r="F2" s="73"/>
      <c r="G2" s="73"/>
      <c r="H2" s="73"/>
      <c r="I2" s="73"/>
      <c r="J2" s="73"/>
    </row>
    <row r="3" spans="1:11" s="72" customFormat="1" ht="15.95" customHeight="1">
      <c r="A3" s="73" t="s">
        <v>1</v>
      </c>
      <c r="B3" s="73"/>
      <c r="C3" s="73"/>
      <c r="D3" s="73"/>
      <c r="E3" s="73"/>
      <c r="F3" s="73"/>
      <c r="G3" s="73"/>
      <c r="H3" s="73"/>
      <c r="I3" s="73"/>
      <c r="J3" s="73"/>
    </row>
    <row r="4" spans="1:11" s="72" customFormat="1" ht="15.95" customHeight="1">
      <c r="A4" s="73" t="s">
        <v>2</v>
      </c>
      <c r="B4" s="73"/>
      <c r="C4" s="73"/>
      <c r="D4" s="73"/>
      <c r="E4" s="73"/>
      <c r="F4" s="73"/>
      <c r="G4" s="73"/>
      <c r="H4" s="73"/>
      <c r="I4" s="73"/>
      <c r="J4" s="73"/>
    </row>
    <row r="5" spans="1:11" s="72" customFormat="1" ht="15.95" customHeight="1">
      <c r="A5" s="73" t="s">
        <v>3</v>
      </c>
      <c r="B5" s="73"/>
      <c r="C5" s="73"/>
      <c r="D5" s="73"/>
      <c r="E5" s="73"/>
      <c r="F5" s="73"/>
      <c r="G5" s="73"/>
      <c r="H5" s="73"/>
      <c r="I5" s="73"/>
      <c r="J5" s="73"/>
    </row>
    <row r="6" spans="1:11" s="72" customFormat="1" ht="8.25" customHeight="1"/>
    <row r="7" spans="1:11" s="72" customFormat="1" ht="12" customHeight="1">
      <c r="A7" s="72" t="s">
        <v>22</v>
      </c>
      <c r="B7" s="74" t="s">
        <v>23</v>
      </c>
      <c r="C7" s="74"/>
      <c r="D7" s="74"/>
      <c r="H7" s="75" t="s">
        <v>24</v>
      </c>
      <c r="I7" s="76"/>
      <c r="J7" s="75"/>
    </row>
    <row r="8" spans="1:11" s="72" customFormat="1" ht="12" customHeight="1">
      <c r="B8" s="77"/>
      <c r="C8" s="77"/>
      <c r="H8" s="77"/>
      <c r="I8" s="77"/>
      <c r="J8" s="77"/>
    </row>
    <row r="9" spans="1:11" s="72" customFormat="1" ht="12" customHeight="1">
      <c r="A9" s="72" t="s">
        <v>25</v>
      </c>
      <c r="B9" s="74" t="s">
        <v>26</v>
      </c>
      <c r="C9" s="74"/>
      <c r="D9" s="74"/>
      <c r="H9" s="75" t="s">
        <v>27</v>
      </c>
      <c r="I9" s="78"/>
      <c r="J9" s="75"/>
    </row>
    <row r="10" spans="1:11" ht="23.25" customHeight="1" thickBot="1">
      <c r="A10" s="79" t="s">
        <v>28</v>
      </c>
      <c r="B10" s="79"/>
      <c r="C10" s="79"/>
      <c r="D10" s="79"/>
      <c r="E10" s="79"/>
      <c r="F10" s="79"/>
      <c r="G10" s="79"/>
      <c r="H10" s="79"/>
      <c r="I10" s="79"/>
      <c r="J10" s="79"/>
      <c r="K10" s="80"/>
    </row>
    <row r="11" spans="1:11" ht="18.75" customHeight="1">
      <c r="A11" s="81" t="s">
        <v>4</v>
      </c>
      <c r="B11" s="82" t="s">
        <v>5</v>
      </c>
      <c r="C11" s="83"/>
      <c r="D11" s="84" t="s">
        <v>6</v>
      </c>
      <c r="E11" s="85"/>
      <c r="F11" s="85"/>
      <c r="G11" s="86"/>
      <c r="H11" s="87" t="s">
        <v>7</v>
      </c>
      <c r="I11" s="88"/>
      <c r="J11" s="89" t="s">
        <v>8</v>
      </c>
      <c r="K11" s="90" t="s">
        <v>52</v>
      </c>
    </row>
    <row r="12" spans="1:11" ht="18.75" customHeight="1" thickBot="1">
      <c r="A12" s="101"/>
      <c r="B12" s="102" t="s">
        <v>9</v>
      </c>
      <c r="C12" s="102" t="s">
        <v>10</v>
      </c>
      <c r="D12" s="102" t="s">
        <v>9</v>
      </c>
      <c r="E12" s="102" t="s">
        <v>10</v>
      </c>
      <c r="F12" s="102" t="s">
        <v>11</v>
      </c>
      <c r="G12" s="102" t="s">
        <v>53</v>
      </c>
      <c r="H12" s="102" t="s">
        <v>9</v>
      </c>
      <c r="I12" s="102" t="s">
        <v>10</v>
      </c>
      <c r="J12" s="103"/>
      <c r="K12" s="90"/>
    </row>
    <row r="13" spans="1:11" ht="30.75" customHeight="1">
      <c r="A13" s="22" t="s">
        <v>32</v>
      </c>
      <c r="B13" s="23">
        <v>12.5</v>
      </c>
      <c r="C13" s="23">
        <v>12.5</v>
      </c>
      <c r="D13" s="107"/>
      <c r="E13" s="107"/>
      <c r="F13" s="107"/>
      <c r="G13" s="107"/>
      <c r="H13" s="91">
        <f>B13</f>
        <v>12.5</v>
      </c>
      <c r="I13" s="91">
        <f>C13</f>
        <v>12.5</v>
      </c>
      <c r="J13" s="91">
        <f>SUM(H13:I13)</f>
        <v>25</v>
      </c>
    </row>
    <row r="14" spans="1:11" ht="12" customHeight="1">
      <c r="A14" s="98" t="s">
        <v>78</v>
      </c>
      <c r="B14" s="99"/>
      <c r="C14" s="99"/>
      <c r="D14" s="99"/>
      <c r="E14" s="99"/>
      <c r="F14" s="99">
        <v>5</v>
      </c>
      <c r="G14" s="99"/>
      <c r="H14" s="93">
        <f>H13-F14-D14+B14</f>
        <v>7.5</v>
      </c>
      <c r="I14" s="93">
        <f>I13-E14+C14</f>
        <v>12.5</v>
      </c>
      <c r="J14" s="93">
        <f>SUM(H14:I14)</f>
        <v>20</v>
      </c>
    </row>
    <row r="15" spans="1:11" ht="12" customHeight="1">
      <c r="A15" s="98" t="s">
        <v>12</v>
      </c>
      <c r="B15" s="99">
        <v>12.5</v>
      </c>
      <c r="C15" s="99">
        <v>12.5</v>
      </c>
      <c r="D15" s="99"/>
      <c r="E15" s="99"/>
      <c r="F15" s="99"/>
      <c r="G15" s="99"/>
      <c r="H15" s="93">
        <f t="shared" ref="H15:H43" si="0">H14-F15-D15+B15</f>
        <v>20</v>
      </c>
      <c r="I15" s="93">
        <f t="shared" ref="I15:I43" si="1">I14-E15+C15</f>
        <v>25</v>
      </c>
      <c r="J15" s="93">
        <f t="shared" ref="J15:J43" si="2">SUM(H15:I15)</f>
        <v>45</v>
      </c>
    </row>
    <row r="16" spans="1:11" ht="12.75" customHeight="1">
      <c r="A16" s="98" t="s">
        <v>51</v>
      </c>
      <c r="B16" s="99"/>
      <c r="C16" s="99"/>
      <c r="D16" s="99">
        <v>12</v>
      </c>
      <c r="E16" s="99">
        <v>17</v>
      </c>
      <c r="F16" s="99"/>
      <c r="G16" s="99"/>
      <c r="H16" s="93">
        <f t="shared" si="0"/>
        <v>8</v>
      </c>
      <c r="I16" s="93">
        <f t="shared" si="1"/>
        <v>8</v>
      </c>
      <c r="J16" s="93">
        <f t="shared" si="2"/>
        <v>16</v>
      </c>
    </row>
    <row r="17" spans="1:10" ht="12.75" customHeight="1">
      <c r="A17" s="98" t="s">
        <v>13</v>
      </c>
      <c r="B17" s="99">
        <v>2.5</v>
      </c>
      <c r="C17" s="99">
        <v>2.5</v>
      </c>
      <c r="D17" s="99"/>
      <c r="E17" s="99"/>
      <c r="F17" s="99"/>
      <c r="G17" s="99"/>
      <c r="H17" s="93">
        <f>H16-F17-D17+B17</f>
        <v>10.5</v>
      </c>
      <c r="I17" s="93">
        <f>I16-E17+C17</f>
        <v>10.5</v>
      </c>
      <c r="J17" s="93">
        <f t="shared" si="2"/>
        <v>21</v>
      </c>
    </row>
    <row r="18" spans="1:10" ht="12" customHeight="1">
      <c r="A18" s="98" t="s">
        <v>75</v>
      </c>
      <c r="B18" s="99"/>
      <c r="C18" s="99"/>
      <c r="D18" s="99"/>
      <c r="E18" s="99"/>
      <c r="F18" s="99">
        <v>5</v>
      </c>
      <c r="G18" s="99"/>
      <c r="H18" s="93">
        <f>H17-F18-D18+B18</f>
        <v>5.5</v>
      </c>
      <c r="I18" s="93">
        <f>I17-E18+C18</f>
        <v>10.5</v>
      </c>
      <c r="J18" s="93">
        <f t="shared" si="2"/>
        <v>16</v>
      </c>
    </row>
    <row r="19" spans="1:10" ht="12" customHeight="1">
      <c r="A19" s="98" t="s">
        <v>14</v>
      </c>
      <c r="B19" s="99">
        <v>15</v>
      </c>
      <c r="C19" s="99">
        <v>15</v>
      </c>
      <c r="D19" s="99"/>
      <c r="E19" s="99"/>
      <c r="F19" s="99"/>
      <c r="G19" s="99"/>
      <c r="H19" s="93">
        <f>H18-F19-D19+B19</f>
        <v>20.5</v>
      </c>
      <c r="I19" s="93">
        <f>I18-E19+C19</f>
        <v>25.5</v>
      </c>
      <c r="J19" s="93">
        <f t="shared" si="2"/>
        <v>46</v>
      </c>
    </row>
    <row r="20" spans="1:10" ht="12" customHeight="1">
      <c r="A20" s="98" t="s">
        <v>50</v>
      </c>
      <c r="B20" s="99"/>
      <c r="C20" s="99"/>
      <c r="D20" s="99">
        <v>10</v>
      </c>
      <c r="E20" s="99"/>
      <c r="F20" s="99"/>
      <c r="G20" s="99"/>
      <c r="H20" s="93">
        <f t="shared" si="0"/>
        <v>10.5</v>
      </c>
      <c r="I20" s="93">
        <f t="shared" si="1"/>
        <v>25.5</v>
      </c>
      <c r="J20" s="93">
        <f t="shared" si="2"/>
        <v>36</v>
      </c>
    </row>
    <row r="21" spans="1:10" ht="12" customHeight="1">
      <c r="A21" s="98" t="s">
        <v>15</v>
      </c>
      <c r="B21" s="99"/>
      <c r="C21" s="99"/>
      <c r="D21" s="99"/>
      <c r="E21" s="99"/>
      <c r="F21" s="99">
        <v>5</v>
      </c>
      <c r="G21" s="99"/>
      <c r="H21" s="93">
        <f t="shared" si="0"/>
        <v>5.5</v>
      </c>
      <c r="I21" s="93">
        <f t="shared" si="1"/>
        <v>25.5</v>
      </c>
      <c r="J21" s="93">
        <f t="shared" si="2"/>
        <v>31</v>
      </c>
    </row>
    <row r="22" spans="1:10" ht="12" customHeight="1">
      <c r="A22" s="98" t="s">
        <v>16</v>
      </c>
      <c r="B22" s="99">
        <v>15</v>
      </c>
      <c r="C22" s="99">
        <v>15</v>
      </c>
      <c r="D22" s="99"/>
      <c r="E22" s="99"/>
      <c r="F22" s="99"/>
      <c r="G22" s="99"/>
      <c r="H22" s="93">
        <f t="shared" si="0"/>
        <v>20.5</v>
      </c>
      <c r="I22" s="93">
        <f t="shared" si="1"/>
        <v>40.5</v>
      </c>
      <c r="J22" s="93">
        <f t="shared" si="2"/>
        <v>61</v>
      </c>
    </row>
    <row r="23" spans="1:10" ht="12" customHeight="1">
      <c r="A23" s="98" t="s">
        <v>76</v>
      </c>
      <c r="B23" s="99"/>
      <c r="C23" s="99"/>
      <c r="D23" s="99">
        <v>15</v>
      </c>
      <c r="E23" s="99">
        <v>14</v>
      </c>
      <c r="F23" s="99"/>
      <c r="G23" s="99"/>
      <c r="H23" s="93">
        <f t="shared" si="0"/>
        <v>5.5</v>
      </c>
      <c r="I23" s="93">
        <f t="shared" si="1"/>
        <v>26.5</v>
      </c>
      <c r="J23" s="93">
        <f t="shared" si="2"/>
        <v>32</v>
      </c>
    </row>
    <row r="24" spans="1:10" ht="12" customHeight="1">
      <c r="A24" s="98" t="s">
        <v>17</v>
      </c>
      <c r="B24" s="99"/>
      <c r="C24" s="99"/>
      <c r="D24" s="99"/>
      <c r="E24" s="99"/>
      <c r="F24" s="99">
        <v>5</v>
      </c>
      <c r="G24" s="99"/>
      <c r="H24" s="93">
        <f t="shared" si="0"/>
        <v>0.5</v>
      </c>
      <c r="I24" s="93">
        <f t="shared" si="1"/>
        <v>26.5</v>
      </c>
      <c r="J24" s="93">
        <f t="shared" si="2"/>
        <v>27</v>
      </c>
    </row>
    <row r="25" spans="1:10" ht="12.75" customHeight="1">
      <c r="A25" s="98" t="s">
        <v>77</v>
      </c>
      <c r="B25" s="99">
        <v>11.25</v>
      </c>
      <c r="C25" s="99">
        <v>11.25</v>
      </c>
      <c r="D25" s="99"/>
      <c r="E25" s="99"/>
      <c r="F25" s="99"/>
      <c r="G25" s="99"/>
      <c r="H25" s="93">
        <f t="shared" si="0"/>
        <v>11.75</v>
      </c>
      <c r="I25" s="93">
        <f t="shared" si="1"/>
        <v>37.75</v>
      </c>
      <c r="J25" s="93">
        <f t="shared" si="2"/>
        <v>49.5</v>
      </c>
    </row>
    <row r="26" spans="1:10" ht="12" customHeight="1">
      <c r="A26" s="98" t="s">
        <v>18</v>
      </c>
      <c r="B26" s="99"/>
      <c r="C26" s="99"/>
      <c r="D26" s="99"/>
      <c r="E26" s="99"/>
      <c r="F26" s="99"/>
      <c r="G26" s="99">
        <v>1</v>
      </c>
      <c r="H26" s="93">
        <f t="shared" si="0"/>
        <v>11.75</v>
      </c>
      <c r="I26" s="93">
        <f t="shared" si="1"/>
        <v>37.75</v>
      </c>
      <c r="J26" s="93">
        <f t="shared" si="2"/>
        <v>49.5</v>
      </c>
    </row>
    <row r="27" spans="1:10" ht="12" customHeight="1">
      <c r="A27" s="98" t="s">
        <v>19</v>
      </c>
      <c r="B27" s="99"/>
      <c r="C27" s="99"/>
      <c r="D27" s="99">
        <v>5</v>
      </c>
      <c r="E27" s="99">
        <v>24</v>
      </c>
      <c r="F27" s="99"/>
      <c r="G27" s="99"/>
      <c r="H27" s="93">
        <f t="shared" si="0"/>
        <v>6.75</v>
      </c>
      <c r="I27" s="93">
        <f t="shared" si="1"/>
        <v>13.75</v>
      </c>
      <c r="J27" s="93">
        <f t="shared" si="2"/>
        <v>20.5</v>
      </c>
    </row>
    <row r="28" spans="1:10" ht="12" customHeight="1">
      <c r="A28" s="98" t="s">
        <v>20</v>
      </c>
      <c r="B28" s="99">
        <v>1.25</v>
      </c>
      <c r="C28" s="99">
        <v>1.25</v>
      </c>
      <c r="D28" s="99"/>
      <c r="E28" s="99"/>
      <c r="F28" s="99"/>
      <c r="G28" s="99"/>
      <c r="H28" s="93">
        <f t="shared" si="0"/>
        <v>8</v>
      </c>
      <c r="I28" s="93">
        <f t="shared" si="1"/>
        <v>15</v>
      </c>
      <c r="J28" s="93">
        <f t="shared" si="2"/>
        <v>23</v>
      </c>
    </row>
    <row r="29" spans="1:10" ht="12" customHeight="1">
      <c r="A29" s="98" t="s">
        <v>21</v>
      </c>
      <c r="B29" s="99"/>
      <c r="C29" s="99"/>
      <c r="D29" s="99"/>
      <c r="E29" s="99"/>
      <c r="F29" s="99"/>
      <c r="G29" s="99">
        <v>1</v>
      </c>
      <c r="H29" s="93">
        <f t="shared" si="0"/>
        <v>8</v>
      </c>
      <c r="I29" s="93">
        <f t="shared" si="1"/>
        <v>15</v>
      </c>
      <c r="J29" s="93">
        <f t="shared" si="2"/>
        <v>23</v>
      </c>
    </row>
    <row r="30" spans="1:10" ht="19.5" customHeight="1">
      <c r="A30" s="100" t="s">
        <v>29</v>
      </c>
      <c r="B30" s="106">
        <v>1.25</v>
      </c>
      <c r="C30" s="99">
        <v>1.25</v>
      </c>
      <c r="D30" s="99"/>
      <c r="E30" s="99"/>
      <c r="F30" s="99"/>
      <c r="G30" s="99"/>
      <c r="H30" s="93">
        <f t="shared" si="0"/>
        <v>9.25</v>
      </c>
      <c r="I30" s="93">
        <f t="shared" si="1"/>
        <v>16.25</v>
      </c>
      <c r="J30" s="93">
        <f t="shared" si="2"/>
        <v>25.5</v>
      </c>
    </row>
    <row r="31" spans="1:10" ht="12" customHeight="1">
      <c r="A31" s="105" t="s">
        <v>30</v>
      </c>
      <c r="B31" s="99"/>
      <c r="C31" s="99"/>
      <c r="D31" s="99"/>
      <c r="E31" s="99"/>
      <c r="F31" s="99">
        <v>2</v>
      </c>
      <c r="G31" s="99"/>
      <c r="H31" s="93">
        <f t="shared" si="0"/>
        <v>7.25</v>
      </c>
      <c r="I31" s="93">
        <f t="shared" si="1"/>
        <v>16.25</v>
      </c>
      <c r="J31" s="93">
        <f t="shared" si="2"/>
        <v>23.5</v>
      </c>
    </row>
    <row r="32" spans="1:10" ht="13.5" customHeight="1">
      <c r="A32" s="105" t="s">
        <v>31</v>
      </c>
      <c r="B32" s="99"/>
      <c r="C32" s="99"/>
      <c r="D32" s="99"/>
      <c r="E32" s="99"/>
      <c r="F32" s="99">
        <v>3</v>
      </c>
      <c r="G32" s="99"/>
      <c r="H32" s="93">
        <f t="shared" si="0"/>
        <v>4.25</v>
      </c>
      <c r="I32" s="93">
        <f t="shared" si="1"/>
        <v>16.25</v>
      </c>
      <c r="J32" s="93">
        <f t="shared" si="2"/>
        <v>20.5</v>
      </c>
    </row>
    <row r="33" spans="1:11" ht="12" customHeight="1">
      <c r="A33" s="98" t="s">
        <v>33</v>
      </c>
      <c r="B33" s="99">
        <v>1.25</v>
      </c>
      <c r="C33" s="99">
        <v>1.25</v>
      </c>
      <c r="D33" s="99"/>
      <c r="E33" s="99"/>
      <c r="F33" s="99"/>
      <c r="G33" s="99"/>
      <c r="H33" s="93">
        <f t="shared" si="0"/>
        <v>5.5</v>
      </c>
      <c r="I33" s="93">
        <f t="shared" si="1"/>
        <v>17.5</v>
      </c>
      <c r="J33" s="93">
        <f t="shared" si="2"/>
        <v>23</v>
      </c>
    </row>
    <row r="34" spans="1:11" ht="12" customHeight="1">
      <c r="A34" s="98" t="s">
        <v>34</v>
      </c>
      <c r="B34" s="99">
        <v>2.5</v>
      </c>
      <c r="C34" s="99">
        <v>2.5</v>
      </c>
      <c r="D34" s="99"/>
      <c r="E34" s="99"/>
      <c r="F34" s="99"/>
      <c r="G34" s="99"/>
      <c r="H34" s="93">
        <f t="shared" si="0"/>
        <v>8</v>
      </c>
      <c r="I34" s="93">
        <f t="shared" si="1"/>
        <v>20</v>
      </c>
      <c r="J34" s="93">
        <f t="shared" si="2"/>
        <v>28</v>
      </c>
    </row>
    <row r="35" spans="1:11" ht="14.25" customHeight="1">
      <c r="A35" s="98" t="s">
        <v>35</v>
      </c>
      <c r="B35" s="99"/>
      <c r="C35" s="99"/>
      <c r="D35" s="99"/>
      <c r="E35" s="99"/>
      <c r="F35" s="99"/>
      <c r="G35" s="99">
        <v>1</v>
      </c>
      <c r="H35" s="93">
        <f t="shared" si="0"/>
        <v>8</v>
      </c>
      <c r="I35" s="93">
        <f t="shared" si="1"/>
        <v>20</v>
      </c>
      <c r="J35" s="93">
        <f t="shared" si="2"/>
        <v>28</v>
      </c>
    </row>
    <row r="36" spans="1:11" ht="12" customHeight="1">
      <c r="A36" s="98" t="s">
        <v>36</v>
      </c>
      <c r="B36" s="99"/>
      <c r="C36" s="99"/>
      <c r="D36" s="99"/>
      <c r="E36" s="99"/>
      <c r="F36" s="99"/>
      <c r="G36" s="99">
        <v>1</v>
      </c>
      <c r="H36" s="93">
        <f t="shared" si="0"/>
        <v>8</v>
      </c>
      <c r="I36" s="93">
        <f t="shared" si="1"/>
        <v>20</v>
      </c>
      <c r="J36" s="93">
        <f t="shared" si="2"/>
        <v>28</v>
      </c>
    </row>
    <row r="37" spans="1:11" ht="12" customHeight="1">
      <c r="A37" s="98" t="s">
        <v>37</v>
      </c>
      <c r="B37" s="99">
        <v>1.25</v>
      </c>
      <c r="C37" s="99">
        <v>1.25</v>
      </c>
      <c r="D37" s="99"/>
      <c r="E37" s="99"/>
      <c r="F37" s="99"/>
      <c r="G37" s="99"/>
      <c r="H37" s="93">
        <f t="shared" si="0"/>
        <v>9.25</v>
      </c>
      <c r="I37" s="93">
        <f t="shared" si="1"/>
        <v>21.25</v>
      </c>
      <c r="J37" s="93">
        <f t="shared" si="2"/>
        <v>30.5</v>
      </c>
    </row>
    <row r="38" spans="1:11" ht="12" customHeight="1">
      <c r="A38" s="98" t="s">
        <v>38</v>
      </c>
      <c r="B38" s="99"/>
      <c r="C38" s="99"/>
      <c r="D38" s="99"/>
      <c r="E38" s="99"/>
      <c r="F38" s="99"/>
      <c r="G38" s="99">
        <v>1</v>
      </c>
      <c r="H38" s="93">
        <f t="shared" si="0"/>
        <v>9.25</v>
      </c>
      <c r="I38" s="93">
        <f t="shared" si="1"/>
        <v>21.25</v>
      </c>
      <c r="J38" s="93">
        <f t="shared" si="2"/>
        <v>30.5</v>
      </c>
    </row>
    <row r="39" spans="1:11" s="95" customFormat="1" ht="12" customHeight="1">
      <c r="A39" s="98" t="s">
        <v>39</v>
      </c>
      <c r="B39" s="99">
        <v>3.75</v>
      </c>
      <c r="C39" s="99">
        <v>3.75</v>
      </c>
      <c r="D39" s="99"/>
      <c r="E39" s="99"/>
      <c r="F39" s="99"/>
      <c r="G39" s="99"/>
      <c r="H39" s="93">
        <f t="shared" si="0"/>
        <v>13</v>
      </c>
      <c r="I39" s="93">
        <f t="shared" si="1"/>
        <v>25</v>
      </c>
      <c r="J39" s="93">
        <f t="shared" si="2"/>
        <v>38</v>
      </c>
      <c r="K39" s="94"/>
    </row>
    <row r="40" spans="1:11" s="95" customFormat="1" ht="12" customHeight="1">
      <c r="A40" s="98" t="s">
        <v>40</v>
      </c>
      <c r="B40" s="99"/>
      <c r="C40" s="99"/>
      <c r="D40" s="99"/>
      <c r="E40" s="99"/>
      <c r="F40" s="99">
        <v>1</v>
      </c>
      <c r="G40" s="99"/>
      <c r="H40" s="93">
        <f t="shared" si="0"/>
        <v>12</v>
      </c>
      <c r="I40" s="93">
        <f t="shared" si="1"/>
        <v>25</v>
      </c>
      <c r="J40" s="93">
        <f t="shared" si="2"/>
        <v>37</v>
      </c>
      <c r="K40" s="94"/>
    </row>
    <row r="41" spans="1:11" s="95" customFormat="1" ht="12.75" customHeight="1">
      <c r="A41" s="98" t="s">
        <v>43</v>
      </c>
      <c r="B41" s="99">
        <v>2.5</v>
      </c>
      <c r="C41" s="99">
        <v>2.5</v>
      </c>
      <c r="D41" s="99"/>
      <c r="E41" s="99"/>
      <c r="F41" s="99"/>
      <c r="G41" s="99"/>
      <c r="H41" s="93">
        <f t="shared" si="0"/>
        <v>14.5</v>
      </c>
      <c r="I41" s="93">
        <f t="shared" si="1"/>
        <v>27.5</v>
      </c>
      <c r="J41" s="93">
        <f t="shared" si="2"/>
        <v>42</v>
      </c>
      <c r="K41" s="94"/>
    </row>
    <row r="42" spans="1:11" ht="12" customHeight="1">
      <c r="A42" s="98" t="s">
        <v>42</v>
      </c>
      <c r="B42" s="99"/>
      <c r="C42" s="99"/>
      <c r="D42" s="99">
        <v>10</v>
      </c>
      <c r="E42" s="99"/>
      <c r="F42" s="99"/>
      <c r="G42" s="99"/>
      <c r="H42" s="93">
        <f t="shared" si="0"/>
        <v>4.5</v>
      </c>
      <c r="I42" s="93">
        <f t="shared" si="1"/>
        <v>27.5</v>
      </c>
      <c r="J42" s="93">
        <f t="shared" si="2"/>
        <v>32</v>
      </c>
    </row>
    <row r="43" spans="1:11" ht="15.75" customHeight="1">
      <c r="A43" s="98" t="s">
        <v>44</v>
      </c>
      <c r="B43" s="99">
        <v>5</v>
      </c>
      <c r="C43" s="99">
        <v>5</v>
      </c>
      <c r="D43" s="99"/>
      <c r="E43" s="99"/>
      <c r="F43" s="99"/>
      <c r="G43" s="99"/>
      <c r="H43" s="93">
        <f t="shared" si="0"/>
        <v>9.5</v>
      </c>
      <c r="I43" s="93">
        <f t="shared" si="1"/>
        <v>32.5</v>
      </c>
      <c r="J43" s="93">
        <f t="shared" si="2"/>
        <v>42</v>
      </c>
    </row>
    <row r="44" spans="1:11" s="95" customFormat="1" ht="16.5" customHeight="1">
      <c r="A44" s="98" t="s">
        <v>47</v>
      </c>
      <c r="B44" s="99"/>
      <c r="C44" s="99"/>
      <c r="D44" s="99"/>
      <c r="E44" s="99"/>
      <c r="F44" s="99">
        <v>4</v>
      </c>
      <c r="G44" s="99"/>
      <c r="H44" s="93">
        <f>H43-F44-D44+B44</f>
        <v>5.5</v>
      </c>
      <c r="I44" s="93">
        <f>I43-E44+C44</f>
        <v>32.5</v>
      </c>
      <c r="J44" s="93">
        <f>SUM(H44:I44)</f>
        <v>38</v>
      </c>
      <c r="K44" s="94"/>
    </row>
    <row r="45" spans="1:11" s="95" customFormat="1" ht="12" customHeight="1">
      <c r="A45" s="98" t="s">
        <v>45</v>
      </c>
      <c r="B45" s="99">
        <v>5</v>
      </c>
      <c r="C45" s="99">
        <v>5</v>
      </c>
      <c r="D45" s="99"/>
      <c r="E45" s="99"/>
      <c r="F45" s="99"/>
      <c r="G45" s="99"/>
      <c r="H45" s="93">
        <f>H44-F45-D45+B45</f>
        <v>10.5</v>
      </c>
      <c r="I45" s="93">
        <f t="shared" ref="I45:I55" si="3">I44-E45+C45</f>
        <v>37.5</v>
      </c>
      <c r="J45" s="93">
        <f>SUM(H45:I45)</f>
        <v>48</v>
      </c>
      <c r="K45" s="94"/>
    </row>
    <row r="46" spans="1:11" ht="12" customHeight="1">
      <c r="A46" s="98" t="s">
        <v>46</v>
      </c>
      <c r="B46" s="99"/>
      <c r="C46" s="99"/>
      <c r="D46" s="99"/>
      <c r="E46" s="99"/>
      <c r="F46" s="99"/>
      <c r="G46" s="99">
        <v>1</v>
      </c>
      <c r="H46" s="93">
        <f t="shared" ref="H46:H55" si="4">H45-F46-D46+B46</f>
        <v>10.5</v>
      </c>
      <c r="I46" s="93">
        <f t="shared" si="3"/>
        <v>37.5</v>
      </c>
      <c r="J46" s="93">
        <f t="shared" ref="J46:J55" si="5">SUM(H46:I46)</f>
        <v>48</v>
      </c>
    </row>
    <row r="47" spans="1:11" ht="16.5" customHeight="1">
      <c r="A47" s="98" t="s">
        <v>48</v>
      </c>
      <c r="B47" s="99">
        <v>7.5</v>
      </c>
      <c r="C47" s="99">
        <v>7.5</v>
      </c>
      <c r="D47" s="99"/>
      <c r="E47" s="99"/>
      <c r="F47" s="99"/>
      <c r="G47" s="99"/>
      <c r="H47" s="93">
        <f t="shared" si="4"/>
        <v>18</v>
      </c>
      <c r="I47" s="93">
        <f t="shared" si="3"/>
        <v>45</v>
      </c>
      <c r="J47" s="93">
        <f t="shared" si="5"/>
        <v>63</v>
      </c>
    </row>
    <row r="48" spans="1:11" ht="12" customHeight="1">
      <c r="A48" s="98" t="s">
        <v>49</v>
      </c>
      <c r="B48" s="99"/>
      <c r="C48" s="99"/>
      <c r="D48" s="99"/>
      <c r="E48" s="99"/>
      <c r="F48" s="99">
        <v>1</v>
      </c>
      <c r="G48" s="99"/>
      <c r="H48" s="93">
        <f t="shared" si="4"/>
        <v>17</v>
      </c>
      <c r="I48" s="93">
        <f t="shared" si="3"/>
        <v>45</v>
      </c>
      <c r="J48" s="93">
        <f t="shared" si="5"/>
        <v>62</v>
      </c>
    </row>
    <row r="49" spans="1:10" ht="12" customHeight="1">
      <c r="A49" s="98" t="s">
        <v>68</v>
      </c>
      <c r="B49" s="99">
        <v>1.25</v>
      </c>
      <c r="C49" s="99">
        <v>1.25</v>
      </c>
      <c r="D49" s="99"/>
      <c r="E49" s="99"/>
      <c r="F49" s="99"/>
      <c r="G49" s="99"/>
      <c r="H49" s="93">
        <f t="shared" si="4"/>
        <v>18.25</v>
      </c>
      <c r="I49" s="93">
        <f t="shared" si="3"/>
        <v>46.25</v>
      </c>
      <c r="J49" s="93">
        <f t="shared" si="5"/>
        <v>64.5</v>
      </c>
    </row>
    <row r="50" spans="1:10" ht="12" customHeight="1">
      <c r="A50" s="98" t="s">
        <v>69</v>
      </c>
      <c r="B50" s="99"/>
      <c r="C50" s="99"/>
      <c r="D50" s="99"/>
      <c r="E50" s="99"/>
      <c r="F50" s="99">
        <v>4</v>
      </c>
      <c r="G50" s="99"/>
      <c r="H50" s="93">
        <f t="shared" si="4"/>
        <v>14.25</v>
      </c>
      <c r="I50" s="93">
        <f t="shared" si="3"/>
        <v>46.25</v>
      </c>
      <c r="J50" s="93">
        <f t="shared" si="5"/>
        <v>60.5</v>
      </c>
    </row>
    <row r="51" spans="1:10" ht="12" customHeight="1">
      <c r="A51" s="98" t="s">
        <v>70</v>
      </c>
      <c r="B51" s="99"/>
      <c r="C51" s="99"/>
      <c r="D51" s="99"/>
      <c r="E51" s="99"/>
      <c r="F51" s="99"/>
      <c r="G51" s="99">
        <v>2</v>
      </c>
      <c r="H51" s="93">
        <f t="shared" si="4"/>
        <v>14.25</v>
      </c>
      <c r="I51" s="93">
        <f t="shared" si="3"/>
        <v>46.25</v>
      </c>
      <c r="J51" s="93">
        <f t="shared" si="5"/>
        <v>60.5</v>
      </c>
    </row>
    <row r="52" spans="1:10" ht="12" customHeight="1">
      <c r="A52" s="98" t="s">
        <v>71</v>
      </c>
      <c r="B52" s="99">
        <v>1.25</v>
      </c>
      <c r="C52" s="99">
        <v>1.25</v>
      </c>
      <c r="D52" s="99"/>
      <c r="E52" s="99"/>
      <c r="F52" s="99"/>
      <c r="G52" s="99"/>
      <c r="H52" s="93">
        <f t="shared" si="4"/>
        <v>15.5</v>
      </c>
      <c r="I52" s="93">
        <f t="shared" si="3"/>
        <v>47.5</v>
      </c>
      <c r="J52" s="93">
        <f t="shared" si="5"/>
        <v>63</v>
      </c>
    </row>
    <row r="53" spans="1:10" ht="14.25" customHeight="1">
      <c r="A53" s="98" t="s">
        <v>72</v>
      </c>
      <c r="B53" s="99">
        <v>3.75</v>
      </c>
      <c r="C53" s="99">
        <v>3.75</v>
      </c>
      <c r="D53" s="99"/>
      <c r="E53" s="99"/>
      <c r="F53" s="99"/>
      <c r="G53" s="99"/>
      <c r="H53" s="93">
        <f t="shared" si="4"/>
        <v>19.25</v>
      </c>
      <c r="I53" s="93">
        <f t="shared" si="3"/>
        <v>51.25</v>
      </c>
      <c r="J53" s="93">
        <f t="shared" si="5"/>
        <v>70.5</v>
      </c>
    </row>
    <row r="54" spans="1:10" ht="12" customHeight="1">
      <c r="A54" s="98" t="s">
        <v>73</v>
      </c>
      <c r="B54" s="99"/>
      <c r="C54" s="99"/>
      <c r="D54" s="99">
        <v>10</v>
      </c>
      <c r="E54" s="99"/>
      <c r="F54" s="99"/>
      <c r="G54" s="99"/>
      <c r="H54" s="93">
        <f t="shared" si="4"/>
        <v>9.25</v>
      </c>
      <c r="I54" s="93">
        <f t="shared" si="3"/>
        <v>51.25</v>
      </c>
      <c r="J54" s="93">
        <f t="shared" si="5"/>
        <v>60.5</v>
      </c>
    </row>
    <row r="55" spans="1:10" s="92" customFormat="1" ht="15.75" customHeight="1">
      <c r="A55" s="98" t="s">
        <v>74</v>
      </c>
      <c r="B55" s="99"/>
      <c r="C55" s="99"/>
      <c r="D55" s="99"/>
      <c r="E55" s="99"/>
      <c r="F55" s="104">
        <v>1</v>
      </c>
      <c r="G55" s="99"/>
      <c r="H55" s="93">
        <f t="shared" si="4"/>
        <v>8.25</v>
      </c>
      <c r="I55" s="93">
        <f t="shared" si="3"/>
        <v>51.25</v>
      </c>
      <c r="J55" s="93">
        <f t="shared" si="5"/>
        <v>59.5</v>
      </c>
    </row>
    <row r="56" spans="1:10" s="92" customFormat="1" ht="15.75" customHeight="1">
      <c r="A56" s="98" t="s">
        <v>79</v>
      </c>
      <c r="B56" s="99">
        <v>5</v>
      </c>
      <c r="C56" s="99">
        <v>5</v>
      </c>
      <c r="D56" s="99"/>
      <c r="E56" s="99"/>
      <c r="F56" s="99"/>
      <c r="G56" s="99"/>
      <c r="H56" s="93">
        <f t="shared" ref="H56:H57" si="6">H55-F56-D56+B56</f>
        <v>13.25</v>
      </c>
      <c r="I56" s="93">
        <f t="shared" ref="I56:I57" si="7">I55-E56+C56</f>
        <v>56.25</v>
      </c>
      <c r="J56" s="93">
        <f t="shared" ref="J56:J57" si="8">SUM(H56:I56)</f>
        <v>69.5</v>
      </c>
    </row>
    <row r="57" spans="1:10" s="92" customFormat="1" ht="15.75" customHeight="1">
      <c r="A57" s="98" t="s">
        <v>80</v>
      </c>
      <c r="B57" s="99"/>
      <c r="C57" s="99"/>
      <c r="D57" s="99"/>
      <c r="E57" s="99"/>
      <c r="F57" s="104">
        <v>1</v>
      </c>
      <c r="G57" s="99"/>
      <c r="H57" s="93">
        <f t="shared" si="6"/>
        <v>12.25</v>
      </c>
      <c r="I57" s="93">
        <f t="shared" si="7"/>
        <v>56.25</v>
      </c>
      <c r="J57" s="93">
        <f t="shared" si="8"/>
        <v>68.5</v>
      </c>
    </row>
    <row r="58" spans="1:10" s="92" customFormat="1" ht="15.75" customHeight="1">
      <c r="A58" s="98"/>
      <c r="B58" s="99"/>
      <c r="C58" s="99"/>
      <c r="D58" s="99"/>
      <c r="E58" s="99"/>
      <c r="F58" s="99"/>
      <c r="G58" s="99"/>
      <c r="H58" s="93"/>
      <c r="I58" s="93"/>
      <c r="J58" s="93"/>
    </row>
    <row r="59" spans="1:10" s="92" customFormat="1" ht="15.75" customHeight="1">
      <c r="A59" s="108"/>
      <c r="B59" s="109"/>
      <c r="C59" s="109"/>
      <c r="D59" s="109"/>
      <c r="E59" s="109"/>
      <c r="F59" s="109"/>
      <c r="G59" s="109"/>
      <c r="H59" s="97"/>
      <c r="I59" s="97"/>
      <c r="J59" s="97"/>
    </row>
    <row r="60" spans="1:10" s="92" customFormat="1" ht="15.75" customHeight="1">
      <c r="A60" s="108"/>
      <c r="B60" s="109"/>
      <c r="C60" s="109"/>
      <c r="D60" s="109"/>
      <c r="E60" s="109"/>
      <c r="F60" s="109"/>
      <c r="G60" s="109"/>
      <c r="H60" s="97"/>
      <c r="I60" s="97"/>
      <c r="J60" s="97"/>
    </row>
    <row r="61" spans="1:10" s="92" customFormat="1" ht="15.75" customHeight="1">
      <c r="A61" s="108"/>
      <c r="B61" s="109"/>
      <c r="C61" s="109"/>
      <c r="D61" s="109"/>
      <c r="E61" s="109"/>
      <c r="F61" s="109"/>
      <c r="G61" s="109"/>
      <c r="H61" s="97"/>
      <c r="I61" s="97"/>
      <c r="J61" s="97"/>
    </row>
    <row r="65" spans="1:11" s="96" customFormat="1">
      <c r="A65" s="80"/>
      <c r="B65" s="80"/>
      <c r="C65" s="80"/>
      <c r="D65" s="80"/>
      <c r="E65" s="80"/>
      <c r="F65" s="96" t="s">
        <v>54</v>
      </c>
      <c r="H65" s="80"/>
      <c r="I65" s="80"/>
      <c r="J65" s="80"/>
      <c r="K65" s="92"/>
    </row>
  </sheetData>
  <mergeCells count="13">
    <mergeCell ref="K11:K12"/>
    <mergeCell ref="A10:J10"/>
    <mergeCell ref="A11:A12"/>
    <mergeCell ref="B11:C11"/>
    <mergeCell ref="D11:G11"/>
    <mergeCell ref="H11:I11"/>
    <mergeCell ref="J11:J12"/>
    <mergeCell ref="A2:J2"/>
    <mergeCell ref="A3:J3"/>
    <mergeCell ref="A4:J4"/>
    <mergeCell ref="A5:J5"/>
    <mergeCell ref="B7:D7"/>
    <mergeCell ref="B9:D9"/>
  </mergeCells>
  <printOptions horizontalCentered="1"/>
  <pageMargins left="0.23622047244094491" right="0.23622047244094491" top="0.70866141732283472" bottom="0.31496062992125984" header="0.31496062992125984" footer="0.31496062992125984"/>
  <pageSetup paperSize="9" scale="70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05B0C-E6AD-4A47-A0EB-64DE420AD376}">
  <sheetPr>
    <pageSetUpPr fitToPage="1"/>
  </sheetPr>
  <dimension ref="A1:L23"/>
  <sheetViews>
    <sheetView view="pageBreakPreview" zoomScaleNormal="100" zoomScaleSheetLayoutView="100" workbookViewId="0">
      <selection activeCell="C20" sqref="C20"/>
    </sheetView>
  </sheetViews>
  <sheetFormatPr defaultRowHeight="15"/>
  <cols>
    <col min="1" max="1" width="26.85546875" style="2" customWidth="1"/>
    <col min="2" max="2" width="11.42578125" style="2" customWidth="1"/>
    <col min="3" max="4" width="9.140625" style="2"/>
    <col min="5" max="5" width="13" style="2" customWidth="1"/>
    <col min="6" max="8" width="9.140625" style="2"/>
    <col min="9" max="9" width="6.140625" style="2" customWidth="1"/>
    <col min="10" max="10" width="9.140625" style="2"/>
    <col min="11" max="11" width="9.140625" style="2" customWidth="1"/>
    <col min="12" max="16384" width="9.140625" style="2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61" t="s">
        <v>0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</row>
    <row r="5" spans="1:12">
      <c r="A5" s="61" t="s">
        <v>1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</row>
    <row r="6" spans="1:12">
      <c r="A6" s="61" t="s">
        <v>2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</row>
    <row r="7" spans="1:12">
      <c r="A7" s="61" t="s">
        <v>3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</row>
    <row r="8" spans="1:1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>
      <c r="A9" s="1" t="s">
        <v>22</v>
      </c>
      <c r="B9" s="1"/>
      <c r="C9" s="3" t="s">
        <v>23</v>
      </c>
      <c r="D9" s="3"/>
      <c r="E9" s="1"/>
      <c r="F9" s="1"/>
      <c r="G9" s="3" t="s">
        <v>24</v>
      </c>
      <c r="H9" s="4"/>
      <c r="I9" s="1"/>
      <c r="J9" s="1"/>
      <c r="K9" s="1"/>
      <c r="L9" s="1"/>
    </row>
    <row r="10" spans="1:12">
      <c r="A10" s="1"/>
      <c r="B10" s="1"/>
      <c r="C10" s="5"/>
      <c r="D10" s="1"/>
      <c r="E10" s="1"/>
      <c r="F10" s="1"/>
      <c r="G10" s="5"/>
      <c r="H10" s="5"/>
      <c r="I10" s="1"/>
      <c r="J10" s="1"/>
      <c r="K10" s="1"/>
      <c r="L10" s="1"/>
    </row>
    <row r="11" spans="1:12">
      <c r="A11" s="1" t="s">
        <v>25</v>
      </c>
      <c r="B11" s="1"/>
      <c r="C11" s="3" t="s">
        <v>26</v>
      </c>
      <c r="D11" s="3"/>
      <c r="E11" s="1"/>
      <c r="F11" s="1"/>
      <c r="G11" s="3" t="s">
        <v>27</v>
      </c>
      <c r="H11" s="6"/>
      <c r="I11" s="1"/>
      <c r="J11" s="1"/>
      <c r="K11" s="1"/>
      <c r="L11" s="1"/>
    </row>
    <row r="12" spans="1:12" ht="21.75" thickBot="1">
      <c r="A12" s="62" t="s">
        <v>55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</row>
    <row r="13" spans="1:12">
      <c r="A13" s="63" t="s">
        <v>4</v>
      </c>
      <c r="B13" s="65" t="s">
        <v>5</v>
      </c>
      <c r="C13" s="66"/>
      <c r="D13" s="66"/>
      <c r="E13" s="66"/>
      <c r="F13" s="66"/>
      <c r="G13" s="66"/>
      <c r="H13" s="66"/>
      <c r="I13" s="66"/>
      <c r="J13" s="66"/>
      <c r="K13" s="66"/>
      <c r="L13" s="67" t="s">
        <v>8</v>
      </c>
    </row>
    <row r="14" spans="1:12">
      <c r="A14" s="64"/>
      <c r="B14" s="69" t="s">
        <v>56</v>
      </c>
      <c r="C14" s="70"/>
      <c r="D14" s="70"/>
      <c r="E14" s="71"/>
      <c r="F14" s="69" t="s">
        <v>57</v>
      </c>
      <c r="G14" s="71"/>
      <c r="H14" s="69" t="s">
        <v>58</v>
      </c>
      <c r="I14" s="71"/>
      <c r="J14" s="69" t="s">
        <v>59</v>
      </c>
      <c r="K14" s="71"/>
      <c r="L14" s="68"/>
    </row>
    <row r="15" spans="1:12" ht="30" customHeight="1">
      <c r="A15" s="7" t="s">
        <v>65</v>
      </c>
      <c r="B15" s="57" t="s">
        <v>66</v>
      </c>
      <c r="C15" s="58"/>
      <c r="D15" s="58"/>
      <c r="E15" s="59"/>
      <c r="F15" s="57">
        <v>1</v>
      </c>
      <c r="G15" s="59"/>
      <c r="H15" s="57">
        <v>0</v>
      </c>
      <c r="I15" s="59"/>
      <c r="J15" s="57">
        <v>1</v>
      </c>
      <c r="K15" s="59"/>
      <c r="L15" s="7">
        <v>1</v>
      </c>
    </row>
    <row r="16" spans="1:12" ht="30" customHeight="1">
      <c r="A16" s="7" t="s">
        <v>67</v>
      </c>
      <c r="B16" s="57" t="s">
        <v>66</v>
      </c>
      <c r="C16" s="58"/>
      <c r="D16" s="58"/>
      <c r="E16" s="59"/>
      <c r="F16" s="57"/>
      <c r="G16" s="59"/>
      <c r="H16" s="57">
        <v>1</v>
      </c>
      <c r="I16" s="59"/>
      <c r="J16" s="57">
        <v>0</v>
      </c>
      <c r="K16" s="59"/>
      <c r="L16" s="8">
        <v>0</v>
      </c>
    </row>
    <row r="17" spans="1:12">
      <c r="A17" s="9" t="s">
        <v>60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1"/>
    </row>
    <row r="18" spans="1:12" ht="4.5" customHeight="1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</row>
    <row r="19" spans="1:12">
      <c r="C19" s="12"/>
      <c r="D19" s="1"/>
      <c r="E19" s="1"/>
      <c r="F19" s="1"/>
      <c r="G19" s="1"/>
      <c r="H19" s="1" t="s">
        <v>61</v>
      </c>
      <c r="I19" s="1"/>
      <c r="J19" s="1"/>
      <c r="K19" s="1"/>
      <c r="L19" s="1"/>
    </row>
    <row r="20" spans="1:12" ht="12.75" customHeight="1">
      <c r="C20" s="12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H21" s="13" t="s">
        <v>62</v>
      </c>
      <c r="I21" s="13"/>
      <c r="J21" s="14"/>
    </row>
    <row r="22" spans="1:12">
      <c r="H22" s="2" t="s">
        <v>63</v>
      </c>
    </row>
    <row r="23" spans="1:12">
      <c r="H23" s="56" t="s">
        <v>64</v>
      </c>
      <c r="I23" s="56"/>
    </row>
  </sheetData>
  <mergeCells count="22">
    <mergeCell ref="A13:A14"/>
    <mergeCell ref="B13:K13"/>
    <mergeCell ref="L13:L14"/>
    <mergeCell ref="B14:E14"/>
    <mergeCell ref="F14:G14"/>
    <mergeCell ref="H14:I14"/>
    <mergeCell ref="J14:K14"/>
    <mergeCell ref="A4:L4"/>
    <mergeCell ref="A5:L5"/>
    <mergeCell ref="A6:L6"/>
    <mergeCell ref="A7:L7"/>
    <mergeCell ref="A12:L12"/>
    <mergeCell ref="B15:E15"/>
    <mergeCell ref="F15:G15"/>
    <mergeCell ref="H15:I15"/>
    <mergeCell ref="J15:K15"/>
    <mergeCell ref="A18:L18"/>
    <mergeCell ref="H23:I23"/>
    <mergeCell ref="B16:E16"/>
    <mergeCell ref="F16:G16"/>
    <mergeCell ref="H16:I16"/>
    <mergeCell ref="J16:K16"/>
  </mergeCells>
  <phoneticPr fontId="13" type="noConversion"/>
  <pageMargins left="0.7" right="0.7" top="0.75" bottom="0.75" header="0.3" footer="0.3"/>
  <pageSetup paperSize="9" scale="67" fitToHeight="0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B763E-C432-4937-A45A-5DFBC3C5E6C1}">
  <sheetPr>
    <pageSetUpPr fitToPage="1"/>
  </sheetPr>
  <dimension ref="A1:K59"/>
  <sheetViews>
    <sheetView view="pageBreakPreview" topLeftCell="A26" zoomScale="106" zoomScaleNormal="100" zoomScaleSheetLayoutView="106" workbookViewId="0">
      <selection activeCell="B25" sqref="B25"/>
    </sheetView>
  </sheetViews>
  <sheetFormatPr defaultRowHeight="15"/>
  <cols>
    <col min="1" max="1" width="36.5703125" style="20" customWidth="1"/>
    <col min="2" max="5" width="11.5703125" style="20" customWidth="1"/>
    <col min="6" max="7" width="11.5703125" style="40" customWidth="1"/>
    <col min="8" max="10" width="11.5703125" style="20" customWidth="1"/>
    <col min="11" max="11" width="26.42578125" style="26" customWidth="1"/>
    <col min="12" max="16384" width="9.140625" style="20"/>
  </cols>
  <sheetData>
    <row r="1" spans="1:11" s="15" customFormat="1" ht="52.5" customHeight="1"/>
    <row r="2" spans="1:11" s="15" customFormat="1" ht="10.5" customHeight="1">
      <c r="A2" s="54" t="s">
        <v>0</v>
      </c>
      <c r="B2" s="54"/>
      <c r="C2" s="54"/>
      <c r="D2" s="54"/>
      <c r="E2" s="54"/>
      <c r="F2" s="54"/>
      <c r="G2" s="54"/>
      <c r="H2" s="54"/>
      <c r="I2" s="54"/>
      <c r="J2" s="54"/>
    </row>
    <row r="3" spans="1:11" s="15" customFormat="1" ht="15.95" customHeight="1">
      <c r="A3" s="54" t="s">
        <v>1</v>
      </c>
      <c r="B3" s="54"/>
      <c r="C3" s="54"/>
      <c r="D3" s="54"/>
      <c r="E3" s="54"/>
      <c r="F3" s="54"/>
      <c r="G3" s="54"/>
      <c r="H3" s="54"/>
      <c r="I3" s="54"/>
      <c r="J3" s="54"/>
    </row>
    <row r="4" spans="1:11" s="15" customFormat="1" ht="15.95" customHeight="1">
      <c r="A4" s="54" t="s">
        <v>2</v>
      </c>
      <c r="B4" s="54"/>
      <c r="C4" s="54"/>
      <c r="D4" s="54"/>
      <c r="E4" s="54"/>
      <c r="F4" s="54"/>
      <c r="G4" s="54"/>
      <c r="H4" s="54"/>
      <c r="I4" s="54"/>
      <c r="J4" s="54"/>
    </row>
    <row r="5" spans="1:11" s="15" customFormat="1" ht="15.95" customHeight="1">
      <c r="A5" s="54" t="s">
        <v>3</v>
      </c>
      <c r="B5" s="54"/>
      <c r="C5" s="54"/>
      <c r="D5" s="54"/>
      <c r="E5" s="54"/>
      <c r="F5" s="54"/>
      <c r="G5" s="54"/>
      <c r="H5" s="54"/>
      <c r="I5" s="54"/>
      <c r="J5" s="54"/>
    </row>
    <row r="6" spans="1:11" s="15" customFormat="1" ht="8.25" customHeight="1"/>
    <row r="7" spans="1:11" s="15" customFormat="1" ht="12" customHeight="1">
      <c r="A7" s="15" t="s">
        <v>22</v>
      </c>
      <c r="B7" s="55" t="s">
        <v>23</v>
      </c>
      <c r="C7" s="55"/>
      <c r="D7" s="55"/>
      <c r="H7" s="16" t="s">
        <v>24</v>
      </c>
      <c r="I7" s="17"/>
      <c r="J7" s="16"/>
    </row>
    <row r="8" spans="1:11" s="15" customFormat="1" ht="12" customHeight="1">
      <c r="B8" s="18"/>
      <c r="C8" s="18"/>
      <c r="H8" s="18"/>
      <c r="I8" s="18"/>
      <c r="J8" s="18"/>
    </row>
    <row r="9" spans="1:11" s="15" customFormat="1" ht="12" customHeight="1">
      <c r="A9" s="15" t="s">
        <v>25</v>
      </c>
      <c r="B9" s="55" t="s">
        <v>26</v>
      </c>
      <c r="C9" s="55"/>
      <c r="D9" s="55"/>
      <c r="H9" s="16" t="s">
        <v>27</v>
      </c>
      <c r="I9" s="19"/>
      <c r="J9" s="16"/>
    </row>
    <row r="10" spans="1:11" ht="23.25" customHeight="1" thickBot="1">
      <c r="A10" s="42" t="s">
        <v>28</v>
      </c>
      <c r="B10" s="42"/>
      <c r="C10" s="42"/>
      <c r="D10" s="42"/>
      <c r="E10" s="42"/>
      <c r="F10" s="42"/>
      <c r="G10" s="42"/>
      <c r="H10" s="42"/>
      <c r="I10" s="42"/>
      <c r="J10" s="42"/>
      <c r="K10" s="20"/>
    </row>
    <row r="11" spans="1:11" ht="18.75" customHeight="1">
      <c r="A11" s="43" t="s">
        <v>4</v>
      </c>
      <c r="B11" s="45" t="s">
        <v>5</v>
      </c>
      <c r="C11" s="46"/>
      <c r="D11" s="47" t="s">
        <v>6</v>
      </c>
      <c r="E11" s="48"/>
      <c r="F11" s="48"/>
      <c r="G11" s="49"/>
      <c r="H11" s="50" t="s">
        <v>7</v>
      </c>
      <c r="I11" s="51"/>
      <c r="J11" s="52" t="s">
        <v>8</v>
      </c>
      <c r="K11" s="41" t="s">
        <v>52</v>
      </c>
    </row>
    <row r="12" spans="1:11" ht="18.75" customHeight="1" thickBot="1">
      <c r="A12" s="44"/>
      <c r="B12" s="21" t="s">
        <v>9</v>
      </c>
      <c r="C12" s="21" t="s">
        <v>10</v>
      </c>
      <c r="D12" s="21" t="s">
        <v>9</v>
      </c>
      <c r="E12" s="21" t="s">
        <v>10</v>
      </c>
      <c r="F12" s="21" t="s">
        <v>11</v>
      </c>
      <c r="G12" s="21" t="s">
        <v>53</v>
      </c>
      <c r="H12" s="21" t="s">
        <v>9</v>
      </c>
      <c r="I12" s="21" t="s">
        <v>10</v>
      </c>
      <c r="J12" s="53"/>
      <c r="K12" s="41"/>
    </row>
    <row r="13" spans="1:11" ht="30.75" customHeight="1">
      <c r="A13" s="22" t="s">
        <v>32</v>
      </c>
      <c r="B13" s="23">
        <v>12.5</v>
      </c>
      <c r="C13" s="23">
        <v>12.5</v>
      </c>
      <c r="D13" s="23"/>
      <c r="E13" s="23"/>
      <c r="F13" s="23"/>
      <c r="G13" s="23"/>
      <c r="H13" s="24">
        <f>B13</f>
        <v>12.5</v>
      </c>
      <c r="I13" s="24">
        <f>C13</f>
        <v>12.5</v>
      </c>
      <c r="J13" s="25">
        <f>SUM(H13:I13)</f>
        <v>25</v>
      </c>
    </row>
    <row r="14" spans="1:11" ht="13.5" customHeight="1">
      <c r="A14" s="27" t="s">
        <v>12</v>
      </c>
      <c r="B14" s="28">
        <v>12.5</v>
      </c>
      <c r="C14" s="28">
        <v>12.5</v>
      </c>
      <c r="D14" s="28"/>
      <c r="E14" s="28"/>
      <c r="F14" s="28"/>
      <c r="G14" s="28"/>
      <c r="H14" s="29">
        <f>H13-F14-D14+B14</f>
        <v>25</v>
      </c>
      <c r="I14" s="29">
        <f>I13-E14+C14</f>
        <v>25</v>
      </c>
      <c r="J14" s="30">
        <f>SUM(H14:I14)</f>
        <v>50</v>
      </c>
    </row>
    <row r="15" spans="1:11" ht="12" customHeight="1">
      <c r="A15" s="27" t="s">
        <v>51</v>
      </c>
      <c r="B15" s="28"/>
      <c r="C15" s="28"/>
      <c r="D15" s="28">
        <v>17</v>
      </c>
      <c r="E15" s="28">
        <v>12</v>
      </c>
      <c r="F15" s="28"/>
      <c r="G15" s="28"/>
      <c r="H15" s="29">
        <f t="shared" ref="H15:H24" si="0">H14-F15-D15+B15</f>
        <v>8</v>
      </c>
      <c r="I15" s="29">
        <f t="shared" ref="I15:I24" si="1">I14-E15+C15</f>
        <v>13</v>
      </c>
      <c r="J15" s="30">
        <f t="shared" ref="J15:J24" si="2">SUM(H15:I15)</f>
        <v>21</v>
      </c>
    </row>
    <row r="16" spans="1:11" ht="12.75" customHeight="1">
      <c r="A16" s="27" t="s">
        <v>13</v>
      </c>
      <c r="B16" s="28">
        <v>2.5</v>
      </c>
      <c r="C16" s="28">
        <v>2.5</v>
      </c>
      <c r="D16" s="28"/>
      <c r="E16" s="28"/>
      <c r="F16" s="28"/>
      <c r="G16" s="28"/>
      <c r="H16" s="29">
        <f t="shared" si="0"/>
        <v>10.5</v>
      </c>
      <c r="I16" s="29">
        <f t="shared" si="1"/>
        <v>15.5</v>
      </c>
      <c r="J16" s="30">
        <f t="shared" si="2"/>
        <v>26</v>
      </c>
    </row>
    <row r="17" spans="1:10" ht="12.75" customHeight="1">
      <c r="A17" s="27" t="s">
        <v>75</v>
      </c>
      <c r="B17" s="28"/>
      <c r="C17" s="28"/>
      <c r="D17" s="28"/>
      <c r="E17" s="28"/>
      <c r="F17" s="28">
        <v>5</v>
      </c>
      <c r="G17" s="28"/>
      <c r="H17" s="29">
        <f>H16-F17-D17+B17</f>
        <v>5.5</v>
      </c>
      <c r="I17" s="29">
        <f>I16-E17+C17</f>
        <v>15.5</v>
      </c>
      <c r="J17" s="30">
        <f t="shared" si="2"/>
        <v>21</v>
      </c>
    </row>
    <row r="18" spans="1:10" ht="12" customHeight="1">
      <c r="A18" s="27" t="s">
        <v>14</v>
      </c>
      <c r="B18" s="28">
        <v>15</v>
      </c>
      <c r="C18" s="28">
        <v>15</v>
      </c>
      <c r="D18" s="28"/>
      <c r="E18" s="28"/>
      <c r="F18" s="28"/>
      <c r="G18" s="28"/>
      <c r="H18" s="29">
        <f>H17-F18-D18+B18</f>
        <v>20.5</v>
      </c>
      <c r="I18" s="29">
        <f>I17-E18+C18</f>
        <v>30.5</v>
      </c>
      <c r="J18" s="30">
        <f t="shared" si="2"/>
        <v>51</v>
      </c>
    </row>
    <row r="19" spans="1:10" ht="12" customHeight="1">
      <c r="A19" s="27" t="s">
        <v>50</v>
      </c>
      <c r="B19" s="28"/>
      <c r="C19" s="28"/>
      <c r="D19" s="28">
        <v>10</v>
      </c>
      <c r="E19" s="28"/>
      <c r="F19" s="28"/>
      <c r="G19" s="28"/>
      <c r="H19" s="29">
        <f>H18-F19-D19+B19</f>
        <v>10.5</v>
      </c>
      <c r="I19" s="29">
        <f>I18-E19+C19</f>
        <v>30.5</v>
      </c>
      <c r="J19" s="30">
        <f t="shared" si="2"/>
        <v>41</v>
      </c>
    </row>
    <row r="20" spans="1:10" ht="12" customHeight="1">
      <c r="A20" s="27" t="s">
        <v>15</v>
      </c>
      <c r="B20" s="28"/>
      <c r="C20" s="28"/>
      <c r="D20" s="28"/>
      <c r="E20" s="28"/>
      <c r="F20" s="28">
        <v>5</v>
      </c>
      <c r="G20" s="28"/>
      <c r="H20" s="29">
        <f t="shared" si="0"/>
        <v>5.5</v>
      </c>
      <c r="I20" s="29">
        <f t="shared" si="1"/>
        <v>30.5</v>
      </c>
      <c r="J20" s="30">
        <f t="shared" si="2"/>
        <v>36</v>
      </c>
    </row>
    <row r="21" spans="1:10" ht="12" customHeight="1">
      <c r="A21" s="27" t="s">
        <v>16</v>
      </c>
      <c r="B21" s="28">
        <v>15</v>
      </c>
      <c r="C21" s="28">
        <v>15</v>
      </c>
      <c r="D21" s="28"/>
      <c r="E21" s="28"/>
      <c r="F21" s="28"/>
      <c r="G21" s="28"/>
      <c r="H21" s="29">
        <f t="shared" si="0"/>
        <v>20.5</v>
      </c>
      <c r="I21" s="29">
        <f t="shared" si="1"/>
        <v>45.5</v>
      </c>
      <c r="J21" s="30">
        <f t="shared" si="2"/>
        <v>66</v>
      </c>
    </row>
    <row r="22" spans="1:10" ht="12" customHeight="1">
      <c r="A22" s="27" t="s">
        <v>76</v>
      </c>
      <c r="B22" s="28"/>
      <c r="C22" s="28"/>
      <c r="D22" s="28">
        <v>15</v>
      </c>
      <c r="E22" s="28">
        <v>14</v>
      </c>
      <c r="F22" s="28"/>
      <c r="G22" s="28"/>
      <c r="H22" s="29">
        <f t="shared" si="0"/>
        <v>5.5</v>
      </c>
      <c r="I22" s="29">
        <f t="shared" si="1"/>
        <v>31.5</v>
      </c>
      <c r="J22" s="30">
        <f t="shared" si="2"/>
        <v>37</v>
      </c>
    </row>
    <row r="23" spans="1:10" ht="12" customHeight="1">
      <c r="A23" s="27" t="s">
        <v>17</v>
      </c>
      <c r="B23" s="28"/>
      <c r="C23" s="28"/>
      <c r="D23" s="28"/>
      <c r="E23" s="28"/>
      <c r="F23" s="28">
        <v>5</v>
      </c>
      <c r="G23" s="28"/>
      <c r="H23" s="29">
        <f t="shared" si="0"/>
        <v>0.5</v>
      </c>
      <c r="I23" s="29">
        <f t="shared" si="1"/>
        <v>31.5</v>
      </c>
      <c r="J23" s="30">
        <f t="shared" si="2"/>
        <v>32</v>
      </c>
    </row>
    <row r="24" spans="1:10" ht="12" customHeight="1">
      <c r="A24" s="27" t="s">
        <v>77</v>
      </c>
      <c r="B24" s="28">
        <v>11.25</v>
      </c>
      <c r="C24" s="28">
        <v>11.25</v>
      </c>
      <c r="D24" s="28"/>
      <c r="E24" s="28"/>
      <c r="F24" s="28"/>
      <c r="G24" s="28"/>
      <c r="H24" s="29">
        <f t="shared" si="0"/>
        <v>11.75</v>
      </c>
      <c r="I24" s="29">
        <f t="shared" si="1"/>
        <v>42.75</v>
      </c>
      <c r="J24" s="30">
        <f t="shared" si="2"/>
        <v>54.5</v>
      </c>
    </row>
    <row r="25" spans="1:10" s="26" customFormat="1" ht="12" customHeight="1">
      <c r="A25" s="27" t="s">
        <v>18</v>
      </c>
      <c r="B25" s="28"/>
      <c r="C25" s="28"/>
      <c r="D25" s="28"/>
      <c r="E25" s="28"/>
      <c r="F25" s="28"/>
      <c r="G25" s="28">
        <v>1</v>
      </c>
      <c r="H25" s="29">
        <f t="shared" ref="H25:H54" si="3">H24-F25-D25+B25</f>
        <v>11.75</v>
      </c>
      <c r="I25" s="29">
        <f t="shared" ref="I25:I54" si="4">I24-E25+C25</f>
        <v>42.75</v>
      </c>
      <c r="J25" s="30">
        <f t="shared" ref="J25:J54" si="5">SUM(H25:I25)</f>
        <v>54.5</v>
      </c>
    </row>
    <row r="26" spans="1:10" s="26" customFormat="1" ht="12" customHeight="1">
      <c r="A26" s="27" t="s">
        <v>19</v>
      </c>
      <c r="B26" s="28"/>
      <c r="C26" s="28"/>
      <c r="D26" s="28">
        <v>5</v>
      </c>
      <c r="E26" s="28">
        <v>24</v>
      </c>
      <c r="F26" s="28"/>
      <c r="G26" s="28"/>
      <c r="H26" s="29">
        <f t="shared" si="3"/>
        <v>6.75</v>
      </c>
      <c r="I26" s="29">
        <f t="shared" si="4"/>
        <v>18.75</v>
      </c>
      <c r="J26" s="30">
        <f t="shared" si="5"/>
        <v>25.5</v>
      </c>
    </row>
    <row r="27" spans="1:10" s="26" customFormat="1" ht="12" customHeight="1">
      <c r="A27" s="27" t="s">
        <v>20</v>
      </c>
      <c r="B27" s="28">
        <v>1.25</v>
      </c>
      <c r="C27" s="28">
        <v>1.25</v>
      </c>
      <c r="D27" s="28"/>
      <c r="E27" s="28"/>
      <c r="F27" s="28"/>
      <c r="G27" s="28"/>
      <c r="H27" s="29">
        <f t="shared" si="3"/>
        <v>8</v>
      </c>
      <c r="I27" s="29">
        <f t="shared" si="4"/>
        <v>20</v>
      </c>
      <c r="J27" s="30">
        <f t="shared" si="5"/>
        <v>28</v>
      </c>
    </row>
    <row r="28" spans="1:10" s="26" customFormat="1" ht="12" customHeight="1">
      <c r="A28" s="27" t="s">
        <v>21</v>
      </c>
      <c r="B28" s="28"/>
      <c r="C28" s="28"/>
      <c r="D28" s="28"/>
      <c r="E28" s="28"/>
      <c r="F28" s="28"/>
      <c r="G28" s="28">
        <v>1</v>
      </c>
      <c r="H28" s="29">
        <f t="shared" si="3"/>
        <v>8</v>
      </c>
      <c r="I28" s="29">
        <f t="shared" si="4"/>
        <v>20</v>
      </c>
      <c r="J28" s="30">
        <f t="shared" si="5"/>
        <v>28</v>
      </c>
    </row>
    <row r="29" spans="1:10" s="26" customFormat="1" ht="29.25" customHeight="1">
      <c r="A29" s="31" t="s">
        <v>29</v>
      </c>
      <c r="B29" s="28">
        <v>1.25</v>
      </c>
      <c r="C29" s="28">
        <v>1.25</v>
      </c>
      <c r="D29" s="28"/>
      <c r="E29" s="28"/>
      <c r="F29" s="28"/>
      <c r="G29" s="28"/>
      <c r="H29" s="29">
        <f t="shared" si="3"/>
        <v>9.25</v>
      </c>
      <c r="I29" s="29">
        <f t="shared" si="4"/>
        <v>21.25</v>
      </c>
      <c r="J29" s="30">
        <f t="shared" si="5"/>
        <v>30.5</v>
      </c>
    </row>
    <row r="30" spans="1:10" s="26" customFormat="1" ht="12" customHeight="1">
      <c r="A30" s="32" t="s">
        <v>30</v>
      </c>
      <c r="B30" s="28"/>
      <c r="C30" s="28"/>
      <c r="D30" s="28"/>
      <c r="E30" s="28"/>
      <c r="F30" s="28">
        <v>2</v>
      </c>
      <c r="G30" s="28"/>
      <c r="H30" s="29">
        <f t="shared" si="3"/>
        <v>7.25</v>
      </c>
      <c r="I30" s="29">
        <f t="shared" si="4"/>
        <v>21.25</v>
      </c>
      <c r="J30" s="30">
        <f t="shared" si="5"/>
        <v>28.5</v>
      </c>
    </row>
    <row r="31" spans="1:10" s="26" customFormat="1" ht="13.5" customHeight="1">
      <c r="A31" s="32" t="s">
        <v>31</v>
      </c>
      <c r="B31" s="28"/>
      <c r="C31" s="28"/>
      <c r="D31" s="28"/>
      <c r="E31" s="28"/>
      <c r="F31" s="28">
        <v>3</v>
      </c>
      <c r="G31" s="28"/>
      <c r="H31" s="29">
        <f t="shared" si="3"/>
        <v>4.25</v>
      </c>
      <c r="I31" s="29">
        <f t="shared" si="4"/>
        <v>21.25</v>
      </c>
      <c r="J31" s="30">
        <f t="shared" si="5"/>
        <v>25.5</v>
      </c>
    </row>
    <row r="32" spans="1:10" ht="12" customHeight="1">
      <c r="A32" s="27" t="s">
        <v>33</v>
      </c>
      <c r="B32" s="28">
        <v>1.25</v>
      </c>
      <c r="C32" s="28">
        <v>1.25</v>
      </c>
      <c r="D32" s="28"/>
      <c r="E32" s="28"/>
      <c r="F32" s="28"/>
      <c r="G32" s="28"/>
      <c r="H32" s="29">
        <f t="shared" si="3"/>
        <v>5.5</v>
      </c>
      <c r="I32" s="29">
        <f t="shared" si="4"/>
        <v>22.5</v>
      </c>
      <c r="J32" s="30">
        <f t="shared" si="5"/>
        <v>28</v>
      </c>
    </row>
    <row r="33" spans="1:11" ht="12" customHeight="1">
      <c r="A33" s="27" t="s">
        <v>34</v>
      </c>
      <c r="B33" s="28">
        <v>2.5</v>
      </c>
      <c r="C33" s="28">
        <v>2.5</v>
      </c>
      <c r="D33" s="28"/>
      <c r="E33" s="28"/>
      <c r="F33" s="28"/>
      <c r="G33" s="28"/>
      <c r="H33" s="29">
        <f t="shared" si="3"/>
        <v>8</v>
      </c>
      <c r="I33" s="29">
        <f t="shared" si="4"/>
        <v>25</v>
      </c>
      <c r="J33" s="30">
        <f t="shared" si="5"/>
        <v>33</v>
      </c>
    </row>
    <row r="34" spans="1:11" ht="14.25" customHeight="1">
      <c r="A34" s="27" t="s">
        <v>35</v>
      </c>
      <c r="B34" s="28"/>
      <c r="C34" s="28"/>
      <c r="D34" s="28"/>
      <c r="E34" s="28"/>
      <c r="F34" s="28"/>
      <c r="G34" s="28">
        <v>1</v>
      </c>
      <c r="H34" s="29">
        <f t="shared" si="3"/>
        <v>8</v>
      </c>
      <c r="I34" s="29">
        <f t="shared" si="4"/>
        <v>25</v>
      </c>
      <c r="J34" s="30">
        <f t="shared" si="5"/>
        <v>33</v>
      </c>
    </row>
    <row r="35" spans="1:11" ht="12" customHeight="1">
      <c r="A35" s="27" t="s">
        <v>36</v>
      </c>
      <c r="B35" s="28"/>
      <c r="C35" s="28"/>
      <c r="D35" s="28"/>
      <c r="E35" s="28"/>
      <c r="F35" s="28"/>
      <c r="G35" s="28">
        <v>1</v>
      </c>
      <c r="H35" s="29">
        <f t="shared" si="3"/>
        <v>8</v>
      </c>
      <c r="I35" s="29">
        <f t="shared" si="4"/>
        <v>25</v>
      </c>
      <c r="J35" s="30">
        <f t="shared" si="5"/>
        <v>33</v>
      </c>
    </row>
    <row r="36" spans="1:11" ht="12" customHeight="1">
      <c r="A36" s="27" t="s">
        <v>37</v>
      </c>
      <c r="B36" s="28">
        <v>1.25</v>
      </c>
      <c r="C36" s="28">
        <v>1.25</v>
      </c>
      <c r="D36" s="28"/>
      <c r="E36" s="28"/>
      <c r="F36" s="28"/>
      <c r="G36" s="28"/>
      <c r="H36" s="29">
        <f t="shared" si="3"/>
        <v>9.25</v>
      </c>
      <c r="I36" s="29">
        <f t="shared" si="4"/>
        <v>26.25</v>
      </c>
      <c r="J36" s="30">
        <f t="shared" si="5"/>
        <v>35.5</v>
      </c>
    </row>
    <row r="37" spans="1:11" ht="12" customHeight="1">
      <c r="A37" s="27" t="s">
        <v>38</v>
      </c>
      <c r="B37" s="28"/>
      <c r="C37" s="28"/>
      <c r="D37" s="28"/>
      <c r="E37" s="28"/>
      <c r="F37" s="28"/>
      <c r="G37" s="28">
        <v>1</v>
      </c>
      <c r="H37" s="29">
        <f t="shared" si="3"/>
        <v>9.25</v>
      </c>
      <c r="I37" s="29">
        <f t="shared" si="4"/>
        <v>26.25</v>
      </c>
      <c r="J37" s="30">
        <f t="shared" si="5"/>
        <v>35.5</v>
      </c>
    </row>
    <row r="38" spans="1:11" s="34" customFormat="1" ht="12" customHeight="1">
      <c r="A38" s="27" t="s">
        <v>39</v>
      </c>
      <c r="B38" s="28">
        <v>3.75</v>
      </c>
      <c r="C38" s="28">
        <v>3.75</v>
      </c>
      <c r="D38" s="28"/>
      <c r="E38" s="28"/>
      <c r="F38" s="28"/>
      <c r="G38" s="28"/>
      <c r="H38" s="29">
        <f t="shared" si="3"/>
        <v>13</v>
      </c>
      <c r="I38" s="29">
        <f t="shared" si="4"/>
        <v>30</v>
      </c>
      <c r="J38" s="30">
        <f t="shared" si="5"/>
        <v>43</v>
      </c>
      <c r="K38" s="33"/>
    </row>
    <row r="39" spans="1:11" s="34" customFormat="1" ht="12" customHeight="1">
      <c r="A39" s="27" t="s">
        <v>40</v>
      </c>
      <c r="B39" s="28"/>
      <c r="C39" s="28"/>
      <c r="D39" s="28"/>
      <c r="E39" s="28"/>
      <c r="F39" s="28">
        <v>1</v>
      </c>
      <c r="G39" s="28"/>
      <c r="H39" s="29">
        <f t="shared" si="3"/>
        <v>12</v>
      </c>
      <c r="I39" s="29">
        <f t="shared" si="4"/>
        <v>30</v>
      </c>
      <c r="J39" s="30">
        <f t="shared" si="5"/>
        <v>42</v>
      </c>
      <c r="K39" s="33"/>
    </row>
    <row r="40" spans="1:11" s="34" customFormat="1" ht="12.75" customHeight="1">
      <c r="A40" s="27" t="s">
        <v>43</v>
      </c>
      <c r="B40" s="28">
        <v>2.5</v>
      </c>
      <c r="C40" s="28">
        <v>2.5</v>
      </c>
      <c r="D40" s="28"/>
      <c r="E40" s="28"/>
      <c r="F40" s="28"/>
      <c r="G40" s="28"/>
      <c r="H40" s="29">
        <f t="shared" si="3"/>
        <v>14.5</v>
      </c>
      <c r="I40" s="29">
        <f t="shared" si="4"/>
        <v>32.5</v>
      </c>
      <c r="J40" s="30">
        <f t="shared" si="5"/>
        <v>47</v>
      </c>
      <c r="K40" s="33"/>
    </row>
    <row r="41" spans="1:11" ht="12" customHeight="1">
      <c r="A41" s="27" t="s">
        <v>42</v>
      </c>
      <c r="B41" s="28"/>
      <c r="C41" s="28"/>
      <c r="D41" s="28">
        <v>10</v>
      </c>
      <c r="E41" s="28"/>
      <c r="F41" s="28"/>
      <c r="G41" s="28"/>
      <c r="H41" s="29">
        <f t="shared" si="3"/>
        <v>4.5</v>
      </c>
      <c r="I41" s="29">
        <f t="shared" si="4"/>
        <v>32.5</v>
      </c>
      <c r="J41" s="30">
        <f t="shared" si="5"/>
        <v>37</v>
      </c>
    </row>
    <row r="42" spans="1:11" ht="15.75" customHeight="1">
      <c r="A42" s="27" t="s">
        <v>44</v>
      </c>
      <c r="B42" s="28">
        <v>5</v>
      </c>
      <c r="C42" s="28">
        <v>5</v>
      </c>
      <c r="D42" s="28"/>
      <c r="E42" s="28"/>
      <c r="F42" s="28"/>
      <c r="G42" s="28"/>
      <c r="H42" s="29">
        <f t="shared" si="3"/>
        <v>9.5</v>
      </c>
      <c r="I42" s="29">
        <f t="shared" si="4"/>
        <v>37.5</v>
      </c>
      <c r="J42" s="30">
        <f t="shared" si="5"/>
        <v>47</v>
      </c>
    </row>
    <row r="43" spans="1:11" s="34" customFormat="1" ht="16.5" customHeight="1">
      <c r="A43" s="27" t="s">
        <v>47</v>
      </c>
      <c r="B43" s="28"/>
      <c r="C43" s="28"/>
      <c r="D43" s="28"/>
      <c r="E43" s="28"/>
      <c r="F43" s="28">
        <v>4</v>
      </c>
      <c r="G43" s="28"/>
      <c r="H43" s="29">
        <f t="shared" si="3"/>
        <v>5.5</v>
      </c>
      <c r="I43" s="29">
        <f t="shared" si="4"/>
        <v>37.5</v>
      </c>
      <c r="J43" s="30">
        <f t="shared" si="5"/>
        <v>43</v>
      </c>
      <c r="K43" s="33"/>
    </row>
    <row r="44" spans="1:11" s="34" customFormat="1" ht="12" customHeight="1">
      <c r="A44" s="27" t="s">
        <v>45</v>
      </c>
      <c r="B44" s="28">
        <v>5</v>
      </c>
      <c r="C44" s="28">
        <v>5</v>
      </c>
      <c r="D44" s="28"/>
      <c r="E44" s="28"/>
      <c r="F44" s="28" t="s">
        <v>41</v>
      </c>
      <c r="G44" s="28"/>
      <c r="H44" s="29">
        <v>10.5</v>
      </c>
      <c r="I44" s="29">
        <f t="shared" si="4"/>
        <v>42.5</v>
      </c>
      <c r="J44" s="30">
        <f t="shared" si="5"/>
        <v>53</v>
      </c>
      <c r="K44" s="33"/>
    </row>
    <row r="45" spans="1:11" ht="12" customHeight="1">
      <c r="A45" s="27" t="s">
        <v>46</v>
      </c>
      <c r="B45" s="28"/>
      <c r="C45" s="28"/>
      <c r="D45" s="28"/>
      <c r="E45" s="28"/>
      <c r="F45" s="28"/>
      <c r="G45" s="28">
        <v>1</v>
      </c>
      <c r="H45" s="29">
        <f t="shared" si="3"/>
        <v>10.5</v>
      </c>
      <c r="I45" s="29">
        <f t="shared" si="4"/>
        <v>42.5</v>
      </c>
      <c r="J45" s="30">
        <f t="shared" si="5"/>
        <v>53</v>
      </c>
    </row>
    <row r="46" spans="1:11" ht="16.5" customHeight="1">
      <c r="A46" s="27" t="s">
        <v>48</v>
      </c>
      <c r="B46" s="28">
        <v>7.5</v>
      </c>
      <c r="C46" s="28">
        <v>7.5</v>
      </c>
      <c r="D46" s="28"/>
      <c r="E46" s="28"/>
      <c r="F46" s="28"/>
      <c r="G46" s="28"/>
      <c r="H46" s="29">
        <f t="shared" si="3"/>
        <v>18</v>
      </c>
      <c r="I46" s="29">
        <f t="shared" si="4"/>
        <v>50</v>
      </c>
      <c r="J46" s="30">
        <f t="shared" si="5"/>
        <v>68</v>
      </c>
    </row>
    <row r="47" spans="1:11" ht="12" customHeight="1">
      <c r="A47" s="27" t="s">
        <v>49</v>
      </c>
      <c r="B47" s="28"/>
      <c r="C47" s="28"/>
      <c r="D47" s="28"/>
      <c r="E47" s="28"/>
      <c r="F47" s="28">
        <v>1</v>
      </c>
      <c r="G47" s="28"/>
      <c r="H47" s="29">
        <f t="shared" si="3"/>
        <v>17</v>
      </c>
      <c r="I47" s="29">
        <f t="shared" si="4"/>
        <v>50</v>
      </c>
      <c r="J47" s="30">
        <f t="shared" si="5"/>
        <v>67</v>
      </c>
    </row>
    <row r="48" spans="1:11" s="26" customFormat="1" ht="12" customHeight="1">
      <c r="A48" s="27" t="s">
        <v>68</v>
      </c>
      <c r="B48" s="28">
        <v>1.25</v>
      </c>
      <c r="C48" s="28">
        <v>1.25</v>
      </c>
      <c r="D48" s="28"/>
      <c r="E48" s="28"/>
      <c r="F48" s="28"/>
      <c r="G48" s="35"/>
      <c r="H48" s="29">
        <f t="shared" si="3"/>
        <v>18.25</v>
      </c>
      <c r="I48" s="29">
        <f t="shared" si="4"/>
        <v>51.25</v>
      </c>
      <c r="J48" s="30">
        <f t="shared" si="5"/>
        <v>69.5</v>
      </c>
    </row>
    <row r="49" spans="1:10" s="26" customFormat="1" ht="12" customHeight="1">
      <c r="A49" s="27" t="s">
        <v>69</v>
      </c>
      <c r="B49" s="28"/>
      <c r="C49" s="28"/>
      <c r="D49" s="28"/>
      <c r="E49" s="28"/>
      <c r="F49" s="28">
        <v>4</v>
      </c>
      <c r="G49" s="35"/>
      <c r="H49" s="29">
        <f t="shared" si="3"/>
        <v>14.25</v>
      </c>
      <c r="I49" s="29">
        <f t="shared" si="4"/>
        <v>51.25</v>
      </c>
      <c r="J49" s="30">
        <f t="shared" si="5"/>
        <v>65.5</v>
      </c>
    </row>
    <row r="50" spans="1:10" s="26" customFormat="1" ht="12" customHeight="1">
      <c r="A50" s="36" t="s">
        <v>70</v>
      </c>
      <c r="B50" s="35"/>
      <c r="C50" s="35"/>
      <c r="D50" s="35"/>
      <c r="E50" s="35"/>
      <c r="F50" s="35"/>
      <c r="G50" s="35">
        <v>2</v>
      </c>
      <c r="H50" s="29">
        <f t="shared" si="3"/>
        <v>14.25</v>
      </c>
      <c r="I50" s="29">
        <f t="shared" si="4"/>
        <v>51.25</v>
      </c>
      <c r="J50" s="30">
        <f t="shared" si="5"/>
        <v>65.5</v>
      </c>
    </row>
    <row r="51" spans="1:10" s="26" customFormat="1" ht="12" customHeight="1">
      <c r="A51" s="27" t="s">
        <v>71</v>
      </c>
      <c r="B51" s="35">
        <v>1.25</v>
      </c>
      <c r="C51" s="35">
        <v>1.25</v>
      </c>
      <c r="D51" s="35"/>
      <c r="E51" s="35"/>
      <c r="F51" s="35"/>
      <c r="G51" s="35"/>
      <c r="H51" s="29">
        <f t="shared" si="3"/>
        <v>15.5</v>
      </c>
      <c r="I51" s="29">
        <f t="shared" si="4"/>
        <v>52.5</v>
      </c>
      <c r="J51" s="30">
        <f t="shared" si="5"/>
        <v>68</v>
      </c>
    </row>
    <row r="52" spans="1:10" s="26" customFormat="1" ht="14.25" customHeight="1">
      <c r="A52" s="37" t="s">
        <v>72</v>
      </c>
      <c r="B52" s="35">
        <v>3.75</v>
      </c>
      <c r="C52" s="35">
        <v>3.75</v>
      </c>
      <c r="D52" s="35"/>
      <c r="E52" s="35"/>
      <c r="F52" s="35"/>
      <c r="G52" s="35"/>
      <c r="H52" s="29">
        <f t="shared" si="3"/>
        <v>19.25</v>
      </c>
      <c r="I52" s="29">
        <f t="shared" si="4"/>
        <v>56.25</v>
      </c>
      <c r="J52" s="30">
        <f t="shared" si="5"/>
        <v>75.5</v>
      </c>
    </row>
    <row r="53" spans="1:10" s="26" customFormat="1" ht="12" customHeight="1">
      <c r="A53" s="38" t="s">
        <v>73</v>
      </c>
      <c r="B53" s="28"/>
      <c r="C53" s="28"/>
      <c r="D53" s="28">
        <v>10</v>
      </c>
      <c r="E53" s="28"/>
      <c r="F53" s="28"/>
      <c r="G53" s="28"/>
      <c r="H53" s="29">
        <f t="shared" si="3"/>
        <v>9.25</v>
      </c>
      <c r="I53" s="29">
        <f t="shared" si="4"/>
        <v>56.25</v>
      </c>
      <c r="J53" s="30">
        <f t="shared" si="5"/>
        <v>65.5</v>
      </c>
    </row>
    <row r="54" spans="1:10" s="26" customFormat="1" ht="15.75" customHeight="1">
      <c r="A54" s="38" t="s">
        <v>74</v>
      </c>
      <c r="B54" s="28"/>
      <c r="C54" s="28"/>
      <c r="D54" s="28"/>
      <c r="E54" s="28"/>
      <c r="F54" s="28">
        <v>1</v>
      </c>
      <c r="G54" s="28"/>
      <c r="H54" s="29">
        <f t="shared" si="3"/>
        <v>8.25</v>
      </c>
      <c r="I54" s="29">
        <f t="shared" si="4"/>
        <v>56.25</v>
      </c>
      <c r="J54" s="30">
        <f t="shared" si="5"/>
        <v>64.5</v>
      </c>
    </row>
    <row r="55" spans="1:10" s="26" customFormat="1" ht="14.25" customHeight="1">
      <c r="A55" s="39"/>
      <c r="B55" s="39"/>
      <c r="C55" s="39"/>
      <c r="D55" s="39"/>
      <c r="E55" s="28"/>
      <c r="F55" s="28"/>
      <c r="G55" s="28"/>
      <c r="H55" s="28"/>
      <c r="I55" s="28"/>
      <c r="J55" s="28"/>
    </row>
    <row r="59" spans="1:10" s="26" customFormat="1">
      <c r="A59" s="20"/>
      <c r="B59" s="20"/>
      <c r="C59" s="20"/>
      <c r="D59" s="20"/>
      <c r="E59" s="20"/>
      <c r="F59" s="40" t="s">
        <v>54</v>
      </c>
      <c r="G59" s="40"/>
      <c r="H59" s="20"/>
      <c r="I59" s="20"/>
      <c r="J59" s="20"/>
    </row>
  </sheetData>
  <mergeCells count="13">
    <mergeCell ref="B9:D9"/>
    <mergeCell ref="A2:J2"/>
    <mergeCell ref="A3:J3"/>
    <mergeCell ref="A4:J4"/>
    <mergeCell ref="A5:J5"/>
    <mergeCell ref="B7:D7"/>
    <mergeCell ref="K11:K12"/>
    <mergeCell ref="A10:J10"/>
    <mergeCell ref="A11:A12"/>
    <mergeCell ref="B11:C11"/>
    <mergeCell ref="D11:G11"/>
    <mergeCell ref="H11:I11"/>
    <mergeCell ref="J11:J12"/>
  </mergeCells>
  <printOptions horizontalCentered="1"/>
  <pageMargins left="0.23622047244094491" right="0.23622047244094491" top="0.11811023622047245" bottom="0.11811023622047245" header="0.31496062992125984" footer="0.31496062992125984"/>
  <pageSetup paperSize="9" scale="71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Leave Card (NE)</vt:lpstr>
      <vt:lpstr>CTO (2)</vt:lpstr>
      <vt:lpstr>WRONG COMPUTATION</vt:lpstr>
      <vt:lpstr>'Leave Card (NE)'!Print_Area</vt:lpstr>
      <vt:lpstr>'WRONG COMPUTATION'!Print_Area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2025-08-19T00:11:48Z</cp:lastPrinted>
  <dcterms:created xsi:type="dcterms:W3CDTF">2021-10-07T06:10:00Z</dcterms:created>
  <dcterms:modified xsi:type="dcterms:W3CDTF">2025-08-19T00:21:16Z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73E957048FF147A89E3FDB4ACBFB17AF</vt:lpwstr>
  </property>
  <property fmtid="{D5CDD505-2E9C-101B-9397-08002B2CF9AE}" pid="3" name="KSOProductBuildVer">
    <vt:lpwstr>1033-11.2.0.11341</vt:lpwstr>
  </property>
</Properties>
</file>