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087AEB15-5081-4A4B-90A1-C0F861BC8839}" xr6:coauthVersionLast="47" xr6:coauthVersionMax="47" xr10:uidLastSave="{00000000-0000-0000-0000-000000000000}"/>
  <bookViews>
    <workbookView xWindow="0" yWindow="0" windowWidth="28800" windowHeight="15480" xr2:uid="{00000000-000D-0000-FFFF-FFFF00000000}"/>
  </bookViews>
  <sheets>
    <sheet name="Leave Card (NE) (2)" sheetId="11" r:id="rId1"/>
    <sheet name="CTO" sheetId="10" r:id="rId2"/>
    <sheet name="Other types of leave" sheetId="9" r:id="rId3"/>
  </sheets>
  <definedNames>
    <definedName name="_xlnm.Print_Area" localSheetId="0">'Leave Card (NE) (2)'!$A$1:$J$119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0" i="11" l="1"/>
  <c r="I110" i="11"/>
  <c r="J110" i="11"/>
  <c r="H108" i="11"/>
  <c r="I108" i="11"/>
  <c r="I109" i="11" s="1"/>
  <c r="J108" i="11"/>
  <c r="H109" i="11"/>
  <c r="J109" i="11" l="1"/>
  <c r="I13" i="11"/>
  <c r="I14" i="11" s="1"/>
  <c r="I15" i="11" s="1"/>
  <c r="I16" i="11" s="1"/>
  <c r="I17" i="11" s="1"/>
  <c r="I18" i="11" s="1"/>
  <c r="I19" i="11" s="1"/>
  <c r="I20" i="11" s="1"/>
  <c r="I21" i="11" s="1"/>
  <c r="I22" i="11" s="1"/>
  <c r="I23" i="11" s="1"/>
  <c r="I24" i="11" s="1"/>
  <c r="I25" i="11" s="1"/>
  <c r="I26" i="11" s="1"/>
  <c r="I27" i="11" s="1"/>
  <c r="I28" i="11" s="1"/>
  <c r="I29" i="11" s="1"/>
  <c r="I30" i="11" s="1"/>
  <c r="I31" i="11" s="1"/>
  <c r="I32" i="11" s="1"/>
  <c r="I33" i="11" s="1"/>
  <c r="I34" i="11" s="1"/>
  <c r="I35" i="11" s="1"/>
  <c r="I36" i="11" s="1"/>
  <c r="I37" i="11" s="1"/>
  <c r="I38" i="11" s="1"/>
  <c r="I39" i="11" s="1"/>
  <c r="I40" i="11" s="1"/>
  <c r="I41" i="11" s="1"/>
  <c r="I42" i="11" s="1"/>
  <c r="I43" i="11" s="1"/>
  <c r="I44" i="11" s="1"/>
  <c r="I45" i="11" s="1"/>
  <c r="I46" i="11" s="1"/>
  <c r="I47" i="11" s="1"/>
  <c r="I48" i="11" s="1"/>
  <c r="I49" i="11" s="1"/>
  <c r="I50" i="11" s="1"/>
  <c r="I51" i="11" s="1"/>
  <c r="I52" i="11" s="1"/>
  <c r="I53" i="11" s="1"/>
  <c r="I54" i="11" s="1"/>
  <c r="I55" i="11" s="1"/>
  <c r="I56" i="11" s="1"/>
  <c r="I57" i="11" s="1"/>
  <c r="I58" i="11" s="1"/>
  <c r="I59" i="11" s="1"/>
  <c r="I60" i="11" s="1"/>
  <c r="I61" i="11" s="1"/>
  <c r="I62" i="11" s="1"/>
  <c r="I63" i="11" s="1"/>
  <c r="I64" i="11" s="1"/>
  <c r="I65" i="11" s="1"/>
  <c r="I66" i="11" s="1"/>
  <c r="I67" i="11" s="1"/>
  <c r="I68" i="11" s="1"/>
  <c r="I69" i="11" s="1"/>
  <c r="I70" i="11" s="1"/>
  <c r="I71" i="11" s="1"/>
  <c r="I72" i="11" s="1"/>
  <c r="I73" i="11" s="1"/>
  <c r="I74" i="11" s="1"/>
  <c r="I75" i="11" s="1"/>
  <c r="I76" i="11" s="1"/>
  <c r="I77" i="11" s="1"/>
  <c r="I78" i="11" s="1"/>
  <c r="I79" i="11" s="1"/>
  <c r="I80" i="11" s="1"/>
  <c r="I81" i="11" s="1"/>
  <c r="I82" i="11" s="1"/>
  <c r="I83" i="11" s="1"/>
  <c r="I84" i="11" s="1"/>
  <c r="I85" i="11" s="1"/>
  <c r="I86" i="11" s="1"/>
  <c r="I87" i="11" s="1"/>
  <c r="I88" i="11" s="1"/>
  <c r="I89" i="11" s="1"/>
  <c r="I90" i="11" s="1"/>
  <c r="I91" i="11" s="1"/>
  <c r="I92" i="11" s="1"/>
  <c r="I93" i="11" s="1"/>
  <c r="I94" i="11" s="1"/>
  <c r="I95" i="11" s="1"/>
  <c r="I96" i="11" s="1"/>
  <c r="I97" i="11" s="1"/>
  <c r="I98" i="11" s="1"/>
  <c r="I99" i="11" s="1"/>
  <c r="I100" i="11" s="1"/>
  <c r="I101" i="11" s="1"/>
  <c r="I102" i="11" s="1"/>
  <c r="I103" i="11" s="1"/>
  <c r="I104" i="11" s="1"/>
  <c r="I105" i="11" s="1"/>
  <c r="I106" i="11" s="1"/>
  <c r="I107" i="11" s="1"/>
  <c r="H13" i="11"/>
  <c r="J13" i="11" l="1"/>
  <c r="H14" i="11"/>
  <c r="H15" i="11" s="1"/>
  <c r="J15" i="11" l="1"/>
  <c r="H16" i="11"/>
  <c r="J14" i="11"/>
  <c r="H17" i="11" l="1"/>
  <c r="J16" i="11"/>
  <c r="J17" i="11" l="1"/>
  <c r="H18" i="11"/>
  <c r="H19" i="11" l="1"/>
  <c r="J18" i="11"/>
  <c r="H20" i="11" l="1"/>
  <c r="J19" i="11"/>
  <c r="H21" i="11" l="1"/>
  <c r="J20" i="11"/>
  <c r="J21" i="11" l="1"/>
  <c r="H22" i="11"/>
  <c r="J22" i="11" l="1"/>
  <c r="H23" i="11"/>
  <c r="J23" i="11" l="1"/>
  <c r="H24" i="11"/>
  <c r="H25" i="11" l="1"/>
  <c r="J24" i="11"/>
  <c r="H26" i="11" l="1"/>
  <c r="J25" i="11"/>
  <c r="H27" i="11" l="1"/>
  <c r="J26" i="11"/>
  <c r="J27" i="11" l="1"/>
  <c r="H28" i="11"/>
  <c r="J28" i="11" l="1"/>
  <c r="H29" i="11"/>
  <c r="J29" i="11" l="1"/>
  <c r="H30" i="11"/>
  <c r="J30" i="11" l="1"/>
  <c r="H31" i="11"/>
  <c r="J31" i="11" l="1"/>
  <c r="H32" i="11"/>
  <c r="J32" i="11" l="1"/>
  <c r="H33" i="11"/>
  <c r="J33" i="11" l="1"/>
  <c r="H34" i="11"/>
  <c r="J34" i="11" l="1"/>
  <c r="H35" i="11"/>
  <c r="J35" i="11" l="1"/>
  <c r="H36" i="11"/>
  <c r="J36" i="11" l="1"/>
  <c r="H37" i="11"/>
  <c r="J37" i="11" l="1"/>
  <c r="H38" i="11"/>
  <c r="J38" i="11" l="1"/>
  <c r="H39" i="11"/>
  <c r="J39" i="11" l="1"/>
  <c r="H40" i="11"/>
  <c r="H41" i="11" l="1"/>
  <c r="J40" i="11"/>
  <c r="J41" i="11" l="1"/>
  <c r="H42" i="11"/>
  <c r="H43" i="11" l="1"/>
  <c r="J42" i="11"/>
  <c r="H44" i="11" l="1"/>
  <c r="J43" i="11"/>
  <c r="J44" i="11" l="1"/>
  <c r="H45" i="11"/>
  <c r="H46" i="11" l="1"/>
  <c r="J45" i="11"/>
  <c r="H47" i="11" l="1"/>
  <c r="J46" i="11"/>
  <c r="H48" i="11" l="1"/>
  <c r="J47" i="11"/>
  <c r="H49" i="11" l="1"/>
  <c r="J48" i="11"/>
  <c r="H50" i="11" l="1"/>
  <c r="J49" i="11"/>
  <c r="H51" i="11" l="1"/>
  <c r="J50" i="11"/>
  <c r="J51" i="11" l="1"/>
  <c r="H52" i="11"/>
  <c r="H53" i="11" l="1"/>
  <c r="J52" i="11"/>
  <c r="H54" i="11" l="1"/>
  <c r="J53" i="11"/>
  <c r="H55" i="11" l="1"/>
  <c r="J54" i="11"/>
  <c r="J55" i="11" l="1"/>
  <c r="H56" i="11"/>
  <c r="H57" i="11" l="1"/>
  <c r="J56" i="11"/>
  <c r="J57" i="11" l="1"/>
  <c r="H58" i="11"/>
  <c r="J58" i="11" l="1"/>
  <c r="H59" i="11"/>
  <c r="H60" i="11" l="1"/>
  <c r="J59" i="11"/>
  <c r="H61" i="11" l="1"/>
  <c r="J60" i="11"/>
  <c r="H62" i="11" l="1"/>
  <c r="J61" i="11"/>
  <c r="J62" i="11" l="1"/>
  <c r="H63" i="11"/>
  <c r="J63" i="11" l="1"/>
  <c r="H64" i="11"/>
  <c r="H65" i="11" l="1"/>
  <c r="J64" i="11"/>
  <c r="J65" i="11" l="1"/>
  <c r="H66" i="11"/>
  <c r="H67" i="11" l="1"/>
  <c r="J66" i="11"/>
  <c r="H68" i="11" l="1"/>
  <c r="J67" i="11"/>
  <c r="H69" i="11" l="1"/>
  <c r="J68" i="11"/>
  <c r="H70" i="11" l="1"/>
  <c r="J69" i="11"/>
  <c r="J70" i="11" l="1"/>
  <c r="H71" i="11"/>
  <c r="J71" i="11" l="1"/>
  <c r="H72" i="11"/>
  <c r="J72" i="11" l="1"/>
  <c r="H73" i="11"/>
  <c r="H74" i="11" l="1"/>
  <c r="J73" i="11"/>
  <c r="J74" i="11" l="1"/>
  <c r="H75" i="11"/>
  <c r="J75" i="11" l="1"/>
  <c r="H76" i="11"/>
  <c r="H77" i="11" l="1"/>
  <c r="J76" i="11"/>
  <c r="H78" i="11" l="1"/>
  <c r="J77" i="11"/>
  <c r="J78" i="11" l="1"/>
  <c r="H79" i="11"/>
  <c r="H80" i="11" l="1"/>
  <c r="J79" i="11"/>
  <c r="H81" i="11" l="1"/>
  <c r="J80" i="11"/>
  <c r="H82" i="11" l="1"/>
  <c r="J81" i="11"/>
  <c r="J82" i="11" l="1"/>
  <c r="H83" i="11"/>
  <c r="J83" i="11" l="1"/>
  <c r="H84" i="11"/>
  <c r="H85" i="11" l="1"/>
  <c r="J84" i="11"/>
  <c r="H86" i="11" l="1"/>
  <c r="J85" i="11"/>
  <c r="J86" i="11" l="1"/>
  <c r="H87" i="11"/>
  <c r="H88" i="11" l="1"/>
  <c r="J87" i="11"/>
  <c r="J88" i="11" l="1"/>
  <c r="H89" i="11"/>
  <c r="H90" i="11" l="1"/>
  <c r="J89" i="11"/>
  <c r="J90" i="11" l="1"/>
  <c r="H91" i="11"/>
  <c r="J91" i="11" l="1"/>
  <c r="H92" i="11"/>
  <c r="H93" i="11" l="1"/>
  <c r="J92" i="11"/>
  <c r="J93" i="11" l="1"/>
  <c r="H94" i="11"/>
  <c r="H95" i="11" l="1"/>
  <c r="J94" i="11"/>
  <c r="H96" i="11" l="1"/>
  <c r="J95" i="11"/>
  <c r="H97" i="11" l="1"/>
  <c r="J96" i="11"/>
  <c r="J97" i="11" l="1"/>
  <c r="H98" i="11"/>
  <c r="J98" i="11" l="1"/>
  <c r="H99" i="11"/>
  <c r="J99" i="11" l="1"/>
  <c r="H100" i="11"/>
  <c r="H101" i="11" l="1"/>
  <c r="J100" i="11"/>
  <c r="J101" i="11" l="1"/>
  <c r="H102" i="11"/>
  <c r="H103" i="11" l="1"/>
  <c r="J102" i="11"/>
  <c r="J103" i="11" l="1"/>
  <c r="H104" i="11"/>
  <c r="H105" i="11" l="1"/>
  <c r="J104" i="11"/>
  <c r="J105" i="11" l="1"/>
  <c r="H106" i="11"/>
  <c r="J106" i="11" l="1"/>
  <c r="H107" i="11"/>
  <c r="J107" i="11" s="1"/>
</calcChain>
</file>

<file path=xl/sharedStrings.xml><?xml version="1.0" encoding="utf-8"?>
<sst xmlns="http://schemas.openxmlformats.org/spreadsheetml/2006/main" count="188" uniqueCount="162">
  <si>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</si>
  <si>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</si>
  <si>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</si>
  <si>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</si>
  <si>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</si>
  <si>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</si>
  <si>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</si>
  <si>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</si>
  <si>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</si>
  <si>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</si>
  <si>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</si>
  <si>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</si>
  <si>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</si>
  <si>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</si>
  <si>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</si>
  <si>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</si>
  <si>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</si>
  <si>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</si>
  <si>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</si>
  <si>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</si>
  <si>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</si>
  <si>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</si>
  <si>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</si>
  <si>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</si>
  <si>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</si>
  <si>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</si>
  <si>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</si>
  <si>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</si>
  <si>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</si>
  <si>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</si>
  <si>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</si>
  <si>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</si>
  <si>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</si>
  <si>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Name: _____________________________</t>
  </si>
  <si>
    <t>POSITION: __________________________</t>
  </si>
  <si>
    <t>DISTRICT: ___________________________</t>
  </si>
  <si>
    <t>SCHOOL/OFFICE:_____________________</t>
  </si>
  <si>
    <t>Certified Correct:</t>
  </si>
  <si>
    <t>MA. LUISA B. CATIGAN</t>
  </si>
  <si>
    <t>Administrative Officer IV</t>
  </si>
  <si>
    <t>HRMO</t>
  </si>
  <si>
    <t>ADD: 3/1/2018 - 12/31/2018</t>
  </si>
  <si>
    <t>ADD: 1/01/2019 - 12/31/2019</t>
  </si>
  <si>
    <t>LESS: FL 2019</t>
  </si>
  <si>
    <t>ADD: 1/01/2020 - 10/31/2020</t>
  </si>
  <si>
    <t>ADD: 11/01/2020 - 12/31/2020</t>
  </si>
  <si>
    <t>LESS: 1/4/2021</t>
  </si>
  <si>
    <t>LESS: FL 2021</t>
  </si>
  <si>
    <t>LESS: MONETIZATION 2020</t>
  </si>
  <si>
    <t>LESS: MONETIZATION 2021</t>
  </si>
  <si>
    <t>ADD: 10/01/21 - 12/31/21</t>
  </si>
  <si>
    <t>ADD: 01/01/22 - 06/30/22</t>
  </si>
  <si>
    <t>LESS: FL 2020</t>
  </si>
  <si>
    <t>ADD: 07/01/22 - 11/30/22</t>
  </si>
  <si>
    <t>LESS: 5/20/2022</t>
  </si>
  <si>
    <t>LESS: 12/21 &amp; 22/2022</t>
  </si>
  <si>
    <t>LESS: 12/26 &amp; 27/2022</t>
  </si>
  <si>
    <t>Special Order No. and Date Issued</t>
  </si>
  <si>
    <t>No. of Days Granted</t>
  </si>
  <si>
    <t>No. of Days Used</t>
  </si>
  <si>
    <t>Balance</t>
  </si>
  <si>
    <t>ADD: JAN 18, 2023</t>
  </si>
  <si>
    <t>S.O. # 001, S. 2023. 126TH ANNIVERSARY OF THE MARTYRDOM OF DR. JOSE P. RIZAL</t>
  </si>
  <si>
    <t>NOTE:  Valid for one (1) year only</t>
  </si>
  <si>
    <t>LESS: 02/10/23</t>
  </si>
  <si>
    <t>ADD: 12/01/22 - 12/31/22</t>
  </si>
  <si>
    <t>ADD: 01/01/23 - 01/31/23</t>
  </si>
  <si>
    <t>LESS: 02/24/23</t>
  </si>
  <si>
    <t>ADD: 02/01/23 - 03/31/23</t>
  </si>
  <si>
    <t>LESS: 04/13/23</t>
  </si>
  <si>
    <t>ADD: 04/01/23 - 04/30/23</t>
  </si>
  <si>
    <t>LESS: 05/03/23</t>
  </si>
  <si>
    <t>LESS: 05/11/23</t>
  </si>
  <si>
    <t>LESS: 05/25/23</t>
  </si>
  <si>
    <t>ADD: 05/01/23 - 05/31/23</t>
  </si>
  <si>
    <t>LESS: 06/08/2023</t>
  </si>
  <si>
    <t>ADD: 06/01/23 - 06/30/23</t>
  </si>
  <si>
    <t>LESS: 07/06/2023</t>
  </si>
  <si>
    <t>LESS: 08/03/2023</t>
  </si>
  <si>
    <t>ADD: 07/01/2023 - 08/31/2023</t>
  </si>
  <si>
    <t>LESS: 08/07/2023</t>
  </si>
  <si>
    <t>LESS: MONETIZATION 2023</t>
  </si>
  <si>
    <t>LESS: 09/14/2023</t>
  </si>
  <si>
    <t>ADD: 09/01/2023-12/31/2023</t>
  </si>
  <si>
    <t>LESS: 12/29/2023</t>
  </si>
  <si>
    <t>less: 01/11/2024</t>
  </si>
  <si>
    <t>LESS: 02/13/2024</t>
  </si>
  <si>
    <t>LESS: 03/04/24</t>
  </si>
  <si>
    <t>LESS: 03/12/24 (UNDERTIME)</t>
  </si>
  <si>
    <t>LESS: 03/13-15/24</t>
  </si>
  <si>
    <t>ADD: 01/01-31/2024 - 02/29/2024</t>
  </si>
  <si>
    <t>LESS: 03/27/2024 (UNDERTIME)</t>
  </si>
  <si>
    <t>ADD: 03/01-31/2024</t>
  </si>
  <si>
    <t>LESS: 04/05/2024</t>
  </si>
  <si>
    <t>LESS: 04/15/2024</t>
  </si>
  <si>
    <t>ADD: 04/1-30/2024</t>
  </si>
  <si>
    <t>LESS: 05/6-7/2024</t>
  </si>
  <si>
    <t>LESS: 06/3/2024</t>
  </si>
  <si>
    <t>LESS: 06/10/2024</t>
  </si>
  <si>
    <t>ADD: 06/1-30/2024</t>
  </si>
  <si>
    <t>LESS: 06/27/2024-07/12/2024</t>
  </si>
  <si>
    <t>LESS: MONETIZATION 2024</t>
  </si>
  <si>
    <t>ADD: 05/31/2024</t>
  </si>
  <si>
    <t>LESS: 08/14/2024</t>
  </si>
  <si>
    <t>LESS: 09/16/2024</t>
  </si>
  <si>
    <t>ADD: 08/1-31/2024</t>
  </si>
  <si>
    <t>LESS: 09/13/2024</t>
  </si>
  <si>
    <t>LESS: 09/23/2024</t>
  </si>
  <si>
    <t>ADD: 07/-31/2024</t>
  </si>
  <si>
    <t>ADD: 09/1-30/2024</t>
  </si>
  <si>
    <t>LESS: 10/4 &amp; 7/2024</t>
  </si>
  <si>
    <t>LESS: 11/4/2024</t>
  </si>
  <si>
    <t>ADD: 06/26/2024</t>
  </si>
  <si>
    <t>S.O. # 024, S. 2024. 126TH PHIL IND. DAY</t>
  </si>
  <si>
    <t>CTO</t>
  </si>
  <si>
    <t>ADD: 10/1-31/2024</t>
  </si>
  <si>
    <t>LESS: 11/18-19/2024</t>
  </si>
  <si>
    <t>LESS: 11/21-22/2024</t>
  </si>
  <si>
    <t>LESS: 11/29/2024</t>
  </si>
  <si>
    <t>ADD: 11/1-30/2024</t>
  </si>
  <si>
    <t>LESS: 12/9/2024</t>
  </si>
  <si>
    <t>LESS: 01/2-3/2025</t>
  </si>
  <si>
    <t>LESS: 12/17/2024 (UNDERTIME:PM)</t>
  </si>
  <si>
    <t>ADD: 12/1-31/2024</t>
  </si>
  <si>
    <t>LESS: 12/18, 19 &amp; 26/2024</t>
  </si>
  <si>
    <t>LESS: 01/23/2025</t>
  </si>
  <si>
    <t>ADD: 01/1-31/2025</t>
  </si>
  <si>
    <t>LESS: 02/7/2025</t>
  </si>
  <si>
    <t>LESS: 02/17/2025</t>
  </si>
  <si>
    <t>LESS: 02/19/2025</t>
  </si>
  <si>
    <t>ADD: 02/1-28/2025</t>
  </si>
  <si>
    <t>LESS: 03/7 &amp; 10/2025</t>
  </si>
  <si>
    <t>ADD: 03/1/2025-04/30/2025</t>
  </si>
  <si>
    <t>LESS: 05/8/2025</t>
  </si>
  <si>
    <t>LESS: 05/20/2025</t>
  </si>
  <si>
    <t>DATE FILED/RECEIVED</t>
  </si>
  <si>
    <t>SPECIAL</t>
  </si>
  <si>
    <t xml:space="preserve">  </t>
  </si>
  <si>
    <t>LESS: FL 2022</t>
  </si>
  <si>
    <t>ADD: 02/5/2025</t>
  </si>
  <si>
    <t>S.O. # 002, S. 2025. RIZAL DAY 2024</t>
  </si>
  <si>
    <t>LESS: 06/9/2025</t>
  </si>
  <si>
    <t>ADD: 01/01/21 - 09/30/21</t>
  </si>
  <si>
    <t>LESS: FL 2018</t>
  </si>
  <si>
    <t>ADD: 05/1-31/2025</t>
  </si>
  <si>
    <t>LESS: 06/25/2025</t>
  </si>
  <si>
    <t>ADD: 06/1-30/2025</t>
  </si>
  <si>
    <t>LESS: 09/15/2025</t>
  </si>
  <si>
    <t>ADD: 07/1/2025</t>
  </si>
  <si>
    <t>S.O. # 044, S. 2025. 127TH PHIL. IND. DAY</t>
  </si>
  <si>
    <t>LESS: 07/30/2025</t>
  </si>
  <si>
    <t>ADD: 07/1-31/2025</t>
  </si>
  <si>
    <t>LESS: 08/22/2025</t>
  </si>
  <si>
    <t>NEGROS ISLAND REGION</t>
  </si>
  <si>
    <t>ADD: 08/1-31/2025</t>
  </si>
  <si>
    <t>LESS: 09/16 &amp; 23/2025</t>
  </si>
  <si>
    <t>ADD: 09/1-30/2025</t>
  </si>
  <si>
    <t>LESS: 10/13/2025</t>
  </si>
  <si>
    <t>ADD: 10/1-31/2025</t>
  </si>
  <si>
    <t>LESS: MONETIZATION 2025 (20 DAYS)</t>
  </si>
  <si>
    <t>LESS: 12/10, 17 &amp; 26/2025</t>
  </si>
  <si>
    <t>date filed 12/29/2025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</si>
</sst>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9" fillId="0" borderId="0"/>
  </cellStyleXfs>
  <cellXfs count="97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5" fillId="8" borderId="13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9" fillId="2" borderId="0" xfId="1" applyFill="1"/>
    <xf numFmtId="0" fontId="1" fillId="2" borderId="0" xfId="1" applyFont="1" applyFill="1" applyAlignment="1">
      <alignment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0" xfId="1" applyFont="1" applyFill="1"/>
    <xf numFmtId="0" fontId="1" fillId="2" borderId="4" xfId="1" applyFont="1" applyFill="1" applyBorder="1" applyAlignment="1">
      <alignment vertical="center"/>
    </xf>
    <xf numFmtId="0" fontId="9" fillId="0" borderId="0" xfId="1"/>
    <xf numFmtId="0" fontId="7" fillId="0" borderId="0" xfId="1" applyFont="1"/>
    <xf numFmtId="0" fontId="0" fillId="2" borderId="6" xfId="1" applyFont="1" applyFill="1" applyBorder="1" applyAlignment="1">
      <alignment horizontal="center" vertical="center" wrapText="1"/>
    </xf>
    <xf numFmtId="0" fontId="9" fillId="2" borderId="2" xfId="1" applyFill="1" applyBorder="1" applyAlignment="1">
      <alignment horizontal="center" vertical="center" wrapText="1"/>
    </xf>
    <xf numFmtId="0" fontId="9" fillId="10" borderId="2" xfId="1" applyFill="1" applyBorder="1" applyAlignment="1">
      <alignment horizontal="center" vertical="center" wrapText="1"/>
    </xf>
    <xf numFmtId="0" fontId="8" fillId="0" borderId="0" xfId="1" applyFont="1"/>
    <xf numFmtId="0" fontId="9" fillId="0" borderId="0" xfId="1" applyAlignment="1">
      <alignment vertical="center"/>
    </xf>
    <xf numFmtId="0" fontId="6" fillId="2" borderId="0" xfId="1" applyFont="1" applyFill="1" applyAlignment="1">
      <alignment horizontal="center" vertical="center" wrapText="1"/>
    </xf>
    <xf numFmtId="0" fontId="9" fillId="2" borderId="0" xfId="1" applyFill="1" applyAlignment="1">
      <alignment horizontal="center" vertical="center" wrapText="1"/>
    </xf>
    <xf numFmtId="0" fontId="9" fillId="2" borderId="0" xfId="1" applyFill="1" applyAlignment="1">
      <alignment horizontal="center"/>
    </xf>
    <xf numFmtId="0" fontId="0" fillId="0" borderId="0" xfId="0" applyAlignment="1">
      <alignment horizontal="center" vertical="center"/>
    </xf>
    <xf numFmtId="0" fontId="9" fillId="11" borderId="2" xfId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2" borderId="1" xfId="1" applyFont="1" applyFill="1" applyBorder="1" applyAlignment="1">
      <alignment horizontal="center" vertical="center" wrapText="1"/>
    </xf>
    <xf numFmtId="0" fontId="9" fillId="0" borderId="1" xfId="1" applyBorder="1" applyAlignment="1">
      <alignment horizontal="center" vertical="center" wrapText="1"/>
    </xf>
    <xf numFmtId="0" fontId="9" fillId="11" borderId="1" xfId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64" fontId="0" fillId="12" borderId="1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13" borderId="1" xfId="0" applyNumberForma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6" fillId="2" borderId="14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9" fillId="2" borderId="0" xfId="1" applyFill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0" fontId="8" fillId="2" borderId="0" xfId="1" applyFont="1" applyFill="1" applyAlignment="1">
      <alignment horizontal="center" vertical="center"/>
    </xf>
    <xf numFmtId="0" fontId="6" fillId="7" borderId="14" xfId="1" applyFont="1" applyFill="1" applyBorder="1" applyAlignment="1">
      <alignment horizontal="center" vertical="center" wrapText="1"/>
    </xf>
    <xf numFmtId="0" fontId="6" fillId="7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5" fillId="8" borderId="5" xfId="1" applyFont="1" applyFill="1" applyBorder="1" applyAlignment="1">
      <alignment horizontal="center" vertical="center"/>
    </xf>
    <xf numFmtId="0" fontId="5" fillId="8" borderId="6" xfId="1" applyFont="1" applyFill="1" applyBorder="1" applyAlignment="1">
      <alignment horizontal="center" vertical="center"/>
    </xf>
    <xf numFmtId="0" fontId="5" fillId="9" borderId="9" xfId="1" applyFont="1" applyFill="1" applyBorder="1" applyAlignment="1">
      <alignment horizontal="center" vertical="center"/>
    </xf>
    <xf numFmtId="0" fontId="5" fillId="9" borderId="10" xfId="1" applyFont="1" applyFill="1" applyBorder="1" applyAlignment="1">
      <alignment horizontal="center" vertical="center"/>
    </xf>
    <xf numFmtId="0" fontId="5" fillId="8" borderId="8" xfId="1" applyFont="1" applyFill="1" applyBorder="1" applyAlignment="1">
      <alignment horizontal="center" vertical="center"/>
    </xf>
    <xf numFmtId="0" fontId="5" fillId="8" borderId="3" xfId="1" applyFont="1" applyFill="1" applyBorder="1" applyAlignment="1">
      <alignment horizontal="center" vertical="center"/>
    </xf>
    <xf numFmtId="0" fontId="6" fillId="7" borderId="12" xfId="1" applyFont="1" applyFill="1" applyBorder="1" applyAlignment="1">
      <alignment horizontal="center" vertical="center" wrapText="1"/>
    </xf>
    <xf numFmtId="0" fontId="9" fillId="0" borderId="0" xfId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64" fontId="0" fillId="2" borderId="18" xfId="0" applyNumberFormat="1" applyFill="1" applyBorder="1" applyAlignment="1">
      <alignment horizontal="center" vertical="center"/>
    </xf>
    <xf numFmtId="0" fontId="12" fillId="0" borderId="0" xfId="0" applyFont="1"/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557122</xdr:colOff>
      <xdr:row>0</xdr:row>
      <xdr:rowOff>25040</xdr:rowOff>
    </xdr:from>
    <xdr:to>
      <xdr:col>4</xdr:col>
      <xdr:colOff>383050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30CDCD-A190-4F5C-AD83-9AE8D6252DE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9150" y="25040"/>
          <a:ext cx="598711" cy="639913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4EA4960-7366-47E8-BE50-33D43915D8AD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SAYLANON,</a:t>
          </a:r>
          <a:r>
            <a:rPr lang="en-US" sz="1100" baseline="0"/>
            <a:t> MARIVIC B.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D418D5D-162D-47E2-B303-EDCD0DD6E3C4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ADOF 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D08D171-8A01-4531-8AD3-5D0471B3ACBC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</a:p>
      </xdr:txBody>
    </xdr:sp>
    <xdr:clientData/>
  </xdr:twoCellAnchor>
  <xdr:twoCellAnchor>
    <xdr:from>
      <xdr:col>5</xdr:col>
      <xdr:colOff>347452</xdr:colOff>
      <xdr:row>113</xdr:row>
      <xdr:rowOff>53914</xdr:rowOff>
    </xdr:from>
    <xdr:to>
      <xdr:col>9</xdr:col>
      <xdr:colOff>672043</xdr:colOff>
      <xdr:row>118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DDC9E56-F56D-438E-8D2A-8737B7FAC8AC}"/>
            </a:ext>
          </a:extLst>
        </xdr:cNvPr>
        <xdr:cNvSpPr txBox="1"/>
      </xdr:nvSpPr>
      <xdr:spPr>
        <a:xfrm>
          <a:off x="5871952" y="16074964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62365</xdr:colOff>
      <xdr:row>0</xdr:row>
      <xdr:rowOff>40369</xdr:rowOff>
    </xdr:from>
    <xdr:to>
      <xdr:col>5</xdr:col>
      <xdr:colOff>154213</xdr:colOff>
      <xdr:row>0</xdr:row>
      <xdr:rowOff>657678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C626A1-1B9D-40DA-B423-F575CD656F0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4315" y="40369"/>
          <a:ext cx="701448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688DF94-0177-4AAA-B884-4B696DB0BCD6}"/>
            </a:ext>
          </a:extLst>
        </xdr:cNvPr>
        <xdr:cNvSpPr txBox="1"/>
      </xdr:nvSpPr>
      <xdr:spPr>
        <a:xfrm>
          <a:off x="573942" y="1377461"/>
          <a:ext cx="2378808" cy="222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SAYLANON, MARIVIC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7EC7AA1-85FD-4A39-A0C9-51BB06D8F7B8}"/>
            </a:ext>
          </a:extLst>
        </xdr:cNvPr>
        <xdr:cNvSpPr txBox="1"/>
      </xdr:nvSpPr>
      <xdr:spPr>
        <a:xfrm>
          <a:off x="654051" y="1682751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</a:t>
          </a:r>
          <a:r>
            <a:rPr lang="en-US" sz="1100" baseline="0"/>
            <a:t> III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48398CF-4AE6-4AAA-B67C-FD2FE53CB34E}"/>
            </a:ext>
          </a:extLst>
        </xdr:cNvPr>
        <xdr:cNvSpPr txBox="1"/>
      </xdr:nvSpPr>
      <xdr:spPr>
        <a:xfrm>
          <a:off x="4089173" y="1706110"/>
          <a:ext cx="115570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265662</xdr:colOff>
      <xdr:row>0</xdr:row>
      <xdr:rowOff>28769</xdr:rowOff>
    </xdr:from>
    <xdr:to>
      <xdr:col>5</xdr:col>
      <xdr:colOff>293071</xdr:colOff>
      <xdr:row>0</xdr:row>
      <xdr:rowOff>654439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018324-BFF7-40F7-A2A6-A3C57F9EBAF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85815" y="28769"/>
          <a:ext cx="701287" cy="62567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960ACA0-01C7-4F83-8414-400905B9AA46}"/>
            </a:ext>
          </a:extLst>
        </xdr:cNvPr>
        <xdr:cNvSpPr txBox="1"/>
      </xdr:nvSpPr>
      <xdr:spPr>
        <a:xfrm>
          <a:off x="76200" y="4572000"/>
          <a:ext cx="3200400" cy="1057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777551</xdr:colOff>
      <xdr:row>5</xdr:row>
      <xdr:rowOff>77755</xdr:rowOff>
    </xdr:from>
    <xdr:to>
      <xdr:col>1</xdr:col>
      <xdr:colOff>414694</xdr:colOff>
      <xdr:row>7</xdr:row>
      <xdr:rowOff>116633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8590F94-5A67-4EF1-9799-27AD06F93477}"/>
            </a:ext>
          </a:extLst>
        </xdr:cNvPr>
        <xdr:cNvSpPr txBox="1"/>
      </xdr:nvSpPr>
      <xdr:spPr>
        <a:xfrm>
          <a:off x="777551" y="1483826"/>
          <a:ext cx="1535663" cy="24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SAYLANON,</a:t>
          </a:r>
          <a:r>
            <a:rPr lang="en-US" sz="1100" baseline="0"/>
            <a:t> MARIVIC</a:t>
          </a:r>
          <a:endParaRPr lang="en-US" sz="1100"/>
        </a:p>
      </xdr:txBody>
    </xdr:sp>
    <xdr:clientData/>
  </xdr:twoCellAnchor>
  <xdr:twoCellAnchor>
    <xdr:from>
      <xdr:col>0</xdr:col>
      <xdr:colOff>751632</xdr:colOff>
      <xdr:row>8</xdr:row>
      <xdr:rowOff>38877</xdr:rowOff>
    </xdr:from>
    <xdr:to>
      <xdr:col>1</xdr:col>
      <xdr:colOff>213827</xdr:colOff>
      <xdr:row>9</xdr:row>
      <xdr:rowOff>116632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EE1833C-B7ED-4F2A-89E4-F9B86B46FCDC}"/>
            </a:ext>
          </a:extLst>
        </xdr:cNvPr>
        <xdr:cNvSpPr txBox="1"/>
      </xdr:nvSpPr>
      <xdr:spPr>
        <a:xfrm>
          <a:off x="751632" y="1807806"/>
          <a:ext cx="1360715" cy="2332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</a:p>
      </xdr:txBody>
    </xdr:sp>
    <xdr:clientData/>
  </xdr:twoCellAnchor>
  <xdr:twoCellAnchor>
    <xdr:from>
      <xdr:col>3</xdr:col>
      <xdr:colOff>498928</xdr:colOff>
      <xdr:row>7</xdr:row>
      <xdr:rowOff>97194</xdr:rowOff>
    </xdr:from>
    <xdr:to>
      <xdr:col>6</xdr:col>
      <xdr:colOff>9843</xdr:colOff>
      <xdr:row>9</xdr:row>
      <xdr:rowOff>36510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C8F4098-C390-4FBD-9886-1524C985E894}"/>
            </a:ext>
          </a:extLst>
        </xdr:cNvPr>
        <xdr:cNvSpPr txBox="1"/>
      </xdr:nvSpPr>
      <xdr:spPr>
        <a:xfrm>
          <a:off x="3745204" y="1710612"/>
          <a:ext cx="1532547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BD0EE-0559-492A-88BE-3A95E3A21DA7}">
  <sheetPr>
    <pageSetUpPr fitToPage="1"/>
  </sheetPr>
  <dimension ref="A1:K117"/>
  <sheetViews>
    <sheetView tabSelected="1" view="pageBreakPreview" topLeftCell="A81" zoomScale="106" zoomScaleNormal="100" zoomScaleSheetLayoutView="106" workbookViewId="0">
      <selection activeCell="D107" sqref="D107"/>
    </sheetView>
  </sheetViews>
  <sheetFormatPr defaultRowHeight="15" x14ac:dyDescent="0.25"/>
  <cols>
    <col min="1" max="1" width="33.7109375" customWidth="1"/>
    <col min="2" max="5" width="11.5703125" customWidth="1"/>
    <col min="6" max="7" width="11.5703125" style="40" customWidth="1"/>
    <col min="8" max="10" width="11.5703125" customWidth="1"/>
    <col min="11" max="11" width="26.42578125" style="44" customWidth="1"/>
  </cols>
  <sheetData>
    <row r="1" spans="1:11" s="1" customFormat="1" ht="52.5" customHeight="1" x14ac:dyDescent="0.25"/>
    <row r="2" spans="1:11" s="1" customFormat="1" ht="10.5" customHeight="1" x14ac:dyDescent="0.25">
      <c r="A2" s="71" t="s">
        <v>11</v>
      </c>
      <c r="B2" s="71"/>
      <c r="C2" s="71"/>
      <c r="D2" s="71"/>
      <c r="E2" s="71"/>
      <c r="F2" s="71"/>
      <c r="G2" s="71"/>
      <c r="H2" s="71"/>
      <c r="I2" s="71"/>
      <c r="J2" s="71"/>
    </row>
    <row r="3" spans="1:11" s="1" customFormat="1" ht="15.95" customHeight="1" x14ac:dyDescent="0.25">
      <c r="A3" s="71" t="s">
        <v>12</v>
      </c>
      <c r="B3" s="71"/>
      <c r="C3" s="71"/>
      <c r="D3" s="71"/>
      <c r="E3" s="71"/>
      <c r="F3" s="71"/>
      <c r="G3" s="71"/>
      <c r="H3" s="71"/>
      <c r="I3" s="71"/>
      <c r="J3" s="71"/>
    </row>
    <row r="4" spans="1:11" s="1" customFormat="1" ht="15.95" customHeight="1" x14ac:dyDescent="0.25">
      <c r="A4" s="71" t="s">
        <v>153</v>
      </c>
      <c r="B4" s="71"/>
      <c r="C4" s="71"/>
      <c r="D4" s="71"/>
      <c r="E4" s="71"/>
      <c r="F4" s="71"/>
      <c r="G4" s="71"/>
      <c r="H4" s="71"/>
      <c r="I4" s="71"/>
      <c r="J4" s="71"/>
    </row>
    <row r="5" spans="1:11" s="1" customFormat="1" ht="15.95" customHeight="1" x14ac:dyDescent="0.25">
      <c r="A5" s="71" t="s">
        <v>14</v>
      </c>
      <c r="B5" s="71"/>
      <c r="C5" s="71"/>
      <c r="D5" s="71"/>
      <c r="E5" s="71"/>
      <c r="F5" s="71"/>
      <c r="G5" s="71"/>
      <c r="H5" s="71"/>
      <c r="I5" s="71"/>
      <c r="J5" s="71"/>
    </row>
    <row r="6" spans="1:11" s="1" customFormat="1" ht="8.25" customHeight="1" x14ac:dyDescent="0.25"/>
    <row r="7" spans="1:11" s="1" customFormat="1" ht="12" customHeight="1" x14ac:dyDescent="0.25">
      <c r="A7" s="1" t="s">
        <v>33</v>
      </c>
      <c r="B7" s="70" t="s">
        <v>35</v>
      </c>
      <c r="C7" s="70"/>
      <c r="D7" s="70"/>
      <c r="H7" s="3" t="s">
        <v>9</v>
      </c>
      <c r="I7" s="24"/>
      <c r="J7" s="3"/>
    </row>
    <row r="8" spans="1:11" s="1" customFormat="1" ht="12" customHeight="1" x14ac:dyDescent="0.25">
      <c r="B8" s="2"/>
      <c r="C8" s="2"/>
      <c r="H8" s="2"/>
      <c r="I8" s="2"/>
      <c r="J8" s="2"/>
    </row>
    <row r="9" spans="1:11" s="1" customFormat="1" ht="12" customHeight="1" x14ac:dyDescent="0.25">
      <c r="A9" s="1" t="s">
        <v>34</v>
      </c>
      <c r="B9" s="70" t="s">
        <v>36</v>
      </c>
      <c r="C9" s="70"/>
      <c r="D9" s="70"/>
      <c r="H9" s="3" t="s">
        <v>10</v>
      </c>
      <c r="I9" s="4"/>
      <c r="J9" s="3"/>
    </row>
    <row r="10" spans="1:11" ht="23.25" customHeight="1" thickBot="1" x14ac:dyDescent="0.3">
      <c r="A10" s="58" t="s">
        <v>0</v>
      </c>
      <c r="B10" s="58"/>
      <c r="C10" s="58"/>
      <c r="D10" s="58"/>
      <c r="E10" s="58"/>
      <c r="F10" s="58"/>
      <c r="G10" s="58"/>
      <c r="H10" s="58"/>
      <c r="I10" s="58"/>
      <c r="J10" s="58"/>
      <c r="K10"/>
    </row>
    <row r="11" spans="1:11" ht="18.75" customHeight="1" x14ac:dyDescent="0.25">
      <c r="A11" s="59" t="s">
        <v>4</v>
      </c>
      <c r="B11" s="61" t="s">
        <v>5</v>
      </c>
      <c r="C11" s="62"/>
      <c r="D11" s="63" t="s">
        <v>6</v>
      </c>
      <c r="E11" s="64"/>
      <c r="F11" s="64"/>
      <c r="G11" s="65"/>
      <c r="H11" s="66" t="s">
        <v>7</v>
      </c>
      <c r="I11" s="67"/>
      <c r="J11" s="68" t="s">
        <v>8</v>
      </c>
      <c r="K11" s="57" t="s">
        <v>135</v>
      </c>
    </row>
    <row r="12" spans="1:11" ht="18.75" customHeight="1" x14ac:dyDescent="0.25">
      <c r="A12" s="60"/>
      <c r="B12" s="50" t="s">
        <v>1</v>
      </c>
      <c r="C12" s="50" t="s">
        <v>2</v>
      </c>
      <c r="D12" s="50" t="s">
        <v>1</v>
      </c>
      <c r="E12" s="50" t="s">
        <v>2</v>
      </c>
      <c r="F12" s="50" t="s">
        <v>3</v>
      </c>
      <c r="G12" s="50" t="s">
        <v>136</v>
      </c>
      <c r="H12" s="50" t="s">
        <v>1</v>
      </c>
      <c r="I12" s="50" t="s">
        <v>2</v>
      </c>
      <c r="J12" s="69"/>
      <c r="K12" s="57"/>
    </row>
    <row r="13" spans="1:11" ht="30.75" customHeight="1" x14ac:dyDescent="0.25">
      <c r="A13" s="6" t="s">
        <v>41</v>
      </c>
      <c r="B13" s="11">
        <v>12.5</v>
      </c>
      <c r="C13" s="11">
        <v>12.5</v>
      </c>
      <c r="D13" s="43"/>
      <c r="E13" s="43"/>
      <c r="F13" s="43"/>
      <c r="G13" s="43"/>
      <c r="H13" s="11">
        <f>B13</f>
        <v>12.5</v>
      </c>
      <c r="I13" s="11">
        <f>C13</f>
        <v>12.5</v>
      </c>
      <c r="J13" s="11">
        <f>SUM(H13:I13)</f>
        <v>25</v>
      </c>
    </row>
    <row r="14" spans="1:11" ht="12" customHeight="1" x14ac:dyDescent="0.25">
      <c r="A14" s="23" t="s">
        <v>143</v>
      </c>
      <c r="B14" s="43"/>
      <c r="C14" s="43"/>
      <c r="D14" s="43"/>
      <c r="E14" s="43"/>
      <c r="F14" s="43">
        <v>5</v>
      </c>
      <c r="G14" s="43"/>
      <c r="H14" s="11">
        <f>H13-F14-D14+B14</f>
        <v>7.5</v>
      </c>
      <c r="I14" s="11">
        <f>I13-E14+C14</f>
        <v>12.5</v>
      </c>
      <c r="J14" s="11">
        <f>SUM(H14:I14)</f>
        <v>20</v>
      </c>
    </row>
    <row r="15" spans="1:11" ht="12" customHeight="1" x14ac:dyDescent="0.25">
      <c r="A15" s="23" t="s">
        <v>42</v>
      </c>
      <c r="B15" s="43">
        <v>15</v>
      </c>
      <c r="C15" s="43">
        <v>15</v>
      </c>
      <c r="D15" s="43"/>
      <c r="E15" s="43"/>
      <c r="F15" s="43"/>
      <c r="G15" s="43"/>
      <c r="H15" s="11">
        <f t="shared" ref="H15:H26" si="0">H14-F15-D15+B15</f>
        <v>22.5</v>
      </c>
      <c r="I15" s="11">
        <f t="shared" ref="I15:I26" si="1">I14-E15+C15</f>
        <v>27.5</v>
      </c>
      <c r="J15" s="11">
        <f t="shared" ref="J15:J26" si="2">SUM(H15:I15)</f>
        <v>50</v>
      </c>
    </row>
    <row r="16" spans="1:11" ht="12" customHeight="1" x14ac:dyDescent="0.25">
      <c r="A16" s="23" t="s">
        <v>43</v>
      </c>
      <c r="B16" s="43"/>
      <c r="C16" s="43"/>
      <c r="D16" s="43"/>
      <c r="E16" s="43"/>
      <c r="F16" s="43">
        <v>5</v>
      </c>
      <c r="G16" s="43"/>
      <c r="H16" s="11">
        <f t="shared" si="0"/>
        <v>17.5</v>
      </c>
      <c r="I16" s="11">
        <f t="shared" si="1"/>
        <v>27.5</v>
      </c>
      <c r="J16" s="11">
        <f t="shared" si="2"/>
        <v>45</v>
      </c>
    </row>
    <row r="17" spans="1:10" ht="12.75" customHeight="1" x14ac:dyDescent="0.25">
      <c r="A17" s="23" t="s">
        <v>44</v>
      </c>
      <c r="B17" s="43">
        <v>12.5</v>
      </c>
      <c r="C17" s="43">
        <v>12.5</v>
      </c>
      <c r="D17" s="43"/>
      <c r="E17" s="43"/>
      <c r="F17" s="43"/>
      <c r="G17" s="43"/>
      <c r="H17" s="11">
        <f t="shared" si="0"/>
        <v>30</v>
      </c>
      <c r="I17" s="11">
        <f t="shared" si="1"/>
        <v>40</v>
      </c>
      <c r="J17" s="11">
        <f t="shared" si="2"/>
        <v>70</v>
      </c>
    </row>
    <row r="18" spans="1:10" ht="12.75" customHeight="1" x14ac:dyDescent="0.25">
      <c r="A18" s="23" t="s">
        <v>48</v>
      </c>
      <c r="B18" s="43"/>
      <c r="C18" s="43"/>
      <c r="D18" s="43">
        <v>27</v>
      </c>
      <c r="E18" s="43">
        <v>2</v>
      </c>
      <c r="F18" s="43"/>
      <c r="G18" s="43"/>
      <c r="H18" s="11">
        <f t="shared" si="0"/>
        <v>3</v>
      </c>
      <c r="I18" s="11">
        <f t="shared" si="1"/>
        <v>38</v>
      </c>
      <c r="J18" s="11">
        <f t="shared" si="2"/>
        <v>41</v>
      </c>
    </row>
    <row r="19" spans="1:10" s="44" customFormat="1" ht="12" customHeight="1" x14ac:dyDescent="0.25">
      <c r="A19" s="23" t="s">
        <v>45</v>
      </c>
      <c r="B19" s="43">
        <v>2.5</v>
      </c>
      <c r="C19" s="43">
        <v>2.5</v>
      </c>
      <c r="D19" s="43"/>
      <c r="E19" s="43"/>
      <c r="F19" s="43"/>
      <c r="G19" s="43"/>
      <c r="H19" s="11">
        <f t="shared" si="0"/>
        <v>5.5</v>
      </c>
      <c r="I19" s="11">
        <f t="shared" si="1"/>
        <v>40.5</v>
      </c>
      <c r="J19" s="11">
        <f t="shared" si="2"/>
        <v>46</v>
      </c>
    </row>
    <row r="20" spans="1:10" s="44" customFormat="1" ht="12" customHeight="1" x14ac:dyDescent="0.25">
      <c r="A20" s="23" t="s">
        <v>52</v>
      </c>
      <c r="B20" s="43"/>
      <c r="C20" s="43"/>
      <c r="D20" s="43"/>
      <c r="E20" s="43"/>
      <c r="F20" s="43">
        <v>5</v>
      </c>
      <c r="G20" s="43"/>
      <c r="H20" s="11">
        <f t="shared" si="0"/>
        <v>0.5</v>
      </c>
      <c r="I20" s="11">
        <f t="shared" si="1"/>
        <v>40.5</v>
      </c>
      <c r="J20" s="11">
        <f t="shared" si="2"/>
        <v>41</v>
      </c>
    </row>
    <row r="21" spans="1:10" s="44" customFormat="1" ht="12" customHeight="1" x14ac:dyDescent="0.25">
      <c r="A21" s="23" t="s">
        <v>46</v>
      </c>
      <c r="B21" s="43"/>
      <c r="C21" s="43"/>
      <c r="D21" s="43"/>
      <c r="E21" s="43"/>
      <c r="F21" s="43">
        <v>1</v>
      </c>
      <c r="G21" s="43"/>
      <c r="H21" s="11">
        <f t="shared" si="0"/>
        <v>-0.5</v>
      </c>
      <c r="I21" s="11">
        <f t="shared" si="1"/>
        <v>40.5</v>
      </c>
      <c r="J21" s="11">
        <f t="shared" si="2"/>
        <v>40</v>
      </c>
    </row>
    <row r="22" spans="1:10" s="44" customFormat="1" ht="12" customHeight="1" x14ac:dyDescent="0.25">
      <c r="A22" s="23" t="s">
        <v>142</v>
      </c>
      <c r="B22" s="43">
        <v>11.25</v>
      </c>
      <c r="C22" s="43">
        <v>11.25</v>
      </c>
      <c r="D22" s="43"/>
      <c r="E22" s="43"/>
      <c r="F22" s="43"/>
      <c r="G22" s="43"/>
      <c r="H22" s="11">
        <f t="shared" si="0"/>
        <v>10.75</v>
      </c>
      <c r="I22" s="11">
        <f t="shared" si="1"/>
        <v>51.75</v>
      </c>
      <c r="J22" s="11">
        <f t="shared" si="2"/>
        <v>62.5</v>
      </c>
    </row>
    <row r="23" spans="1:10" s="44" customFormat="1" ht="12" customHeight="1" x14ac:dyDescent="0.25">
      <c r="A23" s="23" t="s">
        <v>47</v>
      </c>
      <c r="B23" s="43"/>
      <c r="C23" s="43"/>
      <c r="D23" s="43"/>
      <c r="E23" s="43"/>
      <c r="F23" s="43">
        <v>4</v>
      </c>
      <c r="G23" s="43"/>
      <c r="H23" s="11">
        <f t="shared" si="0"/>
        <v>6.75</v>
      </c>
      <c r="I23" s="11">
        <f t="shared" si="1"/>
        <v>51.75</v>
      </c>
      <c r="J23" s="11">
        <f t="shared" si="2"/>
        <v>58.5</v>
      </c>
    </row>
    <row r="24" spans="1:10" s="44" customFormat="1" ht="12" customHeight="1" x14ac:dyDescent="0.25">
      <c r="A24" s="23" t="s">
        <v>49</v>
      </c>
      <c r="B24" s="43"/>
      <c r="C24" s="43"/>
      <c r="D24" s="43">
        <v>3</v>
      </c>
      <c r="E24" s="43">
        <v>26</v>
      </c>
      <c r="F24" s="43"/>
      <c r="G24" s="43"/>
      <c r="H24" s="11">
        <f t="shared" si="0"/>
        <v>3.75</v>
      </c>
      <c r="I24" s="11">
        <f t="shared" si="1"/>
        <v>25.75</v>
      </c>
      <c r="J24" s="11">
        <f t="shared" si="2"/>
        <v>29.5</v>
      </c>
    </row>
    <row r="25" spans="1:10" s="44" customFormat="1" ht="12" customHeight="1" x14ac:dyDescent="0.25">
      <c r="A25" s="23" t="s">
        <v>50</v>
      </c>
      <c r="B25" s="43">
        <v>3.75</v>
      </c>
      <c r="C25" s="43">
        <v>3.75</v>
      </c>
      <c r="D25" s="43"/>
      <c r="E25" s="43"/>
      <c r="F25" s="43"/>
      <c r="G25" s="43"/>
      <c r="H25" s="11">
        <f t="shared" si="0"/>
        <v>7.5</v>
      </c>
      <c r="I25" s="11">
        <f t="shared" si="1"/>
        <v>29.5</v>
      </c>
      <c r="J25" s="11">
        <f t="shared" si="2"/>
        <v>37</v>
      </c>
    </row>
    <row r="26" spans="1:10" s="44" customFormat="1" ht="12.75" customHeight="1" x14ac:dyDescent="0.25">
      <c r="A26" s="23" t="s">
        <v>51</v>
      </c>
      <c r="B26" s="43">
        <v>7.5</v>
      </c>
      <c r="C26" s="43">
        <v>7.5</v>
      </c>
      <c r="D26" s="43"/>
      <c r="E26" s="43"/>
      <c r="F26" s="43"/>
      <c r="G26" s="43"/>
      <c r="H26" s="11">
        <f t="shared" si="0"/>
        <v>15</v>
      </c>
      <c r="I26" s="11">
        <f t="shared" si="1"/>
        <v>37</v>
      </c>
      <c r="J26" s="11">
        <f t="shared" si="2"/>
        <v>52</v>
      </c>
    </row>
    <row r="27" spans="1:10" s="44" customFormat="1" ht="12" customHeight="1" x14ac:dyDescent="0.25">
      <c r="A27" s="23" t="s">
        <v>54</v>
      </c>
      <c r="B27" s="43"/>
      <c r="C27" s="43"/>
      <c r="D27" s="43"/>
      <c r="E27" s="43">
        <v>1</v>
      </c>
      <c r="F27" s="43"/>
      <c r="G27" s="43"/>
      <c r="H27" s="11">
        <f t="shared" ref="H27:H46" si="3">H26-F27-D27+B27</f>
        <v>15</v>
      </c>
      <c r="I27" s="11">
        <f t="shared" ref="I27:I46" si="4">I26-E27+C27</f>
        <v>36</v>
      </c>
      <c r="J27" s="11">
        <f t="shared" ref="J27:J46" si="5">SUM(H27:I27)</f>
        <v>51</v>
      </c>
    </row>
    <row r="28" spans="1:10" s="44" customFormat="1" ht="12" customHeight="1" x14ac:dyDescent="0.25">
      <c r="A28" s="23" t="s">
        <v>53</v>
      </c>
      <c r="B28" s="43">
        <v>6.25</v>
      </c>
      <c r="C28" s="43">
        <v>6.25</v>
      </c>
      <c r="D28" s="43"/>
      <c r="E28" s="43"/>
      <c r="F28" s="43"/>
      <c r="G28" s="43"/>
      <c r="H28" s="11">
        <f t="shared" si="3"/>
        <v>21.25</v>
      </c>
      <c r="I28" s="11">
        <f t="shared" si="4"/>
        <v>42.25</v>
      </c>
      <c r="J28" s="11">
        <f t="shared" si="5"/>
        <v>63.5</v>
      </c>
    </row>
    <row r="29" spans="1:10" s="44" customFormat="1" ht="12" customHeight="1" x14ac:dyDescent="0.25">
      <c r="A29" s="23" t="s">
        <v>55</v>
      </c>
      <c r="B29" s="43"/>
      <c r="C29" s="43"/>
      <c r="D29" s="43"/>
      <c r="E29" s="43"/>
      <c r="F29" s="43"/>
      <c r="G29" s="43">
        <v>2</v>
      </c>
      <c r="H29" s="11">
        <f t="shared" si="3"/>
        <v>21.25</v>
      </c>
      <c r="I29" s="11">
        <f t="shared" si="4"/>
        <v>42.25</v>
      </c>
      <c r="J29" s="11">
        <f t="shared" si="5"/>
        <v>63.5</v>
      </c>
    </row>
    <row r="30" spans="1:10" s="44" customFormat="1" ht="12" customHeight="1" x14ac:dyDescent="0.25">
      <c r="A30" s="23" t="s">
        <v>56</v>
      </c>
      <c r="B30" s="43"/>
      <c r="C30" s="43"/>
      <c r="D30" s="43"/>
      <c r="E30" s="43"/>
      <c r="F30" s="43">
        <v>2</v>
      </c>
      <c r="G30" s="43"/>
      <c r="H30" s="11">
        <f t="shared" si="3"/>
        <v>19.25</v>
      </c>
      <c r="I30" s="11">
        <f t="shared" si="4"/>
        <v>42.25</v>
      </c>
      <c r="J30" s="11">
        <f t="shared" si="5"/>
        <v>61.5</v>
      </c>
    </row>
    <row r="31" spans="1:10" s="44" customFormat="1" ht="19.5" customHeight="1" x14ac:dyDescent="0.25">
      <c r="A31" s="51" t="s">
        <v>65</v>
      </c>
      <c r="B31" s="43">
        <v>1.25</v>
      </c>
      <c r="C31" s="43">
        <v>1.25</v>
      </c>
      <c r="D31" s="43"/>
      <c r="E31" s="43"/>
      <c r="F31" s="43"/>
      <c r="G31" s="43"/>
      <c r="H31" s="11">
        <f t="shared" si="3"/>
        <v>20.5</v>
      </c>
      <c r="I31" s="11">
        <f t="shared" si="4"/>
        <v>43.5</v>
      </c>
      <c r="J31" s="11">
        <f t="shared" si="5"/>
        <v>64</v>
      </c>
    </row>
    <row r="32" spans="1:10" s="44" customFormat="1" ht="19.5" customHeight="1" x14ac:dyDescent="0.25">
      <c r="A32" s="51" t="s">
        <v>138</v>
      </c>
      <c r="B32" s="43"/>
      <c r="C32" s="43"/>
      <c r="D32" s="43"/>
      <c r="E32" s="43"/>
      <c r="F32" s="43">
        <v>3</v>
      </c>
      <c r="G32" s="43"/>
      <c r="H32" s="11">
        <f t="shared" si="3"/>
        <v>17.5</v>
      </c>
      <c r="I32" s="11">
        <f t="shared" si="4"/>
        <v>43.5</v>
      </c>
      <c r="J32" s="11">
        <f t="shared" si="5"/>
        <v>61</v>
      </c>
    </row>
    <row r="33" spans="1:11" s="44" customFormat="1" ht="12" customHeight="1" x14ac:dyDescent="0.25">
      <c r="A33" s="52" t="s">
        <v>66</v>
      </c>
      <c r="B33" s="43">
        <v>1.25</v>
      </c>
      <c r="C33" s="43">
        <v>1.25</v>
      </c>
      <c r="D33" s="43"/>
      <c r="E33" s="43"/>
      <c r="F33" s="43"/>
      <c r="G33" s="43"/>
      <c r="H33" s="11">
        <f t="shared" si="3"/>
        <v>18.75</v>
      </c>
      <c r="I33" s="11">
        <f t="shared" si="4"/>
        <v>44.75</v>
      </c>
      <c r="J33" s="11">
        <f t="shared" si="5"/>
        <v>63.5</v>
      </c>
    </row>
    <row r="34" spans="1:11" s="44" customFormat="1" ht="13.5" customHeight="1" x14ac:dyDescent="0.25">
      <c r="A34" s="52" t="s">
        <v>67</v>
      </c>
      <c r="B34" s="43"/>
      <c r="C34" s="43"/>
      <c r="D34" s="43"/>
      <c r="E34" s="43"/>
      <c r="F34" s="43"/>
      <c r="G34" s="43">
        <v>1</v>
      </c>
      <c r="H34" s="11">
        <f t="shared" si="3"/>
        <v>18.75</v>
      </c>
      <c r="I34" s="11">
        <f t="shared" si="4"/>
        <v>44.75</v>
      </c>
      <c r="J34" s="11">
        <f t="shared" si="5"/>
        <v>63.5</v>
      </c>
    </row>
    <row r="35" spans="1:11" ht="12" customHeight="1" x14ac:dyDescent="0.25">
      <c r="A35" s="23" t="s">
        <v>68</v>
      </c>
      <c r="B35" s="43">
        <v>2.5</v>
      </c>
      <c r="C35" s="43">
        <v>2.5</v>
      </c>
      <c r="D35" s="43"/>
      <c r="E35" s="43"/>
      <c r="F35" s="43"/>
      <c r="G35" s="43"/>
      <c r="H35" s="11">
        <f t="shared" si="3"/>
        <v>21.25</v>
      </c>
      <c r="I35" s="11">
        <f t="shared" si="4"/>
        <v>47.25</v>
      </c>
      <c r="J35" s="11">
        <f t="shared" si="5"/>
        <v>68.5</v>
      </c>
    </row>
    <row r="36" spans="1:11" ht="12" customHeight="1" x14ac:dyDescent="0.25">
      <c r="A36" s="23" t="s">
        <v>69</v>
      </c>
      <c r="B36" s="43"/>
      <c r="C36" s="43"/>
      <c r="D36" s="43"/>
      <c r="E36" s="43"/>
      <c r="F36" s="43">
        <v>1</v>
      </c>
      <c r="G36" s="43"/>
      <c r="H36" s="11">
        <f t="shared" si="3"/>
        <v>20.25</v>
      </c>
      <c r="I36" s="11">
        <f t="shared" si="4"/>
        <v>47.25</v>
      </c>
      <c r="J36" s="11">
        <f t="shared" si="5"/>
        <v>67.5</v>
      </c>
    </row>
    <row r="37" spans="1:11" ht="14.25" customHeight="1" x14ac:dyDescent="0.25">
      <c r="A37" s="23" t="s">
        <v>70</v>
      </c>
      <c r="B37" s="43">
        <v>1.25</v>
      </c>
      <c r="C37" s="43">
        <v>1.25</v>
      </c>
      <c r="D37" s="43"/>
      <c r="E37" s="43"/>
      <c r="F37" s="43"/>
      <c r="G37" s="43"/>
      <c r="H37" s="11">
        <f t="shared" si="3"/>
        <v>21.5</v>
      </c>
      <c r="I37" s="11">
        <f t="shared" si="4"/>
        <v>48.5</v>
      </c>
      <c r="J37" s="11">
        <f t="shared" si="5"/>
        <v>70</v>
      </c>
    </row>
    <row r="38" spans="1:11" ht="12" customHeight="1" x14ac:dyDescent="0.25">
      <c r="A38" s="23" t="s">
        <v>71</v>
      </c>
      <c r="B38" s="43"/>
      <c r="C38" s="43"/>
      <c r="D38" s="43"/>
      <c r="E38" s="43">
        <v>1</v>
      </c>
      <c r="F38" s="43"/>
      <c r="G38" s="43"/>
      <c r="H38" s="11">
        <f t="shared" si="3"/>
        <v>21.5</v>
      </c>
      <c r="I38" s="11">
        <f t="shared" si="4"/>
        <v>47.5</v>
      </c>
      <c r="J38" s="11">
        <f t="shared" si="5"/>
        <v>69</v>
      </c>
    </row>
    <row r="39" spans="1:11" ht="12" customHeight="1" x14ac:dyDescent="0.25">
      <c r="A39" s="23" t="s">
        <v>72</v>
      </c>
      <c r="B39" s="43"/>
      <c r="C39" s="43"/>
      <c r="D39" s="43"/>
      <c r="E39" s="43"/>
      <c r="F39" s="43">
        <v>1</v>
      </c>
      <c r="G39" s="43"/>
      <c r="H39" s="11">
        <f t="shared" si="3"/>
        <v>20.5</v>
      </c>
      <c r="I39" s="11">
        <f t="shared" si="4"/>
        <v>47.5</v>
      </c>
      <c r="J39" s="11">
        <f t="shared" si="5"/>
        <v>68</v>
      </c>
    </row>
    <row r="40" spans="1:11" ht="12" customHeight="1" x14ac:dyDescent="0.25">
      <c r="A40" s="23" t="s">
        <v>73</v>
      </c>
      <c r="B40" s="43"/>
      <c r="C40" s="43"/>
      <c r="D40" s="43"/>
      <c r="E40" s="43"/>
      <c r="F40" s="43"/>
      <c r="G40" s="43">
        <v>1</v>
      </c>
      <c r="H40" s="11">
        <f t="shared" si="3"/>
        <v>20.5</v>
      </c>
      <c r="I40" s="11">
        <f t="shared" si="4"/>
        <v>47.5</v>
      </c>
      <c r="J40" s="11">
        <f t="shared" si="5"/>
        <v>68</v>
      </c>
    </row>
    <row r="41" spans="1:11" s="46" customFormat="1" ht="12" customHeight="1" x14ac:dyDescent="0.25">
      <c r="A41" s="23" t="s">
        <v>74</v>
      </c>
      <c r="B41" s="43">
        <v>1.25</v>
      </c>
      <c r="C41" s="43">
        <v>1.25</v>
      </c>
      <c r="D41" s="43"/>
      <c r="E41" s="43"/>
      <c r="F41" s="43"/>
      <c r="G41" s="43"/>
      <c r="H41" s="11">
        <f t="shared" si="3"/>
        <v>21.75</v>
      </c>
      <c r="I41" s="11">
        <f t="shared" si="4"/>
        <v>48.75</v>
      </c>
      <c r="J41" s="11">
        <f t="shared" si="5"/>
        <v>70.5</v>
      </c>
      <c r="K41" s="45"/>
    </row>
    <row r="42" spans="1:11" s="46" customFormat="1" ht="12" customHeight="1" x14ac:dyDescent="0.25">
      <c r="A42" s="23" t="s">
        <v>75</v>
      </c>
      <c r="B42" s="43"/>
      <c r="C42" s="43"/>
      <c r="D42" s="43"/>
      <c r="E42" s="43"/>
      <c r="F42" s="43">
        <v>1</v>
      </c>
      <c r="G42" s="43"/>
      <c r="H42" s="11">
        <f t="shared" si="3"/>
        <v>20.75</v>
      </c>
      <c r="I42" s="11">
        <f t="shared" si="4"/>
        <v>48.75</v>
      </c>
      <c r="J42" s="11">
        <f t="shared" si="5"/>
        <v>69.5</v>
      </c>
      <c r="K42" s="45"/>
    </row>
    <row r="43" spans="1:11" s="46" customFormat="1" ht="12.75" customHeight="1" x14ac:dyDescent="0.25">
      <c r="A43" s="23" t="s">
        <v>76</v>
      </c>
      <c r="B43" s="43">
        <v>1.25</v>
      </c>
      <c r="C43" s="43">
        <v>1.25</v>
      </c>
      <c r="D43" s="43"/>
      <c r="E43" s="43"/>
      <c r="F43" s="43"/>
      <c r="G43" s="43"/>
      <c r="H43" s="11">
        <f t="shared" si="3"/>
        <v>22</v>
      </c>
      <c r="I43" s="11">
        <f t="shared" si="4"/>
        <v>50</v>
      </c>
      <c r="J43" s="11">
        <f t="shared" si="5"/>
        <v>72</v>
      </c>
      <c r="K43" s="45"/>
    </row>
    <row r="44" spans="1:11" ht="12" customHeight="1" x14ac:dyDescent="0.25">
      <c r="A44" s="23" t="s">
        <v>77</v>
      </c>
      <c r="B44" s="43"/>
      <c r="C44" s="43"/>
      <c r="D44" s="43"/>
      <c r="E44" s="43"/>
      <c r="F44" s="43">
        <v>1</v>
      </c>
      <c r="G44" s="43"/>
      <c r="H44" s="11">
        <f t="shared" si="3"/>
        <v>21</v>
      </c>
      <c r="I44" s="11">
        <f t="shared" si="4"/>
        <v>50</v>
      </c>
      <c r="J44" s="11">
        <f t="shared" si="5"/>
        <v>71</v>
      </c>
    </row>
    <row r="45" spans="1:11" ht="15.75" customHeight="1" x14ac:dyDescent="0.25">
      <c r="A45" s="23" t="s">
        <v>78</v>
      </c>
      <c r="B45" s="43"/>
      <c r="C45" s="43"/>
      <c r="D45" s="43"/>
      <c r="E45" s="43"/>
      <c r="F45" s="43">
        <v>1</v>
      </c>
      <c r="G45" s="43"/>
      <c r="H45" s="11">
        <f t="shared" si="3"/>
        <v>20</v>
      </c>
      <c r="I45" s="11">
        <f t="shared" si="4"/>
        <v>50</v>
      </c>
      <c r="J45" s="11">
        <f t="shared" si="5"/>
        <v>70</v>
      </c>
    </row>
    <row r="46" spans="1:11" s="46" customFormat="1" ht="16.5" customHeight="1" x14ac:dyDescent="0.25">
      <c r="A46" s="23" t="s">
        <v>79</v>
      </c>
      <c r="B46" s="43">
        <v>2.5</v>
      </c>
      <c r="C46" s="43">
        <v>2.5</v>
      </c>
      <c r="D46" s="43"/>
      <c r="E46" s="43"/>
      <c r="F46" s="43"/>
      <c r="G46" s="43"/>
      <c r="H46" s="11">
        <f t="shared" si="3"/>
        <v>22.5</v>
      </c>
      <c r="I46" s="11">
        <f t="shared" si="4"/>
        <v>52.5</v>
      </c>
      <c r="J46" s="11">
        <f t="shared" si="5"/>
        <v>75</v>
      </c>
      <c r="K46" s="45"/>
    </row>
    <row r="47" spans="1:11" s="46" customFormat="1" ht="12" customHeight="1" x14ac:dyDescent="0.25">
      <c r="A47" s="23" t="s">
        <v>80</v>
      </c>
      <c r="B47" s="43"/>
      <c r="C47" s="43"/>
      <c r="D47" s="43"/>
      <c r="E47" s="43">
        <v>1</v>
      </c>
      <c r="F47" s="43"/>
      <c r="G47" s="43"/>
      <c r="H47" s="11">
        <f>H46-F47-D47+B47</f>
        <v>22.5</v>
      </c>
      <c r="I47" s="11">
        <f>I46-E47+C47</f>
        <v>51.5</v>
      </c>
      <c r="J47" s="11">
        <f>SUM(H47:I47)</f>
        <v>74</v>
      </c>
      <c r="K47" s="45"/>
    </row>
    <row r="48" spans="1:11" ht="12" customHeight="1" x14ac:dyDescent="0.25">
      <c r="A48" s="23" t="s">
        <v>81</v>
      </c>
      <c r="B48" s="43"/>
      <c r="C48" s="43"/>
      <c r="D48" s="43">
        <v>20</v>
      </c>
      <c r="E48" s="43">
        <v>9</v>
      </c>
      <c r="F48" s="43"/>
      <c r="G48" s="43"/>
      <c r="H48" s="11">
        <f t="shared" ref="H48:H79" si="6">H47-F48-D48+B48</f>
        <v>2.5</v>
      </c>
      <c r="I48" s="11">
        <f t="shared" ref="I48:I79" si="7">I47-E48+C48</f>
        <v>42.5</v>
      </c>
      <c r="J48" s="11">
        <f t="shared" ref="J48:J79" si="8">SUM(H48:I48)</f>
        <v>45</v>
      </c>
    </row>
    <row r="49" spans="1:10" ht="16.5" customHeight="1" x14ac:dyDescent="0.25">
      <c r="A49" s="23" t="s">
        <v>82</v>
      </c>
      <c r="B49" s="43"/>
      <c r="C49" s="43"/>
      <c r="D49" s="43"/>
      <c r="E49" s="43"/>
      <c r="F49" s="43"/>
      <c r="G49" s="43">
        <v>1</v>
      </c>
      <c r="H49" s="11">
        <f t="shared" si="6"/>
        <v>2.5</v>
      </c>
      <c r="I49" s="11">
        <f t="shared" si="7"/>
        <v>42.5</v>
      </c>
      <c r="J49" s="11">
        <f t="shared" si="8"/>
        <v>45</v>
      </c>
    </row>
    <row r="50" spans="1:10" ht="12" customHeight="1" x14ac:dyDescent="0.25">
      <c r="A50" s="23" t="s">
        <v>83</v>
      </c>
      <c r="B50" s="43">
        <v>5</v>
      </c>
      <c r="C50" s="43">
        <v>5</v>
      </c>
      <c r="D50" s="43"/>
      <c r="E50" s="43"/>
      <c r="F50" s="43"/>
      <c r="G50" s="43"/>
      <c r="H50" s="11">
        <f t="shared" si="6"/>
        <v>7.5</v>
      </c>
      <c r="I50" s="11">
        <f t="shared" si="7"/>
        <v>47.5</v>
      </c>
      <c r="J50" s="11">
        <f t="shared" si="8"/>
        <v>55</v>
      </c>
    </row>
    <row r="51" spans="1:10" s="44" customFormat="1" ht="12" customHeight="1" x14ac:dyDescent="0.25">
      <c r="A51" s="23" t="s">
        <v>84</v>
      </c>
      <c r="B51" s="43"/>
      <c r="C51" s="43"/>
      <c r="D51" s="43"/>
      <c r="E51" s="43">
        <v>1</v>
      </c>
      <c r="F51" s="43"/>
      <c r="G51" s="43"/>
      <c r="H51" s="11">
        <f t="shared" si="6"/>
        <v>7.5</v>
      </c>
      <c r="I51" s="11">
        <f t="shared" si="7"/>
        <v>46.5</v>
      </c>
      <c r="J51" s="11">
        <f t="shared" si="8"/>
        <v>54</v>
      </c>
    </row>
    <row r="52" spans="1:10" s="44" customFormat="1" ht="12" customHeight="1" x14ac:dyDescent="0.25">
      <c r="A52" s="23" t="s">
        <v>85</v>
      </c>
      <c r="B52" s="43"/>
      <c r="C52" s="43"/>
      <c r="D52" s="43"/>
      <c r="E52" s="43"/>
      <c r="F52" s="43">
        <v>1</v>
      </c>
      <c r="G52" s="43"/>
      <c r="H52" s="11">
        <f t="shared" si="6"/>
        <v>6.5</v>
      </c>
      <c r="I52" s="11">
        <f t="shared" si="7"/>
        <v>46.5</v>
      </c>
      <c r="J52" s="11">
        <f t="shared" si="8"/>
        <v>53</v>
      </c>
    </row>
    <row r="53" spans="1:10" s="44" customFormat="1" ht="12" customHeight="1" x14ac:dyDescent="0.25">
      <c r="A53" s="23" t="s">
        <v>90</v>
      </c>
      <c r="B53" s="43">
        <v>2.5</v>
      </c>
      <c r="C53" s="43">
        <v>2.5</v>
      </c>
      <c r="D53" s="43"/>
      <c r="E53" s="43"/>
      <c r="F53" s="43"/>
      <c r="G53" s="43"/>
      <c r="H53" s="11">
        <f t="shared" si="6"/>
        <v>9</v>
      </c>
      <c r="I53" s="11">
        <f t="shared" si="7"/>
        <v>49</v>
      </c>
      <c r="J53" s="11">
        <f t="shared" si="8"/>
        <v>58</v>
      </c>
    </row>
    <row r="54" spans="1:10" s="44" customFormat="1" ht="12" customHeight="1" x14ac:dyDescent="0.25">
      <c r="A54" s="23" t="s">
        <v>86</v>
      </c>
      <c r="B54" s="43"/>
      <c r="C54" s="43"/>
      <c r="D54" s="43"/>
      <c r="E54" s="43"/>
      <c r="F54" s="43"/>
      <c r="G54" s="43">
        <v>1</v>
      </c>
      <c r="H54" s="11">
        <f t="shared" si="6"/>
        <v>9</v>
      </c>
      <c r="I54" s="11">
        <f t="shared" si="7"/>
        <v>49</v>
      </c>
      <c r="J54" s="11">
        <f t="shared" si="8"/>
        <v>58</v>
      </c>
    </row>
    <row r="55" spans="1:10" s="44" customFormat="1" ht="14.25" customHeight="1" x14ac:dyDescent="0.25">
      <c r="A55" s="23" t="s">
        <v>87</v>
      </c>
      <c r="B55" s="43"/>
      <c r="C55" s="43"/>
      <c r="D55" s="43"/>
      <c r="E55" s="43">
        <v>1</v>
      </c>
      <c r="F55" s="43"/>
      <c r="G55" s="43"/>
      <c r="H55" s="11">
        <f t="shared" si="6"/>
        <v>9</v>
      </c>
      <c r="I55" s="11">
        <f t="shared" si="7"/>
        <v>48</v>
      </c>
      <c r="J55" s="11">
        <f t="shared" si="8"/>
        <v>57</v>
      </c>
    </row>
    <row r="56" spans="1:10" s="44" customFormat="1" ht="12" customHeight="1" x14ac:dyDescent="0.25">
      <c r="A56" s="23" t="s">
        <v>89</v>
      </c>
      <c r="B56" s="43"/>
      <c r="C56" s="43"/>
      <c r="D56" s="43"/>
      <c r="E56" s="43">
        <v>3</v>
      </c>
      <c r="F56" s="43"/>
      <c r="G56" s="43"/>
      <c r="H56" s="11">
        <f t="shared" si="6"/>
        <v>9</v>
      </c>
      <c r="I56" s="11">
        <f t="shared" si="7"/>
        <v>45</v>
      </c>
      <c r="J56" s="11">
        <f t="shared" si="8"/>
        <v>54</v>
      </c>
    </row>
    <row r="57" spans="1:10" s="44" customFormat="1" ht="15.75" customHeight="1" x14ac:dyDescent="0.25">
      <c r="A57" s="23" t="s">
        <v>88</v>
      </c>
      <c r="B57" s="43"/>
      <c r="C57" s="43"/>
      <c r="D57" s="43"/>
      <c r="E57" s="43">
        <v>0.5</v>
      </c>
      <c r="F57" s="43"/>
      <c r="G57" s="43"/>
      <c r="H57" s="11">
        <f t="shared" si="6"/>
        <v>9</v>
      </c>
      <c r="I57" s="11">
        <f t="shared" si="7"/>
        <v>44.5</v>
      </c>
      <c r="J57" s="11">
        <f t="shared" si="8"/>
        <v>53.5</v>
      </c>
    </row>
    <row r="58" spans="1:10" s="44" customFormat="1" ht="12" customHeight="1" x14ac:dyDescent="0.25">
      <c r="A58" s="23" t="s">
        <v>92</v>
      </c>
      <c r="B58" s="43">
        <v>1.25</v>
      </c>
      <c r="C58" s="43">
        <v>1.25</v>
      </c>
      <c r="D58" s="43"/>
      <c r="E58" s="43"/>
      <c r="F58" s="43"/>
      <c r="G58" s="43"/>
      <c r="H58" s="11">
        <f t="shared" si="6"/>
        <v>10.25</v>
      </c>
      <c r="I58" s="11">
        <f t="shared" si="7"/>
        <v>45.75</v>
      </c>
      <c r="J58" s="11">
        <f t="shared" si="8"/>
        <v>56</v>
      </c>
    </row>
    <row r="59" spans="1:10" s="44" customFormat="1" ht="14.25" customHeight="1" x14ac:dyDescent="0.25">
      <c r="A59" s="23" t="s">
        <v>91</v>
      </c>
      <c r="B59" s="43"/>
      <c r="C59" s="43"/>
      <c r="D59" s="43"/>
      <c r="E59" s="43">
        <v>0.5</v>
      </c>
      <c r="F59" s="43"/>
      <c r="G59" s="43"/>
      <c r="H59" s="11">
        <f t="shared" si="6"/>
        <v>10.25</v>
      </c>
      <c r="I59" s="11">
        <f t="shared" si="7"/>
        <v>45.25</v>
      </c>
      <c r="J59" s="11">
        <f t="shared" si="8"/>
        <v>55.5</v>
      </c>
    </row>
    <row r="60" spans="1:10" s="44" customFormat="1" ht="15" customHeight="1" x14ac:dyDescent="0.25">
      <c r="A60" s="23" t="s">
        <v>93</v>
      </c>
      <c r="B60" s="43"/>
      <c r="C60" s="43"/>
      <c r="D60" s="43"/>
      <c r="E60" s="43">
        <v>1</v>
      </c>
      <c r="F60" s="43"/>
      <c r="G60" s="43"/>
      <c r="H60" s="11">
        <f t="shared" si="6"/>
        <v>10.25</v>
      </c>
      <c r="I60" s="11">
        <f t="shared" si="7"/>
        <v>44.25</v>
      </c>
      <c r="J60" s="11">
        <f t="shared" si="8"/>
        <v>54.5</v>
      </c>
    </row>
    <row r="61" spans="1:10" s="44" customFormat="1" ht="12" customHeight="1" x14ac:dyDescent="0.25">
      <c r="A61" s="23" t="s">
        <v>94</v>
      </c>
      <c r="B61" s="43"/>
      <c r="C61" s="43"/>
      <c r="D61" s="43"/>
      <c r="E61" s="43"/>
      <c r="F61" s="43"/>
      <c r="G61" s="43">
        <v>1</v>
      </c>
      <c r="H61" s="11">
        <f t="shared" si="6"/>
        <v>10.25</v>
      </c>
      <c r="I61" s="11">
        <f t="shared" si="7"/>
        <v>44.25</v>
      </c>
      <c r="J61" s="11">
        <f t="shared" si="8"/>
        <v>54.5</v>
      </c>
    </row>
    <row r="62" spans="1:10" s="44" customFormat="1" ht="12" customHeight="1" x14ac:dyDescent="0.25">
      <c r="A62" s="23" t="s">
        <v>95</v>
      </c>
      <c r="B62" s="43">
        <v>1.25</v>
      </c>
      <c r="C62" s="43">
        <v>1.25</v>
      </c>
      <c r="D62" s="43"/>
      <c r="E62" s="43"/>
      <c r="F62" s="43"/>
      <c r="G62" s="43"/>
      <c r="H62" s="11">
        <f t="shared" si="6"/>
        <v>11.5</v>
      </c>
      <c r="I62" s="11">
        <f t="shared" si="7"/>
        <v>45.5</v>
      </c>
      <c r="J62" s="11">
        <f t="shared" si="8"/>
        <v>57</v>
      </c>
    </row>
    <row r="63" spans="1:10" s="44" customFormat="1" ht="12" customHeight="1" x14ac:dyDescent="0.25">
      <c r="A63" s="23" t="s">
        <v>96</v>
      </c>
      <c r="B63" s="43"/>
      <c r="C63" s="43"/>
      <c r="D63" s="43"/>
      <c r="E63" s="43">
        <v>2</v>
      </c>
      <c r="F63" s="43"/>
      <c r="G63" s="43"/>
      <c r="H63" s="11">
        <f t="shared" si="6"/>
        <v>11.5</v>
      </c>
      <c r="I63" s="11">
        <f t="shared" si="7"/>
        <v>43.5</v>
      </c>
      <c r="J63" s="11">
        <f t="shared" si="8"/>
        <v>55</v>
      </c>
    </row>
    <row r="64" spans="1:10" s="44" customFormat="1" ht="15.75" customHeight="1" x14ac:dyDescent="0.25">
      <c r="A64" s="23" t="s">
        <v>102</v>
      </c>
      <c r="B64" s="43">
        <v>1.25</v>
      </c>
      <c r="C64" s="43">
        <v>1.25</v>
      </c>
      <c r="D64" s="43"/>
      <c r="E64" s="43"/>
      <c r="F64" s="43"/>
      <c r="G64" s="43"/>
      <c r="H64" s="11">
        <f t="shared" si="6"/>
        <v>12.75</v>
      </c>
      <c r="I64" s="11">
        <f t="shared" si="7"/>
        <v>44.75</v>
      </c>
      <c r="J64" s="11">
        <f t="shared" si="8"/>
        <v>57.5</v>
      </c>
    </row>
    <row r="65" spans="1:10" s="44" customFormat="1" ht="13.5" customHeight="1" x14ac:dyDescent="0.25">
      <c r="A65" s="23" t="s">
        <v>97</v>
      </c>
      <c r="B65" s="43"/>
      <c r="C65" s="43"/>
      <c r="D65" s="43"/>
      <c r="E65" s="43">
        <v>1</v>
      </c>
      <c r="F65" s="43"/>
      <c r="G65" s="43"/>
      <c r="H65" s="11">
        <f t="shared" si="6"/>
        <v>12.75</v>
      </c>
      <c r="I65" s="11">
        <f t="shared" si="7"/>
        <v>43.75</v>
      </c>
      <c r="J65" s="11">
        <f t="shared" si="8"/>
        <v>56.5</v>
      </c>
    </row>
    <row r="66" spans="1:10" s="44" customFormat="1" ht="12" customHeight="1" x14ac:dyDescent="0.25">
      <c r="A66" s="23" t="s">
        <v>98</v>
      </c>
      <c r="B66" s="43"/>
      <c r="C66" s="43"/>
      <c r="D66" s="43"/>
      <c r="E66" s="43">
        <v>1</v>
      </c>
      <c r="F66" s="43"/>
      <c r="G66" s="43"/>
      <c r="H66" s="11">
        <f t="shared" si="6"/>
        <v>12.75</v>
      </c>
      <c r="I66" s="11">
        <f t="shared" si="7"/>
        <v>42.75</v>
      </c>
      <c r="J66" s="11">
        <f t="shared" si="8"/>
        <v>55.5</v>
      </c>
    </row>
    <row r="67" spans="1:10" s="44" customFormat="1" ht="12" customHeight="1" x14ac:dyDescent="0.25">
      <c r="A67" s="23" t="s">
        <v>99</v>
      </c>
      <c r="B67" s="43">
        <v>1.25</v>
      </c>
      <c r="C67" s="43">
        <v>1.25</v>
      </c>
      <c r="D67" s="43"/>
      <c r="E67" s="43"/>
      <c r="F67" s="43"/>
      <c r="G67" s="43"/>
      <c r="H67" s="11">
        <f t="shared" si="6"/>
        <v>14</v>
      </c>
      <c r="I67" s="11">
        <f t="shared" si="7"/>
        <v>44</v>
      </c>
      <c r="J67" s="11">
        <f t="shared" si="8"/>
        <v>58</v>
      </c>
    </row>
    <row r="68" spans="1:10" s="44" customFormat="1" ht="12" customHeight="1" x14ac:dyDescent="0.25">
      <c r="A68" s="23" t="s">
        <v>100</v>
      </c>
      <c r="B68" s="43"/>
      <c r="C68" s="43"/>
      <c r="D68" s="43"/>
      <c r="E68" s="43">
        <v>12</v>
      </c>
      <c r="F68" s="43"/>
      <c r="G68" s="43"/>
      <c r="H68" s="11">
        <f t="shared" si="6"/>
        <v>14</v>
      </c>
      <c r="I68" s="11">
        <f t="shared" si="7"/>
        <v>32</v>
      </c>
      <c r="J68" s="11">
        <f t="shared" si="8"/>
        <v>46</v>
      </c>
    </row>
    <row r="69" spans="1:10" s="44" customFormat="1" ht="12" customHeight="1" x14ac:dyDescent="0.25">
      <c r="A69" s="23" t="s">
        <v>108</v>
      </c>
      <c r="B69" s="43">
        <v>1.25</v>
      </c>
      <c r="C69" s="43">
        <v>1.25</v>
      </c>
      <c r="D69" s="43"/>
      <c r="E69" s="43"/>
      <c r="F69" s="43"/>
      <c r="G69" s="43"/>
      <c r="H69" s="11">
        <f t="shared" si="6"/>
        <v>15.25</v>
      </c>
      <c r="I69" s="11">
        <f t="shared" si="7"/>
        <v>33.25</v>
      </c>
      <c r="J69" s="11">
        <f t="shared" si="8"/>
        <v>48.5</v>
      </c>
    </row>
    <row r="70" spans="1:10" s="44" customFormat="1" ht="12" customHeight="1" x14ac:dyDescent="0.25">
      <c r="A70" s="23" t="s">
        <v>101</v>
      </c>
      <c r="B70" s="43"/>
      <c r="C70" s="43"/>
      <c r="D70" s="43">
        <v>13</v>
      </c>
      <c r="E70" s="43"/>
      <c r="F70" s="43"/>
      <c r="G70" s="43"/>
      <c r="H70" s="11">
        <f t="shared" si="6"/>
        <v>2.25</v>
      </c>
      <c r="I70" s="11">
        <f t="shared" si="7"/>
        <v>33.25</v>
      </c>
      <c r="J70" s="11">
        <f t="shared" si="8"/>
        <v>35.5</v>
      </c>
    </row>
    <row r="71" spans="1:10" s="44" customFormat="1" ht="12" customHeight="1" x14ac:dyDescent="0.25">
      <c r="A71" s="23" t="s">
        <v>103</v>
      </c>
      <c r="B71" s="43"/>
      <c r="C71" s="43"/>
      <c r="D71" s="43"/>
      <c r="E71" s="43"/>
      <c r="F71" s="43">
        <v>1</v>
      </c>
      <c r="G71" s="43"/>
      <c r="H71" s="11">
        <f t="shared" si="6"/>
        <v>1.25</v>
      </c>
      <c r="I71" s="11">
        <f t="shared" si="7"/>
        <v>33.25</v>
      </c>
      <c r="J71" s="11">
        <f t="shared" si="8"/>
        <v>34.5</v>
      </c>
    </row>
    <row r="72" spans="1:10" s="44" customFormat="1" ht="12" customHeight="1" x14ac:dyDescent="0.25">
      <c r="A72" s="23" t="s">
        <v>104</v>
      </c>
      <c r="B72" s="43"/>
      <c r="C72" s="43"/>
      <c r="D72" s="43"/>
      <c r="E72" s="43"/>
      <c r="F72" s="43"/>
      <c r="G72" s="43">
        <v>1</v>
      </c>
      <c r="H72" s="11">
        <f t="shared" si="6"/>
        <v>1.25</v>
      </c>
      <c r="I72" s="11">
        <f t="shared" si="7"/>
        <v>33.25</v>
      </c>
      <c r="J72" s="11">
        <f t="shared" si="8"/>
        <v>34.5</v>
      </c>
    </row>
    <row r="73" spans="1:10" s="44" customFormat="1" ht="12" customHeight="1" x14ac:dyDescent="0.25">
      <c r="A73" s="23" t="s">
        <v>105</v>
      </c>
      <c r="B73" s="43">
        <v>1.25</v>
      </c>
      <c r="C73" s="43">
        <v>1.25</v>
      </c>
      <c r="D73" s="43"/>
      <c r="E73" s="43"/>
      <c r="F73" s="43"/>
      <c r="G73" s="43"/>
      <c r="H73" s="11">
        <f t="shared" si="6"/>
        <v>2.5</v>
      </c>
      <c r="I73" s="11">
        <f t="shared" si="7"/>
        <v>34.5</v>
      </c>
      <c r="J73" s="11">
        <f t="shared" si="8"/>
        <v>37</v>
      </c>
    </row>
    <row r="74" spans="1:10" s="44" customFormat="1" ht="12" customHeight="1" x14ac:dyDescent="0.25">
      <c r="A74" s="23" t="s">
        <v>106</v>
      </c>
      <c r="B74" s="43"/>
      <c r="C74" s="43"/>
      <c r="D74" s="43"/>
      <c r="E74" s="43"/>
      <c r="F74" s="43">
        <v>1</v>
      </c>
      <c r="G74" s="43"/>
      <c r="H74" s="11">
        <f t="shared" si="6"/>
        <v>1.5</v>
      </c>
      <c r="I74" s="11">
        <f t="shared" si="7"/>
        <v>34.5</v>
      </c>
      <c r="J74" s="11">
        <f t="shared" si="8"/>
        <v>36</v>
      </c>
    </row>
    <row r="75" spans="1:10" s="44" customFormat="1" ht="12" customHeight="1" x14ac:dyDescent="0.25">
      <c r="A75" s="23" t="s">
        <v>107</v>
      </c>
      <c r="B75" s="43"/>
      <c r="C75" s="43"/>
      <c r="D75" s="43"/>
      <c r="E75" s="43"/>
      <c r="F75" s="43">
        <v>1</v>
      </c>
      <c r="G75" s="43"/>
      <c r="H75" s="11">
        <f t="shared" si="6"/>
        <v>0.5</v>
      </c>
      <c r="I75" s="11">
        <f t="shared" si="7"/>
        <v>34.5</v>
      </c>
      <c r="J75" s="11">
        <f t="shared" si="8"/>
        <v>35</v>
      </c>
    </row>
    <row r="76" spans="1:10" s="44" customFormat="1" ht="12" customHeight="1" x14ac:dyDescent="0.25">
      <c r="A76" s="23" t="s">
        <v>109</v>
      </c>
      <c r="B76" s="43">
        <v>1.25</v>
      </c>
      <c r="C76" s="43">
        <v>1.25</v>
      </c>
      <c r="D76" s="43"/>
      <c r="E76" s="43"/>
      <c r="F76" s="43"/>
      <c r="G76" s="43"/>
      <c r="H76" s="11">
        <f t="shared" si="6"/>
        <v>1.75</v>
      </c>
      <c r="I76" s="11">
        <f t="shared" si="7"/>
        <v>35.75</v>
      </c>
      <c r="J76" s="11">
        <f t="shared" si="8"/>
        <v>37.5</v>
      </c>
    </row>
    <row r="77" spans="1:10" s="44" customFormat="1" ht="12" customHeight="1" x14ac:dyDescent="0.25">
      <c r="A77" s="23" t="s">
        <v>110</v>
      </c>
      <c r="B77" s="43"/>
      <c r="C77" s="43"/>
      <c r="D77" s="43"/>
      <c r="E77" s="43">
        <v>2</v>
      </c>
      <c r="F77" s="43"/>
      <c r="G77" s="43"/>
      <c r="H77" s="11">
        <f t="shared" si="6"/>
        <v>1.75</v>
      </c>
      <c r="I77" s="11">
        <f t="shared" si="7"/>
        <v>33.75</v>
      </c>
      <c r="J77" s="11">
        <f t="shared" si="8"/>
        <v>35.5</v>
      </c>
    </row>
    <row r="78" spans="1:10" s="44" customFormat="1" ht="12" customHeight="1" x14ac:dyDescent="0.25">
      <c r="A78" s="23" t="s">
        <v>115</v>
      </c>
      <c r="B78" s="43">
        <v>1.25</v>
      </c>
      <c r="C78" s="43">
        <v>1.25</v>
      </c>
      <c r="D78" s="43"/>
      <c r="E78" s="43"/>
      <c r="F78" s="43"/>
      <c r="G78" s="43"/>
      <c r="H78" s="11">
        <f t="shared" si="6"/>
        <v>3</v>
      </c>
      <c r="I78" s="11">
        <f t="shared" si="7"/>
        <v>35</v>
      </c>
      <c r="J78" s="11">
        <f t="shared" si="8"/>
        <v>38</v>
      </c>
    </row>
    <row r="79" spans="1:10" s="44" customFormat="1" ht="12" customHeight="1" x14ac:dyDescent="0.25">
      <c r="A79" s="23" t="s">
        <v>116</v>
      </c>
      <c r="B79" s="43"/>
      <c r="C79" s="43"/>
      <c r="D79" s="43"/>
      <c r="E79" s="43">
        <v>2</v>
      </c>
      <c r="F79" s="43"/>
      <c r="G79" s="43"/>
      <c r="H79" s="11">
        <f t="shared" si="6"/>
        <v>3</v>
      </c>
      <c r="I79" s="11">
        <f t="shared" si="7"/>
        <v>33</v>
      </c>
      <c r="J79" s="11">
        <f t="shared" si="8"/>
        <v>36</v>
      </c>
    </row>
    <row r="80" spans="1:10" s="44" customFormat="1" ht="12" customHeight="1" x14ac:dyDescent="0.25">
      <c r="A80" s="23" t="s">
        <v>117</v>
      </c>
      <c r="B80" s="43"/>
      <c r="C80" s="43"/>
      <c r="D80" s="43"/>
      <c r="E80" s="43">
        <v>2</v>
      </c>
      <c r="F80" s="43"/>
      <c r="G80" s="43"/>
      <c r="H80" s="11">
        <f>H79-F80-D80+B80</f>
        <v>3</v>
      </c>
      <c r="I80" s="11">
        <f>I79-E80+C80</f>
        <v>31</v>
      </c>
      <c r="J80" s="11">
        <f>SUM(H80:I80)</f>
        <v>34</v>
      </c>
    </row>
    <row r="81" spans="1:10" s="44" customFormat="1" ht="12" customHeight="1" x14ac:dyDescent="0.25">
      <c r="A81" s="23" t="s">
        <v>118</v>
      </c>
      <c r="B81" s="43"/>
      <c r="C81" s="43"/>
      <c r="D81" s="43"/>
      <c r="E81" s="43"/>
      <c r="F81" s="43">
        <v>1</v>
      </c>
      <c r="G81" s="43"/>
      <c r="H81" s="11">
        <f t="shared" ref="H81:H97" si="9">H80-F81-D81+B81</f>
        <v>2</v>
      </c>
      <c r="I81" s="11">
        <f t="shared" ref="I81:I97" si="10">I80-E81+C81</f>
        <v>31</v>
      </c>
      <c r="J81" s="11">
        <f t="shared" ref="J81:J97" si="11">SUM(H81:I81)</f>
        <v>33</v>
      </c>
    </row>
    <row r="82" spans="1:10" s="44" customFormat="1" ht="12" customHeight="1" x14ac:dyDescent="0.25">
      <c r="A82" s="23" t="s">
        <v>119</v>
      </c>
      <c r="B82" s="43">
        <v>1.25</v>
      </c>
      <c r="C82" s="43">
        <v>1.25</v>
      </c>
      <c r="D82" s="43"/>
      <c r="E82" s="43"/>
      <c r="F82" s="43"/>
      <c r="G82" s="43"/>
      <c r="H82" s="11">
        <f t="shared" si="9"/>
        <v>3.25</v>
      </c>
      <c r="I82" s="11">
        <f t="shared" si="10"/>
        <v>32.25</v>
      </c>
      <c r="J82" s="11">
        <f t="shared" si="11"/>
        <v>35.5</v>
      </c>
    </row>
    <row r="83" spans="1:10" s="44" customFormat="1" ht="12" customHeight="1" x14ac:dyDescent="0.25">
      <c r="A83" s="23" t="s">
        <v>120</v>
      </c>
      <c r="B83" s="43"/>
      <c r="C83" s="43"/>
      <c r="D83" s="43"/>
      <c r="E83" s="43">
        <v>1</v>
      </c>
      <c r="F83" s="43"/>
      <c r="G83" s="43"/>
      <c r="H83" s="11">
        <f t="shared" si="9"/>
        <v>3.25</v>
      </c>
      <c r="I83" s="11">
        <f t="shared" si="10"/>
        <v>31.25</v>
      </c>
      <c r="J83" s="11">
        <f t="shared" si="11"/>
        <v>34.5</v>
      </c>
    </row>
    <row r="84" spans="1:10" s="44" customFormat="1" ht="12" customHeight="1" x14ac:dyDescent="0.25">
      <c r="A84" s="23" t="s">
        <v>121</v>
      </c>
      <c r="B84" s="43"/>
      <c r="C84" s="43"/>
      <c r="D84" s="43"/>
      <c r="E84" s="43"/>
      <c r="F84" s="53">
        <v>2</v>
      </c>
      <c r="G84" s="43"/>
      <c r="H84" s="11">
        <f t="shared" si="9"/>
        <v>1.25</v>
      </c>
      <c r="I84" s="11">
        <f t="shared" si="10"/>
        <v>31.25</v>
      </c>
      <c r="J84" s="11">
        <f t="shared" si="11"/>
        <v>32.5</v>
      </c>
    </row>
    <row r="85" spans="1:10" s="44" customFormat="1" ht="12" customHeight="1" x14ac:dyDescent="0.25">
      <c r="A85" s="23" t="s">
        <v>122</v>
      </c>
      <c r="B85" s="43"/>
      <c r="C85" s="43"/>
      <c r="D85" s="43">
        <v>0.5</v>
      </c>
      <c r="E85" s="43"/>
      <c r="F85" s="43"/>
      <c r="G85" s="43"/>
      <c r="H85" s="11">
        <f t="shared" si="9"/>
        <v>0.75</v>
      </c>
      <c r="I85" s="11">
        <f t="shared" si="10"/>
        <v>31.25</v>
      </c>
      <c r="J85" s="11">
        <f t="shared" si="11"/>
        <v>32</v>
      </c>
    </row>
    <row r="86" spans="1:10" s="44" customFormat="1" ht="12" customHeight="1" x14ac:dyDescent="0.25">
      <c r="A86" s="23" t="s">
        <v>123</v>
      </c>
      <c r="B86" s="43">
        <v>1.25</v>
      </c>
      <c r="C86" s="43">
        <v>1.25</v>
      </c>
      <c r="D86" s="43"/>
      <c r="E86" s="43"/>
      <c r="F86" s="43"/>
      <c r="G86" s="43"/>
      <c r="H86" s="11">
        <f t="shared" si="9"/>
        <v>2</v>
      </c>
      <c r="I86" s="11">
        <f t="shared" si="10"/>
        <v>32.5</v>
      </c>
      <c r="J86" s="11">
        <f t="shared" si="11"/>
        <v>34.5</v>
      </c>
    </row>
    <row r="87" spans="1:10" s="44" customFormat="1" ht="12" customHeight="1" x14ac:dyDescent="0.25">
      <c r="A87" s="23" t="s">
        <v>124</v>
      </c>
      <c r="B87" s="43"/>
      <c r="C87" s="43"/>
      <c r="D87" s="43"/>
      <c r="E87" s="43">
        <v>3</v>
      </c>
      <c r="F87" s="43"/>
      <c r="G87" s="43"/>
      <c r="H87" s="11">
        <f t="shared" si="9"/>
        <v>2</v>
      </c>
      <c r="I87" s="11">
        <f t="shared" si="10"/>
        <v>29.5</v>
      </c>
      <c r="J87" s="11">
        <f t="shared" si="11"/>
        <v>31.5</v>
      </c>
    </row>
    <row r="88" spans="1:10" s="44" customFormat="1" ht="12" customHeight="1" x14ac:dyDescent="0.25">
      <c r="A88" s="23" t="s">
        <v>125</v>
      </c>
      <c r="B88" s="43"/>
      <c r="C88" s="43"/>
      <c r="D88" s="43"/>
      <c r="E88" s="43">
        <v>1</v>
      </c>
      <c r="F88" s="43"/>
      <c r="G88" s="43"/>
      <c r="H88" s="11">
        <f t="shared" si="9"/>
        <v>2</v>
      </c>
      <c r="I88" s="11">
        <f t="shared" si="10"/>
        <v>28.5</v>
      </c>
      <c r="J88" s="11">
        <f t="shared" si="11"/>
        <v>30.5</v>
      </c>
    </row>
    <row r="89" spans="1:10" s="44" customFormat="1" ht="12" customHeight="1" x14ac:dyDescent="0.25">
      <c r="A89" s="23" t="s">
        <v>126</v>
      </c>
      <c r="B89" s="43">
        <v>1.25</v>
      </c>
      <c r="C89" s="43">
        <v>1.25</v>
      </c>
      <c r="D89" s="43"/>
      <c r="E89" s="43"/>
      <c r="F89" s="43"/>
      <c r="G89" s="43"/>
      <c r="H89" s="11">
        <f t="shared" si="9"/>
        <v>3.25</v>
      </c>
      <c r="I89" s="11">
        <f t="shared" si="10"/>
        <v>29.75</v>
      </c>
      <c r="J89" s="11">
        <f t="shared" si="11"/>
        <v>33</v>
      </c>
    </row>
    <row r="90" spans="1:10" s="44" customFormat="1" ht="12" customHeight="1" x14ac:dyDescent="0.25">
      <c r="A90" s="23" t="s">
        <v>127</v>
      </c>
      <c r="B90" s="43"/>
      <c r="C90" s="43"/>
      <c r="D90" s="43"/>
      <c r="E90" s="43">
        <v>1</v>
      </c>
      <c r="F90" s="43"/>
      <c r="G90" s="43"/>
      <c r="H90" s="11">
        <f t="shared" si="9"/>
        <v>3.25</v>
      </c>
      <c r="I90" s="11">
        <f t="shared" si="10"/>
        <v>28.75</v>
      </c>
      <c r="J90" s="11">
        <f t="shared" si="11"/>
        <v>32</v>
      </c>
    </row>
    <row r="91" spans="1:10" s="44" customFormat="1" ht="12" customHeight="1" x14ac:dyDescent="0.25">
      <c r="A91" s="23" t="s">
        <v>128</v>
      </c>
      <c r="B91" s="43"/>
      <c r="C91" s="43"/>
      <c r="D91" s="43"/>
      <c r="E91" s="43">
        <v>1</v>
      </c>
      <c r="F91" s="43"/>
      <c r="G91" s="43"/>
      <c r="H91" s="11">
        <f t="shared" si="9"/>
        <v>3.25</v>
      </c>
      <c r="I91" s="11">
        <f t="shared" si="10"/>
        <v>27.75</v>
      </c>
      <c r="J91" s="11">
        <f t="shared" si="11"/>
        <v>31</v>
      </c>
    </row>
    <row r="92" spans="1:10" s="44" customFormat="1" ht="12" customHeight="1" x14ac:dyDescent="0.25">
      <c r="A92" s="23" t="s">
        <v>129</v>
      </c>
      <c r="B92" s="43"/>
      <c r="C92" s="43"/>
      <c r="D92" s="43"/>
      <c r="E92" s="43">
        <v>1</v>
      </c>
      <c r="F92" s="43"/>
      <c r="G92" s="43"/>
      <c r="H92" s="11">
        <f t="shared" si="9"/>
        <v>3.25</v>
      </c>
      <c r="I92" s="11">
        <f t="shared" si="10"/>
        <v>26.75</v>
      </c>
      <c r="J92" s="11">
        <f t="shared" si="11"/>
        <v>30</v>
      </c>
    </row>
    <row r="93" spans="1:10" s="44" customFormat="1" ht="12" customHeight="1" x14ac:dyDescent="0.25">
      <c r="A93" s="23" t="s">
        <v>130</v>
      </c>
      <c r="B93" s="43">
        <v>1.25</v>
      </c>
      <c r="C93" s="43">
        <v>1.25</v>
      </c>
      <c r="D93" s="43"/>
      <c r="E93" s="43"/>
      <c r="F93" s="43"/>
      <c r="G93" s="43"/>
      <c r="H93" s="11">
        <f t="shared" si="9"/>
        <v>4.5</v>
      </c>
      <c r="I93" s="11">
        <f t="shared" si="10"/>
        <v>28</v>
      </c>
      <c r="J93" s="11">
        <f t="shared" si="11"/>
        <v>32.5</v>
      </c>
    </row>
    <row r="94" spans="1:10" s="44" customFormat="1" ht="12" customHeight="1" x14ac:dyDescent="0.25">
      <c r="A94" s="23" t="s">
        <v>131</v>
      </c>
      <c r="B94" s="43"/>
      <c r="C94" s="43"/>
      <c r="D94" s="43"/>
      <c r="E94" s="43">
        <v>2</v>
      </c>
      <c r="F94" s="43"/>
      <c r="G94" s="43"/>
      <c r="H94" s="11">
        <f t="shared" si="9"/>
        <v>4.5</v>
      </c>
      <c r="I94" s="11">
        <f t="shared" si="10"/>
        <v>26</v>
      </c>
      <c r="J94" s="11">
        <f t="shared" si="11"/>
        <v>30.5</v>
      </c>
    </row>
    <row r="95" spans="1:10" s="44" customFormat="1" ht="12" customHeight="1" x14ac:dyDescent="0.25">
      <c r="A95" s="23" t="s">
        <v>132</v>
      </c>
      <c r="B95" s="43">
        <v>2.5</v>
      </c>
      <c r="C95" s="43">
        <v>2.5</v>
      </c>
      <c r="D95" s="43"/>
      <c r="E95" s="43"/>
      <c r="F95" s="43"/>
      <c r="G95" s="43"/>
      <c r="H95" s="11">
        <f t="shared" si="9"/>
        <v>7</v>
      </c>
      <c r="I95" s="11">
        <f t="shared" si="10"/>
        <v>28.5</v>
      </c>
      <c r="J95" s="11">
        <f t="shared" si="11"/>
        <v>35.5</v>
      </c>
    </row>
    <row r="96" spans="1:10" s="44" customFormat="1" ht="12" customHeight="1" x14ac:dyDescent="0.25">
      <c r="A96" s="23" t="s">
        <v>133</v>
      </c>
      <c r="B96" s="43"/>
      <c r="C96" s="43"/>
      <c r="D96" s="43"/>
      <c r="E96" s="43"/>
      <c r="F96" s="43"/>
      <c r="G96" s="56">
        <v>1</v>
      </c>
      <c r="H96" s="11">
        <f t="shared" si="9"/>
        <v>7</v>
      </c>
      <c r="I96" s="11">
        <f t="shared" si="10"/>
        <v>28.5</v>
      </c>
      <c r="J96" s="11">
        <f t="shared" si="11"/>
        <v>35.5</v>
      </c>
    </row>
    <row r="97" spans="1:11" s="44" customFormat="1" ht="12" customHeight="1" x14ac:dyDescent="0.25">
      <c r="A97" s="23" t="s">
        <v>134</v>
      </c>
      <c r="B97" s="43"/>
      <c r="C97" s="43"/>
      <c r="D97" s="43"/>
      <c r="E97" s="43">
        <v>1</v>
      </c>
      <c r="F97" s="43"/>
      <c r="G97" s="43"/>
      <c r="H97" s="11">
        <f t="shared" si="9"/>
        <v>7</v>
      </c>
      <c r="I97" s="11">
        <f t="shared" si="10"/>
        <v>27.5</v>
      </c>
      <c r="J97" s="11">
        <f t="shared" si="11"/>
        <v>34.5</v>
      </c>
    </row>
    <row r="98" spans="1:11" s="44" customFormat="1" ht="12" customHeight="1" x14ac:dyDescent="0.25">
      <c r="A98" s="23" t="s">
        <v>144</v>
      </c>
      <c r="B98" s="43">
        <v>1.25</v>
      </c>
      <c r="C98" s="43">
        <v>1.25</v>
      </c>
      <c r="D98" s="43"/>
      <c r="E98" s="43"/>
      <c r="F98" s="43"/>
      <c r="G98" s="43"/>
      <c r="H98" s="11">
        <f t="shared" ref="H98:H99" si="12">H97-F98-D98+B98</f>
        <v>8.25</v>
      </c>
      <c r="I98" s="11">
        <f t="shared" ref="I98:I99" si="13">I97-E98+C98</f>
        <v>28.75</v>
      </c>
      <c r="J98" s="11">
        <f t="shared" ref="J98:J99" si="14">SUM(H98:I98)</f>
        <v>37</v>
      </c>
    </row>
    <row r="99" spans="1:11" s="44" customFormat="1" ht="12" customHeight="1" x14ac:dyDescent="0.25">
      <c r="A99" s="23" t="s">
        <v>145</v>
      </c>
      <c r="B99" s="43"/>
      <c r="C99" s="43"/>
      <c r="D99" s="43"/>
      <c r="E99" s="43">
        <v>1</v>
      </c>
      <c r="F99" s="43"/>
      <c r="G99" s="43"/>
      <c r="H99" s="11">
        <f t="shared" si="12"/>
        <v>8.25</v>
      </c>
      <c r="I99" s="11">
        <f t="shared" si="13"/>
        <v>27.75</v>
      </c>
      <c r="J99" s="11">
        <f t="shared" si="14"/>
        <v>36</v>
      </c>
    </row>
    <row r="100" spans="1:11" s="44" customFormat="1" ht="12" customHeight="1" x14ac:dyDescent="0.25">
      <c r="A100" s="23" t="s">
        <v>146</v>
      </c>
      <c r="B100" s="43">
        <v>1.25</v>
      </c>
      <c r="C100" s="43">
        <v>1.25</v>
      </c>
      <c r="D100" s="43"/>
      <c r="E100" s="43"/>
      <c r="F100" s="43"/>
      <c r="G100" s="43"/>
      <c r="H100" s="11">
        <f t="shared" ref="H100:H101" si="15">H99-F100-D100+B100</f>
        <v>9.5</v>
      </c>
      <c r="I100" s="11">
        <f t="shared" ref="I100:I101" si="16">I99-E100+C100</f>
        <v>29</v>
      </c>
      <c r="J100" s="11">
        <f t="shared" ref="J100:J101" si="17">SUM(H100:I100)</f>
        <v>38.5</v>
      </c>
    </row>
    <row r="101" spans="1:11" s="44" customFormat="1" ht="12" customHeight="1" x14ac:dyDescent="0.25">
      <c r="A101" s="23" t="s">
        <v>147</v>
      </c>
      <c r="B101" s="43"/>
      <c r="C101" s="43"/>
      <c r="D101" s="43"/>
      <c r="E101" s="43"/>
      <c r="F101" s="43"/>
      <c r="G101" s="56">
        <v>1</v>
      </c>
      <c r="H101" s="11">
        <f t="shared" si="15"/>
        <v>9.5</v>
      </c>
      <c r="I101" s="11">
        <f t="shared" si="16"/>
        <v>29</v>
      </c>
      <c r="J101" s="11">
        <f t="shared" si="17"/>
        <v>38.5</v>
      </c>
    </row>
    <row r="102" spans="1:11" s="44" customFormat="1" ht="12" customHeight="1" x14ac:dyDescent="0.25">
      <c r="A102" s="23" t="s">
        <v>151</v>
      </c>
      <c r="B102" s="43">
        <v>1.25</v>
      </c>
      <c r="C102" s="43">
        <v>1.25</v>
      </c>
      <c r="D102" s="43"/>
      <c r="E102" s="43"/>
      <c r="F102" s="43"/>
      <c r="G102" s="43"/>
      <c r="H102" s="11">
        <f t="shared" ref="H102:H103" si="18">H101-F102-D102+B102</f>
        <v>10.75</v>
      </c>
      <c r="I102" s="11">
        <f t="shared" ref="I102:I103" si="19">I101-E102+C102</f>
        <v>30.25</v>
      </c>
      <c r="J102" s="11">
        <f t="shared" ref="J102:J103" si="20">SUM(H102:I102)</f>
        <v>41</v>
      </c>
    </row>
    <row r="103" spans="1:11" s="44" customFormat="1" ht="12" customHeight="1" x14ac:dyDescent="0.25">
      <c r="A103" s="23" t="s">
        <v>152</v>
      </c>
      <c r="B103" s="43"/>
      <c r="C103" s="43"/>
      <c r="D103" s="43"/>
      <c r="E103" s="43">
        <v>1</v>
      </c>
      <c r="F103" s="43"/>
      <c r="G103" s="43"/>
      <c r="H103" s="11">
        <f t="shared" si="18"/>
        <v>10.75</v>
      </c>
      <c r="I103" s="11">
        <f t="shared" si="19"/>
        <v>29.25</v>
      </c>
      <c r="J103" s="11">
        <f t="shared" si="20"/>
        <v>40</v>
      </c>
    </row>
    <row r="104" spans="1:11" s="44" customFormat="1" ht="12" customHeight="1" x14ac:dyDescent="0.25">
      <c r="A104" s="23" t="s">
        <v>154</v>
      </c>
      <c r="B104" s="43">
        <v>1.25</v>
      </c>
      <c r="C104" s="43">
        <v>1.25</v>
      </c>
      <c r="D104" s="43"/>
      <c r="E104" s="43"/>
      <c r="F104" s="43"/>
      <c r="G104" s="43"/>
      <c r="H104" s="11">
        <f t="shared" ref="H104:H105" si="21">H103-F104-D104+B104</f>
        <v>12</v>
      </c>
      <c r="I104" s="11">
        <f t="shared" ref="I104:I105" si="22">I103-E104+C104</f>
        <v>30.5</v>
      </c>
      <c r="J104" s="11">
        <f t="shared" ref="J104:J105" si="23">SUM(H104:I104)</f>
        <v>42.5</v>
      </c>
    </row>
    <row r="105" spans="1:11" s="44" customFormat="1" ht="12" customHeight="1" x14ac:dyDescent="0.25">
      <c r="A105" s="23" t="s">
        <v>155</v>
      </c>
      <c r="B105" s="43"/>
      <c r="C105" s="43"/>
      <c r="D105" s="43"/>
      <c r="E105" s="43">
        <v>2</v>
      </c>
      <c r="F105" s="43"/>
      <c r="G105" s="43"/>
      <c r="H105" s="11">
        <f t="shared" si="21"/>
        <v>12</v>
      </c>
      <c r="I105" s="11">
        <f t="shared" si="22"/>
        <v>28.5</v>
      </c>
      <c r="J105" s="11">
        <f t="shared" si="23"/>
        <v>40.5</v>
      </c>
    </row>
    <row r="106" spans="1:11" s="44" customFormat="1" ht="15.75" customHeight="1" x14ac:dyDescent="0.25">
      <c r="A106" s="23" t="s">
        <v>156</v>
      </c>
      <c r="B106" s="43">
        <v>1.25</v>
      </c>
      <c r="C106" s="43">
        <v>1.25</v>
      </c>
      <c r="D106" s="43"/>
      <c r="E106" s="43"/>
      <c r="F106" s="43"/>
      <c r="G106" s="43"/>
      <c r="H106" s="11">
        <f t="shared" ref="H106:H107" si="24">H105-F106-D106+B106</f>
        <v>13.25</v>
      </c>
      <c r="I106" s="11">
        <f t="shared" ref="I106:I107" si="25">I105-E106+C106</f>
        <v>29.75</v>
      </c>
      <c r="J106" s="11">
        <f t="shared" ref="J106:J107" si="26">SUM(H106:I106)</f>
        <v>43</v>
      </c>
    </row>
    <row r="107" spans="1:11" s="44" customFormat="1" ht="15" customHeight="1" x14ac:dyDescent="0.25">
      <c r="A107" s="23" t="s">
        <v>157</v>
      </c>
      <c r="B107" s="43"/>
      <c r="C107" s="43"/>
      <c r="D107" s="43"/>
      <c r="E107" s="43"/>
      <c r="F107" s="43"/>
      <c r="G107" s="56">
        <v>1</v>
      </c>
      <c r="H107" s="11">
        <f t="shared" si="24"/>
        <v>13.25</v>
      </c>
      <c r="I107" s="11">
        <f t="shared" si="25"/>
        <v>29.75</v>
      </c>
      <c r="J107" s="11">
        <f t="shared" si="26"/>
        <v>43</v>
      </c>
    </row>
    <row r="108" spans="1:11" s="44" customFormat="1" ht="15" customHeight="1" x14ac:dyDescent="0.25">
      <c r="A108" s="23" t="s">
        <v>158</v>
      </c>
      <c r="B108" s="43">
        <v>1.25</v>
      </c>
      <c r="C108" s="43">
        <v>1.25</v>
      </c>
      <c r="D108" s="43"/>
      <c r="E108" s="43"/>
      <c r="F108" s="43"/>
      <c r="G108" s="43"/>
      <c r="H108" s="11">
        <f t="shared" ref="H108:H109" si="27">H107-F108-D108+B108</f>
        <v>14.5</v>
      </c>
      <c r="I108" s="11">
        <f t="shared" ref="I108:I109" si="28">I107-E108+C108</f>
        <v>31</v>
      </c>
      <c r="J108" s="11">
        <f t="shared" ref="J108:J109" si="29">SUM(H108:I108)</f>
        <v>45.5</v>
      </c>
    </row>
    <row r="109" spans="1:11" s="44" customFormat="1" ht="15" customHeight="1" x14ac:dyDescent="0.25">
      <c r="A109" s="93" t="s">
        <v>159</v>
      </c>
      <c r="B109" s="94"/>
      <c r="C109" s="94"/>
      <c r="D109" s="94">
        <v>9.5</v>
      </c>
      <c r="E109" s="94">
        <v>10.5</v>
      </c>
      <c r="F109" s="94"/>
      <c r="G109" s="94"/>
      <c r="H109" s="95">
        <f t="shared" si="27"/>
        <v>5</v>
      </c>
      <c r="I109" s="95">
        <f t="shared" si="28"/>
        <v>20.5</v>
      </c>
      <c r="J109" s="95">
        <f t="shared" si="29"/>
        <v>25.5</v>
      </c>
    </row>
    <row r="110" spans="1:11" s="44" customFormat="1" ht="15" customHeight="1" x14ac:dyDescent="0.25">
      <c r="A110" s="23" t="s">
        <v>160</v>
      </c>
      <c r="B110" s="43"/>
      <c r="C110" s="43"/>
      <c r="D110" s="43"/>
      <c r="E110" s="43"/>
      <c r="F110" s="53">
        <v>3</v>
      </c>
      <c r="G110" s="43"/>
      <c r="H110" s="11">
        <f t="shared" ref="H110" si="30">H109-F110-D110+B110</f>
        <v>2</v>
      </c>
      <c r="I110" s="11">
        <f t="shared" ref="I110" si="31">I109-E110+C110</f>
        <v>20.5</v>
      </c>
      <c r="J110" s="11">
        <f t="shared" ref="J110" si="32">SUM(H110:I110)</f>
        <v>22.5</v>
      </c>
      <c r="K110" s="96" t="s">
        <v>161</v>
      </c>
    </row>
    <row r="111" spans="1:11" s="44" customFormat="1" ht="12" customHeight="1" x14ac:dyDescent="0.25">
      <c r="A111" s="40"/>
      <c r="B111" s="54"/>
      <c r="C111" s="54"/>
      <c r="D111" s="54"/>
      <c r="E111" s="54"/>
      <c r="F111" s="54"/>
      <c r="G111" s="54"/>
      <c r="H111" s="55"/>
      <c r="I111" s="55"/>
      <c r="J111" s="55"/>
    </row>
    <row r="112" spans="1:11" s="44" customFormat="1" ht="12" customHeight="1" x14ac:dyDescent="0.25">
      <c r="A112" s="40"/>
      <c r="B112" s="54"/>
      <c r="C112" s="54"/>
      <c r="D112" s="54"/>
      <c r="E112" s="54"/>
      <c r="F112" s="54"/>
      <c r="G112" s="54"/>
      <c r="H112" s="54"/>
      <c r="I112" s="54"/>
      <c r="J112" s="54"/>
    </row>
    <row r="113" spans="1:10" s="44" customFormat="1" ht="12" customHeight="1" x14ac:dyDescent="0.25">
      <c r="A113" s="40"/>
      <c r="B113" s="54"/>
      <c r="C113" s="54"/>
      <c r="D113" s="54"/>
      <c r="E113" s="54"/>
      <c r="F113" s="54"/>
      <c r="G113" s="54"/>
      <c r="H113" s="55"/>
      <c r="I113" s="55"/>
      <c r="J113" s="55"/>
    </row>
    <row r="117" spans="1:10" s="44" customFormat="1" x14ac:dyDescent="0.25">
      <c r="A117"/>
      <c r="B117"/>
      <c r="C117"/>
      <c r="D117"/>
      <c r="E117"/>
      <c r="F117" s="40" t="s">
        <v>137</v>
      </c>
      <c r="G117" s="40"/>
      <c r="H117"/>
      <c r="I117"/>
      <c r="J117"/>
    </row>
  </sheetData>
  <mergeCells count="13">
    <mergeCell ref="B9:D9"/>
    <mergeCell ref="A2:J2"/>
    <mergeCell ref="A3:J3"/>
    <mergeCell ref="A4:J4"/>
    <mergeCell ref="A5:J5"/>
    <mergeCell ref="B7:D7"/>
    <mergeCell ref="K11:K12"/>
    <mergeCell ref="A10:J10"/>
    <mergeCell ref="A11:A12"/>
    <mergeCell ref="B11:C11"/>
    <mergeCell ref="D11:G11"/>
    <mergeCell ref="H11:I11"/>
    <mergeCell ref="J11:J12"/>
  </mergeCells>
  <printOptions horizontalCentered="1"/>
  <pageMargins left="0.23622047244094491" right="0.23622047244094491" top="0.70866141732283472" bottom="0.51181102362204722" header="0.31496062992125984" footer="0.31496062992125984"/>
  <pageSetup paperSize="9" scale="72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27"/>
  <sheetViews>
    <sheetView view="pageBreakPreview" topLeftCell="A8" zoomScale="112" zoomScaleNormal="100" zoomScaleSheetLayoutView="112" workbookViewId="0">
      <selection activeCell="E25" sqref="E25"/>
    </sheetView>
  </sheetViews>
  <sheetFormatPr defaultColWidth="8.7109375" defaultRowHeight="15" x14ac:dyDescent="0.25"/>
  <cols>
    <col min="1" max="1" width="33.5703125" style="30" customWidth="1"/>
    <col min="2" max="16384" width="8.7109375" style="30"/>
  </cols>
  <sheetData>
    <row r="1" spans="1:12" s="25" customFormat="1" ht="52.5" customHeight="1" x14ac:dyDescent="0.25"/>
    <row r="2" spans="1:12" s="25" customFormat="1" ht="10.5" customHeight="1" x14ac:dyDescent="0.25">
      <c r="A2" s="74" t="s">
        <v>11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</row>
    <row r="3" spans="1:12" s="25" customFormat="1" ht="15.95" customHeight="1" x14ac:dyDescent="0.25">
      <c r="A3" s="74" t="s">
        <v>12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</row>
    <row r="4" spans="1:12" s="25" customFormat="1" ht="15.95" customHeight="1" x14ac:dyDescent="0.25">
      <c r="A4" s="74" t="s">
        <v>13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</row>
    <row r="5" spans="1:12" s="25" customFormat="1" ht="15.95" customHeight="1" x14ac:dyDescent="0.25">
      <c r="A5" s="74" t="s">
        <v>14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s="25" customFormat="1" ht="8.25" customHeight="1" x14ac:dyDescent="0.25"/>
    <row r="7" spans="1:12" s="25" customFormat="1" ht="12" customHeight="1" x14ac:dyDescent="0.25">
      <c r="A7" s="25" t="s">
        <v>33</v>
      </c>
      <c r="C7" s="26" t="s">
        <v>35</v>
      </c>
      <c r="D7" s="26"/>
      <c r="G7" s="26" t="s">
        <v>9</v>
      </c>
      <c r="H7" s="27"/>
    </row>
    <row r="8" spans="1:12" s="25" customFormat="1" ht="12" customHeight="1" x14ac:dyDescent="0.25">
      <c r="C8" s="28"/>
      <c r="G8" s="28"/>
      <c r="H8" s="28"/>
    </row>
    <row r="9" spans="1:12" s="25" customFormat="1" ht="12" customHeight="1" x14ac:dyDescent="0.25">
      <c r="A9" s="25" t="s">
        <v>34</v>
      </c>
      <c r="C9" s="26" t="s">
        <v>36</v>
      </c>
      <c r="D9" s="26"/>
      <c r="G9" s="26" t="s">
        <v>10</v>
      </c>
      <c r="H9" s="29"/>
    </row>
    <row r="10" spans="1:12" ht="16.5" customHeight="1" thickBot="1" x14ac:dyDescent="0.3">
      <c r="A10" s="75" t="s">
        <v>114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</row>
    <row r="11" spans="1:12" s="31" customFormat="1" ht="18.75" customHeight="1" x14ac:dyDescent="0.2">
      <c r="A11" s="81" t="s">
        <v>4</v>
      </c>
      <c r="B11" s="83" t="s">
        <v>5</v>
      </c>
      <c r="C11" s="84"/>
      <c r="D11" s="84"/>
      <c r="E11" s="84"/>
      <c r="F11" s="84"/>
      <c r="G11" s="84"/>
      <c r="H11" s="84"/>
      <c r="I11" s="84"/>
      <c r="J11" s="84"/>
      <c r="K11" s="84"/>
      <c r="L11" s="85" t="s">
        <v>8</v>
      </c>
    </row>
    <row r="12" spans="1:12" s="31" customFormat="1" ht="24" customHeight="1" x14ac:dyDescent="0.2">
      <c r="A12" s="82"/>
      <c r="B12" s="78" t="s">
        <v>57</v>
      </c>
      <c r="C12" s="87"/>
      <c r="D12" s="87"/>
      <c r="E12" s="79"/>
      <c r="F12" s="78" t="s">
        <v>58</v>
      </c>
      <c r="G12" s="79"/>
      <c r="H12" s="78" t="s">
        <v>59</v>
      </c>
      <c r="I12" s="79"/>
      <c r="J12" s="78" t="s">
        <v>60</v>
      </c>
      <c r="K12" s="79"/>
      <c r="L12" s="86"/>
    </row>
    <row r="13" spans="1:12" s="31" customFormat="1" ht="24.95" hidden="1" customHeight="1" x14ac:dyDescent="0.2">
      <c r="A13" s="32" t="s">
        <v>61</v>
      </c>
      <c r="B13" s="72" t="s">
        <v>62</v>
      </c>
      <c r="C13" s="80"/>
      <c r="D13" s="80"/>
      <c r="E13" s="73"/>
      <c r="F13" s="72">
        <v>1</v>
      </c>
      <c r="G13" s="73"/>
      <c r="H13" s="72">
        <v>0</v>
      </c>
      <c r="I13" s="73"/>
      <c r="J13" s="72">
        <v>1</v>
      </c>
      <c r="K13" s="73"/>
      <c r="L13" s="33">
        <v>1</v>
      </c>
    </row>
    <row r="14" spans="1:12" s="35" customFormat="1" ht="25.5" hidden="1" customHeight="1" x14ac:dyDescent="0.2">
      <c r="A14" s="32" t="s">
        <v>64</v>
      </c>
      <c r="B14" s="72" t="s">
        <v>62</v>
      </c>
      <c r="C14" s="80"/>
      <c r="D14" s="80"/>
      <c r="E14" s="73"/>
      <c r="F14" s="72"/>
      <c r="G14" s="73"/>
      <c r="H14" s="72">
        <v>1</v>
      </c>
      <c r="I14" s="73"/>
      <c r="J14" s="72">
        <v>0</v>
      </c>
      <c r="K14" s="73"/>
      <c r="L14" s="34">
        <v>0</v>
      </c>
    </row>
    <row r="15" spans="1:12" s="31" customFormat="1" ht="24.95" hidden="1" customHeight="1" x14ac:dyDescent="0.2">
      <c r="A15" s="32" t="s">
        <v>112</v>
      </c>
      <c r="B15" s="72" t="s">
        <v>113</v>
      </c>
      <c r="C15" s="80"/>
      <c r="D15" s="80"/>
      <c r="E15" s="73"/>
      <c r="F15" s="72">
        <v>1</v>
      </c>
      <c r="G15" s="73"/>
      <c r="H15" s="72">
        <v>0</v>
      </c>
      <c r="I15" s="73"/>
      <c r="J15" s="72">
        <v>1</v>
      </c>
      <c r="K15" s="73"/>
      <c r="L15" s="33">
        <v>1</v>
      </c>
    </row>
    <row r="16" spans="1:12" s="35" customFormat="1" ht="25.5" hidden="1" customHeight="1" x14ac:dyDescent="0.2">
      <c r="A16" s="32" t="s">
        <v>111</v>
      </c>
      <c r="B16" s="72" t="s">
        <v>113</v>
      </c>
      <c r="C16" s="80"/>
      <c r="D16" s="80"/>
      <c r="E16" s="73"/>
      <c r="F16" s="72"/>
      <c r="G16" s="73"/>
      <c r="H16" s="72">
        <v>1</v>
      </c>
      <c r="I16" s="73"/>
      <c r="J16" s="72">
        <v>0</v>
      </c>
      <c r="K16" s="73"/>
      <c r="L16" s="41">
        <v>0</v>
      </c>
    </row>
    <row r="17" spans="1:12" s="35" customFormat="1" ht="15" customHeight="1" x14ac:dyDescent="0.2">
      <c r="A17" s="47" t="s">
        <v>139</v>
      </c>
      <c r="B17" s="72" t="s">
        <v>140</v>
      </c>
      <c r="C17" s="80"/>
      <c r="D17" s="80"/>
      <c r="E17" s="73"/>
      <c r="F17" s="72">
        <v>1</v>
      </c>
      <c r="G17" s="73"/>
      <c r="H17" s="72">
        <v>1</v>
      </c>
      <c r="I17" s="73"/>
      <c r="J17" s="72">
        <v>0</v>
      </c>
      <c r="K17" s="73"/>
      <c r="L17" s="48">
        <v>0</v>
      </c>
    </row>
    <row r="18" spans="1:12" ht="18.95" customHeight="1" x14ac:dyDescent="0.25">
      <c r="A18" s="47" t="s">
        <v>141</v>
      </c>
      <c r="B18" s="72" t="s">
        <v>140</v>
      </c>
      <c r="C18" s="80"/>
      <c r="D18" s="80"/>
      <c r="E18" s="73"/>
      <c r="F18" s="72"/>
      <c r="G18" s="73"/>
      <c r="H18" s="72">
        <v>1</v>
      </c>
      <c r="I18" s="73"/>
      <c r="J18" s="72">
        <v>0</v>
      </c>
      <c r="K18" s="73"/>
      <c r="L18" s="49">
        <v>0</v>
      </c>
    </row>
    <row r="19" spans="1:12" s="35" customFormat="1" ht="15" customHeight="1" x14ac:dyDescent="0.2">
      <c r="A19" s="47" t="s">
        <v>148</v>
      </c>
      <c r="B19" s="72" t="s">
        <v>149</v>
      </c>
      <c r="C19" s="80"/>
      <c r="D19" s="80"/>
      <c r="E19" s="73"/>
      <c r="F19" s="72">
        <v>1</v>
      </c>
      <c r="G19" s="73"/>
      <c r="H19" s="72">
        <v>1</v>
      </c>
      <c r="I19" s="73"/>
      <c r="J19" s="72">
        <v>0</v>
      </c>
      <c r="K19" s="73"/>
      <c r="L19" s="48">
        <v>0</v>
      </c>
    </row>
    <row r="20" spans="1:12" ht="18.95" customHeight="1" x14ac:dyDescent="0.25">
      <c r="A20" s="47" t="s">
        <v>150</v>
      </c>
      <c r="B20" s="72" t="s">
        <v>149</v>
      </c>
      <c r="C20" s="80"/>
      <c r="D20" s="80"/>
      <c r="E20" s="73"/>
      <c r="F20" s="72"/>
      <c r="G20" s="73"/>
      <c r="H20" s="72">
        <v>1</v>
      </c>
      <c r="I20" s="73"/>
      <c r="J20" s="72">
        <v>0</v>
      </c>
      <c r="K20" s="73"/>
      <c r="L20" s="49">
        <v>0</v>
      </c>
    </row>
    <row r="21" spans="1:12" s="25" customFormat="1" x14ac:dyDescent="0.25">
      <c r="A21" s="36" t="s">
        <v>63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8"/>
    </row>
    <row r="22" spans="1:12" s="25" customFormat="1" x14ac:dyDescent="0.25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</row>
    <row r="23" spans="1:12" x14ac:dyDescent="0.25">
      <c r="A23" s="25"/>
      <c r="B23" s="25"/>
      <c r="C23" s="39"/>
      <c r="D23" s="25"/>
      <c r="E23" s="25"/>
      <c r="F23" s="25"/>
      <c r="G23" s="25"/>
      <c r="H23" s="25" t="s">
        <v>37</v>
      </c>
      <c r="I23" s="25"/>
      <c r="J23" s="25"/>
      <c r="K23" s="25"/>
      <c r="L23" s="25"/>
    </row>
    <row r="24" spans="1:12" x14ac:dyDescent="0.25">
      <c r="A24" s="25"/>
      <c r="B24" s="25"/>
      <c r="C24" s="39"/>
      <c r="D24" s="25"/>
      <c r="E24" s="25"/>
      <c r="F24" s="25"/>
      <c r="G24" s="25"/>
      <c r="H24" s="25"/>
      <c r="I24" s="25"/>
      <c r="J24" s="25"/>
      <c r="K24" s="25"/>
      <c r="L24" s="25"/>
    </row>
    <row r="25" spans="1:12" x14ac:dyDescent="0.25">
      <c r="H25" s="42" t="s">
        <v>38</v>
      </c>
      <c r="I25" s="42"/>
    </row>
    <row r="26" spans="1:12" x14ac:dyDescent="0.25">
      <c r="H26" s="30" t="s">
        <v>39</v>
      </c>
    </row>
    <row r="27" spans="1:12" x14ac:dyDescent="0.25">
      <c r="H27" s="88" t="s">
        <v>40</v>
      </c>
      <c r="I27" s="88"/>
    </row>
  </sheetData>
  <mergeCells count="46">
    <mergeCell ref="B19:E19"/>
    <mergeCell ref="F19:G19"/>
    <mergeCell ref="H19:I19"/>
    <mergeCell ref="J19:K19"/>
    <mergeCell ref="B20:E20"/>
    <mergeCell ref="F20:G20"/>
    <mergeCell ref="H20:I20"/>
    <mergeCell ref="J20:K20"/>
    <mergeCell ref="J18:K18"/>
    <mergeCell ref="H27:I27"/>
    <mergeCell ref="B14:E14"/>
    <mergeCell ref="F14:G14"/>
    <mergeCell ref="H14:I14"/>
    <mergeCell ref="B15:E15"/>
    <mergeCell ref="F15:G15"/>
    <mergeCell ref="H15:I15"/>
    <mergeCell ref="B16:E16"/>
    <mergeCell ref="F16:G16"/>
    <mergeCell ref="H16:I16"/>
    <mergeCell ref="B17:E17"/>
    <mergeCell ref="F17:G17"/>
    <mergeCell ref="H17:I17"/>
    <mergeCell ref="B18:E18"/>
    <mergeCell ref="F18:G18"/>
    <mergeCell ref="H18:I18"/>
    <mergeCell ref="J14:K14"/>
    <mergeCell ref="A22:L22"/>
    <mergeCell ref="H12:I12"/>
    <mergeCell ref="J12:K12"/>
    <mergeCell ref="B13:E13"/>
    <mergeCell ref="F13:G13"/>
    <mergeCell ref="H13:I13"/>
    <mergeCell ref="J13:K13"/>
    <mergeCell ref="A11:A12"/>
    <mergeCell ref="B11:K11"/>
    <mergeCell ref="L11:L12"/>
    <mergeCell ref="B12:E12"/>
    <mergeCell ref="F12:G12"/>
    <mergeCell ref="J15:K15"/>
    <mergeCell ref="J16:K16"/>
    <mergeCell ref="J17:K17"/>
    <mergeCell ref="A2:L2"/>
    <mergeCell ref="A3:L3"/>
    <mergeCell ref="A4:L4"/>
    <mergeCell ref="A5:L5"/>
    <mergeCell ref="A10:L10"/>
  </mergeCells>
  <pageMargins left="0.7" right="0.7" top="0.75" bottom="0.75" header="0.3" footer="0.3"/>
  <pageSetup paperSize="9" scale="68" fitToHeight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"/>
  <sheetViews>
    <sheetView view="pageBreakPreview" topLeftCell="A7" zoomScale="98" zoomScaleNormal="100" zoomScaleSheetLayoutView="98" workbookViewId="0">
      <selection activeCell="G20" sqref="G20"/>
    </sheetView>
  </sheetViews>
  <sheetFormatPr defaultRowHeight="15" x14ac:dyDescent="0.25"/>
  <cols>
    <col min="1" max="1" width="27.140625" customWidth="1"/>
    <col min="2" max="11" width="9.5703125" customWidth="1"/>
    <col min="12" max="12" width="7.5703125" customWidth="1"/>
    <col min="13" max="13" width="8.7109375" hidden="1" customWidth="1"/>
  </cols>
  <sheetData>
    <row r="1" spans="1:12" s="1" customFormat="1" ht="52.5" customHeight="1" x14ac:dyDescent="0.25">
      <c r="C1" s="12"/>
      <c r="D1" s="13"/>
      <c r="H1" s="5"/>
    </row>
    <row r="2" spans="1:12" s="1" customFormat="1" ht="10.5" customHeight="1" x14ac:dyDescent="0.25">
      <c r="A2" s="71" t="s">
        <v>11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2" s="1" customFormat="1" ht="15.95" customHeight="1" x14ac:dyDescent="0.25">
      <c r="A3" s="71" t="s">
        <v>12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</row>
    <row r="4" spans="1:12" s="1" customFormat="1" ht="15.95" customHeight="1" x14ac:dyDescent="0.25">
      <c r="A4" s="71" t="s">
        <v>13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s="1" customFormat="1" ht="15.95" customHeight="1" x14ac:dyDescent="0.25">
      <c r="A5" s="71" t="s">
        <v>14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</row>
    <row r="6" spans="1:12" s="1" customFormat="1" ht="8.25" customHeight="1" x14ac:dyDescent="0.25">
      <c r="C6" s="5"/>
      <c r="H6" s="5"/>
    </row>
    <row r="7" spans="1:12" s="1" customFormat="1" ht="8.25" customHeight="1" x14ac:dyDescent="0.25">
      <c r="C7" s="5"/>
      <c r="H7" s="5"/>
    </row>
    <row r="8" spans="1:12" s="1" customFormat="1" ht="12" customHeight="1" x14ac:dyDescent="0.25">
      <c r="A8" s="14" t="s">
        <v>15</v>
      </c>
      <c r="B8" s="14"/>
      <c r="C8" s="89" t="s">
        <v>16</v>
      </c>
      <c r="D8" s="89"/>
      <c r="E8" s="89"/>
      <c r="F8" s="89"/>
      <c r="G8" s="89"/>
      <c r="I8" s="89" t="s">
        <v>17</v>
      </c>
      <c r="J8" s="89"/>
      <c r="K8" s="89"/>
      <c r="L8" s="14"/>
    </row>
    <row r="9" spans="1:12" s="1" customFormat="1" ht="12" customHeight="1" x14ac:dyDescent="0.25">
      <c r="B9" s="15"/>
      <c r="C9" s="89" t="s">
        <v>18</v>
      </c>
      <c r="D9" s="89"/>
      <c r="E9" s="89"/>
      <c r="F9" s="89"/>
      <c r="G9" s="89"/>
      <c r="I9" s="90" t="s">
        <v>19</v>
      </c>
      <c r="J9" s="90"/>
      <c r="K9" s="90"/>
      <c r="L9" s="15"/>
    </row>
    <row r="10" spans="1:12" s="1" customFormat="1" ht="12" customHeight="1" x14ac:dyDescent="0.25">
      <c r="A10" s="14" t="s">
        <v>20</v>
      </c>
      <c r="B10" s="14"/>
      <c r="C10" s="16"/>
      <c r="D10" s="15"/>
      <c r="E10" s="15"/>
      <c r="I10" s="89" t="s">
        <v>21</v>
      </c>
      <c r="J10" s="89"/>
      <c r="K10" s="89"/>
      <c r="L10" s="14"/>
    </row>
    <row r="11" spans="1:12" ht="16.5" customHeight="1" thickBot="1" x14ac:dyDescent="0.3">
      <c r="A11" s="91" t="s">
        <v>22</v>
      </c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</row>
    <row r="12" spans="1:12" s="20" customFormat="1" ht="48" x14ac:dyDescent="0.2">
      <c r="A12" s="17" t="s">
        <v>4</v>
      </c>
      <c r="B12" s="18" t="s">
        <v>23</v>
      </c>
      <c r="C12" s="18" t="s">
        <v>24</v>
      </c>
      <c r="D12" s="18" t="s">
        <v>25</v>
      </c>
      <c r="E12" s="18" t="s">
        <v>26</v>
      </c>
      <c r="F12" s="18" t="s">
        <v>27</v>
      </c>
      <c r="G12" s="18" t="s">
        <v>28</v>
      </c>
      <c r="H12" s="18" t="s">
        <v>29</v>
      </c>
      <c r="I12" s="18" t="s">
        <v>30</v>
      </c>
      <c r="J12" s="18" t="s">
        <v>31</v>
      </c>
      <c r="K12" s="18" t="s">
        <v>32</v>
      </c>
      <c r="L12" s="19" t="s">
        <v>8</v>
      </c>
    </row>
    <row r="13" spans="1:12" s="20" customFormat="1" x14ac:dyDescent="0.2">
      <c r="A13" s="10"/>
      <c r="B13" s="6"/>
      <c r="C13" s="8"/>
      <c r="D13" s="8"/>
      <c r="E13" s="6"/>
      <c r="F13" s="6"/>
      <c r="G13" s="6"/>
      <c r="H13" s="8"/>
      <c r="I13" s="6"/>
      <c r="J13" s="6"/>
      <c r="K13" s="6"/>
      <c r="L13" s="9"/>
    </row>
    <row r="14" spans="1:12" s="20" customFormat="1" x14ac:dyDescent="0.2">
      <c r="A14" s="10"/>
      <c r="B14" s="6"/>
      <c r="C14" s="8"/>
      <c r="D14" s="8"/>
      <c r="E14" s="6"/>
      <c r="F14" s="6"/>
      <c r="G14" s="6"/>
      <c r="H14" s="8"/>
      <c r="I14" s="6"/>
      <c r="J14" s="6"/>
      <c r="K14" s="6"/>
      <c r="L14" s="9"/>
    </row>
    <row r="15" spans="1:12" s="21" customFormat="1" x14ac:dyDescent="0.2">
      <c r="A15" s="22"/>
      <c r="B15" s="6"/>
      <c r="C15" s="8"/>
      <c r="D15" s="8"/>
      <c r="E15" s="6"/>
      <c r="F15" s="6"/>
      <c r="G15" s="6"/>
      <c r="H15" s="8"/>
      <c r="I15" s="6"/>
      <c r="J15" s="6"/>
      <c r="K15" s="6"/>
      <c r="L15" s="9"/>
    </row>
    <row r="16" spans="1:12" s="21" customFormat="1" x14ac:dyDescent="0.2">
      <c r="A16" s="23"/>
      <c r="B16" s="6"/>
      <c r="C16" s="8"/>
      <c r="D16" s="8"/>
      <c r="E16" s="6"/>
      <c r="F16" s="6"/>
      <c r="G16" s="6"/>
      <c r="H16" s="8"/>
      <c r="I16" s="6"/>
      <c r="J16" s="6"/>
      <c r="K16" s="6"/>
      <c r="L16" s="9"/>
    </row>
    <row r="17" spans="1:12" s="21" customFormat="1" x14ac:dyDescent="0.2">
      <c r="A17" s="8"/>
      <c r="B17" s="6"/>
      <c r="C17" s="8"/>
      <c r="D17" s="8"/>
      <c r="E17" s="6"/>
      <c r="F17" s="6"/>
      <c r="G17" s="6"/>
      <c r="H17" s="8"/>
      <c r="I17" s="6"/>
      <c r="J17" s="6"/>
      <c r="K17" s="6"/>
      <c r="L17" s="9"/>
    </row>
    <row r="18" spans="1:12" s="21" customFormat="1" x14ac:dyDescent="0.2">
      <c r="A18" s="10"/>
      <c r="B18" s="6"/>
      <c r="C18" s="8"/>
      <c r="D18" s="8"/>
      <c r="E18" s="6"/>
      <c r="F18" s="6"/>
      <c r="G18" s="6"/>
      <c r="H18" s="8"/>
      <c r="I18" s="6"/>
      <c r="J18" s="6"/>
      <c r="K18" s="6"/>
      <c r="L18" s="9"/>
    </row>
    <row r="19" spans="1:12" s="21" customFormat="1" x14ac:dyDescent="0.2">
      <c r="A19" s="10"/>
      <c r="B19" s="6"/>
      <c r="C19" s="8"/>
      <c r="D19" s="8"/>
      <c r="E19" s="6"/>
      <c r="F19" s="6"/>
      <c r="G19" s="6"/>
      <c r="H19" s="8"/>
      <c r="I19" s="6"/>
      <c r="J19" s="6"/>
      <c r="K19" s="6"/>
      <c r="L19" s="9"/>
    </row>
    <row r="20" spans="1:12" s="21" customFormat="1" x14ac:dyDescent="0.2">
      <c r="A20" s="10"/>
      <c r="B20" s="6"/>
      <c r="C20" s="8"/>
      <c r="D20" s="8"/>
      <c r="E20" s="6"/>
      <c r="F20" s="6"/>
      <c r="G20" s="6"/>
      <c r="H20" s="8"/>
      <c r="I20" s="6"/>
      <c r="J20" s="6"/>
      <c r="K20" s="6"/>
      <c r="L20" s="9"/>
    </row>
    <row r="21" spans="1:12" s="21" customFormat="1" x14ac:dyDescent="0.2">
      <c r="A21" s="7"/>
      <c r="B21" s="6"/>
      <c r="C21" s="8"/>
      <c r="D21" s="8"/>
      <c r="E21" s="6"/>
      <c r="F21" s="6"/>
      <c r="G21" s="6"/>
      <c r="H21" s="8"/>
      <c r="I21" s="6"/>
      <c r="J21" s="6"/>
      <c r="K21" s="11"/>
      <c r="L21" s="9"/>
    </row>
    <row r="22" spans="1:12" ht="75.75" customHeight="1" x14ac:dyDescent="0.25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</row>
    <row r="23" spans="1:12" s="1" customFormat="1" x14ac:dyDescent="0.25">
      <c r="C23" s="5"/>
    </row>
    <row r="24" spans="1:12" s="1" customFormat="1" x14ac:dyDescent="0.25">
      <c r="C24" s="5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2:L22"/>
  </mergeCells>
  <printOptions horizontalCentered="1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Leave Card (NE) (2)</vt:lpstr>
      <vt:lpstr>CTO</vt:lpstr>
      <vt:lpstr>Other types of leave</vt:lpstr>
      <vt:lpstr>'Leave Card (NE) (2)'!Print_Area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2025-12-22T04:56:50Z</cp:lastPrinted>
  <dcterms:created xsi:type="dcterms:W3CDTF">2021-10-07T06:10:16Z</dcterms:created>
  <dcterms:modified xsi:type="dcterms:W3CDTF">2025-12-22T05:39:18Z</dcterms:modified>
</cp:coreProperties>
</file>