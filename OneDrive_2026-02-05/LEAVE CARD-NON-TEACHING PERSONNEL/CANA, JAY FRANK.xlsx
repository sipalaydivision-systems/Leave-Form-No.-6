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NON-TEACHING PERSONNEL\"/>
    </mc:Choice>
  </mc:AlternateContent>
  <xr:revisionPtr revIDLastSave="0" documentId="13_ncr:1_{44905EEE-03C2-47D9-9FEE-22E3068AA5FF}" xr6:coauthVersionLast="47" xr6:coauthVersionMax="47" xr10:uidLastSave="{00000000-0000-0000-0000-000000000000}"/>
  <bookViews>
    <workbookView xWindow="-120" yWindow="-120" windowWidth="29040" windowHeight="15720" xr2:uid="{C532281A-DA89-4ACA-8363-B39317021647}"/>
  </bookViews>
  <sheets>
    <sheet name="Leave Card (NE)" sheetId="6" r:id="rId1"/>
    <sheet name="ELECTION" sheetId="7" r:id="rId2"/>
  </sheets>
  <definedNames>
    <definedName name="_xlnm.Print_Area" localSheetId="0">'Leave Card (NE)'!$A$1:$K$51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6" l="1"/>
  <c r="J44" i="6"/>
  <c r="K44" i="6"/>
  <c r="I41" i="6"/>
  <c r="J41" i="6"/>
  <c r="J42" i="6" s="1"/>
  <c r="J43" i="6" s="1"/>
  <c r="K41" i="6"/>
  <c r="I42" i="6"/>
  <c r="K42" i="6" s="1"/>
  <c r="I25" i="6"/>
  <c r="K25" i="6" s="1"/>
  <c r="J25" i="6"/>
  <c r="J26" i="6" s="1"/>
  <c r="J27" i="6" s="1"/>
  <c r="J28" i="6" s="1"/>
  <c r="J29" i="6" s="1"/>
  <c r="J30" i="6" s="1"/>
  <c r="J31" i="6" s="1"/>
  <c r="J32" i="6" s="1"/>
  <c r="J33" i="6" s="1"/>
  <c r="J34" i="6" s="1"/>
  <c r="J35" i="6" s="1"/>
  <c r="J36" i="6" s="1"/>
  <c r="J37" i="6" s="1"/>
  <c r="J38" i="6" s="1"/>
  <c r="J39" i="6" s="1"/>
  <c r="J40" i="6" s="1"/>
  <c r="I16" i="6"/>
  <c r="K16" i="6" s="1"/>
  <c r="J16" i="6"/>
  <c r="J17" i="6" s="1"/>
  <c r="J18" i="6" s="1"/>
  <c r="J19" i="6" s="1"/>
  <c r="J20" i="6" s="1"/>
  <c r="J21" i="6" s="1"/>
  <c r="J22" i="6" s="1"/>
  <c r="J23" i="6" s="1"/>
  <c r="J24" i="6" s="1"/>
  <c r="J15" i="6"/>
  <c r="I15" i="6"/>
  <c r="I43" i="6" l="1"/>
  <c r="K43" i="6" s="1"/>
  <c r="I26" i="6"/>
  <c r="I17" i="6"/>
  <c r="K15" i="6"/>
  <c r="K14" i="6"/>
  <c r="C13" i="6"/>
  <c r="B13" i="6"/>
  <c r="I27" i="6" l="1"/>
  <c r="K26" i="6"/>
  <c r="I18" i="6"/>
  <c r="K17" i="6"/>
  <c r="J13" i="6"/>
  <c r="I13" i="6"/>
  <c r="K27" i="6" l="1"/>
  <c r="I28" i="6"/>
  <c r="K18" i="6"/>
  <c r="I19" i="6"/>
  <c r="K13" i="6"/>
  <c r="K28" i="6" l="1"/>
  <c r="I29" i="6"/>
  <c r="I20" i="6"/>
  <c r="K19" i="6"/>
  <c r="K29" i="6" l="1"/>
  <c r="I30" i="6"/>
  <c r="K20" i="6"/>
  <c r="I21" i="6"/>
  <c r="K30" i="6" l="1"/>
  <c r="I31" i="6"/>
  <c r="I22" i="6"/>
  <c r="K21" i="6"/>
  <c r="K31" i="6" l="1"/>
  <c r="I32" i="6"/>
  <c r="K22" i="6"/>
  <c r="I23" i="6"/>
  <c r="I33" i="6" l="1"/>
  <c r="K32" i="6"/>
  <c r="I24" i="6"/>
  <c r="K23" i="6"/>
  <c r="K33" i="6" l="1"/>
  <c r="I34" i="6"/>
  <c r="K24" i="6"/>
  <c r="K34" i="6" l="1"/>
  <c r="I35" i="6"/>
  <c r="K35" i="6" l="1"/>
  <c r="I36" i="6"/>
  <c r="I37" i="6" l="1"/>
  <c r="K36" i="6"/>
  <c r="K37" i="6" l="1"/>
  <c r="I38" i="6"/>
  <c r="K38" i="6" l="1"/>
  <c r="I39" i="6"/>
  <c r="K39" i="6" l="1"/>
  <c r="I40" i="6"/>
  <c r="K40" i="6" l="1"/>
</calcChain>
</file>

<file path=xl/sharedStrings.xml><?xml version="1.0" encoding="utf-8"?>
<sst xmlns="http://schemas.openxmlformats.org/spreadsheetml/2006/main" count="90" uniqueCount="80">
  <si>
    <t>SERVICE LEAVE CARD</t>
  </si>
  <si>
    <t>VACATION</t>
  </si>
  <si>
    <t>SICK</t>
  </si>
  <si>
    <t>FORCED</t>
  </si>
  <si>
    <t>PERIOD COVERED</t>
  </si>
  <si>
    <t>LEAVE EARNED</t>
  </si>
  <si>
    <t>LEAVE SPENT</t>
  </si>
  <si>
    <t>BALANCE</t>
  </si>
  <si>
    <t>TOTAL</t>
  </si>
  <si>
    <t>EMP. NO  :</t>
  </si>
  <si>
    <t>STATION   :</t>
  </si>
  <si>
    <t>DATE FILED/RECEIVED</t>
  </si>
  <si>
    <t>ADD: 03/15/22 - 03/31/22</t>
  </si>
  <si>
    <t>SPECIAL LEAVE</t>
  </si>
  <si>
    <t>Republic of the Philippines</t>
  </si>
  <si>
    <t>Department of Education</t>
  </si>
  <si>
    <t>SCHOOLS DIVISION OF SIPALAY CITY</t>
  </si>
  <si>
    <t>Name: _____________________________</t>
  </si>
  <si>
    <t>DISTRICT: ___________________________</t>
  </si>
  <si>
    <t>POSITION: __________________________</t>
  </si>
  <si>
    <t>SCHOOL/OFFICE:_____________________</t>
  </si>
  <si>
    <t>LESS: 12/28 &amp;29/ 2022</t>
  </si>
  <si>
    <t>LESS: 01/31/2023</t>
  </si>
  <si>
    <t>EMPLOYEE NO    : __________</t>
  </si>
  <si>
    <t>STATION CODE    : __________</t>
  </si>
  <si>
    <t>DIVISION CODE   : __________</t>
  </si>
  <si>
    <t>No. of Days Granted</t>
  </si>
  <si>
    <t>No. of Days Used</t>
  </si>
  <si>
    <t>Balance</t>
  </si>
  <si>
    <t>MAY 09, 2022 NATIONAL AND LOCAL ELECTION</t>
  </si>
  <si>
    <t>LESS: FEBRUARY 01, 02, 03, 06 &amp; 07, 2023</t>
  </si>
  <si>
    <t>ADD: 01/01/2023- 05/31/2023</t>
  </si>
  <si>
    <t>LESS: 06/21/2023</t>
  </si>
  <si>
    <t>ADD: 06/01/2023- 08/31/2023</t>
  </si>
  <si>
    <t>LESS: MONETIZATION 2023</t>
  </si>
  <si>
    <t>Certified Correct:</t>
  </si>
  <si>
    <t>MA. LUISA B. CATIGAN</t>
  </si>
  <si>
    <t>Administrative Officer IV</t>
  </si>
  <si>
    <t>ADD: 09/01/2023 - 10/31/2023</t>
  </si>
  <si>
    <t>LESS: 11/13/2023</t>
  </si>
  <si>
    <t>ADD: 11/01/2023-11/30/2023</t>
  </si>
  <si>
    <t>LESS: 12/28-29/2023</t>
  </si>
  <si>
    <t>ADD: 01/01/2024-01/31/2024</t>
  </si>
  <si>
    <t>LESS: 02/5-6/2024</t>
  </si>
  <si>
    <t>ADD: 12/01/2023-12/31/2023</t>
  </si>
  <si>
    <t>ADD: 02/01/2024-02/29/2024</t>
  </si>
  <si>
    <t>LESS: 02/22-23/2024</t>
  </si>
  <si>
    <t xml:space="preserve">                    HRMO</t>
  </si>
  <si>
    <t>ADD: 03/1/2024-10/31/2024</t>
  </si>
  <si>
    <t>LESS: 11/11/2024</t>
  </si>
  <si>
    <t>LESS: 11/12-14/2024</t>
  </si>
  <si>
    <t>LESS: 11/15/2024</t>
  </si>
  <si>
    <t>ADD: 11/1-30/2024</t>
  </si>
  <si>
    <t>LESS: MONETIZATION 2024</t>
  </si>
  <si>
    <t>ADD: 12/1-31/2024</t>
  </si>
  <si>
    <t>ADD: 01/1-31/2025</t>
  </si>
  <si>
    <t>LESS: 02/3 &amp; 7/2025</t>
  </si>
  <si>
    <t>LESS: FL 2022</t>
  </si>
  <si>
    <t>LWOP</t>
  </si>
  <si>
    <t>REGULAR LWOP: 04/05 - 08/22</t>
  </si>
  <si>
    <t>ADD: 04/1-30/2025                                                             (26 DAYS only due to LWOP)</t>
  </si>
  <si>
    <t>ADD: 05/1/2025-11/30/2022</t>
  </si>
  <si>
    <t>ADD: 12/1-31/2022</t>
  </si>
  <si>
    <t>ADD: 02/1/2025-08/31/2025</t>
  </si>
  <si>
    <t>LESS: MONETIZATION 2025</t>
  </si>
  <si>
    <t>NEGROS ISLAND REGION</t>
  </si>
  <si>
    <t>LEAVE CREDITS (ELECTION)</t>
  </si>
  <si>
    <t>JULY 5, 2025</t>
  </si>
  <si>
    <t>DATE RELEASED</t>
  </si>
  <si>
    <t xml:space="preserve">SPECIAL ORDER NO. </t>
  </si>
  <si>
    <t xml:space="preserve">DETAILS </t>
  </si>
  <si>
    <t>MAY 12, 2025 NATIONAL AND LOCAL ELECTION</t>
  </si>
  <si>
    <t>ADD: SO # 051, S. 2022</t>
  </si>
  <si>
    <t>ADD: SO # 038, S. 2025</t>
  </si>
  <si>
    <t>JULY 1, 2022</t>
  </si>
  <si>
    <t>LESS: 08/11-15/2025</t>
  </si>
  <si>
    <r>
      <t xml:space="preserve">NAME          : </t>
    </r>
    <r>
      <rPr>
        <b/>
        <u/>
        <sz val="11"/>
        <color theme="1"/>
        <rFont val="Calibri"/>
        <family val="2"/>
        <scheme val="minor"/>
      </rPr>
      <t>CAÑA, JAY FRANK</t>
    </r>
  </si>
  <si>
    <r>
      <t xml:space="preserve">POSITION   : </t>
    </r>
    <r>
      <rPr>
        <b/>
        <u/>
        <sz val="11"/>
        <color theme="1"/>
        <rFont val="Calibri"/>
        <family val="2"/>
        <scheme val="minor"/>
      </rPr>
      <t>AO II</t>
    </r>
  </si>
  <si>
    <r>
      <t xml:space="preserve">SCHOOL/OFFICE :  </t>
    </r>
    <r>
      <rPr>
        <u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>SDO SIPALAY CITY</t>
    </r>
  </si>
  <si>
    <t xml:space="preserve">DISTRICT               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</si>
</sst>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000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vertical="center"/>
    </xf>
    <xf numFmtId="164" fontId="3" fillId="2" borderId="1" xfId="0" applyNumberFormat="1" applyFont="1" applyFill="1" applyBorder="1" applyAlignment="1">
      <alignment horizontal="center" vertical="center"/>
    </xf>
    <xf numFmtId="0" fontId="1" fillId="2" borderId="0" xfId="0" applyFont="1" applyFill="1"/>
    <xf numFmtId="164" fontId="3" fillId="2" borderId="2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1" fillId="2" borderId="4" xfId="0" applyFont="1" applyFill="1" applyBorder="1" applyAlignment="1">
      <alignment vertical="center"/>
    </xf>
    <xf numFmtId="0" fontId="0" fillId="2" borderId="1" xfId="0" applyFill="1" applyBorder="1" applyAlignment="1">
      <alignment horizontal="center" vertical="center"/>
    </xf>
    <xf numFmtId="0" fontId="6" fillId="0" borderId="0" xfId="0" applyFont="1"/>
    <xf numFmtId="0" fontId="1" fillId="2" borderId="3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1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7" fillId="2" borderId="0" xfId="0" applyFont="1" applyFill="1" applyAlignment="1">
      <alignment horizontal="center" wrapText="1"/>
    </xf>
    <xf numFmtId="0" fontId="7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7" fillId="2" borderId="0" xfId="0" applyFont="1" applyFill="1" applyAlignment="1">
      <alignment vertical="center"/>
    </xf>
    <xf numFmtId="0" fontId="7" fillId="2" borderId="0" xfId="0" applyFont="1" applyFill="1"/>
    <xf numFmtId="0" fontId="7" fillId="2" borderId="0" xfId="0" applyFont="1" applyFill="1" applyAlignment="1">
      <alignment horizontal="center"/>
    </xf>
    <xf numFmtId="0" fontId="11" fillId="0" borderId="0" xfId="0" applyFont="1"/>
    <xf numFmtId="0" fontId="0" fillId="2" borderId="19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 wrapText="1"/>
    </xf>
    <xf numFmtId="0" fontId="12" fillId="0" borderId="0" xfId="0" applyFont="1"/>
    <xf numFmtId="0" fontId="12" fillId="2" borderId="0" xfId="0" applyFont="1" applyFill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0" fontId="13" fillId="2" borderId="0" xfId="0" applyFont="1" applyFill="1"/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5" fillId="0" borderId="10" xfId="0" applyFont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6" borderId="6" xfId="0" applyFont="1" applyFill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9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15" xfId="0" applyFont="1" applyFill="1" applyBorder="1" applyAlignment="1">
      <alignment horizontal="center" vertical="center"/>
    </xf>
    <xf numFmtId="0" fontId="1" fillId="4" borderId="16" xfId="0" applyFont="1" applyFill="1" applyBorder="1" applyAlignment="1">
      <alignment horizontal="center" vertical="center"/>
    </xf>
    <xf numFmtId="0" fontId="1" fillId="4" borderId="17" xfId="0" applyFont="1" applyFill="1" applyBorder="1" applyAlignment="1">
      <alignment horizontal="center" vertical="center"/>
    </xf>
    <xf numFmtId="0" fontId="1" fillId="4" borderId="18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0" fillId="2" borderId="13" xfId="0" applyFont="1" applyFill="1" applyBorder="1" applyAlignment="1">
      <alignment horizontal="center" vertical="center" wrapText="1"/>
    </xf>
    <xf numFmtId="0" fontId="10" fillId="2" borderId="14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left" vertical="center"/>
    </xf>
    <xf numFmtId="0" fontId="7" fillId="2" borderId="0" xfId="0" applyFont="1" applyFill="1" applyAlignment="1">
      <alignment horizontal="left"/>
    </xf>
    <xf numFmtId="0" fontId="2" fillId="2" borderId="0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/>
    </xf>
    <xf numFmtId="0" fontId="9" fillId="8" borderId="1" xfId="0" applyFont="1" applyFill="1" applyBorder="1" applyAlignment="1">
      <alignment horizontal="center" vertical="center" wrapText="1"/>
    </xf>
    <xf numFmtId="0" fontId="10" fillId="10" borderId="13" xfId="0" applyFont="1" applyFill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21" xfId="0" applyFont="1" applyFill="1" applyBorder="1" applyAlignment="1">
      <alignment horizontal="center" vertical="center" wrapText="1"/>
    </xf>
    <xf numFmtId="0" fontId="15" fillId="2" borderId="4" xfId="0" applyFont="1" applyFill="1" applyBorder="1"/>
    <xf numFmtId="0" fontId="7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676275</xdr:colOff>
      <xdr:row>0</xdr:row>
      <xdr:rowOff>101599</xdr:rowOff>
    </xdr:from>
    <xdr:to>
      <xdr:col>4</xdr:col>
      <xdr:colOff>514351</xdr:colOff>
      <xdr:row>0</xdr:row>
      <xdr:rowOff>660400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556AD3F-8396-48F1-BF02-678DACBAEC44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67275" y="101599"/>
          <a:ext cx="609601" cy="558801"/>
        </a:xfrm>
        <a:prstGeom prst="rect">
          <a:avLst/>
        </a:prstGeom>
        <a:noFill/>
      </xdr:spPr>
    </xdr:pic>
    <xdr:clientData/>
  </xdr:twoCellAnchor>
  <xdr:twoCellAnchor>
    <xdr:from>
      <xdr:col>0</xdr:col>
      <xdr:colOff>573942</xdr:colOff>
      <xdr:row>4</xdr:row>
      <xdr:rowOff>170961</xdr:rowOff>
    </xdr:from>
    <xdr:to>
      <xdr:col>0</xdr:col>
      <xdr:colOff>2582741</xdr:colOff>
      <xdr:row>6</xdr:row>
      <xdr:rowOff>116010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8A83B38-98E6-4C60-B197-44F01B8ED647}"/>
            </a:ext>
          </a:extLst>
        </xdr:cNvPr>
        <xdr:cNvSpPr txBox="1"/>
      </xdr:nvSpPr>
      <xdr:spPr>
        <a:xfrm>
          <a:off x="573942" y="1377461"/>
          <a:ext cx="2008799" cy="24984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CAÑA, JAY</a:t>
          </a:r>
          <a:r>
            <a:rPr lang="en-US" sz="1100" baseline="0"/>
            <a:t> FRANK D.</a:t>
          </a:r>
          <a:endParaRPr lang="en-US" sz="1100"/>
        </a:p>
      </xdr:txBody>
    </xdr:sp>
    <xdr:clientData/>
  </xdr:twoCellAnchor>
  <xdr:twoCellAnchor>
    <xdr:from>
      <xdr:col>0</xdr:col>
      <xdr:colOff>616683</xdr:colOff>
      <xdr:row>7</xdr:row>
      <xdr:rowOff>61057</xdr:rowOff>
    </xdr:from>
    <xdr:to>
      <xdr:col>0</xdr:col>
      <xdr:colOff>2625482</xdr:colOff>
      <xdr:row>9</xdr:row>
      <xdr:rowOff>6105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F0F98CE7-F75B-47FE-84B8-57F947F7FC7F}"/>
            </a:ext>
          </a:extLst>
        </xdr:cNvPr>
        <xdr:cNvSpPr txBox="1"/>
      </xdr:nvSpPr>
      <xdr:spPr>
        <a:xfrm>
          <a:off x="616683" y="1724757"/>
          <a:ext cx="1996099" cy="2498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AO</a:t>
          </a:r>
          <a:r>
            <a:rPr lang="en-US" sz="1100" baseline="0"/>
            <a:t> I</a:t>
          </a:r>
          <a:r>
            <a:rPr lang="en-US" sz="1100"/>
            <a:t>I</a:t>
          </a:r>
        </a:p>
      </xdr:txBody>
    </xdr:sp>
    <xdr:clientData/>
  </xdr:twoCellAnchor>
  <xdr:twoCellAnchor>
    <xdr:from>
      <xdr:col>2</xdr:col>
      <xdr:colOff>415193</xdr:colOff>
      <xdr:row>7</xdr:row>
      <xdr:rowOff>42741</xdr:rowOff>
    </xdr:from>
    <xdr:to>
      <xdr:col>4</xdr:col>
      <xdr:colOff>604471</xdr:colOff>
      <xdr:row>8</xdr:row>
      <xdr:rowOff>140434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90029131-053A-412E-A658-7F5A2C0E6532}"/>
            </a:ext>
          </a:extLst>
        </xdr:cNvPr>
        <xdr:cNvSpPr txBox="1"/>
      </xdr:nvSpPr>
      <xdr:spPr>
        <a:xfrm>
          <a:off x="3837843" y="1706441"/>
          <a:ext cx="1814878" cy="25009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SDO SIPALAY CITY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476250</xdr:colOff>
      <xdr:row>0</xdr:row>
      <xdr:rowOff>70557</xdr:rowOff>
    </xdr:from>
    <xdr:to>
      <xdr:col>3</xdr:col>
      <xdr:colOff>375852</xdr:colOff>
      <xdr:row>0</xdr:row>
      <xdr:rowOff>654051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F5221D-9E33-447F-ABD9-FFDF1C27A79E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474861" y="70557"/>
          <a:ext cx="508144" cy="583494"/>
        </a:xfrm>
        <a:prstGeom prst="rect">
          <a:avLst/>
        </a:prstGeom>
        <a:noFill/>
      </xdr:spPr>
    </xdr:pic>
    <xdr:clientData/>
  </xdr:twoCellAnchor>
  <xdr:twoCellAnchor>
    <xdr:from>
      <xdr:col>4</xdr:col>
      <xdr:colOff>111478</xdr:colOff>
      <xdr:row>19</xdr:row>
      <xdr:rowOff>333023</xdr:rowOff>
    </xdr:from>
    <xdr:to>
      <xdr:col>10</xdr:col>
      <xdr:colOff>97013</xdr:colOff>
      <xdr:row>22</xdr:row>
      <xdr:rowOff>53271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129DE2AC-ED5D-477F-8E6A-6856B33CD1FE}"/>
            </a:ext>
          </a:extLst>
        </xdr:cNvPr>
        <xdr:cNvSpPr txBox="1"/>
      </xdr:nvSpPr>
      <xdr:spPr>
        <a:xfrm>
          <a:off x="4247797" y="5439481"/>
          <a:ext cx="2657827" cy="106962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B4019-FA1B-4FBF-AFF8-E55EE122EEA8}">
  <sheetPr>
    <pageSetUpPr fitToPage="1"/>
  </sheetPr>
  <dimension ref="A1:L51"/>
  <sheetViews>
    <sheetView tabSelected="1" view="pageBreakPreview" topLeftCell="A29" zoomScaleNormal="100" zoomScaleSheetLayoutView="100" workbookViewId="0">
      <selection activeCell="D46" sqref="D46"/>
    </sheetView>
  </sheetViews>
  <sheetFormatPr defaultRowHeight="15" x14ac:dyDescent="0.25"/>
  <cols>
    <col min="1" max="1" width="39.7109375" customWidth="1"/>
    <col min="2" max="11" width="11.5703125" customWidth="1"/>
    <col min="12" max="12" width="26.42578125" style="10" customWidth="1"/>
  </cols>
  <sheetData>
    <row r="1" spans="1:12" s="1" customFormat="1" ht="52.5" customHeight="1" x14ac:dyDescent="0.25"/>
    <row r="2" spans="1:12" s="1" customFormat="1" ht="10.5" customHeight="1" x14ac:dyDescent="0.25">
      <c r="A2" s="55" t="s">
        <v>14</v>
      </c>
      <c r="B2" s="55"/>
      <c r="C2" s="55"/>
      <c r="D2" s="55"/>
      <c r="E2" s="55"/>
      <c r="F2" s="55"/>
      <c r="G2" s="55"/>
      <c r="H2" s="55"/>
      <c r="I2" s="55"/>
      <c r="J2" s="55"/>
      <c r="K2" s="55"/>
    </row>
    <row r="3" spans="1:12" s="1" customFormat="1" ht="15.95" customHeight="1" x14ac:dyDescent="0.25">
      <c r="A3" s="55" t="s">
        <v>15</v>
      </c>
      <c r="B3" s="55"/>
      <c r="C3" s="55"/>
      <c r="D3" s="55"/>
      <c r="E3" s="55"/>
      <c r="F3" s="55"/>
      <c r="G3" s="55"/>
      <c r="H3" s="55"/>
      <c r="I3" s="55"/>
      <c r="J3" s="55"/>
      <c r="K3" s="55"/>
    </row>
    <row r="4" spans="1:12" s="1" customFormat="1" ht="15.95" customHeight="1" x14ac:dyDescent="0.25">
      <c r="A4" s="55" t="s">
        <v>65</v>
      </c>
      <c r="B4" s="55"/>
      <c r="C4" s="55"/>
      <c r="D4" s="55"/>
      <c r="E4" s="55"/>
      <c r="F4" s="55"/>
      <c r="G4" s="55"/>
      <c r="H4" s="55"/>
      <c r="I4" s="55"/>
      <c r="J4" s="55"/>
      <c r="K4" s="55"/>
    </row>
    <row r="5" spans="1:12" s="1" customFormat="1" ht="15.95" customHeight="1" x14ac:dyDescent="0.25">
      <c r="A5" s="55" t="s">
        <v>16</v>
      </c>
      <c r="B5" s="55"/>
      <c r="C5" s="55"/>
      <c r="D5" s="55"/>
      <c r="E5" s="55"/>
      <c r="F5" s="55"/>
      <c r="G5" s="55"/>
      <c r="H5" s="55"/>
      <c r="I5" s="55"/>
      <c r="J5" s="55"/>
      <c r="K5" s="55"/>
    </row>
    <row r="6" spans="1:12" s="1" customFormat="1" ht="8.25" customHeight="1" x14ac:dyDescent="0.25"/>
    <row r="7" spans="1:12" s="1" customFormat="1" ht="12" customHeight="1" x14ac:dyDescent="0.25">
      <c r="A7" s="1" t="s">
        <v>17</v>
      </c>
      <c r="B7" s="50" t="s">
        <v>18</v>
      </c>
      <c r="C7" s="50"/>
      <c r="D7" s="50"/>
      <c r="I7" s="7" t="s">
        <v>9</v>
      </c>
      <c r="J7" s="13"/>
      <c r="K7" s="7"/>
    </row>
    <row r="8" spans="1:12" s="1" customFormat="1" ht="12" customHeight="1" x14ac:dyDescent="0.25">
      <c r="B8" s="5"/>
      <c r="C8" s="5"/>
      <c r="I8" s="5"/>
      <c r="J8" s="5"/>
      <c r="K8" s="5"/>
    </row>
    <row r="9" spans="1:12" s="1" customFormat="1" ht="12" customHeight="1" x14ac:dyDescent="0.25">
      <c r="A9" s="1" t="s">
        <v>19</v>
      </c>
      <c r="B9" s="50" t="s">
        <v>20</v>
      </c>
      <c r="C9" s="50"/>
      <c r="D9" s="50"/>
      <c r="I9" s="7" t="s">
        <v>10</v>
      </c>
      <c r="J9" s="8"/>
      <c r="K9" s="7"/>
    </row>
    <row r="10" spans="1:12" ht="16.5" customHeight="1" thickBot="1" x14ac:dyDescent="0.3">
      <c r="A10" s="51" t="s">
        <v>0</v>
      </c>
      <c r="B10" s="51"/>
      <c r="C10" s="51"/>
      <c r="D10" s="51"/>
      <c r="E10" s="51"/>
      <c r="F10" s="51"/>
      <c r="G10" s="51"/>
      <c r="H10" s="51"/>
      <c r="I10" s="51"/>
      <c r="J10" s="51"/>
      <c r="K10" s="51"/>
      <c r="L10"/>
    </row>
    <row r="11" spans="1:12" ht="18.75" customHeight="1" x14ac:dyDescent="0.25">
      <c r="A11" s="45" t="s">
        <v>4</v>
      </c>
      <c r="B11" s="49" t="s">
        <v>5</v>
      </c>
      <c r="C11" s="49"/>
      <c r="D11" s="52" t="s">
        <v>6</v>
      </c>
      <c r="E11" s="53"/>
      <c r="F11" s="53"/>
      <c r="G11" s="54"/>
      <c r="H11" s="36"/>
      <c r="I11" s="44" t="s">
        <v>7</v>
      </c>
      <c r="J11" s="44"/>
      <c r="K11" s="47" t="s">
        <v>8</v>
      </c>
      <c r="L11" s="43" t="s">
        <v>11</v>
      </c>
    </row>
    <row r="12" spans="1:12" ht="33.75" customHeight="1" thickBot="1" x14ac:dyDescent="0.3">
      <c r="A12" s="46"/>
      <c r="B12" s="11" t="s">
        <v>1</v>
      </c>
      <c r="C12" s="11" t="s">
        <v>2</v>
      </c>
      <c r="D12" s="11" t="s">
        <v>1</v>
      </c>
      <c r="E12" s="11" t="s">
        <v>2</v>
      </c>
      <c r="F12" s="11" t="s">
        <v>3</v>
      </c>
      <c r="G12" s="27" t="s">
        <v>13</v>
      </c>
      <c r="H12" s="27" t="s">
        <v>58</v>
      </c>
      <c r="I12" s="11" t="s">
        <v>1</v>
      </c>
      <c r="J12" s="11" t="s">
        <v>2</v>
      </c>
      <c r="K12" s="48"/>
      <c r="L12" s="43"/>
    </row>
    <row r="13" spans="1:12" ht="18.75" customHeight="1" x14ac:dyDescent="0.25">
      <c r="A13" s="14" t="s">
        <v>12</v>
      </c>
      <c r="B13" s="4">
        <f>SUM(1.25/30)*17</f>
        <v>0.70833333333333326</v>
      </c>
      <c r="C13" s="4">
        <f>SUM(1.25/30)*17</f>
        <v>0.70833333333333326</v>
      </c>
      <c r="D13" s="2"/>
      <c r="E13" s="2"/>
      <c r="F13" s="2"/>
      <c r="G13" s="2"/>
      <c r="H13" s="2"/>
      <c r="I13" s="4">
        <f>B13</f>
        <v>0.70833333333333326</v>
      </c>
      <c r="J13" s="4">
        <f>C13</f>
        <v>0.70833333333333326</v>
      </c>
      <c r="K13" s="6">
        <f>SUM(I13+J13)</f>
        <v>1.4166666666666665</v>
      </c>
    </row>
    <row r="14" spans="1:12" ht="18.75" customHeight="1" x14ac:dyDescent="0.25">
      <c r="A14" s="39" t="s">
        <v>59</v>
      </c>
      <c r="B14" s="37"/>
      <c r="C14" s="37"/>
      <c r="D14" s="37"/>
      <c r="E14" s="37"/>
      <c r="F14" s="37"/>
      <c r="G14" s="38"/>
      <c r="H14" s="15">
        <v>4</v>
      </c>
      <c r="I14" s="4">
        <v>0.70799999999999996</v>
      </c>
      <c r="J14" s="4">
        <v>0.70799999999999996</v>
      </c>
      <c r="K14" s="6">
        <f>SUM(I14+J14)</f>
        <v>1.4159999999999999</v>
      </c>
    </row>
    <row r="15" spans="1:12" ht="32.25" customHeight="1" x14ac:dyDescent="0.25">
      <c r="A15" s="40" t="s">
        <v>60</v>
      </c>
      <c r="B15" s="9">
        <v>1.083</v>
      </c>
      <c r="C15" s="2">
        <v>1.083</v>
      </c>
      <c r="D15" s="2"/>
      <c r="E15" s="2"/>
      <c r="F15" s="2"/>
      <c r="G15" s="2"/>
      <c r="H15" s="2"/>
      <c r="I15" s="4">
        <f>I14-F15-D15+B15</f>
        <v>1.7909999999999999</v>
      </c>
      <c r="J15" s="4">
        <f>J14-E15+C15</f>
        <v>1.7909999999999999</v>
      </c>
      <c r="K15" s="6">
        <f t="shared" ref="K15" si="0">SUM(I15+J15)</f>
        <v>3.5819999999999999</v>
      </c>
    </row>
    <row r="16" spans="1:12" ht="18.75" customHeight="1" x14ac:dyDescent="0.25">
      <c r="A16" s="14" t="s">
        <v>61</v>
      </c>
      <c r="B16" s="9">
        <v>8.75</v>
      </c>
      <c r="C16" s="2">
        <v>8.75</v>
      </c>
      <c r="D16" s="2"/>
      <c r="E16" s="2"/>
      <c r="F16" s="2"/>
      <c r="G16" s="2"/>
      <c r="H16" s="2"/>
      <c r="I16" s="4">
        <f t="shared" ref="I16:I25" si="1">I15-F16-D16+B16</f>
        <v>10.541</v>
      </c>
      <c r="J16" s="4">
        <f t="shared" ref="J16:J25" si="2">J15-E16+C16</f>
        <v>10.541</v>
      </c>
      <c r="K16" s="6">
        <f t="shared" ref="K16:K25" si="3">SUM(I16+J16)</f>
        <v>21.082000000000001</v>
      </c>
    </row>
    <row r="17" spans="1:11" ht="18.75" customHeight="1" x14ac:dyDescent="0.25">
      <c r="A17" s="14" t="s">
        <v>21</v>
      </c>
      <c r="B17" s="3"/>
      <c r="C17" s="2"/>
      <c r="D17" s="2"/>
      <c r="E17" s="2"/>
      <c r="F17" s="2">
        <v>2</v>
      </c>
      <c r="G17" s="2"/>
      <c r="H17" s="2"/>
      <c r="I17" s="4">
        <f t="shared" si="1"/>
        <v>8.5410000000000004</v>
      </c>
      <c r="J17" s="4">
        <f t="shared" si="2"/>
        <v>10.541</v>
      </c>
      <c r="K17" s="6">
        <f t="shared" si="3"/>
        <v>19.082000000000001</v>
      </c>
    </row>
    <row r="18" spans="1:11" ht="18.75" customHeight="1" x14ac:dyDescent="0.25">
      <c r="A18" s="14" t="s">
        <v>62</v>
      </c>
      <c r="B18" s="9">
        <v>1.25</v>
      </c>
      <c r="C18" s="9">
        <v>1.25</v>
      </c>
      <c r="D18" s="2"/>
      <c r="E18" s="2"/>
      <c r="F18" s="2"/>
      <c r="G18" s="2"/>
      <c r="H18" s="2"/>
      <c r="I18" s="4">
        <f t="shared" si="1"/>
        <v>9.7910000000000004</v>
      </c>
      <c r="J18" s="4">
        <f t="shared" si="2"/>
        <v>11.791</v>
      </c>
      <c r="K18" s="6">
        <f t="shared" si="3"/>
        <v>21.582000000000001</v>
      </c>
    </row>
    <row r="19" spans="1:11" ht="18.75" customHeight="1" x14ac:dyDescent="0.25">
      <c r="A19" s="14" t="s">
        <v>57</v>
      </c>
      <c r="B19" s="3"/>
      <c r="C19" s="2"/>
      <c r="D19" s="2"/>
      <c r="E19" s="2"/>
      <c r="F19" s="2">
        <v>3</v>
      </c>
      <c r="G19" s="2"/>
      <c r="H19" s="2"/>
      <c r="I19" s="4">
        <f t="shared" si="1"/>
        <v>6.7910000000000004</v>
      </c>
      <c r="J19" s="4">
        <f t="shared" si="2"/>
        <v>11.791</v>
      </c>
      <c r="K19" s="6">
        <f t="shared" si="3"/>
        <v>18.582000000000001</v>
      </c>
    </row>
    <row r="20" spans="1:11" ht="18.75" customHeight="1" x14ac:dyDescent="0.25">
      <c r="A20" s="14" t="s">
        <v>22</v>
      </c>
      <c r="B20" s="2"/>
      <c r="C20" s="2"/>
      <c r="D20" s="2"/>
      <c r="E20" s="2"/>
      <c r="F20" s="2">
        <v>1</v>
      </c>
      <c r="G20" s="2"/>
      <c r="H20" s="2"/>
      <c r="I20" s="4">
        <f t="shared" si="1"/>
        <v>5.7910000000000004</v>
      </c>
      <c r="J20" s="4">
        <f t="shared" si="2"/>
        <v>11.791</v>
      </c>
      <c r="K20" s="6">
        <f t="shared" si="3"/>
        <v>17.582000000000001</v>
      </c>
    </row>
    <row r="21" spans="1:11" ht="18.75" customHeight="1" x14ac:dyDescent="0.25">
      <c r="A21" s="14" t="s">
        <v>31</v>
      </c>
      <c r="B21" s="2">
        <v>6.25</v>
      </c>
      <c r="C21" s="2">
        <v>6.25</v>
      </c>
      <c r="D21" s="2"/>
      <c r="E21" s="2"/>
      <c r="F21" s="2"/>
      <c r="G21" s="2"/>
      <c r="H21" s="2"/>
      <c r="I21" s="4">
        <f t="shared" si="1"/>
        <v>12.041</v>
      </c>
      <c r="J21" s="4">
        <f t="shared" si="2"/>
        <v>18.041</v>
      </c>
      <c r="K21" s="6">
        <f t="shared" si="3"/>
        <v>30.082000000000001</v>
      </c>
    </row>
    <row r="22" spans="1:11" ht="18.75" customHeight="1" x14ac:dyDescent="0.25">
      <c r="A22" s="14" t="s">
        <v>32</v>
      </c>
      <c r="B22" s="2"/>
      <c r="C22" s="2"/>
      <c r="D22" s="2"/>
      <c r="E22" s="2"/>
      <c r="F22" s="2">
        <v>1</v>
      </c>
      <c r="G22" s="2"/>
      <c r="H22" s="2"/>
      <c r="I22" s="4">
        <f t="shared" si="1"/>
        <v>11.041</v>
      </c>
      <c r="J22" s="4">
        <f t="shared" si="2"/>
        <v>18.041</v>
      </c>
      <c r="K22" s="6">
        <f t="shared" si="3"/>
        <v>29.082000000000001</v>
      </c>
    </row>
    <row r="23" spans="1:11" ht="18.75" customHeight="1" x14ac:dyDescent="0.25">
      <c r="A23" s="14" t="s">
        <v>33</v>
      </c>
      <c r="B23" s="2">
        <v>3.75</v>
      </c>
      <c r="C23" s="2">
        <v>3.75</v>
      </c>
      <c r="D23" s="2"/>
      <c r="E23" s="2"/>
      <c r="F23" s="2"/>
      <c r="G23" s="2"/>
      <c r="H23" s="2"/>
      <c r="I23" s="4">
        <f t="shared" si="1"/>
        <v>14.791</v>
      </c>
      <c r="J23" s="4">
        <f t="shared" si="2"/>
        <v>21.791</v>
      </c>
      <c r="K23" s="6">
        <f t="shared" si="3"/>
        <v>36.582000000000001</v>
      </c>
    </row>
    <row r="24" spans="1:11" ht="18.75" customHeight="1" x14ac:dyDescent="0.25">
      <c r="A24" s="12" t="s">
        <v>34</v>
      </c>
      <c r="B24" s="2"/>
      <c r="C24" s="2"/>
      <c r="D24" s="2">
        <v>9</v>
      </c>
      <c r="E24" s="2">
        <v>16</v>
      </c>
      <c r="F24" s="2"/>
      <c r="G24" s="2"/>
      <c r="H24" s="2"/>
      <c r="I24" s="4">
        <f t="shared" si="1"/>
        <v>5.7910000000000004</v>
      </c>
      <c r="J24" s="4">
        <f t="shared" si="2"/>
        <v>5.7910000000000004</v>
      </c>
      <c r="K24" s="6">
        <f t="shared" si="3"/>
        <v>11.582000000000001</v>
      </c>
    </row>
    <row r="25" spans="1:11" ht="18.75" customHeight="1" x14ac:dyDescent="0.25">
      <c r="A25" s="12" t="s">
        <v>38</v>
      </c>
      <c r="B25" s="2">
        <v>2.5</v>
      </c>
      <c r="C25" s="2">
        <v>2.5</v>
      </c>
      <c r="D25" s="2"/>
      <c r="E25" s="2"/>
      <c r="F25" s="2"/>
      <c r="G25" s="2"/>
      <c r="H25" s="2"/>
      <c r="I25" s="4">
        <f t="shared" si="1"/>
        <v>8.2910000000000004</v>
      </c>
      <c r="J25" s="4">
        <f t="shared" si="2"/>
        <v>8.2910000000000004</v>
      </c>
      <c r="K25" s="6">
        <f t="shared" si="3"/>
        <v>16.582000000000001</v>
      </c>
    </row>
    <row r="26" spans="1:11" ht="18.75" customHeight="1" x14ac:dyDescent="0.25">
      <c r="A26" s="12" t="s">
        <v>39</v>
      </c>
      <c r="B26" s="2"/>
      <c r="C26" s="2"/>
      <c r="D26" s="2"/>
      <c r="E26" s="2"/>
      <c r="F26" s="2">
        <v>1</v>
      </c>
      <c r="G26" s="2"/>
      <c r="H26" s="2"/>
      <c r="I26" s="4">
        <f t="shared" ref="I26:I40" si="4">I25-F26-D26+B26</f>
        <v>7.2910000000000004</v>
      </c>
      <c r="J26" s="4">
        <f t="shared" ref="J26:J40" si="5">J25-E26+C26</f>
        <v>8.2910000000000004</v>
      </c>
      <c r="K26" s="6">
        <f t="shared" ref="K26:K43" si="6">SUM(I26+J26)</f>
        <v>15.582000000000001</v>
      </c>
    </row>
    <row r="27" spans="1:11" ht="18.75" customHeight="1" x14ac:dyDescent="0.25">
      <c r="A27" s="12" t="s">
        <v>40</v>
      </c>
      <c r="B27" s="2">
        <v>1.25</v>
      </c>
      <c r="C27" s="2">
        <v>1.25</v>
      </c>
      <c r="D27" s="2"/>
      <c r="E27" s="2"/>
      <c r="F27" s="2"/>
      <c r="G27" s="2"/>
      <c r="H27" s="2"/>
      <c r="I27" s="4">
        <f t="shared" si="4"/>
        <v>8.5410000000000004</v>
      </c>
      <c r="J27" s="4">
        <f t="shared" si="5"/>
        <v>9.5410000000000004</v>
      </c>
      <c r="K27" s="6">
        <f t="shared" si="6"/>
        <v>18.082000000000001</v>
      </c>
    </row>
    <row r="28" spans="1:11" ht="18.75" customHeight="1" x14ac:dyDescent="0.25">
      <c r="A28" s="12" t="s">
        <v>41</v>
      </c>
      <c r="B28" s="2"/>
      <c r="C28" s="2"/>
      <c r="D28" s="2"/>
      <c r="E28" s="2"/>
      <c r="F28" s="2">
        <v>2</v>
      </c>
      <c r="G28" s="2"/>
      <c r="H28" s="2"/>
      <c r="I28" s="4">
        <f t="shared" si="4"/>
        <v>6.5410000000000004</v>
      </c>
      <c r="J28" s="4">
        <f t="shared" si="5"/>
        <v>9.5410000000000004</v>
      </c>
      <c r="K28" s="6">
        <f t="shared" si="6"/>
        <v>16.082000000000001</v>
      </c>
    </row>
    <row r="29" spans="1:11" ht="18.75" customHeight="1" x14ac:dyDescent="0.25">
      <c r="A29" s="12" t="s">
        <v>44</v>
      </c>
      <c r="B29" s="2">
        <v>1.25</v>
      </c>
      <c r="C29" s="2">
        <v>1.25</v>
      </c>
      <c r="D29" s="2"/>
      <c r="E29" s="2"/>
      <c r="F29" s="2"/>
      <c r="G29" s="2"/>
      <c r="H29" s="2"/>
      <c r="I29" s="4">
        <f t="shared" si="4"/>
        <v>7.7910000000000004</v>
      </c>
      <c r="J29" s="4">
        <f t="shared" si="5"/>
        <v>10.791</v>
      </c>
      <c r="K29" s="6">
        <f t="shared" si="6"/>
        <v>18.582000000000001</v>
      </c>
    </row>
    <row r="30" spans="1:11" ht="18.75" customHeight="1" x14ac:dyDescent="0.25">
      <c r="A30" s="12" t="s">
        <v>42</v>
      </c>
      <c r="B30" s="2">
        <v>1.25</v>
      </c>
      <c r="C30" s="2">
        <v>1.25</v>
      </c>
      <c r="D30" s="2"/>
      <c r="E30" s="2"/>
      <c r="F30" s="2"/>
      <c r="G30" s="2"/>
      <c r="H30" s="2"/>
      <c r="I30" s="4">
        <f t="shared" si="4"/>
        <v>9.0410000000000004</v>
      </c>
      <c r="J30" s="4">
        <f t="shared" si="5"/>
        <v>12.041</v>
      </c>
      <c r="K30" s="6">
        <f t="shared" si="6"/>
        <v>21.082000000000001</v>
      </c>
    </row>
    <row r="31" spans="1:11" ht="18.75" customHeight="1" x14ac:dyDescent="0.25">
      <c r="A31" s="12" t="s">
        <v>43</v>
      </c>
      <c r="B31" s="2"/>
      <c r="C31" s="2"/>
      <c r="D31" s="2"/>
      <c r="E31" s="2"/>
      <c r="F31" s="34">
        <v>2</v>
      </c>
      <c r="G31" s="34"/>
      <c r="H31" s="34"/>
      <c r="I31" s="4">
        <f t="shared" si="4"/>
        <v>7.0410000000000004</v>
      </c>
      <c r="J31" s="4">
        <f t="shared" si="5"/>
        <v>12.041</v>
      </c>
      <c r="K31" s="6">
        <f t="shared" si="6"/>
        <v>19.082000000000001</v>
      </c>
    </row>
    <row r="32" spans="1:11" ht="18.75" customHeight="1" x14ac:dyDescent="0.25">
      <c r="A32" s="12" t="s">
        <v>45</v>
      </c>
      <c r="B32" s="2">
        <v>1.25</v>
      </c>
      <c r="C32" s="2">
        <v>1.25</v>
      </c>
      <c r="D32" s="2"/>
      <c r="E32" s="2"/>
      <c r="F32" s="34"/>
      <c r="G32" s="34"/>
      <c r="H32" s="34"/>
      <c r="I32" s="4">
        <f t="shared" si="4"/>
        <v>8.2910000000000004</v>
      </c>
      <c r="J32" s="4">
        <f t="shared" si="5"/>
        <v>13.291</v>
      </c>
      <c r="K32" s="6">
        <f t="shared" si="6"/>
        <v>21.582000000000001</v>
      </c>
    </row>
    <row r="33" spans="1:11" ht="18.75" customHeight="1" x14ac:dyDescent="0.25">
      <c r="A33" s="12" t="s">
        <v>46</v>
      </c>
      <c r="B33" s="2"/>
      <c r="C33" s="2"/>
      <c r="D33" s="2"/>
      <c r="E33" s="2"/>
      <c r="F33" s="34">
        <v>2</v>
      </c>
      <c r="G33" s="34"/>
      <c r="H33" s="34"/>
      <c r="I33" s="4">
        <f t="shared" si="4"/>
        <v>6.2910000000000004</v>
      </c>
      <c r="J33" s="4">
        <f t="shared" si="5"/>
        <v>13.291</v>
      </c>
      <c r="K33" s="6">
        <f t="shared" si="6"/>
        <v>19.582000000000001</v>
      </c>
    </row>
    <row r="34" spans="1:11" ht="18.75" customHeight="1" x14ac:dyDescent="0.25">
      <c r="A34" s="28" t="s">
        <v>48</v>
      </c>
      <c r="B34" s="2">
        <v>10</v>
      </c>
      <c r="C34" s="2">
        <v>10</v>
      </c>
      <c r="D34" s="2"/>
      <c r="E34" s="2"/>
      <c r="F34" s="34"/>
      <c r="G34" s="34"/>
      <c r="H34" s="34"/>
      <c r="I34" s="4">
        <f t="shared" si="4"/>
        <v>16.291</v>
      </c>
      <c r="J34" s="4">
        <f t="shared" si="5"/>
        <v>23.291</v>
      </c>
      <c r="K34" s="6">
        <f t="shared" si="6"/>
        <v>39.582000000000001</v>
      </c>
    </row>
    <row r="35" spans="1:11" ht="18.75" customHeight="1" x14ac:dyDescent="0.25">
      <c r="A35" s="28" t="s">
        <v>49</v>
      </c>
      <c r="B35" s="34"/>
      <c r="C35" s="34"/>
      <c r="D35" s="34"/>
      <c r="E35" s="34"/>
      <c r="F35" s="34">
        <v>1</v>
      </c>
      <c r="G35" s="34"/>
      <c r="H35" s="34"/>
      <c r="I35" s="4">
        <f t="shared" si="4"/>
        <v>15.291</v>
      </c>
      <c r="J35" s="4">
        <f t="shared" si="5"/>
        <v>23.291</v>
      </c>
      <c r="K35" s="6">
        <f t="shared" si="6"/>
        <v>38.582000000000001</v>
      </c>
    </row>
    <row r="36" spans="1:11" ht="18.75" customHeight="1" x14ac:dyDescent="0.25">
      <c r="A36" s="28" t="s">
        <v>50</v>
      </c>
      <c r="B36" s="34"/>
      <c r="C36" s="34"/>
      <c r="D36" s="34"/>
      <c r="E36" s="34"/>
      <c r="F36" s="34"/>
      <c r="G36" s="34">
        <v>3</v>
      </c>
      <c r="H36" s="34"/>
      <c r="I36" s="4">
        <f t="shared" si="4"/>
        <v>15.291</v>
      </c>
      <c r="J36" s="4">
        <f t="shared" si="5"/>
        <v>23.291</v>
      </c>
      <c r="K36" s="6">
        <f t="shared" si="6"/>
        <v>38.582000000000001</v>
      </c>
    </row>
    <row r="37" spans="1:11" ht="18.75" customHeight="1" x14ac:dyDescent="0.25">
      <c r="A37" s="28" t="s">
        <v>51</v>
      </c>
      <c r="B37" s="34"/>
      <c r="C37" s="34"/>
      <c r="D37" s="34">
        <v>1</v>
      </c>
      <c r="E37" s="34"/>
      <c r="F37" s="34"/>
      <c r="G37" s="34"/>
      <c r="H37" s="34"/>
      <c r="I37" s="4">
        <f t="shared" si="4"/>
        <v>14.291</v>
      </c>
      <c r="J37" s="4">
        <f t="shared" si="5"/>
        <v>23.291</v>
      </c>
      <c r="K37" s="6">
        <f t="shared" si="6"/>
        <v>37.582000000000001</v>
      </c>
    </row>
    <row r="38" spans="1:11" ht="18.75" customHeight="1" x14ac:dyDescent="0.25">
      <c r="A38" s="28" t="s">
        <v>52</v>
      </c>
      <c r="B38" s="34">
        <v>1.25</v>
      </c>
      <c r="C38" s="34">
        <v>1.25</v>
      </c>
      <c r="D38" s="34"/>
      <c r="E38" s="34"/>
      <c r="F38" s="34"/>
      <c r="G38" s="34"/>
      <c r="H38" s="34"/>
      <c r="I38" s="4">
        <f t="shared" si="4"/>
        <v>15.541</v>
      </c>
      <c r="J38" s="4">
        <f t="shared" si="5"/>
        <v>24.541</v>
      </c>
      <c r="K38" s="6">
        <f t="shared" si="6"/>
        <v>40.082000000000001</v>
      </c>
    </row>
    <row r="39" spans="1:11" ht="18.75" customHeight="1" x14ac:dyDescent="0.25">
      <c r="A39" s="28" t="s">
        <v>53</v>
      </c>
      <c r="B39" s="34"/>
      <c r="C39" s="34"/>
      <c r="D39" s="34">
        <v>10</v>
      </c>
      <c r="E39" s="34"/>
      <c r="F39" s="34"/>
      <c r="G39" s="34"/>
      <c r="H39" s="34"/>
      <c r="I39" s="4">
        <f t="shared" si="4"/>
        <v>5.5410000000000004</v>
      </c>
      <c r="J39" s="4">
        <f t="shared" si="5"/>
        <v>24.541</v>
      </c>
      <c r="K39" s="6">
        <f t="shared" si="6"/>
        <v>30.082000000000001</v>
      </c>
    </row>
    <row r="40" spans="1:11" ht="18.75" customHeight="1" x14ac:dyDescent="0.25">
      <c r="A40" s="28" t="s">
        <v>54</v>
      </c>
      <c r="B40" s="34">
        <v>1.25</v>
      </c>
      <c r="C40" s="34">
        <v>1.25</v>
      </c>
      <c r="D40" s="34"/>
      <c r="E40" s="34"/>
      <c r="F40" s="34"/>
      <c r="G40" s="34"/>
      <c r="H40" s="34"/>
      <c r="I40" s="4">
        <f t="shared" si="4"/>
        <v>6.7910000000000004</v>
      </c>
      <c r="J40" s="4">
        <f t="shared" si="5"/>
        <v>25.791</v>
      </c>
      <c r="K40" s="6">
        <f t="shared" si="6"/>
        <v>32.582000000000001</v>
      </c>
    </row>
    <row r="41" spans="1:11" ht="18.75" customHeight="1" x14ac:dyDescent="0.25">
      <c r="A41" s="28" t="s">
        <v>55</v>
      </c>
      <c r="B41" s="34">
        <v>1.25</v>
      </c>
      <c r="C41" s="34">
        <v>1.25</v>
      </c>
      <c r="D41" s="34"/>
      <c r="E41" s="34"/>
      <c r="F41" s="34"/>
      <c r="G41" s="34"/>
      <c r="H41" s="34"/>
      <c r="I41" s="4">
        <f>I40-F41-D41+B41</f>
        <v>8.0410000000000004</v>
      </c>
      <c r="J41" s="4">
        <f>J40-E41+C41</f>
        <v>27.041</v>
      </c>
      <c r="K41" s="6">
        <f t="shared" si="6"/>
        <v>35.082000000000001</v>
      </c>
    </row>
    <row r="42" spans="1:11" ht="18.75" customHeight="1" x14ac:dyDescent="0.25">
      <c r="A42" s="28" t="s">
        <v>56</v>
      </c>
      <c r="B42" s="34"/>
      <c r="C42" s="34"/>
      <c r="D42" s="34"/>
      <c r="E42" s="34">
        <v>2</v>
      </c>
      <c r="F42" s="34"/>
      <c r="G42" s="34"/>
      <c r="H42" s="34"/>
      <c r="I42" s="4">
        <f t="shared" ref="I42:I43" si="7">I41-F42-D42+B42</f>
        <v>8.0410000000000004</v>
      </c>
      <c r="J42" s="4">
        <f t="shared" ref="J42:J43" si="8">J41-E42+C42</f>
        <v>25.041</v>
      </c>
      <c r="K42" s="6">
        <f t="shared" si="6"/>
        <v>33.082000000000001</v>
      </c>
    </row>
    <row r="43" spans="1:11" ht="18.75" customHeight="1" x14ac:dyDescent="0.25">
      <c r="A43" s="28" t="s">
        <v>63</v>
      </c>
      <c r="B43" s="34">
        <v>8.75</v>
      </c>
      <c r="C43" s="34">
        <v>8.75</v>
      </c>
      <c r="D43" s="34"/>
      <c r="E43" s="34"/>
      <c r="F43" s="34"/>
      <c r="G43" s="34"/>
      <c r="H43" s="34"/>
      <c r="I43" s="4">
        <f t="shared" si="7"/>
        <v>16.791</v>
      </c>
      <c r="J43" s="4">
        <f t="shared" si="8"/>
        <v>33.790999999999997</v>
      </c>
      <c r="K43" s="6">
        <f t="shared" si="6"/>
        <v>50.581999999999994</v>
      </c>
    </row>
    <row r="44" spans="1:11" ht="18.75" customHeight="1" x14ac:dyDescent="0.25">
      <c r="A44" s="28" t="s">
        <v>64</v>
      </c>
      <c r="B44" s="34"/>
      <c r="C44" s="34"/>
      <c r="D44" s="34">
        <v>10</v>
      </c>
      <c r="E44" s="34"/>
      <c r="F44" s="34"/>
      <c r="G44" s="34"/>
      <c r="H44" s="34"/>
      <c r="I44" s="4">
        <f t="shared" ref="I44" si="9">I43-F44-D44+B44</f>
        <v>6.7910000000000004</v>
      </c>
      <c r="J44" s="4">
        <f t="shared" ref="J44" si="10">J43-E44+C44</f>
        <v>33.790999999999997</v>
      </c>
      <c r="K44" s="6">
        <f t="shared" ref="K44" si="11">SUM(I44+J44)</f>
        <v>40.581999999999994</v>
      </c>
    </row>
    <row r="45" spans="1:11" ht="18.75" customHeight="1" x14ac:dyDescent="0.25">
      <c r="A45" s="29"/>
      <c r="B45" s="35"/>
      <c r="C45" s="35"/>
      <c r="D45" s="35"/>
      <c r="E45" s="35"/>
      <c r="F45" s="35"/>
      <c r="G45" s="35"/>
      <c r="H45" s="35"/>
      <c r="I45" s="32"/>
      <c r="J45" s="32"/>
      <c r="K45" s="32"/>
    </row>
    <row r="46" spans="1:11" ht="18.75" customHeight="1" x14ac:dyDescent="0.25">
      <c r="A46" s="29"/>
      <c r="B46" s="30"/>
      <c r="C46" s="30"/>
      <c r="D46" s="30"/>
      <c r="E46" s="30"/>
      <c r="F46" s="30"/>
      <c r="G46" s="30"/>
      <c r="H46" s="30"/>
      <c r="I46" s="31"/>
      <c r="J46" s="31"/>
      <c r="K46" s="32"/>
    </row>
    <row r="47" spans="1:11" s="1" customFormat="1" x14ac:dyDescent="0.25">
      <c r="G47" s="1" t="s">
        <v>35</v>
      </c>
    </row>
    <row r="48" spans="1:11" s="1" customFormat="1" x14ac:dyDescent="0.25"/>
    <row r="49" spans="9:9" s="1" customFormat="1" x14ac:dyDescent="0.25">
      <c r="I49" s="33" t="s">
        <v>36</v>
      </c>
    </row>
    <row r="50" spans="9:9" s="1" customFormat="1" x14ac:dyDescent="0.25">
      <c r="I50" s="1" t="s">
        <v>37</v>
      </c>
    </row>
    <row r="51" spans="9:9" s="1" customFormat="1" x14ac:dyDescent="0.25">
      <c r="I51" s="1" t="s">
        <v>47</v>
      </c>
    </row>
  </sheetData>
  <mergeCells count="13">
    <mergeCell ref="B9:D9"/>
    <mergeCell ref="A10:K10"/>
    <mergeCell ref="D11:G11"/>
    <mergeCell ref="A2:K2"/>
    <mergeCell ref="A3:K3"/>
    <mergeCell ref="A4:K4"/>
    <mergeCell ref="A5:K5"/>
    <mergeCell ref="B7:D7"/>
    <mergeCell ref="L11:L12"/>
    <mergeCell ref="I11:J11"/>
    <mergeCell ref="A11:A12"/>
    <mergeCell ref="K11:K12"/>
    <mergeCell ref="B11:C11"/>
  </mergeCells>
  <printOptions horizontalCentered="1"/>
  <pageMargins left="0.25" right="0.25" top="0.25" bottom="0.25" header="0.3" footer="0.3"/>
  <pageSetup paperSize="9" scale="64" fitToHeight="0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8279-17A0-4807-B05D-FF0B46D89A2F}">
  <sheetPr>
    <pageSetUpPr fitToPage="1"/>
  </sheetPr>
  <dimension ref="A1:M22"/>
  <sheetViews>
    <sheetView view="pageBreakPreview" topLeftCell="A8" zoomScale="108" zoomScaleNormal="100" zoomScaleSheetLayoutView="108" workbookViewId="0">
      <selection activeCell="D20" sqref="D20"/>
    </sheetView>
  </sheetViews>
  <sheetFormatPr defaultRowHeight="15" x14ac:dyDescent="0.25"/>
  <cols>
    <col min="1" max="1" width="22.140625" customWidth="1"/>
    <col min="2" max="2" width="22.85546875" customWidth="1"/>
    <col min="4" max="4" width="8" customWidth="1"/>
    <col min="8" max="8" width="2.85546875" customWidth="1"/>
    <col min="9" max="9" width="6.5703125" customWidth="1"/>
    <col min="10" max="10" width="3.140625" customWidth="1"/>
    <col min="12" max="12" width="2" customWidth="1"/>
  </cols>
  <sheetData>
    <row r="1" spans="1:13" s="1" customFormat="1" ht="52.5" customHeight="1" x14ac:dyDescent="0.25">
      <c r="D1" s="16"/>
      <c r="E1" s="17"/>
      <c r="I1" s="18"/>
    </row>
    <row r="2" spans="1:13" s="1" customFormat="1" ht="10.5" customHeight="1" x14ac:dyDescent="0.25">
      <c r="A2" s="55" t="s">
        <v>14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</row>
    <row r="3" spans="1:13" s="1" customFormat="1" ht="15.95" customHeight="1" x14ac:dyDescent="0.25">
      <c r="A3" s="55" t="s">
        <v>15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</row>
    <row r="4" spans="1:13" s="1" customFormat="1" ht="15.95" customHeight="1" x14ac:dyDescent="0.25">
      <c r="A4" s="55" t="s">
        <v>65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</row>
    <row r="5" spans="1:13" s="1" customFormat="1" ht="15.95" customHeight="1" x14ac:dyDescent="0.25">
      <c r="A5" s="55" t="s">
        <v>16</v>
      </c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</row>
    <row r="6" spans="1:13" s="1" customFormat="1" ht="8.25" customHeight="1" x14ac:dyDescent="0.25">
      <c r="D6" s="18"/>
      <c r="I6" s="18"/>
    </row>
    <row r="7" spans="1:13" s="1" customFormat="1" ht="8.25" customHeight="1" x14ac:dyDescent="0.25">
      <c r="D7" s="18"/>
      <c r="I7" s="18"/>
    </row>
    <row r="8" spans="1:13" s="1" customFormat="1" ht="14.25" customHeight="1" x14ac:dyDescent="0.25">
      <c r="A8" s="7" t="s">
        <v>76</v>
      </c>
      <c r="B8" s="19"/>
      <c r="C8" s="41" t="s">
        <v>79</v>
      </c>
      <c r="D8" s="42"/>
      <c r="E8" s="73"/>
      <c r="F8" s="73"/>
      <c r="G8" s="42"/>
      <c r="J8" s="59" t="s">
        <v>23</v>
      </c>
      <c r="K8" s="59"/>
      <c r="L8" s="59"/>
      <c r="M8" s="72"/>
    </row>
    <row r="9" spans="1:13" s="1" customFormat="1" ht="12" customHeight="1" x14ac:dyDescent="0.25">
      <c r="C9" s="41" t="s">
        <v>78</v>
      </c>
      <c r="D9" s="42"/>
      <c r="E9" s="73"/>
      <c r="F9" s="73"/>
      <c r="G9" s="42"/>
      <c r="J9" s="60" t="s">
        <v>24</v>
      </c>
      <c r="K9" s="60"/>
      <c r="L9" s="60"/>
      <c r="M9" s="72"/>
    </row>
    <row r="10" spans="1:13" s="1" customFormat="1" ht="12" customHeight="1" x14ac:dyDescent="0.25">
      <c r="A10" s="7" t="s">
        <v>77</v>
      </c>
      <c r="B10" s="19"/>
      <c r="C10" s="19"/>
      <c r="D10" s="21"/>
      <c r="E10" s="20"/>
      <c r="F10" s="20"/>
      <c r="J10" s="59" t="s">
        <v>25</v>
      </c>
      <c r="K10" s="59"/>
      <c r="L10" s="59"/>
      <c r="M10" s="72"/>
    </row>
    <row r="11" spans="1:13" s="1" customFormat="1" ht="12" customHeight="1" x14ac:dyDescent="0.25">
      <c r="A11" s="19"/>
      <c r="B11" s="19"/>
      <c r="C11" s="19"/>
      <c r="D11" s="21"/>
      <c r="E11" s="20"/>
      <c r="F11" s="20"/>
      <c r="J11" s="42"/>
      <c r="K11" s="42"/>
      <c r="L11" s="42"/>
    </row>
    <row r="12" spans="1:13" ht="16.5" customHeight="1" x14ac:dyDescent="0.25">
      <c r="A12" s="61" t="s">
        <v>66</v>
      </c>
      <c r="B12" s="62"/>
      <c r="C12" s="62"/>
      <c r="D12" s="62"/>
      <c r="E12" s="62"/>
      <c r="F12" s="62"/>
      <c r="G12" s="62"/>
      <c r="H12" s="62"/>
      <c r="I12" s="62"/>
      <c r="J12" s="62"/>
      <c r="K12" s="62"/>
      <c r="L12" s="62"/>
    </row>
    <row r="13" spans="1:13" s="22" customFormat="1" ht="18.75" customHeight="1" x14ac:dyDescent="0.2">
      <c r="A13" s="63" t="s">
        <v>69</v>
      </c>
      <c r="B13" s="64" t="s">
        <v>68</v>
      </c>
      <c r="C13" s="65" t="s">
        <v>70</v>
      </c>
      <c r="D13" s="65"/>
      <c r="E13" s="65"/>
      <c r="F13" s="65"/>
      <c r="G13" s="65" t="s">
        <v>26</v>
      </c>
      <c r="H13" s="65"/>
      <c r="I13" s="65" t="s">
        <v>27</v>
      </c>
      <c r="J13" s="65"/>
      <c r="K13" s="65" t="s">
        <v>28</v>
      </c>
      <c r="L13" s="65"/>
    </row>
    <row r="14" spans="1:13" s="22" customFormat="1" ht="18.75" customHeight="1" x14ac:dyDescent="0.2">
      <c r="A14" s="67"/>
      <c r="B14" s="66"/>
      <c r="C14" s="65"/>
      <c r="D14" s="65"/>
      <c r="E14" s="65"/>
      <c r="F14" s="65"/>
      <c r="G14" s="65"/>
      <c r="H14" s="65"/>
      <c r="I14" s="65"/>
      <c r="J14" s="65"/>
      <c r="K14" s="65"/>
      <c r="L14" s="65"/>
    </row>
    <row r="15" spans="1:13" s="22" customFormat="1" ht="24" customHeight="1" x14ac:dyDescent="0.2">
      <c r="A15" s="67"/>
      <c r="B15" s="66"/>
      <c r="C15" s="65"/>
      <c r="D15" s="65"/>
      <c r="E15" s="65"/>
      <c r="F15" s="65"/>
      <c r="G15" s="65"/>
      <c r="H15" s="65"/>
      <c r="I15" s="65"/>
      <c r="J15" s="65"/>
      <c r="K15" s="65"/>
      <c r="L15" s="65"/>
    </row>
    <row r="16" spans="1:13" s="22" customFormat="1" ht="37.5" customHeight="1" x14ac:dyDescent="0.2">
      <c r="A16" s="70" t="s">
        <v>72</v>
      </c>
      <c r="B16" s="23" t="s">
        <v>74</v>
      </c>
      <c r="C16" s="56" t="s">
        <v>29</v>
      </c>
      <c r="D16" s="57"/>
      <c r="E16" s="57"/>
      <c r="F16" s="58"/>
      <c r="G16" s="56">
        <v>5</v>
      </c>
      <c r="H16" s="58"/>
      <c r="I16" s="56">
        <v>0</v>
      </c>
      <c r="J16" s="58"/>
      <c r="K16" s="56">
        <v>5</v>
      </c>
      <c r="L16" s="58"/>
    </row>
    <row r="17" spans="1:12" s="25" customFormat="1" ht="36.950000000000003" customHeight="1" x14ac:dyDescent="0.2">
      <c r="A17" s="71"/>
      <c r="B17" s="24" t="s">
        <v>30</v>
      </c>
      <c r="C17" s="56" t="s">
        <v>29</v>
      </c>
      <c r="D17" s="57"/>
      <c r="E17" s="57"/>
      <c r="F17" s="58"/>
      <c r="G17" s="56"/>
      <c r="H17" s="58"/>
      <c r="I17" s="56">
        <v>5</v>
      </c>
      <c r="J17" s="58"/>
      <c r="K17" s="68">
        <v>0</v>
      </c>
      <c r="L17" s="69"/>
    </row>
    <row r="18" spans="1:12" s="22" customFormat="1" ht="37.5" customHeight="1" x14ac:dyDescent="0.2">
      <c r="A18" s="70" t="s">
        <v>73</v>
      </c>
      <c r="B18" s="23" t="s">
        <v>67</v>
      </c>
      <c r="C18" s="56" t="s">
        <v>71</v>
      </c>
      <c r="D18" s="57"/>
      <c r="E18" s="57"/>
      <c r="F18" s="58"/>
      <c r="G18" s="56">
        <v>5</v>
      </c>
      <c r="H18" s="58"/>
      <c r="I18" s="56">
        <v>0</v>
      </c>
      <c r="J18" s="58"/>
      <c r="K18" s="56">
        <v>5</v>
      </c>
      <c r="L18" s="58"/>
    </row>
    <row r="19" spans="1:12" s="25" customFormat="1" ht="36.950000000000003" customHeight="1" x14ac:dyDescent="0.2">
      <c r="A19" s="71"/>
      <c r="B19" s="24" t="s">
        <v>75</v>
      </c>
      <c r="C19" s="56" t="s">
        <v>71</v>
      </c>
      <c r="D19" s="57"/>
      <c r="E19" s="57"/>
      <c r="F19" s="58"/>
      <c r="G19" s="56"/>
      <c r="H19" s="58"/>
      <c r="I19" s="56">
        <v>5</v>
      </c>
      <c r="J19" s="58"/>
      <c r="K19" s="68">
        <v>0</v>
      </c>
      <c r="L19" s="69"/>
    </row>
    <row r="20" spans="1:12" s="1" customFormat="1" ht="75.75" customHeight="1" x14ac:dyDescent="0.25">
      <c r="A20" s="26"/>
      <c r="B20" s="26"/>
      <c r="D20" s="18"/>
    </row>
    <row r="21" spans="1:12" s="1" customFormat="1" x14ac:dyDescent="0.25">
      <c r="D21" s="18"/>
    </row>
    <row r="22" spans="1:12" s="1" customFormat="1" x14ac:dyDescent="0.25">
      <c r="D22" s="18"/>
    </row>
  </sheetData>
  <mergeCells count="32">
    <mergeCell ref="A16:A17"/>
    <mergeCell ref="A18:A19"/>
    <mergeCell ref="G19:H19"/>
    <mergeCell ref="I19:J19"/>
    <mergeCell ref="K19:L19"/>
    <mergeCell ref="C19:F19"/>
    <mergeCell ref="G18:H18"/>
    <mergeCell ref="I18:J18"/>
    <mergeCell ref="K18:L18"/>
    <mergeCell ref="C18:F18"/>
    <mergeCell ref="A2:L2"/>
    <mergeCell ref="A3:L3"/>
    <mergeCell ref="A4:L4"/>
    <mergeCell ref="A5:L5"/>
    <mergeCell ref="J8:L8"/>
    <mergeCell ref="J9:L9"/>
    <mergeCell ref="J10:L10"/>
    <mergeCell ref="A12:L12"/>
    <mergeCell ref="A13:A15"/>
    <mergeCell ref="B13:B15"/>
    <mergeCell ref="G13:H15"/>
    <mergeCell ref="I13:J15"/>
    <mergeCell ref="K13:L15"/>
    <mergeCell ref="C13:F15"/>
    <mergeCell ref="G16:H16"/>
    <mergeCell ref="I16:J16"/>
    <mergeCell ref="K16:L16"/>
    <mergeCell ref="C16:F16"/>
    <mergeCell ref="G17:H17"/>
    <mergeCell ref="I17:J17"/>
    <mergeCell ref="K17:L17"/>
    <mergeCell ref="C17:F17"/>
  </mergeCells>
  <phoneticPr fontId="14" type="noConversion"/>
  <pageMargins left="0.7" right="0.7" top="0.75" bottom="0.75" header="0.3" footer="0.3"/>
  <pageSetup paperSize="9" scale="71" fitToHeight="0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Leave Card (NE)</vt:lpstr>
      <vt:lpstr>ELECTION</vt:lpstr>
      <vt:lpstr>'Leave Card (NE)'!Print_Area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2025-09-04T05:12:47Z</cp:lastPrinted>
  <dcterms:created xsi:type="dcterms:W3CDTF">2021-10-07T06:10:16Z</dcterms:created>
  <dcterms:modified xsi:type="dcterms:W3CDTF">2025-09-04T05:18:37Z</dcterms:modified>
</cp:coreProperties>
</file>