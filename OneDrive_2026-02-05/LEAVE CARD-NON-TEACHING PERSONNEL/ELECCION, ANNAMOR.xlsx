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3" documentId="13_ncr:1_{77BF2770-E073-4DB3-ADA4-3880B75B603D}" xr6:coauthVersionLast="47" xr6:coauthVersionMax="47" xr10:uidLastSave="{CAAFE5E0-3821-41B2-B947-89617BDCD69A}"/>
  <bookViews>
    <workbookView xWindow="-120" yWindow="-120" windowWidth="29040" windowHeight="15720" xr2:uid="{00000000-000D-0000-FFFF-FFFF00000000}"/>
  </bookViews>
  <sheets>
    <sheet name="Leave Card (NE)" sheetId="6" r:id="rId1"/>
    <sheet name="CTO" sheetId="8" r:id="rId2"/>
  </sheets>
  <definedNames>
    <definedName name="_xlnm.Print_Area" localSheetId="0">'Leave Card (NE)'!$A$1:$J$101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3" i="6" l="1"/>
  <c r="I93" i="6"/>
  <c r="J93" i="6"/>
  <c r="J25" i="8" l="1"/>
  <c r="I13" i="6" l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H13" i="6"/>
  <c r="H14" i="6" s="1"/>
  <c r="H15" i="6" s="1"/>
  <c r="J15" i="6" l="1"/>
  <c r="H16" i="6"/>
  <c r="J14" i="6"/>
  <c r="L16" i="8"/>
  <c r="H17" i="6" l="1"/>
  <c r="J16" i="6"/>
  <c r="J13" i="6"/>
  <c r="H18" i="6" l="1"/>
  <c r="J17" i="6"/>
  <c r="H19" i="6" l="1"/>
  <c r="J18" i="6"/>
  <c r="H20" i="6" l="1"/>
  <c r="J19" i="6"/>
  <c r="H21" i="6" l="1"/>
  <c r="J20" i="6"/>
  <c r="J21" i="6" l="1"/>
  <c r="H22" i="6"/>
  <c r="H23" i="6" l="1"/>
  <c r="J22" i="6"/>
  <c r="H24" i="6" l="1"/>
  <c r="J23" i="6"/>
  <c r="H25" i="6" l="1"/>
  <c r="J24" i="6"/>
  <c r="H26" i="6" l="1"/>
  <c r="J25" i="6"/>
  <c r="J26" i="6" l="1"/>
  <c r="H27" i="6"/>
  <c r="H28" i="6" l="1"/>
  <c r="J27" i="6"/>
  <c r="H29" i="6" l="1"/>
  <c r="J28" i="6"/>
  <c r="H30" i="6" l="1"/>
  <c r="J29" i="6"/>
  <c r="H31" i="6" l="1"/>
  <c r="J30" i="6"/>
  <c r="J31" i="6" l="1"/>
  <c r="H32" i="6"/>
  <c r="J32" i="6" l="1"/>
  <c r="H33" i="6"/>
  <c r="H34" i="6" l="1"/>
  <c r="J33" i="6"/>
  <c r="H35" i="6" l="1"/>
  <c r="J34" i="6"/>
  <c r="H36" i="6" l="1"/>
  <c r="J35" i="6"/>
  <c r="H37" i="6" l="1"/>
  <c r="J36" i="6"/>
  <c r="H38" i="6" l="1"/>
  <c r="J37" i="6"/>
  <c r="H39" i="6" l="1"/>
  <c r="J38" i="6"/>
  <c r="H40" i="6" l="1"/>
  <c r="J39" i="6"/>
  <c r="J40" i="6" l="1"/>
  <c r="H41" i="6"/>
  <c r="J41" i="6" l="1"/>
  <c r="H42" i="6"/>
  <c r="H43" i="6" l="1"/>
  <c r="J42" i="6"/>
  <c r="H44" i="6" l="1"/>
  <c r="J43" i="6"/>
  <c r="H45" i="6" l="1"/>
  <c r="J44" i="6"/>
  <c r="H46" i="6" l="1"/>
  <c r="J45" i="6"/>
  <c r="H47" i="6" l="1"/>
  <c r="J46" i="6"/>
  <c r="J47" i="6" l="1"/>
  <c r="H48" i="6"/>
  <c r="H49" i="6" l="1"/>
  <c r="J48" i="6"/>
  <c r="H50" i="6" l="1"/>
  <c r="J49" i="6"/>
  <c r="J50" i="6" l="1"/>
  <c r="H51" i="6"/>
  <c r="J51" i="6" l="1"/>
  <c r="H52" i="6"/>
  <c r="J52" i="6" l="1"/>
  <c r="H53" i="6"/>
  <c r="J53" i="6" l="1"/>
  <c r="H54" i="6"/>
  <c r="J54" i="6" l="1"/>
  <c r="H55" i="6"/>
  <c r="H56" i="6" l="1"/>
  <c r="J55" i="6"/>
  <c r="J56" i="6" l="1"/>
  <c r="H57" i="6"/>
  <c r="J57" i="6" l="1"/>
  <c r="H58" i="6"/>
  <c r="J58" i="6" l="1"/>
  <c r="H59" i="6"/>
  <c r="H60" i="6" l="1"/>
  <c r="J59" i="6"/>
  <c r="J60" i="6" l="1"/>
  <c r="H61" i="6"/>
  <c r="J61" i="6" l="1"/>
  <c r="H62" i="6"/>
  <c r="J62" i="6" l="1"/>
  <c r="H63" i="6"/>
  <c r="H64" i="6" l="1"/>
  <c r="J63" i="6"/>
  <c r="J64" i="6" l="1"/>
  <c r="H65" i="6"/>
  <c r="J65" i="6" l="1"/>
  <c r="H66" i="6"/>
  <c r="J66" i="6" l="1"/>
  <c r="H67" i="6"/>
  <c r="J67" i="6" l="1"/>
  <c r="H68" i="6"/>
  <c r="H69" i="6" l="1"/>
  <c r="J68" i="6"/>
  <c r="J69" i="6" l="1"/>
  <c r="H70" i="6"/>
  <c r="J70" i="6" l="1"/>
  <c r="H71" i="6"/>
  <c r="H72" i="6" l="1"/>
  <c r="J71" i="6"/>
  <c r="J72" i="6" l="1"/>
  <c r="H73" i="6"/>
  <c r="H74" i="6" l="1"/>
  <c r="J73" i="6"/>
  <c r="J74" i="6" l="1"/>
  <c r="H75" i="6"/>
  <c r="J75" i="6" l="1"/>
  <c r="H76" i="6"/>
  <c r="J76" i="6" l="1"/>
  <c r="H77" i="6"/>
  <c r="J77" i="6" l="1"/>
  <c r="H78" i="6"/>
  <c r="H79" i="6" l="1"/>
  <c r="J78" i="6"/>
  <c r="H80" i="6" l="1"/>
  <c r="J79" i="6"/>
  <c r="J80" i="6" l="1"/>
  <c r="H81" i="6"/>
  <c r="J81" i="6" l="1"/>
  <c r="H82" i="6"/>
  <c r="J82" i="6" l="1"/>
  <c r="H83" i="6"/>
  <c r="H84" i="6" l="1"/>
  <c r="J83" i="6"/>
  <c r="J84" i="6" l="1"/>
  <c r="H85" i="6"/>
  <c r="J85" i="6" l="1"/>
  <c r="H86" i="6"/>
  <c r="J86" i="6" l="1"/>
  <c r="H87" i="6"/>
  <c r="J87" i="6" l="1"/>
  <c r="H88" i="6"/>
  <c r="H89" i="6" l="1"/>
  <c r="J88" i="6"/>
  <c r="J89" i="6" l="1"/>
  <c r="H90" i="6"/>
  <c r="J90" i="6" l="1"/>
  <c r="H91" i="6"/>
  <c r="J91" i="6" l="1"/>
  <c r="H92" i="6"/>
  <c r="J92" i="6" s="1"/>
</calcChain>
</file>

<file path=xl/sharedStrings.xml><?xml version="1.0" encoding="utf-8"?>
<sst xmlns="http://schemas.openxmlformats.org/spreadsheetml/2006/main" count="165" uniqueCount="141">
  <si>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</si>
  <si>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</si>
  <si>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</si>
  <si>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</si>
  <si>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</si>
  <si>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</si>
  <si>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</si>
  <si>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</si>
  <si>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</si>
  <si>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</si>
  <si>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</si>
  <si>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</si>
  <si>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</si>
  <si>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</si>
  <si>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</si>
  <si>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</si>
  <si>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</si>
  <si>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</si>
  <si>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LEAVE</t>
  </si>
  <si>
    <t>ADD: 01/03/2019 - 01/31/2019</t>
  </si>
  <si>
    <t>ADD: 02/01/2019 - 12/31/2019</t>
  </si>
  <si>
    <t>LESS: FL 2019</t>
  </si>
  <si>
    <t>ADD: 01/01/2020 - 12/31/2020</t>
  </si>
  <si>
    <t>LESS: MONETIZATION 2020</t>
  </si>
  <si>
    <t>LESS: 05/26,27 &amp; 28/2020</t>
  </si>
  <si>
    <t>LESS: FL 2020</t>
  </si>
  <si>
    <t>ADD: 01/01/2021 - 12/31/2021</t>
  </si>
  <si>
    <t>LESS: MONETIZATION 2021</t>
  </si>
  <si>
    <t>LESS: 12/22,23,27, 28 &amp; 29/2021</t>
  </si>
  <si>
    <t>ADD: 01/01/2022 - 02/28/2022</t>
  </si>
  <si>
    <t>LESS: 03/01 &amp; 02/2022</t>
  </si>
  <si>
    <t>LESS: 03/22/2022</t>
  </si>
  <si>
    <t>LESS: 03/10/2022</t>
  </si>
  <si>
    <t>ADD: 03/01/2022 - 03/31/2022</t>
  </si>
  <si>
    <t>LESS: 04/05 &amp; 06/2022</t>
  </si>
  <si>
    <t>LESS: 04/22 &amp; 26/2022</t>
  </si>
  <si>
    <t>ADD: 04/01/2022 - 04/30/2022</t>
  </si>
  <si>
    <t>LESS: 04/28/22</t>
  </si>
  <si>
    <t>LESS: 05/11 &amp; 26/22</t>
  </si>
  <si>
    <t>ADD: 05/01/2022 - 07/31/2022</t>
  </si>
  <si>
    <t>LESS: 07/01 &amp; 04/22</t>
  </si>
  <si>
    <t>ADD: 08/01/2022 - 08/31/2022</t>
  </si>
  <si>
    <t>LESS: MONETIZATION 2022</t>
  </si>
  <si>
    <t>ADD: 09/01/2022 - 11/30/2022</t>
  </si>
  <si>
    <t>ADD: 12/01/2022 - 12/31/2022</t>
  </si>
  <si>
    <t>LESS: FL 2022</t>
  </si>
  <si>
    <t>ADD: 01/01/2023 - 04/30/2023</t>
  </si>
  <si>
    <t>LESS: 05/29 - 31/2023</t>
  </si>
  <si>
    <t>ADD: 05/01/2023 - 05/31/2023</t>
  </si>
  <si>
    <t>LESS: 06/19/2023</t>
  </si>
  <si>
    <t>ADD: 06/01/2023 - 06/30/2023</t>
  </si>
  <si>
    <t>LESS: 06/29 &amp; 30/2023</t>
  </si>
  <si>
    <t>ADD: 07/01/2023 - 08/31/2023</t>
  </si>
  <si>
    <t>LESS: MONETIZATION 2023</t>
  </si>
  <si>
    <t>LESS: 08/23&amp;29/2023</t>
  </si>
  <si>
    <t>ADD: 09/01/2023-09/30/2023</t>
  </si>
  <si>
    <t>ADD: 10/01/2023-10/31/2023</t>
  </si>
  <si>
    <t>LESS: 10/12-13/2023</t>
  </si>
  <si>
    <t>LESS: 11/24&amp;28/2023</t>
  </si>
  <si>
    <t>ADD: 11/01/2023-11/30/2023</t>
  </si>
  <si>
    <t>ADD: 12/01/2023-12/31/2023</t>
  </si>
  <si>
    <t>LESS: 01/02/2024</t>
  </si>
  <si>
    <t>LESS: 12/27-28/2023</t>
  </si>
  <si>
    <t>LESS:  FL 2023</t>
  </si>
  <si>
    <t>ADD: 01/01-31/2024</t>
  </si>
  <si>
    <t>ADD: 02/01/2024-02/29/2024</t>
  </si>
  <si>
    <t>LESS: 02/23/2024</t>
  </si>
  <si>
    <t xml:space="preserve">LESS: 03/18/2024 </t>
  </si>
  <si>
    <t>ADD: 03/1-31/2024</t>
  </si>
  <si>
    <t>LESS: 04/22-24/2024</t>
  </si>
  <si>
    <t>ADD: 04/1/2024-06/30/2024</t>
  </si>
  <si>
    <t>LESS: 06/14/2024</t>
  </si>
  <si>
    <t>ADD: JULY 1-31, 2024</t>
  </si>
  <si>
    <t>LESS: MONETIZATION 2024 (20 DAYS)</t>
  </si>
  <si>
    <t>ADD: 08/1/2024-10/31/2024</t>
  </si>
  <si>
    <t>LESS: 11/18/2024</t>
  </si>
  <si>
    <t>LESS: 11/20-21/2024</t>
  </si>
  <si>
    <t>ADD: 11/1-30/2024</t>
  </si>
  <si>
    <t>LESS: 12/19 &amp; 23/2024</t>
  </si>
  <si>
    <t>LESS: 12/27/2024</t>
  </si>
  <si>
    <t>ADD: 12/1-31/2024</t>
  </si>
  <si>
    <t>LESS: 01/2-3/2025</t>
  </si>
  <si>
    <t>ADD: 01/1-31/2025</t>
  </si>
  <si>
    <t>LESS: 02/14/2025</t>
  </si>
  <si>
    <t>ADD: 02/1/2025-03/31/2025</t>
  </si>
  <si>
    <t>LESS: 03/17-18/2025</t>
  </si>
  <si>
    <t>LESS: 03/31/2025</t>
  </si>
  <si>
    <t>ADD: 04/1-30/2025</t>
  </si>
  <si>
    <t>LESS: 05/9/2025</t>
  </si>
  <si>
    <t>LESS: 05/26/2025</t>
  </si>
  <si>
    <t>ADD: 05/1/2025-06/30/2025</t>
  </si>
  <si>
    <t>LESS: MONETIZATION 2025 (17 DAYS)</t>
  </si>
  <si>
    <t>LESS: 06/27/2025</t>
  </si>
  <si>
    <t>LESS: 07/11 &amp; 14/2025</t>
  </si>
  <si>
    <t>ADD: 07/1-31/2025</t>
  </si>
  <si>
    <t>LESS: 08/15/2025</t>
  </si>
  <si>
    <t>LESS: 10/30/2025 &amp; 12/22, 23, 26, &amp; 29/2025</t>
  </si>
  <si>
    <t>ADD: 08/1-31/2025</t>
  </si>
  <si>
    <t>LESS: 09/15 &amp; 18/2025</t>
  </si>
  <si>
    <t>ADD: 09/1/2025-11/30/2025</t>
  </si>
  <si>
    <t>Certified Correct:</t>
  </si>
  <si>
    <t>MA. LUISA B. CATIGAN</t>
  </si>
  <si>
    <t>Administrative Officer IV</t>
  </si>
  <si>
    <t>HRMO</t>
  </si>
  <si>
    <t>COMPENSATORY TIME OFF (CTO)</t>
  </si>
  <si>
    <t>Special Order No. and Date Issued</t>
  </si>
  <si>
    <t>No. of Days Granted</t>
  </si>
  <si>
    <t>No. of Days Used</t>
  </si>
  <si>
    <t>Balance</t>
  </si>
  <si>
    <t>ADD: SEPTEMBER 2, 2022</t>
  </si>
  <si>
    <t>S.O. # 072, S. 2022. COMPLETE PROGRESS MONITORING REPORT &amp; INVENTORY OF SLMs &amp; LAS FROM QUARTER 1 TO 4</t>
  </si>
  <si>
    <t>LESS: AUG. 26, 30 &amp; 31, 2022</t>
  </si>
  <si>
    <t>LESS: DEC. 02 &amp; 05, 2022</t>
  </si>
  <si>
    <t>LESS: DEC. 16, 19, 21, 22 &amp; 23, 2022</t>
  </si>
  <si>
    <t>LESS: JAN. 05, 2023</t>
  </si>
  <si>
    <t>LESS: JAN. 16, 2023</t>
  </si>
  <si>
    <t>LESS: April 26, 2023</t>
  </si>
  <si>
    <t>LESS: May 22 &amp; 26, 2023</t>
  </si>
  <si>
    <t>ADD: APRIL 12, 2023</t>
  </si>
  <si>
    <t>S.O. # 047, S. 2023. PERFORMANCE PLANNING &amp; COMMITMENT FOR SY 2023</t>
  </si>
  <si>
    <t>LESS: 07/17/23</t>
  </si>
  <si>
    <t>LESS: 08/22/23</t>
  </si>
  <si>
    <t>ADD: 10/23/2023</t>
  </si>
  <si>
    <t xml:space="preserve">S.O. # 160, S. 2023. REGIONAL WORKSHOP ON QUALITY ASSURANCE OF TEST QUESTIONS FOR THE REGIONAL ACHIEVEMENT MEASURE (RAM) </t>
  </si>
  <si>
    <t>LESS: 10/23-24/2023</t>
  </si>
  <si>
    <t>LESS: 09/22/2023</t>
  </si>
  <si>
    <t>ADD: 01/10/2024</t>
  </si>
  <si>
    <t>S.O # 001 S. 2024- COMPENSATORY OVERTIME CREDITS (COC)</t>
  </si>
  <si>
    <t>LESS: 01/22/2024</t>
  </si>
  <si>
    <t>LESS: 02/19/2024</t>
  </si>
  <si>
    <t>ADD: 06/26/2024</t>
  </si>
  <si>
    <t>S.O # 024 S. 2024- 126TH PHIL. IND. DAY</t>
  </si>
  <si>
    <t>LESS: 06/17/2024</t>
  </si>
  <si>
    <t>ADD: 07/1/2025</t>
  </si>
  <si>
    <t>SO # 044, S. 2025 127TH PHIL. IND. DAY</t>
  </si>
  <si>
    <t>LESS: 07/11/2025</t>
  </si>
  <si>
    <t>ADD: 04/10/2025</t>
  </si>
  <si>
    <t>S.O # 011, S. 2025 EVALUATION WORKSHOP OF GRADES 2 , 5 &amp; 8 TEXTBOOKS AND TEACHERS MANUAL</t>
  </si>
  <si>
    <t>LESS: 04/30/2025 &amp; 05/2/2025</t>
  </si>
  <si>
    <t>LESS: 10/27/2025</t>
  </si>
  <si>
    <t>NOTE:  Valid for one (1) year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</si>
</sst>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8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4" xfId="0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4" xfId="0" applyFill="1" applyBorder="1"/>
    <xf numFmtId="164" fontId="3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0" fillId="0" borderId="0" xfId="1" applyFont="1"/>
    <xf numFmtId="0" fontId="10" fillId="0" borderId="0" xfId="0" applyFont="1"/>
    <xf numFmtId="0" fontId="6" fillId="2" borderId="1" xfId="1" applyFont="1" applyFill="1" applyBorder="1" applyAlignment="1">
      <alignment horizontal="center" vertical="center" wrapText="1"/>
    </xf>
    <xf numFmtId="0" fontId="11" fillId="2" borderId="0" xfId="0" applyFont="1" applyFill="1"/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4" fillId="2" borderId="1" xfId="0" applyNumberFormat="1" applyFont="1" applyFill="1" applyBorder="1" applyAlignment="1">
      <alignment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8" fillId="0" borderId="0" xfId="1" applyFont="1"/>
    <xf numFmtId="0" fontId="0" fillId="0" borderId="1" xfId="0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7" fillId="10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6" fillId="1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514349</xdr:colOff>
      <xdr:row>0</xdr:row>
      <xdr:rowOff>95250</xdr:rowOff>
    </xdr:from>
    <xdr:to>
      <xdr:col>4</xdr:col>
      <xdr:colOff>406529</xdr:colOff>
      <xdr:row>0</xdr:row>
      <xdr:rowOff>625475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49" y="95250"/>
          <a:ext cx="66370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139701</xdr:rowOff>
    </xdr:from>
    <xdr:to>
      <xdr:col>1</xdr:col>
      <xdr:colOff>19050</xdr:colOff>
      <xdr:row>6</xdr:row>
      <xdr:rowOff>116011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542F32-42CB-489C-8B2A-ACFA357A8F3B}"/>
            </a:ext>
          </a:extLst>
        </xdr:cNvPr>
        <xdr:cNvSpPr txBox="1"/>
      </xdr:nvSpPr>
      <xdr:spPr>
        <a:xfrm>
          <a:off x="573942" y="1346201"/>
          <a:ext cx="1908908" cy="281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ELECCION, ANNAMOR</a:t>
          </a:r>
        </a:p>
      </xdr:txBody>
    </xdr:sp>
    <xdr:clientData/>
  </xdr:twoCellAnchor>
  <xdr:twoCellAnchor>
    <xdr:from>
      <xdr:col>3</xdr:col>
      <xdr:colOff>590323</xdr:colOff>
      <xdr:row>7</xdr:row>
      <xdr:rowOff>29710</xdr:rowOff>
    </xdr:from>
    <xdr:to>
      <xdr:col>4</xdr:col>
      <xdr:colOff>526823</xdr:colOff>
      <xdr:row>8</xdr:row>
      <xdr:rowOff>139700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172345-D453-466A-B89B-FD5A0AF228B0}"/>
            </a:ext>
          </a:extLst>
        </xdr:cNvPr>
        <xdr:cNvSpPr txBox="1"/>
      </xdr:nvSpPr>
      <xdr:spPr>
        <a:xfrm>
          <a:off x="4546373" y="1693410"/>
          <a:ext cx="749300" cy="262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  <xdr:twoCellAnchor>
    <xdr:from>
      <xdr:col>0</xdr:col>
      <xdr:colOff>736600</xdr:colOff>
      <xdr:row>7</xdr:row>
      <xdr:rowOff>31750</xdr:rowOff>
    </xdr:from>
    <xdr:to>
      <xdr:col>0</xdr:col>
      <xdr:colOff>2178050</xdr:colOff>
      <xdr:row>9</xdr:row>
      <xdr:rowOff>8060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A920A58-5834-43AC-94D7-42A5F7F387FF}"/>
            </a:ext>
          </a:extLst>
        </xdr:cNvPr>
        <xdr:cNvSpPr txBox="1"/>
      </xdr:nvSpPr>
      <xdr:spPr>
        <a:xfrm>
          <a:off x="736600" y="1695450"/>
          <a:ext cx="1441450" cy="281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EPSVR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1206500</xdr:colOff>
      <xdr:row>0</xdr:row>
      <xdr:rowOff>70079</xdr:rowOff>
    </xdr:from>
    <xdr:to>
      <xdr:col>3</xdr:col>
      <xdr:colOff>452098</xdr:colOff>
      <xdr:row>0</xdr:row>
      <xdr:rowOff>555625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8C8F58-35DF-4219-BC52-1B0361757B2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6563" y="70079"/>
          <a:ext cx="610848" cy="485546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1281339</xdr:colOff>
      <xdr:row>6</xdr:row>
      <xdr:rowOff>116010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2FEB28A-D1C2-43BF-A347-9B5ACB51ED3A}"/>
            </a:ext>
          </a:extLst>
        </xdr:cNvPr>
        <xdr:cNvSpPr txBox="1"/>
      </xdr:nvSpPr>
      <xdr:spPr>
        <a:xfrm>
          <a:off x="573942" y="1384265"/>
          <a:ext cx="2090790" cy="251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ELECCION, ANNAMOR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5115A9E-3CEA-4AB1-9A22-BDCE9D6DA98B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10</xdr:row>
      <xdr:rowOff>10714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16A5DFD-4DE3-4EFD-9E75-D0B563F8E235}"/>
            </a:ext>
          </a:extLst>
        </xdr:cNvPr>
        <xdr:cNvSpPr txBox="1"/>
      </xdr:nvSpPr>
      <xdr:spPr>
        <a:xfrm>
          <a:off x="3517673" y="1706110"/>
          <a:ext cx="17208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view="pageBreakPreview" topLeftCell="A68" zoomScaleNormal="100" zoomScaleSheetLayoutView="100" workbookViewId="0">
      <selection activeCell="E85" sqref="E85"/>
    </sheetView>
  </sheetViews>
  <sheetFormatPr defaultRowHeight="15"/>
  <cols>
    <col min="1" max="1" width="33.7109375" customWidth="1"/>
    <col min="2" max="10" width="11.5703125" customWidth="1"/>
  </cols>
  <sheetData>
    <row r="1" spans="1:10" s="1" customFormat="1" ht="52.5" customHeight="1"/>
    <row r="2" spans="1:10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</row>
    <row r="3" spans="1:10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</row>
    <row r="4" spans="1:10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</row>
    <row r="5" spans="1:10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</row>
    <row r="6" spans="1:10" s="1" customFormat="1" ht="8.25" customHeight="1"/>
    <row r="7" spans="1:10" s="1" customFormat="1" ht="12" customHeight="1">
      <c r="A7" s="1" t="s">
        <v>4</v>
      </c>
      <c r="C7" s="2" t="s">
        <v>5</v>
      </c>
      <c r="F7" s="16"/>
      <c r="G7" s="16"/>
      <c r="H7" s="2" t="s">
        <v>6</v>
      </c>
      <c r="I7" s="18"/>
      <c r="J7" s="18"/>
    </row>
    <row r="8" spans="1:10" s="1" customFormat="1" ht="12" customHeight="1">
      <c r="C8" s="4"/>
      <c r="F8" s="4"/>
      <c r="G8" s="4"/>
      <c r="H8" s="4"/>
    </row>
    <row r="9" spans="1:10" s="1" customFormat="1" ht="12" customHeight="1">
      <c r="A9" s="1" t="s">
        <v>7</v>
      </c>
      <c r="C9" s="2" t="s">
        <v>8</v>
      </c>
      <c r="F9" s="2"/>
      <c r="G9" s="2"/>
      <c r="H9" s="2" t="s">
        <v>9</v>
      </c>
      <c r="I9" s="18"/>
      <c r="J9" s="18"/>
    </row>
    <row r="10" spans="1:10" ht="21.75" thickBot="1">
      <c r="A10" s="1"/>
      <c r="B10" s="53"/>
      <c r="C10" s="53"/>
      <c r="D10" s="53"/>
      <c r="E10" s="53"/>
      <c r="F10" s="53"/>
      <c r="G10" s="53"/>
      <c r="H10" s="53"/>
      <c r="I10" s="53"/>
      <c r="J10" s="53"/>
    </row>
    <row r="11" spans="1:10" ht="18.75" customHeight="1">
      <c r="A11" s="54" t="s">
        <v>10</v>
      </c>
      <c r="B11" s="50" t="s">
        <v>11</v>
      </c>
      <c r="C11" s="50"/>
      <c r="D11" s="51" t="s">
        <v>12</v>
      </c>
      <c r="E11" s="51"/>
      <c r="F11" s="51"/>
      <c r="G11" s="10"/>
      <c r="H11" s="52" t="s">
        <v>13</v>
      </c>
      <c r="I11" s="52"/>
      <c r="J11" s="56" t="s">
        <v>14</v>
      </c>
    </row>
    <row r="12" spans="1:10" ht="29.45" customHeight="1" thickBot="1">
      <c r="A12" s="55"/>
      <c r="B12" s="7" t="s">
        <v>15</v>
      </c>
      <c r="C12" s="7" t="s">
        <v>16</v>
      </c>
      <c r="D12" s="7" t="s">
        <v>15</v>
      </c>
      <c r="E12" s="7" t="s">
        <v>16</v>
      </c>
      <c r="F12" s="7" t="s">
        <v>17</v>
      </c>
      <c r="G12" s="17" t="s">
        <v>18</v>
      </c>
      <c r="H12" s="7" t="s">
        <v>15</v>
      </c>
      <c r="I12" s="7" t="s">
        <v>16</v>
      </c>
      <c r="J12" s="57"/>
    </row>
    <row r="13" spans="1:10" ht="18.75" customHeight="1">
      <c r="A13" s="39" t="s">
        <v>19</v>
      </c>
      <c r="B13" s="6">
        <v>1.208</v>
      </c>
      <c r="C13" s="6">
        <v>1.208</v>
      </c>
      <c r="D13" s="6"/>
      <c r="E13" s="6"/>
      <c r="F13" s="6"/>
      <c r="G13" s="6"/>
      <c r="H13" s="6">
        <f>B13</f>
        <v>1.208</v>
      </c>
      <c r="I13" s="6">
        <f>C13</f>
        <v>1.208</v>
      </c>
      <c r="J13" s="6">
        <f>SUM(H13:I13)</f>
        <v>2.4159999999999999</v>
      </c>
    </row>
    <row r="14" spans="1:10" ht="18.75" customHeight="1">
      <c r="A14" s="22" t="s">
        <v>20</v>
      </c>
      <c r="B14" s="3">
        <v>13.75</v>
      </c>
      <c r="C14" s="3">
        <v>13.75</v>
      </c>
      <c r="D14" s="3"/>
      <c r="E14" s="3"/>
      <c r="F14" s="3"/>
      <c r="G14" s="3"/>
      <c r="H14" s="3">
        <f>H13-F14-D14+B14</f>
        <v>14.958</v>
      </c>
      <c r="I14" s="3">
        <f>I13-E14+C14</f>
        <v>14.958</v>
      </c>
      <c r="J14" s="3">
        <f t="shared" ref="J14" si="0">SUM(H14:I14)</f>
        <v>29.916</v>
      </c>
    </row>
    <row r="15" spans="1:10" ht="18.75" customHeight="1">
      <c r="A15" s="22" t="s">
        <v>21</v>
      </c>
      <c r="B15" s="3"/>
      <c r="C15" s="3"/>
      <c r="D15" s="3"/>
      <c r="E15" s="3"/>
      <c r="F15" s="3">
        <v>5</v>
      </c>
      <c r="G15" s="3"/>
      <c r="H15" s="3">
        <f t="shared" ref="H15:H78" si="1">H14-F15-D15+B15</f>
        <v>9.9580000000000002</v>
      </c>
      <c r="I15" s="3">
        <f t="shared" ref="I15:I78" si="2">I14-E15+C15</f>
        <v>14.958</v>
      </c>
      <c r="J15" s="3">
        <f t="shared" ref="J15:J78" si="3">SUM(H15:I15)</f>
        <v>24.916</v>
      </c>
    </row>
    <row r="16" spans="1:10" ht="18.75" customHeight="1">
      <c r="A16" s="22" t="s">
        <v>22</v>
      </c>
      <c r="B16" s="3">
        <v>15</v>
      </c>
      <c r="C16" s="3">
        <v>15</v>
      </c>
      <c r="D16" s="3"/>
      <c r="E16" s="3"/>
      <c r="F16" s="3"/>
      <c r="G16" s="3"/>
      <c r="H16" s="3">
        <f t="shared" si="1"/>
        <v>24.957999999999998</v>
      </c>
      <c r="I16" s="3">
        <f t="shared" si="2"/>
        <v>29.957999999999998</v>
      </c>
      <c r="J16" s="3">
        <f t="shared" si="3"/>
        <v>54.915999999999997</v>
      </c>
    </row>
    <row r="17" spans="1:10" ht="18.75" customHeight="1">
      <c r="A17" s="22" t="s">
        <v>23</v>
      </c>
      <c r="B17" s="3"/>
      <c r="C17" s="3"/>
      <c r="D17" s="3">
        <v>5</v>
      </c>
      <c r="E17" s="3"/>
      <c r="F17" s="3"/>
      <c r="G17" s="3"/>
      <c r="H17" s="3">
        <f t="shared" si="1"/>
        <v>19.957999999999998</v>
      </c>
      <c r="I17" s="3">
        <f t="shared" si="2"/>
        <v>29.957999999999998</v>
      </c>
      <c r="J17" s="3">
        <f t="shared" si="3"/>
        <v>49.915999999999997</v>
      </c>
    </row>
    <row r="18" spans="1:10" ht="18.75" customHeight="1">
      <c r="A18" s="22" t="s">
        <v>24</v>
      </c>
      <c r="B18" s="3"/>
      <c r="C18" s="3"/>
      <c r="D18" s="3"/>
      <c r="E18" s="3"/>
      <c r="F18" s="3">
        <v>3</v>
      </c>
      <c r="G18" s="3"/>
      <c r="H18" s="3">
        <f t="shared" si="1"/>
        <v>16.957999999999998</v>
      </c>
      <c r="I18" s="3">
        <f t="shared" si="2"/>
        <v>29.957999999999998</v>
      </c>
      <c r="J18" s="3">
        <f t="shared" si="3"/>
        <v>46.915999999999997</v>
      </c>
    </row>
    <row r="19" spans="1:10" ht="18.75" customHeight="1">
      <c r="A19" s="22" t="s">
        <v>25</v>
      </c>
      <c r="B19" s="3"/>
      <c r="C19" s="3"/>
      <c r="D19" s="3"/>
      <c r="E19" s="3"/>
      <c r="F19" s="3">
        <v>2</v>
      </c>
      <c r="G19" s="3"/>
      <c r="H19" s="3">
        <f t="shared" si="1"/>
        <v>14.957999999999998</v>
      </c>
      <c r="I19" s="3">
        <f t="shared" si="2"/>
        <v>29.957999999999998</v>
      </c>
      <c r="J19" s="3">
        <f t="shared" si="3"/>
        <v>44.915999999999997</v>
      </c>
    </row>
    <row r="20" spans="1:10" ht="18.75" customHeight="1">
      <c r="A20" s="22" t="s">
        <v>26</v>
      </c>
      <c r="B20" s="3">
        <v>15</v>
      </c>
      <c r="C20" s="3">
        <v>15</v>
      </c>
      <c r="D20" s="3"/>
      <c r="E20" s="3"/>
      <c r="F20" s="3"/>
      <c r="G20" s="3"/>
      <c r="H20" s="3">
        <f t="shared" si="1"/>
        <v>29.957999999999998</v>
      </c>
      <c r="I20" s="3">
        <f t="shared" si="2"/>
        <v>44.957999999999998</v>
      </c>
      <c r="J20" s="3">
        <f t="shared" si="3"/>
        <v>74.915999999999997</v>
      </c>
    </row>
    <row r="21" spans="1:10" ht="18.75" customHeight="1">
      <c r="A21" s="22" t="s">
        <v>27</v>
      </c>
      <c r="B21" s="3"/>
      <c r="C21" s="3"/>
      <c r="D21" s="3">
        <v>18</v>
      </c>
      <c r="E21" s="3">
        <v>11</v>
      </c>
      <c r="F21" s="3"/>
      <c r="G21" s="3"/>
      <c r="H21" s="3">
        <f t="shared" si="1"/>
        <v>11.957999999999998</v>
      </c>
      <c r="I21" s="3">
        <f t="shared" si="2"/>
        <v>33.957999999999998</v>
      </c>
      <c r="J21" s="3">
        <f t="shared" si="3"/>
        <v>45.915999999999997</v>
      </c>
    </row>
    <row r="22" spans="1:10" ht="18.75" customHeight="1">
      <c r="A22" s="22" t="s">
        <v>28</v>
      </c>
      <c r="B22" s="3"/>
      <c r="C22" s="3"/>
      <c r="D22" s="3"/>
      <c r="E22" s="3"/>
      <c r="F22" s="3">
        <v>5</v>
      </c>
      <c r="G22" s="3"/>
      <c r="H22" s="3">
        <f t="shared" si="1"/>
        <v>6.9579999999999984</v>
      </c>
      <c r="I22" s="3">
        <f t="shared" si="2"/>
        <v>33.957999999999998</v>
      </c>
      <c r="J22" s="3">
        <f t="shared" si="3"/>
        <v>40.915999999999997</v>
      </c>
    </row>
    <row r="23" spans="1:10" ht="18.75" customHeight="1">
      <c r="A23" s="22" t="s">
        <v>29</v>
      </c>
      <c r="B23" s="3">
        <v>2.5</v>
      </c>
      <c r="C23" s="3">
        <v>2.5</v>
      </c>
      <c r="D23" s="3"/>
      <c r="E23" s="3"/>
      <c r="F23" s="3"/>
      <c r="G23" s="3"/>
      <c r="H23" s="3">
        <f t="shared" si="1"/>
        <v>9.4579999999999984</v>
      </c>
      <c r="I23" s="3">
        <f t="shared" si="2"/>
        <v>36.457999999999998</v>
      </c>
      <c r="J23" s="3">
        <f t="shared" si="3"/>
        <v>45.915999999999997</v>
      </c>
    </row>
    <row r="24" spans="1:10" ht="18.75" customHeight="1">
      <c r="A24" s="22" t="s">
        <v>30</v>
      </c>
      <c r="B24" s="3"/>
      <c r="C24" s="3"/>
      <c r="D24" s="3"/>
      <c r="E24" s="3"/>
      <c r="F24" s="3">
        <v>2</v>
      </c>
      <c r="G24" s="3"/>
      <c r="H24" s="3">
        <f t="shared" si="1"/>
        <v>7.4579999999999984</v>
      </c>
      <c r="I24" s="3">
        <f t="shared" si="2"/>
        <v>36.457999999999998</v>
      </c>
      <c r="J24" s="3">
        <f t="shared" si="3"/>
        <v>43.915999999999997</v>
      </c>
    </row>
    <row r="25" spans="1:10" ht="18.75" customHeight="1">
      <c r="A25" s="22" t="s">
        <v>31</v>
      </c>
      <c r="B25" s="19"/>
      <c r="C25" s="19"/>
      <c r="D25" s="19"/>
      <c r="E25" s="19"/>
      <c r="F25" s="19"/>
      <c r="G25" s="3">
        <v>1</v>
      </c>
      <c r="H25" s="3">
        <f t="shared" si="1"/>
        <v>7.4579999999999984</v>
      </c>
      <c r="I25" s="3">
        <f t="shared" si="2"/>
        <v>36.457999999999998</v>
      </c>
      <c r="J25" s="3">
        <f t="shared" si="3"/>
        <v>43.915999999999997</v>
      </c>
    </row>
    <row r="26" spans="1:10" ht="18.75" customHeight="1">
      <c r="A26" s="22" t="s">
        <v>32</v>
      </c>
      <c r="B26" s="20"/>
      <c r="C26" s="20"/>
      <c r="D26" s="20"/>
      <c r="E26" s="3">
        <v>1</v>
      </c>
      <c r="F26" s="20"/>
      <c r="G26" s="20"/>
      <c r="H26" s="3">
        <f t="shared" si="1"/>
        <v>7.4579999999999984</v>
      </c>
      <c r="I26" s="3">
        <f t="shared" si="2"/>
        <v>35.457999999999998</v>
      </c>
      <c r="J26" s="3">
        <f t="shared" si="3"/>
        <v>42.915999999999997</v>
      </c>
    </row>
    <row r="27" spans="1:10" ht="18.75" customHeight="1">
      <c r="A27" s="22" t="s">
        <v>33</v>
      </c>
      <c r="B27" s="3">
        <v>1.25</v>
      </c>
      <c r="C27" s="3">
        <v>1.25</v>
      </c>
      <c r="D27" s="3"/>
      <c r="E27" s="3"/>
      <c r="F27" s="3"/>
      <c r="G27" s="3"/>
      <c r="H27" s="3">
        <f t="shared" si="1"/>
        <v>8.7079999999999984</v>
      </c>
      <c r="I27" s="3">
        <f t="shared" si="2"/>
        <v>36.707999999999998</v>
      </c>
      <c r="J27" s="3">
        <f t="shared" si="3"/>
        <v>45.415999999999997</v>
      </c>
    </row>
    <row r="28" spans="1:10" ht="18.75" customHeight="1">
      <c r="A28" s="22" t="s">
        <v>34</v>
      </c>
      <c r="B28" s="3"/>
      <c r="C28" s="3"/>
      <c r="D28" s="3"/>
      <c r="E28" s="3">
        <v>2</v>
      </c>
      <c r="F28" s="3"/>
      <c r="G28" s="3"/>
      <c r="H28" s="3">
        <f t="shared" si="1"/>
        <v>8.7079999999999984</v>
      </c>
      <c r="I28" s="3">
        <f t="shared" si="2"/>
        <v>34.707999999999998</v>
      </c>
      <c r="J28" s="3">
        <f t="shared" si="3"/>
        <v>43.415999999999997</v>
      </c>
    </row>
    <row r="29" spans="1:10" ht="18.75" customHeight="1">
      <c r="A29" s="22" t="s">
        <v>35</v>
      </c>
      <c r="B29" s="19"/>
      <c r="C29" s="19"/>
      <c r="D29" s="19"/>
      <c r="E29" s="19"/>
      <c r="F29" s="19"/>
      <c r="G29" s="3">
        <v>2</v>
      </c>
      <c r="H29" s="3">
        <f t="shared" si="1"/>
        <v>8.7079999999999984</v>
      </c>
      <c r="I29" s="3">
        <f t="shared" si="2"/>
        <v>34.707999999999998</v>
      </c>
      <c r="J29" s="3">
        <f t="shared" si="3"/>
        <v>43.415999999999997</v>
      </c>
    </row>
    <row r="30" spans="1:10" ht="18.75" customHeight="1">
      <c r="A30" s="22" t="s">
        <v>36</v>
      </c>
      <c r="B30" s="3">
        <v>1.25</v>
      </c>
      <c r="C30" s="3">
        <v>1.25</v>
      </c>
      <c r="D30" s="3"/>
      <c r="E30" s="3"/>
      <c r="F30" s="3"/>
      <c r="G30" s="3"/>
      <c r="H30" s="3">
        <f t="shared" si="1"/>
        <v>9.9579999999999984</v>
      </c>
      <c r="I30" s="3">
        <f t="shared" si="2"/>
        <v>35.957999999999998</v>
      </c>
      <c r="J30" s="3">
        <f t="shared" si="3"/>
        <v>45.915999999999997</v>
      </c>
    </row>
    <row r="31" spans="1:10" ht="18.75" customHeight="1">
      <c r="A31" s="22" t="s">
        <v>37</v>
      </c>
      <c r="B31" s="3"/>
      <c r="C31" s="3"/>
      <c r="D31" s="3"/>
      <c r="E31" s="3">
        <v>1</v>
      </c>
      <c r="F31" s="3"/>
      <c r="G31" s="3"/>
      <c r="H31" s="3">
        <f t="shared" si="1"/>
        <v>9.9579999999999984</v>
      </c>
      <c r="I31" s="3">
        <f t="shared" si="2"/>
        <v>34.957999999999998</v>
      </c>
      <c r="J31" s="3">
        <f t="shared" si="3"/>
        <v>44.915999999999997</v>
      </c>
    </row>
    <row r="32" spans="1:10" s="8" customFormat="1" ht="18.75" customHeight="1">
      <c r="A32" s="22" t="s">
        <v>38</v>
      </c>
      <c r="B32" s="3"/>
      <c r="C32" s="3"/>
      <c r="D32" s="3"/>
      <c r="E32" s="3"/>
      <c r="F32" s="3">
        <v>2</v>
      </c>
      <c r="G32" s="3"/>
      <c r="H32" s="3">
        <f t="shared" si="1"/>
        <v>7.9579999999999984</v>
      </c>
      <c r="I32" s="3">
        <f t="shared" si="2"/>
        <v>34.957999999999998</v>
      </c>
      <c r="J32" s="3">
        <f t="shared" si="3"/>
        <v>42.915999999999997</v>
      </c>
    </row>
    <row r="33" spans="1:10" ht="18.75" customHeight="1">
      <c r="A33" s="22" t="s">
        <v>39</v>
      </c>
      <c r="B33" s="3">
        <v>3.75</v>
      </c>
      <c r="C33" s="3">
        <v>3.75</v>
      </c>
      <c r="D33" s="3"/>
      <c r="E33" s="3"/>
      <c r="F33" s="3"/>
      <c r="G33" s="3"/>
      <c r="H33" s="3">
        <f t="shared" si="1"/>
        <v>11.707999999999998</v>
      </c>
      <c r="I33" s="3">
        <f t="shared" si="2"/>
        <v>38.707999999999998</v>
      </c>
      <c r="J33" s="3">
        <f t="shared" si="3"/>
        <v>50.415999999999997</v>
      </c>
    </row>
    <row r="34" spans="1:10" ht="18.75" customHeight="1">
      <c r="A34" s="22" t="s">
        <v>40</v>
      </c>
      <c r="B34" s="3"/>
      <c r="C34" s="3"/>
      <c r="D34" s="3"/>
      <c r="E34" s="3">
        <v>2</v>
      </c>
      <c r="F34" s="3"/>
      <c r="G34" s="3"/>
      <c r="H34" s="3">
        <f t="shared" si="1"/>
        <v>11.707999999999998</v>
      </c>
      <c r="I34" s="3">
        <f t="shared" si="2"/>
        <v>36.707999999999998</v>
      </c>
      <c r="J34" s="3">
        <f t="shared" si="3"/>
        <v>48.415999999999997</v>
      </c>
    </row>
    <row r="35" spans="1:10" ht="18.75" customHeight="1">
      <c r="A35" s="22" t="s">
        <v>41</v>
      </c>
      <c r="B35" s="3">
        <v>1.25</v>
      </c>
      <c r="C35" s="3">
        <v>1.25</v>
      </c>
      <c r="D35" s="3"/>
      <c r="E35" s="3"/>
      <c r="F35" s="3"/>
      <c r="G35" s="3"/>
      <c r="H35" s="3">
        <f t="shared" si="1"/>
        <v>12.957999999999998</v>
      </c>
      <c r="I35" s="3">
        <f t="shared" si="2"/>
        <v>37.957999999999998</v>
      </c>
      <c r="J35" s="3">
        <f t="shared" si="3"/>
        <v>50.915999999999997</v>
      </c>
    </row>
    <row r="36" spans="1:10" ht="18.75" customHeight="1">
      <c r="A36" s="36" t="s">
        <v>42</v>
      </c>
      <c r="B36" s="3"/>
      <c r="C36" s="3"/>
      <c r="D36" s="3">
        <v>4</v>
      </c>
      <c r="E36" s="3">
        <v>25</v>
      </c>
      <c r="F36" s="3"/>
      <c r="G36" s="3"/>
      <c r="H36" s="3">
        <f t="shared" si="1"/>
        <v>8.9579999999999984</v>
      </c>
      <c r="I36" s="3">
        <f t="shared" si="2"/>
        <v>12.957999999999998</v>
      </c>
      <c r="J36" s="3">
        <f t="shared" si="3"/>
        <v>21.915999999999997</v>
      </c>
    </row>
    <row r="37" spans="1:10" ht="18.75" customHeight="1">
      <c r="A37" s="22" t="s">
        <v>43</v>
      </c>
      <c r="B37" s="3">
        <v>3.75</v>
      </c>
      <c r="C37" s="3">
        <v>3.75</v>
      </c>
      <c r="D37" s="3"/>
      <c r="E37" s="3"/>
      <c r="F37" s="3"/>
      <c r="G37" s="3"/>
      <c r="H37" s="3">
        <f t="shared" si="1"/>
        <v>12.707999999999998</v>
      </c>
      <c r="I37" s="3">
        <f t="shared" si="2"/>
        <v>16.707999999999998</v>
      </c>
      <c r="J37" s="3">
        <f t="shared" si="3"/>
        <v>29.415999999999997</v>
      </c>
    </row>
    <row r="38" spans="1:10" ht="18.75" customHeight="1">
      <c r="A38" s="22" t="s">
        <v>44</v>
      </c>
      <c r="B38" s="3">
        <v>1.25</v>
      </c>
      <c r="C38" s="3">
        <v>1.25</v>
      </c>
      <c r="D38" s="3"/>
      <c r="E38" s="3"/>
      <c r="F38" s="3"/>
      <c r="G38" s="3"/>
      <c r="H38" s="3">
        <f t="shared" si="1"/>
        <v>13.957999999999998</v>
      </c>
      <c r="I38" s="3">
        <f t="shared" si="2"/>
        <v>17.957999999999998</v>
      </c>
      <c r="J38" s="3">
        <f t="shared" si="3"/>
        <v>31.915999999999997</v>
      </c>
    </row>
    <row r="39" spans="1:10" ht="18.75" customHeight="1">
      <c r="A39" s="36" t="s">
        <v>45</v>
      </c>
      <c r="B39" s="3"/>
      <c r="C39" s="3"/>
      <c r="D39" s="3"/>
      <c r="E39" s="3"/>
      <c r="F39" s="3">
        <v>1</v>
      </c>
      <c r="G39" s="3"/>
      <c r="H39" s="3">
        <f t="shared" si="1"/>
        <v>12.957999999999998</v>
      </c>
      <c r="I39" s="3">
        <f t="shared" si="2"/>
        <v>17.957999999999998</v>
      </c>
      <c r="J39" s="3">
        <f t="shared" si="3"/>
        <v>30.915999999999997</v>
      </c>
    </row>
    <row r="40" spans="1:10" ht="18.75" customHeight="1">
      <c r="A40" s="36" t="s">
        <v>46</v>
      </c>
      <c r="B40" s="3">
        <v>5</v>
      </c>
      <c r="C40" s="3">
        <v>5</v>
      </c>
      <c r="D40" s="3"/>
      <c r="E40" s="3"/>
      <c r="F40" s="3"/>
      <c r="G40" s="3"/>
      <c r="H40" s="3">
        <f t="shared" si="1"/>
        <v>17.957999999999998</v>
      </c>
      <c r="I40" s="3">
        <f t="shared" si="2"/>
        <v>22.957999999999998</v>
      </c>
      <c r="J40" s="3">
        <f t="shared" si="3"/>
        <v>40.915999999999997</v>
      </c>
    </row>
    <row r="41" spans="1:10" ht="18.75" customHeight="1">
      <c r="A41" s="36" t="s">
        <v>47</v>
      </c>
      <c r="B41" s="37"/>
      <c r="C41" s="37"/>
      <c r="D41" s="37"/>
      <c r="E41" s="37"/>
      <c r="F41" s="37"/>
      <c r="G41" s="38">
        <v>3</v>
      </c>
      <c r="H41" s="3">
        <f t="shared" si="1"/>
        <v>17.957999999999998</v>
      </c>
      <c r="I41" s="3">
        <f t="shared" si="2"/>
        <v>22.957999999999998</v>
      </c>
      <c r="J41" s="3">
        <f t="shared" si="3"/>
        <v>40.915999999999997</v>
      </c>
    </row>
    <row r="42" spans="1:10" ht="15.75">
      <c r="A42" s="36" t="s">
        <v>48</v>
      </c>
      <c r="B42" s="3">
        <v>1.25</v>
      </c>
      <c r="C42" s="3">
        <v>1.25</v>
      </c>
      <c r="D42" s="21"/>
      <c r="E42" s="21"/>
      <c r="F42" s="21"/>
      <c r="G42" s="21"/>
      <c r="H42" s="3">
        <f t="shared" si="1"/>
        <v>19.207999999999998</v>
      </c>
      <c r="I42" s="3">
        <f t="shared" si="2"/>
        <v>24.207999999999998</v>
      </c>
      <c r="J42" s="3">
        <f t="shared" si="3"/>
        <v>43.415999999999997</v>
      </c>
    </row>
    <row r="43" spans="1:10" ht="15.75">
      <c r="A43" s="22" t="s">
        <v>49</v>
      </c>
      <c r="B43" s="21"/>
      <c r="C43" s="21"/>
      <c r="D43" s="21"/>
      <c r="E43" s="23">
        <v>1</v>
      </c>
      <c r="F43" s="21"/>
      <c r="G43" s="21"/>
      <c r="H43" s="3">
        <f t="shared" si="1"/>
        <v>19.207999999999998</v>
      </c>
      <c r="I43" s="3">
        <f t="shared" si="2"/>
        <v>23.207999999999998</v>
      </c>
      <c r="J43" s="3">
        <f t="shared" si="3"/>
        <v>42.415999999999997</v>
      </c>
    </row>
    <row r="44" spans="1:10" ht="15.75">
      <c r="A44" s="36" t="s">
        <v>50</v>
      </c>
      <c r="B44" s="3">
        <v>1.25</v>
      </c>
      <c r="C44" s="3">
        <v>1.25</v>
      </c>
      <c r="D44" s="21"/>
      <c r="E44" s="21"/>
      <c r="F44" s="21"/>
      <c r="G44" s="21"/>
      <c r="H44" s="3">
        <f t="shared" si="1"/>
        <v>20.457999999999998</v>
      </c>
      <c r="I44" s="3">
        <f t="shared" si="2"/>
        <v>24.457999999999998</v>
      </c>
      <c r="J44" s="3">
        <f t="shared" si="3"/>
        <v>44.915999999999997</v>
      </c>
    </row>
    <row r="45" spans="1:10" ht="15.75">
      <c r="A45" s="22" t="s">
        <v>51</v>
      </c>
      <c r="B45" s="21"/>
      <c r="C45" s="21"/>
      <c r="D45" s="21"/>
      <c r="E45" s="21"/>
      <c r="F45" s="23">
        <v>2</v>
      </c>
      <c r="G45" s="21"/>
      <c r="H45" s="3">
        <f t="shared" si="1"/>
        <v>18.457999999999998</v>
      </c>
      <c r="I45" s="3">
        <f t="shared" si="2"/>
        <v>24.457999999999998</v>
      </c>
      <c r="J45" s="3">
        <f t="shared" si="3"/>
        <v>42.915999999999997</v>
      </c>
    </row>
    <row r="46" spans="1:10" ht="15.75">
      <c r="A46" s="36" t="s">
        <v>52</v>
      </c>
      <c r="B46" s="23">
        <v>2.5</v>
      </c>
      <c r="C46" s="23">
        <v>2.5</v>
      </c>
      <c r="D46" s="21"/>
      <c r="E46" s="21"/>
      <c r="F46" s="21"/>
      <c r="G46" s="21"/>
      <c r="H46" s="3">
        <f t="shared" si="1"/>
        <v>20.957999999999998</v>
      </c>
      <c r="I46" s="3">
        <f t="shared" si="2"/>
        <v>26.957999999999998</v>
      </c>
      <c r="J46" s="3">
        <f t="shared" si="3"/>
        <v>47.915999999999997</v>
      </c>
    </row>
    <row r="47" spans="1:10" ht="15.75">
      <c r="A47" s="22" t="s">
        <v>53</v>
      </c>
      <c r="B47" s="21"/>
      <c r="C47" s="21"/>
      <c r="D47" s="23">
        <v>12</v>
      </c>
      <c r="E47" s="23">
        <v>17</v>
      </c>
      <c r="F47" s="21"/>
      <c r="G47" s="21"/>
      <c r="H47" s="3">
        <f t="shared" si="1"/>
        <v>8.9579999999999984</v>
      </c>
      <c r="I47" s="3">
        <f t="shared" si="2"/>
        <v>9.9579999999999984</v>
      </c>
      <c r="J47" s="3">
        <f t="shared" si="3"/>
        <v>18.915999999999997</v>
      </c>
    </row>
    <row r="48" spans="1:10" ht="15.75">
      <c r="A48" s="22" t="s">
        <v>54</v>
      </c>
      <c r="B48" s="22"/>
      <c r="C48" s="22"/>
      <c r="D48" s="22"/>
      <c r="E48" s="22"/>
      <c r="F48" s="22">
        <v>2</v>
      </c>
      <c r="G48" s="22"/>
      <c r="H48" s="3">
        <f t="shared" si="1"/>
        <v>6.9579999999999984</v>
      </c>
      <c r="I48" s="3">
        <f t="shared" si="2"/>
        <v>9.9579999999999984</v>
      </c>
      <c r="J48" s="3">
        <f t="shared" si="3"/>
        <v>16.915999999999997</v>
      </c>
    </row>
    <row r="49" spans="1:10" ht="15.75">
      <c r="A49" s="22" t="s">
        <v>55</v>
      </c>
      <c r="B49" s="22">
        <v>1.25</v>
      </c>
      <c r="C49" s="22">
        <v>1.25</v>
      </c>
      <c r="D49" s="22"/>
      <c r="E49" s="22"/>
      <c r="F49" s="22"/>
      <c r="G49" s="22"/>
      <c r="H49" s="3">
        <f t="shared" si="1"/>
        <v>8.2079999999999984</v>
      </c>
      <c r="I49" s="3">
        <f t="shared" si="2"/>
        <v>11.207999999999998</v>
      </c>
      <c r="J49" s="3">
        <f t="shared" si="3"/>
        <v>19.415999999999997</v>
      </c>
    </row>
    <row r="50" spans="1:10" ht="15.75">
      <c r="A50" s="22" t="s">
        <v>56</v>
      </c>
      <c r="B50" s="22">
        <v>1.25</v>
      </c>
      <c r="C50" s="22">
        <v>1.25</v>
      </c>
      <c r="D50" s="22"/>
      <c r="E50" s="22"/>
      <c r="F50" s="22"/>
      <c r="G50" s="22"/>
      <c r="H50" s="3">
        <f t="shared" si="1"/>
        <v>9.4579999999999984</v>
      </c>
      <c r="I50" s="3">
        <f t="shared" si="2"/>
        <v>12.457999999999998</v>
      </c>
      <c r="J50" s="3">
        <f t="shared" si="3"/>
        <v>21.915999999999997</v>
      </c>
    </row>
    <row r="51" spans="1:10" ht="15.75">
      <c r="A51" s="22" t="s">
        <v>57</v>
      </c>
      <c r="B51" s="22"/>
      <c r="C51" s="22"/>
      <c r="D51" s="22"/>
      <c r="E51" s="22">
        <v>2</v>
      </c>
      <c r="F51" s="22"/>
      <c r="G51" s="22"/>
      <c r="H51" s="3">
        <f t="shared" si="1"/>
        <v>9.4579999999999984</v>
      </c>
      <c r="I51" s="3">
        <f t="shared" si="2"/>
        <v>10.457999999999998</v>
      </c>
      <c r="J51" s="3">
        <f t="shared" si="3"/>
        <v>19.915999999999997</v>
      </c>
    </row>
    <row r="52" spans="1:10" ht="15.75">
      <c r="A52" s="22" t="s">
        <v>58</v>
      </c>
      <c r="B52" s="22"/>
      <c r="C52" s="22"/>
      <c r="D52" s="22">
        <v>2</v>
      </c>
      <c r="E52" s="22"/>
      <c r="F52" s="22"/>
      <c r="G52" s="22"/>
      <c r="H52" s="3">
        <f t="shared" si="1"/>
        <v>7.4579999999999984</v>
      </c>
      <c r="I52" s="3">
        <f t="shared" si="2"/>
        <v>10.457999999999998</v>
      </c>
      <c r="J52" s="3">
        <f t="shared" si="3"/>
        <v>17.915999999999997</v>
      </c>
    </row>
    <row r="53" spans="1:10" ht="15.75">
      <c r="A53" s="22" t="s">
        <v>59</v>
      </c>
      <c r="B53" s="22">
        <v>1.25</v>
      </c>
      <c r="C53" s="22">
        <v>1.25</v>
      </c>
      <c r="D53" s="22"/>
      <c r="E53" s="22"/>
      <c r="F53" s="22"/>
      <c r="G53" s="22"/>
      <c r="H53" s="3">
        <f t="shared" si="1"/>
        <v>8.7079999999999984</v>
      </c>
      <c r="I53" s="3">
        <f t="shared" si="2"/>
        <v>11.707999999999998</v>
      </c>
      <c r="J53" s="3">
        <f t="shared" si="3"/>
        <v>20.415999999999997</v>
      </c>
    </row>
    <row r="54" spans="1:10" ht="15.75">
      <c r="A54" s="22" t="s">
        <v>60</v>
      </c>
      <c r="B54" s="22">
        <v>1.25</v>
      </c>
      <c r="C54" s="22">
        <v>1.25</v>
      </c>
      <c r="D54" s="22"/>
      <c r="E54" s="22"/>
      <c r="F54" s="22"/>
      <c r="G54" s="22"/>
      <c r="H54" s="3">
        <f t="shared" si="1"/>
        <v>9.9579999999999984</v>
      </c>
      <c r="I54" s="3">
        <f t="shared" si="2"/>
        <v>12.957999999999998</v>
      </c>
      <c r="J54" s="3">
        <f t="shared" si="3"/>
        <v>22.915999999999997</v>
      </c>
    </row>
    <row r="55" spans="1:10" ht="15.75">
      <c r="A55" s="22" t="s">
        <v>61</v>
      </c>
      <c r="B55" s="22"/>
      <c r="C55" s="22"/>
      <c r="D55" s="22"/>
      <c r="E55" s="22">
        <v>1</v>
      </c>
      <c r="F55" s="22"/>
      <c r="G55" s="22"/>
      <c r="H55" s="3">
        <f t="shared" si="1"/>
        <v>9.9579999999999984</v>
      </c>
      <c r="I55" s="3">
        <f t="shared" si="2"/>
        <v>11.957999999999998</v>
      </c>
      <c r="J55" s="3">
        <f t="shared" si="3"/>
        <v>21.915999999999997</v>
      </c>
    </row>
    <row r="56" spans="1:10" ht="15.75">
      <c r="A56" s="22" t="s">
        <v>62</v>
      </c>
      <c r="B56" s="22"/>
      <c r="C56" s="22"/>
      <c r="D56" s="22"/>
      <c r="E56" s="22">
        <v>2</v>
      </c>
      <c r="F56" s="22"/>
      <c r="G56" s="22"/>
      <c r="H56" s="3">
        <f t="shared" si="1"/>
        <v>9.9579999999999984</v>
      </c>
      <c r="I56" s="3">
        <f t="shared" si="2"/>
        <v>9.9579999999999984</v>
      </c>
      <c r="J56" s="3">
        <f t="shared" si="3"/>
        <v>19.915999999999997</v>
      </c>
    </row>
    <row r="57" spans="1:10" ht="15.75">
      <c r="A57" s="22" t="s">
        <v>63</v>
      </c>
      <c r="B57" s="22"/>
      <c r="C57" s="22"/>
      <c r="D57" s="22"/>
      <c r="E57" s="22"/>
      <c r="F57" s="22">
        <v>1</v>
      </c>
      <c r="G57" s="22"/>
      <c r="H57" s="3">
        <f t="shared" si="1"/>
        <v>8.9579999999999984</v>
      </c>
      <c r="I57" s="3">
        <f t="shared" si="2"/>
        <v>9.9579999999999984</v>
      </c>
      <c r="J57" s="3">
        <f t="shared" si="3"/>
        <v>18.915999999999997</v>
      </c>
    </row>
    <row r="58" spans="1:10" ht="15.75">
      <c r="A58" s="22" t="s">
        <v>64</v>
      </c>
      <c r="B58" s="22">
        <v>1.25</v>
      </c>
      <c r="C58" s="22">
        <v>1.25</v>
      </c>
      <c r="D58" s="22"/>
      <c r="E58" s="22"/>
      <c r="F58" s="22"/>
      <c r="G58" s="22"/>
      <c r="H58" s="3">
        <f t="shared" si="1"/>
        <v>10.207999999999998</v>
      </c>
      <c r="I58" s="3">
        <f t="shared" si="2"/>
        <v>11.207999999999998</v>
      </c>
      <c r="J58" s="3">
        <f t="shared" si="3"/>
        <v>21.415999999999997</v>
      </c>
    </row>
    <row r="59" spans="1:10" ht="15.75">
      <c r="A59" s="22" t="s">
        <v>65</v>
      </c>
      <c r="B59" s="22">
        <v>1.25</v>
      </c>
      <c r="C59" s="22">
        <v>1.25</v>
      </c>
      <c r="D59" s="22"/>
      <c r="E59" s="22"/>
      <c r="F59" s="22"/>
      <c r="G59" s="22"/>
      <c r="H59" s="3">
        <f t="shared" si="1"/>
        <v>11.457999999999998</v>
      </c>
      <c r="I59" s="3">
        <f t="shared" si="2"/>
        <v>12.457999999999998</v>
      </c>
      <c r="J59" s="3">
        <f t="shared" si="3"/>
        <v>23.915999999999997</v>
      </c>
    </row>
    <row r="60" spans="1:10" ht="15.75">
      <c r="A60" s="22" t="s">
        <v>66</v>
      </c>
      <c r="B60" s="22"/>
      <c r="C60" s="22"/>
      <c r="D60" s="22"/>
      <c r="E60" s="22">
        <v>1</v>
      </c>
      <c r="F60" s="22"/>
      <c r="G60" s="22"/>
      <c r="H60" s="3">
        <f t="shared" si="1"/>
        <v>11.457999999999998</v>
      </c>
      <c r="I60" s="3">
        <f t="shared" si="2"/>
        <v>11.457999999999998</v>
      </c>
      <c r="J60" s="3">
        <f t="shared" si="3"/>
        <v>22.915999999999997</v>
      </c>
    </row>
    <row r="61" spans="1:10" ht="15.75">
      <c r="A61" s="22" t="s">
        <v>67</v>
      </c>
      <c r="B61" s="22"/>
      <c r="C61" s="22"/>
      <c r="D61" s="22">
        <v>1</v>
      </c>
      <c r="E61" s="22"/>
      <c r="F61" s="22"/>
      <c r="G61" s="22"/>
      <c r="H61" s="3">
        <f t="shared" si="1"/>
        <v>10.457999999999998</v>
      </c>
      <c r="I61" s="3">
        <f t="shared" si="2"/>
        <v>11.457999999999998</v>
      </c>
      <c r="J61" s="3">
        <f t="shared" si="3"/>
        <v>21.915999999999997</v>
      </c>
    </row>
    <row r="62" spans="1:10" ht="15.75">
      <c r="A62" s="22" t="s">
        <v>68</v>
      </c>
      <c r="B62" s="22">
        <v>1.25</v>
      </c>
      <c r="C62" s="22">
        <v>1.25</v>
      </c>
      <c r="D62" s="22"/>
      <c r="E62" s="22"/>
      <c r="F62" s="22"/>
      <c r="G62" s="22"/>
      <c r="H62" s="3">
        <f t="shared" si="1"/>
        <v>11.707999999999998</v>
      </c>
      <c r="I62" s="3">
        <f t="shared" si="2"/>
        <v>12.707999999999998</v>
      </c>
      <c r="J62" s="3">
        <f t="shared" si="3"/>
        <v>24.415999999999997</v>
      </c>
    </row>
    <row r="63" spans="1:10" ht="15.75">
      <c r="A63" s="22" t="s">
        <v>69</v>
      </c>
      <c r="B63" s="22"/>
      <c r="C63" s="22"/>
      <c r="D63" s="22"/>
      <c r="E63" s="22"/>
      <c r="F63" s="22"/>
      <c r="G63" s="22">
        <v>3</v>
      </c>
      <c r="H63" s="3">
        <f t="shared" si="1"/>
        <v>11.707999999999998</v>
      </c>
      <c r="I63" s="3">
        <f t="shared" si="2"/>
        <v>12.707999999999998</v>
      </c>
      <c r="J63" s="3">
        <f t="shared" si="3"/>
        <v>24.415999999999997</v>
      </c>
    </row>
    <row r="64" spans="1:10" ht="15.75">
      <c r="A64" s="22" t="s">
        <v>70</v>
      </c>
      <c r="B64" s="22">
        <v>3.75</v>
      </c>
      <c r="C64" s="22">
        <v>3.75</v>
      </c>
      <c r="D64" s="22"/>
      <c r="E64" s="22"/>
      <c r="F64" s="22"/>
      <c r="G64" s="22"/>
      <c r="H64" s="3">
        <f t="shared" si="1"/>
        <v>15.457999999999998</v>
      </c>
      <c r="I64" s="3">
        <f t="shared" si="2"/>
        <v>16.457999999999998</v>
      </c>
      <c r="J64" s="3">
        <f t="shared" si="3"/>
        <v>31.915999999999997</v>
      </c>
    </row>
    <row r="65" spans="1:10" ht="15.75">
      <c r="A65" s="22" t="s">
        <v>71</v>
      </c>
      <c r="B65" s="22"/>
      <c r="C65" s="22"/>
      <c r="D65" s="22"/>
      <c r="E65" s="22">
        <v>1</v>
      </c>
      <c r="F65" s="22"/>
      <c r="G65" s="22"/>
      <c r="H65" s="3">
        <f t="shared" si="1"/>
        <v>15.457999999999998</v>
      </c>
      <c r="I65" s="3">
        <f t="shared" si="2"/>
        <v>15.457999999999998</v>
      </c>
      <c r="J65" s="3">
        <f t="shared" si="3"/>
        <v>30.915999999999997</v>
      </c>
    </row>
    <row r="66" spans="1:10" ht="15.75">
      <c r="A66" s="22" t="s">
        <v>72</v>
      </c>
      <c r="B66" s="22">
        <v>1.25</v>
      </c>
      <c r="C66" s="22">
        <v>1.25</v>
      </c>
      <c r="D66" s="22"/>
      <c r="E66" s="22"/>
      <c r="F66" s="22"/>
      <c r="G66" s="22"/>
      <c r="H66" s="3">
        <f t="shared" si="1"/>
        <v>16.707999999999998</v>
      </c>
      <c r="I66" s="3">
        <f t="shared" si="2"/>
        <v>16.707999999999998</v>
      </c>
      <c r="J66" s="3">
        <f t="shared" si="3"/>
        <v>33.415999999999997</v>
      </c>
    </row>
    <row r="67" spans="1:10" ht="15.75">
      <c r="A67" s="22" t="s">
        <v>73</v>
      </c>
      <c r="B67" s="22"/>
      <c r="C67" s="22"/>
      <c r="D67" s="34">
        <v>11.708</v>
      </c>
      <c r="E67" s="34">
        <v>8.2919999999999998</v>
      </c>
      <c r="F67" s="22"/>
      <c r="G67" s="22"/>
      <c r="H67" s="3">
        <f t="shared" si="1"/>
        <v>4.9999999999999982</v>
      </c>
      <c r="I67" s="3">
        <f t="shared" si="2"/>
        <v>8.4159999999999986</v>
      </c>
      <c r="J67" s="3">
        <f t="shared" si="3"/>
        <v>13.415999999999997</v>
      </c>
    </row>
    <row r="68" spans="1:10" ht="15.75">
      <c r="A68" s="22" t="s">
        <v>74</v>
      </c>
      <c r="B68" s="22">
        <v>3.75</v>
      </c>
      <c r="C68" s="22">
        <v>3.75</v>
      </c>
      <c r="D68" s="22"/>
      <c r="E68" s="22"/>
      <c r="F68" s="22"/>
      <c r="G68" s="22"/>
      <c r="H68" s="3">
        <f t="shared" si="1"/>
        <v>8.7499999999999982</v>
      </c>
      <c r="I68" s="3">
        <f t="shared" si="2"/>
        <v>12.165999999999999</v>
      </c>
      <c r="J68" s="3">
        <f t="shared" si="3"/>
        <v>20.915999999999997</v>
      </c>
    </row>
    <row r="69" spans="1:10" ht="15.75">
      <c r="A69" s="22" t="s">
        <v>75</v>
      </c>
      <c r="B69" s="22"/>
      <c r="C69" s="22"/>
      <c r="D69" s="22"/>
      <c r="E69" s="22">
        <v>1</v>
      </c>
      <c r="F69" s="22"/>
      <c r="G69" s="22"/>
      <c r="H69" s="3">
        <f t="shared" si="1"/>
        <v>8.7499999999999982</v>
      </c>
      <c r="I69" s="3">
        <f t="shared" si="2"/>
        <v>11.165999999999999</v>
      </c>
      <c r="J69" s="3">
        <f t="shared" si="3"/>
        <v>19.915999999999997</v>
      </c>
    </row>
    <row r="70" spans="1:10" ht="15.75">
      <c r="A70" s="22" t="s">
        <v>76</v>
      </c>
      <c r="B70" s="22"/>
      <c r="C70" s="22"/>
      <c r="D70" s="22"/>
      <c r="E70" s="22"/>
      <c r="F70" s="22">
        <v>2</v>
      </c>
      <c r="G70" s="22"/>
      <c r="H70" s="3">
        <f t="shared" si="1"/>
        <v>6.7499999999999982</v>
      </c>
      <c r="I70" s="3">
        <f t="shared" si="2"/>
        <v>11.165999999999999</v>
      </c>
      <c r="J70" s="3">
        <f t="shared" si="3"/>
        <v>17.915999999999997</v>
      </c>
    </row>
    <row r="71" spans="1:10" ht="15.75">
      <c r="A71" s="22" t="s">
        <v>77</v>
      </c>
      <c r="B71" s="22">
        <v>1.25</v>
      </c>
      <c r="C71" s="22">
        <v>1.25</v>
      </c>
      <c r="D71" s="22"/>
      <c r="E71" s="22"/>
      <c r="F71" s="22"/>
      <c r="G71" s="22"/>
      <c r="H71" s="3">
        <f t="shared" si="1"/>
        <v>7.9999999999999982</v>
      </c>
      <c r="I71" s="3">
        <f t="shared" si="2"/>
        <v>12.415999999999999</v>
      </c>
      <c r="J71" s="3">
        <f t="shared" si="3"/>
        <v>20.415999999999997</v>
      </c>
    </row>
    <row r="72" spans="1:10" ht="15.75">
      <c r="A72" s="22" t="s">
        <v>78</v>
      </c>
      <c r="B72" s="22"/>
      <c r="C72" s="22"/>
      <c r="D72" s="22"/>
      <c r="E72" s="22"/>
      <c r="F72" s="22">
        <v>2</v>
      </c>
      <c r="G72" s="22"/>
      <c r="H72" s="3">
        <f t="shared" si="1"/>
        <v>5.9999999999999982</v>
      </c>
      <c r="I72" s="3">
        <f t="shared" si="2"/>
        <v>12.415999999999999</v>
      </c>
      <c r="J72" s="3">
        <f t="shared" si="3"/>
        <v>18.415999999999997</v>
      </c>
    </row>
    <row r="73" spans="1:10" ht="15.75">
      <c r="A73" s="22" t="s">
        <v>79</v>
      </c>
      <c r="B73" s="22"/>
      <c r="C73" s="22"/>
      <c r="D73" s="22"/>
      <c r="E73" s="22"/>
      <c r="F73" s="22">
        <v>1</v>
      </c>
      <c r="G73" s="22"/>
      <c r="H73" s="3">
        <f t="shared" si="1"/>
        <v>4.9999999999999982</v>
      </c>
      <c r="I73" s="3">
        <f t="shared" si="2"/>
        <v>12.415999999999999</v>
      </c>
      <c r="J73" s="3">
        <f t="shared" si="3"/>
        <v>17.415999999999997</v>
      </c>
    </row>
    <row r="74" spans="1:10" ht="15.75">
      <c r="A74" s="22" t="s">
        <v>80</v>
      </c>
      <c r="B74" s="22">
        <v>1.25</v>
      </c>
      <c r="C74" s="22">
        <v>1.25</v>
      </c>
      <c r="D74" s="22"/>
      <c r="E74" s="22"/>
      <c r="F74" s="22"/>
      <c r="G74" s="22"/>
      <c r="H74" s="3">
        <f t="shared" si="1"/>
        <v>6.2499999999999982</v>
      </c>
      <c r="I74" s="3">
        <f t="shared" si="2"/>
        <v>13.665999999999999</v>
      </c>
      <c r="J74" s="3">
        <f t="shared" si="3"/>
        <v>19.915999999999997</v>
      </c>
    </row>
    <row r="75" spans="1:10" ht="15.75">
      <c r="A75" s="22" t="s">
        <v>81</v>
      </c>
      <c r="B75" s="22"/>
      <c r="C75" s="22"/>
      <c r="D75" s="22"/>
      <c r="E75" s="22">
        <v>2</v>
      </c>
      <c r="F75" s="22"/>
      <c r="G75" s="22"/>
      <c r="H75" s="3">
        <f t="shared" si="1"/>
        <v>6.2499999999999982</v>
      </c>
      <c r="I75" s="3">
        <f t="shared" si="2"/>
        <v>11.665999999999999</v>
      </c>
      <c r="J75" s="3">
        <f t="shared" si="3"/>
        <v>17.915999999999997</v>
      </c>
    </row>
    <row r="76" spans="1:10" ht="15.75">
      <c r="A76" s="22" t="s">
        <v>82</v>
      </c>
      <c r="B76" s="22">
        <v>1.25</v>
      </c>
      <c r="C76" s="22">
        <v>1.25</v>
      </c>
      <c r="D76" s="22"/>
      <c r="E76" s="22"/>
      <c r="F76" s="22"/>
      <c r="G76" s="22"/>
      <c r="H76" s="3">
        <f t="shared" si="1"/>
        <v>7.4999999999999982</v>
      </c>
      <c r="I76" s="3">
        <f t="shared" si="2"/>
        <v>12.915999999999999</v>
      </c>
      <c r="J76" s="3">
        <f t="shared" si="3"/>
        <v>20.415999999999997</v>
      </c>
    </row>
    <row r="77" spans="1:10" ht="15.75">
      <c r="A77" s="22" t="s">
        <v>83</v>
      </c>
      <c r="B77" s="22"/>
      <c r="C77" s="22"/>
      <c r="D77" s="22"/>
      <c r="E77" s="22">
        <v>1</v>
      </c>
      <c r="F77" s="22"/>
      <c r="G77" s="22"/>
      <c r="H77" s="3">
        <f t="shared" si="1"/>
        <v>7.4999999999999982</v>
      </c>
      <c r="I77" s="3">
        <f t="shared" si="2"/>
        <v>11.915999999999999</v>
      </c>
      <c r="J77" s="3">
        <f t="shared" si="3"/>
        <v>19.415999999999997</v>
      </c>
    </row>
    <row r="78" spans="1:10" ht="15.75">
      <c r="A78" s="22" t="s">
        <v>84</v>
      </c>
      <c r="B78" s="22">
        <v>2.5</v>
      </c>
      <c r="C78" s="22">
        <v>2.5</v>
      </c>
      <c r="D78" s="22"/>
      <c r="E78" s="22"/>
      <c r="F78" s="22"/>
      <c r="G78" s="22"/>
      <c r="H78" s="3">
        <f t="shared" si="1"/>
        <v>9.9999999999999982</v>
      </c>
      <c r="I78" s="3">
        <f t="shared" si="2"/>
        <v>14.415999999999999</v>
      </c>
      <c r="J78" s="3">
        <f t="shared" si="3"/>
        <v>24.415999999999997</v>
      </c>
    </row>
    <row r="79" spans="1:10" ht="15.75">
      <c r="A79" s="22" t="s">
        <v>85</v>
      </c>
      <c r="B79" s="22"/>
      <c r="C79" s="22"/>
      <c r="D79" s="22"/>
      <c r="E79" s="22">
        <v>2</v>
      </c>
      <c r="F79" s="22"/>
      <c r="G79" s="22"/>
      <c r="H79" s="3">
        <f t="shared" ref="H79:H84" si="4">H78-F79-D79+B79</f>
        <v>9.9999999999999982</v>
      </c>
      <c r="I79" s="3">
        <f t="shared" ref="I79:I84" si="5">I78-E79+C79</f>
        <v>12.415999999999999</v>
      </c>
      <c r="J79" s="3">
        <f t="shared" ref="J79:J84" si="6">SUM(H79:I79)</f>
        <v>22.415999999999997</v>
      </c>
    </row>
    <row r="80" spans="1:10" ht="15.75">
      <c r="A80" s="22" t="s">
        <v>86</v>
      </c>
      <c r="B80" s="22"/>
      <c r="C80" s="22"/>
      <c r="D80" s="22"/>
      <c r="E80" s="22">
        <v>1</v>
      </c>
      <c r="F80" s="22"/>
      <c r="G80" s="22"/>
      <c r="H80" s="3">
        <f t="shared" si="4"/>
        <v>9.9999999999999982</v>
      </c>
      <c r="I80" s="3">
        <f t="shared" si="5"/>
        <v>11.415999999999999</v>
      </c>
      <c r="J80" s="3">
        <f t="shared" si="6"/>
        <v>21.415999999999997</v>
      </c>
    </row>
    <row r="81" spans="1:10" ht="15.75">
      <c r="A81" s="22" t="s">
        <v>87</v>
      </c>
      <c r="B81" s="22">
        <v>1.25</v>
      </c>
      <c r="C81" s="22">
        <v>1.25</v>
      </c>
      <c r="D81" s="22"/>
      <c r="E81" s="22"/>
      <c r="F81" s="22"/>
      <c r="G81" s="22"/>
      <c r="H81" s="3">
        <f t="shared" si="4"/>
        <v>11.249999999999998</v>
      </c>
      <c r="I81" s="3">
        <f t="shared" si="5"/>
        <v>12.665999999999999</v>
      </c>
      <c r="J81" s="3">
        <f t="shared" si="6"/>
        <v>23.915999999999997</v>
      </c>
    </row>
    <row r="82" spans="1:10" ht="15.75">
      <c r="A82" s="22" t="s">
        <v>88</v>
      </c>
      <c r="B82" s="22"/>
      <c r="C82" s="22"/>
      <c r="D82" s="22"/>
      <c r="E82" s="22"/>
      <c r="F82" s="22"/>
      <c r="G82" s="35">
        <v>1</v>
      </c>
      <c r="H82" s="3">
        <f t="shared" si="4"/>
        <v>11.249999999999998</v>
      </c>
      <c r="I82" s="3">
        <f t="shared" si="5"/>
        <v>12.665999999999999</v>
      </c>
      <c r="J82" s="3">
        <f t="shared" si="6"/>
        <v>23.915999999999997</v>
      </c>
    </row>
    <row r="83" spans="1:10" ht="15.75">
      <c r="A83" s="22" t="s">
        <v>89</v>
      </c>
      <c r="B83" s="22"/>
      <c r="C83" s="22"/>
      <c r="D83" s="22"/>
      <c r="E83" s="22">
        <v>1</v>
      </c>
      <c r="F83" s="22"/>
      <c r="G83" s="22"/>
      <c r="H83" s="3">
        <f t="shared" si="4"/>
        <v>11.249999999999998</v>
      </c>
      <c r="I83" s="3">
        <f t="shared" si="5"/>
        <v>11.665999999999999</v>
      </c>
      <c r="J83" s="3">
        <f t="shared" si="6"/>
        <v>22.915999999999997</v>
      </c>
    </row>
    <row r="84" spans="1:10" ht="15.75">
      <c r="A84" s="22" t="s">
        <v>90</v>
      </c>
      <c r="B84" s="22">
        <v>2.5</v>
      </c>
      <c r="C84" s="22">
        <v>2.5</v>
      </c>
      <c r="D84" s="22"/>
      <c r="E84" s="22"/>
      <c r="F84" s="22"/>
      <c r="G84" s="22"/>
      <c r="H84" s="3">
        <f t="shared" si="4"/>
        <v>13.749999999999998</v>
      </c>
      <c r="I84" s="3">
        <f t="shared" si="5"/>
        <v>14.165999999999999</v>
      </c>
      <c r="J84" s="3">
        <f t="shared" si="6"/>
        <v>27.915999999999997</v>
      </c>
    </row>
    <row r="85" spans="1:10" ht="15.75">
      <c r="A85" s="22" t="s">
        <v>91</v>
      </c>
      <c r="B85" s="22"/>
      <c r="C85" s="22"/>
      <c r="D85" s="22">
        <v>8.75</v>
      </c>
      <c r="E85" s="22">
        <v>8.25</v>
      </c>
      <c r="F85" s="22"/>
      <c r="G85" s="22"/>
      <c r="H85" s="3">
        <f>H84-F85-D85+B85</f>
        <v>4.9999999999999982</v>
      </c>
      <c r="I85" s="3">
        <f>I84-E85+C85</f>
        <v>5.9159999999999986</v>
      </c>
      <c r="J85" s="3">
        <f>SUM(H85:I85)</f>
        <v>10.915999999999997</v>
      </c>
    </row>
    <row r="86" spans="1:10" ht="15.75">
      <c r="A86" s="22" t="s">
        <v>92</v>
      </c>
      <c r="B86" s="22"/>
      <c r="C86" s="22"/>
      <c r="D86" s="22"/>
      <c r="E86" s="22"/>
      <c r="F86" s="22"/>
      <c r="G86" s="35">
        <v>1</v>
      </c>
      <c r="H86" s="3">
        <f>H85-F86-D86+B86</f>
        <v>4.9999999999999982</v>
      </c>
      <c r="I86" s="3">
        <f>I85-E86+C86</f>
        <v>5.9159999999999986</v>
      </c>
      <c r="J86" s="3">
        <f>SUM(H86:I86)</f>
        <v>10.915999999999997</v>
      </c>
    </row>
    <row r="87" spans="1:10" ht="15.75">
      <c r="A87" s="22" t="s">
        <v>93</v>
      </c>
      <c r="B87" s="22"/>
      <c r="C87" s="22"/>
      <c r="D87" s="22"/>
      <c r="E87" s="22">
        <v>2</v>
      </c>
      <c r="F87" s="22"/>
      <c r="G87" s="22"/>
      <c r="H87" s="3">
        <f>H86-F87-D87+B87</f>
        <v>4.9999999999999982</v>
      </c>
      <c r="I87" s="3">
        <f>I86-E87+C87</f>
        <v>3.9159999999999986</v>
      </c>
      <c r="J87" s="3">
        <f>SUM(H87:I87)</f>
        <v>8.9159999999999968</v>
      </c>
    </row>
    <row r="88" spans="1:10" ht="15.75">
      <c r="A88" s="22" t="s">
        <v>94</v>
      </c>
      <c r="B88" s="22">
        <v>1.25</v>
      </c>
      <c r="C88" s="22">
        <v>1.25</v>
      </c>
      <c r="D88" s="22"/>
      <c r="E88" s="22"/>
      <c r="F88" s="22"/>
      <c r="G88" s="22"/>
      <c r="H88" s="3">
        <f t="shared" ref="H88:H89" si="7">H87-F88-D88+B88</f>
        <v>6.2499999999999982</v>
      </c>
      <c r="I88" s="3">
        <f t="shared" ref="I88:I89" si="8">I87-E88+C88</f>
        <v>5.1659999999999986</v>
      </c>
      <c r="J88" s="3">
        <f t="shared" ref="J88:J89" si="9">SUM(H88:I88)</f>
        <v>11.415999999999997</v>
      </c>
    </row>
    <row r="89" spans="1:10" ht="15.75">
      <c r="A89" s="22" t="s">
        <v>95</v>
      </c>
      <c r="B89" s="22"/>
      <c r="C89" s="22"/>
      <c r="D89" s="22"/>
      <c r="E89" s="22"/>
      <c r="F89" s="22"/>
      <c r="G89" s="35">
        <v>1</v>
      </c>
      <c r="H89" s="3">
        <f t="shared" si="7"/>
        <v>6.2499999999999982</v>
      </c>
      <c r="I89" s="3">
        <f t="shared" si="8"/>
        <v>5.1659999999999986</v>
      </c>
      <c r="J89" s="3">
        <f t="shared" si="9"/>
        <v>11.415999999999997</v>
      </c>
    </row>
    <row r="90" spans="1:10" ht="30">
      <c r="A90" s="43" t="s">
        <v>96</v>
      </c>
      <c r="B90" s="22"/>
      <c r="C90" s="22"/>
      <c r="D90" s="22"/>
      <c r="E90" s="22"/>
      <c r="F90" s="44">
        <v>5</v>
      </c>
      <c r="G90" s="22"/>
      <c r="H90" s="3">
        <f t="shared" ref="H90" si="10">H89-F90-D90+B90</f>
        <v>1.2499999999999982</v>
      </c>
      <c r="I90" s="3">
        <f t="shared" ref="I90" si="11">I89-E90+C90</f>
        <v>5.1659999999999986</v>
      </c>
      <c r="J90" s="3">
        <f t="shared" ref="J90" si="12">SUM(H90:I90)</f>
        <v>6.4159999999999968</v>
      </c>
    </row>
    <row r="91" spans="1:10" ht="15.75">
      <c r="A91" s="43" t="s">
        <v>97</v>
      </c>
      <c r="B91" s="22">
        <v>1.25</v>
      </c>
      <c r="C91" s="22">
        <v>1.25</v>
      </c>
      <c r="D91" s="22"/>
      <c r="E91" s="22"/>
      <c r="F91" s="22"/>
      <c r="G91" s="22"/>
      <c r="H91" s="3">
        <f t="shared" ref="H91:H92" si="13">H90-F91-D91+B91</f>
        <v>2.4999999999999982</v>
      </c>
      <c r="I91" s="3">
        <f t="shared" ref="I91:I92" si="14">I90-E91+C91</f>
        <v>6.4159999999999986</v>
      </c>
      <c r="J91" s="3">
        <f t="shared" ref="J91:J92" si="15">SUM(H91:I91)</f>
        <v>8.9159999999999968</v>
      </c>
    </row>
    <row r="92" spans="1:10" ht="15.75">
      <c r="A92" s="43" t="s">
        <v>98</v>
      </c>
      <c r="B92" s="22"/>
      <c r="C92" s="22"/>
      <c r="D92" s="22"/>
      <c r="E92" s="22">
        <v>2</v>
      </c>
      <c r="F92" s="22"/>
      <c r="G92" s="22"/>
      <c r="H92" s="3">
        <f t="shared" si="13"/>
        <v>2.4999999999999982</v>
      </c>
      <c r="I92" s="3">
        <f t="shared" si="14"/>
        <v>4.4159999999999986</v>
      </c>
      <c r="J92" s="3">
        <f t="shared" si="15"/>
        <v>6.9159999999999968</v>
      </c>
    </row>
    <row r="93" spans="1:10" ht="15.75">
      <c r="A93" s="43" t="s">
        <v>99</v>
      </c>
      <c r="B93" s="22">
        <v>3.75</v>
      </c>
      <c r="C93" s="22">
        <v>3.75</v>
      </c>
      <c r="D93" s="22"/>
      <c r="E93" s="22"/>
      <c r="F93" s="22"/>
      <c r="G93" s="22"/>
      <c r="H93" s="3">
        <f t="shared" ref="H93" si="16">H92-F93-D93+B93</f>
        <v>6.2499999999999982</v>
      </c>
      <c r="I93" s="3">
        <f t="shared" ref="I93" si="17">I92-E93+C93</f>
        <v>8.1659999999999986</v>
      </c>
      <c r="J93" s="3">
        <f t="shared" ref="J93" si="18">SUM(H93:I93)</f>
        <v>14.415999999999997</v>
      </c>
    </row>
    <row r="94" spans="1:10" ht="15.75">
      <c r="A94" s="43"/>
      <c r="B94" s="22"/>
      <c r="C94" s="22"/>
      <c r="D94" s="22"/>
      <c r="E94" s="22"/>
      <c r="F94" s="22"/>
      <c r="G94" s="22"/>
      <c r="H94" s="3"/>
      <c r="I94" s="3"/>
      <c r="J94" s="3"/>
    </row>
    <row r="95" spans="1:10" ht="15.75">
      <c r="A95" s="47"/>
      <c r="B95" s="32"/>
      <c r="C95" s="32"/>
      <c r="D95" s="32"/>
      <c r="E95" s="32"/>
      <c r="F95" s="32"/>
      <c r="G95" s="32"/>
      <c r="H95" s="33"/>
      <c r="I95" s="33"/>
      <c r="J95" s="33"/>
    </row>
    <row r="96" spans="1:10" ht="15.75">
      <c r="A96" s="32"/>
      <c r="B96" s="32"/>
      <c r="C96" s="32"/>
      <c r="D96" s="32"/>
      <c r="E96" s="32"/>
      <c r="F96" s="32"/>
      <c r="G96" s="32"/>
      <c r="H96" s="33"/>
      <c r="I96" s="33"/>
      <c r="J96" s="33"/>
    </row>
    <row r="97" spans="7:8" s="1" customFormat="1" ht="15.95" customHeight="1">
      <c r="G97" s="1" t="s">
        <v>100</v>
      </c>
    </row>
    <row r="98" spans="7:8" s="1" customFormat="1" ht="15.95" customHeight="1"/>
    <row r="99" spans="7:8" s="1" customFormat="1" ht="15.95" customHeight="1">
      <c r="G99" s="27" t="s">
        <v>101</v>
      </c>
    </row>
    <row r="100" spans="7:8" s="1" customFormat="1" ht="15.95" customHeight="1">
      <c r="G100" s="1" t="s">
        <v>102</v>
      </c>
    </row>
    <row r="101" spans="7:8" s="1" customFormat="1" ht="15.95" customHeight="1">
      <c r="G101" s="48" t="s">
        <v>103</v>
      </c>
      <c r="H101" s="48"/>
    </row>
  </sheetData>
  <mergeCells count="11">
    <mergeCell ref="G101:H101"/>
    <mergeCell ref="A2:J2"/>
    <mergeCell ref="A3:J3"/>
    <mergeCell ref="A4:J4"/>
    <mergeCell ref="A5:J5"/>
    <mergeCell ref="B11:C11"/>
    <mergeCell ref="D11:F11"/>
    <mergeCell ref="H11:I11"/>
    <mergeCell ref="B10:J10"/>
    <mergeCell ref="A11:A12"/>
    <mergeCell ref="J11:J12"/>
  </mergeCells>
  <printOptions horizontalCentered="1"/>
  <pageMargins left="0.23622047244094491" right="0.23622047244094491" top="0.55118110236220474" bottom="0.11811023622047245" header="0.31496062992125984" footer="0.31496062992125984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5"/>
  <sheetViews>
    <sheetView view="pageBreakPreview" topLeftCell="A9" zoomScale="120" zoomScaleNormal="100" zoomScaleSheetLayoutView="120" workbookViewId="0">
      <selection activeCell="B37" sqref="B37:E37"/>
    </sheetView>
  </sheetViews>
  <sheetFormatPr defaultRowHeight="15"/>
  <cols>
    <col min="1" max="1" width="25.140625" customWidth="1"/>
    <col min="2" max="3" width="20.42578125" customWidth="1"/>
    <col min="4" max="4" width="8.7109375" customWidth="1"/>
    <col min="5" max="5" width="23" hidden="1" customWidth="1"/>
    <col min="6" max="7" width="8.85546875" customWidth="1"/>
    <col min="8" max="9" width="8.7109375" customWidth="1"/>
    <col min="10" max="11" width="8.5703125" customWidth="1"/>
  </cols>
  <sheetData>
    <row r="1" spans="1:12" s="1" customFormat="1" ht="45.75" customHeight="1"/>
    <row r="2" spans="1:12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s="1" customFormat="1" ht="8.25" customHeight="1"/>
    <row r="7" spans="1:12" s="1" customFormat="1" ht="12" customHeight="1">
      <c r="A7" s="1" t="s">
        <v>4</v>
      </c>
      <c r="C7" s="2" t="s">
        <v>5</v>
      </c>
      <c r="D7" s="2"/>
      <c r="G7" s="2" t="s">
        <v>6</v>
      </c>
      <c r="H7" s="9"/>
    </row>
    <row r="8" spans="1:12" s="1" customFormat="1" ht="12" customHeight="1">
      <c r="C8" s="4"/>
      <c r="G8" s="4"/>
      <c r="H8" s="4"/>
    </row>
    <row r="9" spans="1:12" s="1" customFormat="1" ht="12" customHeight="1">
      <c r="A9" s="1" t="s">
        <v>7</v>
      </c>
      <c r="C9" s="2" t="s">
        <v>8</v>
      </c>
      <c r="D9" s="2"/>
      <c r="G9" s="2" t="s">
        <v>9</v>
      </c>
      <c r="H9" s="5"/>
    </row>
    <row r="10" spans="1:12" s="1" customFormat="1" ht="12" customHeight="1">
      <c r="C10" s="2"/>
      <c r="D10" s="2"/>
      <c r="G10" s="2"/>
      <c r="H10" s="2"/>
    </row>
    <row r="11" spans="1:12" ht="13.5" customHeight="1">
      <c r="A11" s="53" t="s">
        <v>104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2" s="11" customFormat="1" ht="18.75" customHeight="1">
      <c r="A12" s="63" t="s">
        <v>10</v>
      </c>
      <c r="B12" s="65" t="s">
        <v>11</v>
      </c>
      <c r="C12" s="66"/>
      <c r="D12" s="66"/>
      <c r="E12" s="66"/>
      <c r="F12" s="66"/>
      <c r="G12" s="66"/>
      <c r="H12" s="66"/>
      <c r="I12" s="66"/>
      <c r="J12" s="66"/>
      <c r="K12" s="66"/>
      <c r="L12" s="69" t="s">
        <v>14</v>
      </c>
    </row>
    <row r="13" spans="1:12" s="11" customFormat="1" ht="13.5" customHeight="1">
      <c r="A13" s="64"/>
      <c r="B13" s="67" t="s">
        <v>105</v>
      </c>
      <c r="C13" s="71"/>
      <c r="D13" s="71"/>
      <c r="E13" s="68"/>
      <c r="F13" s="67" t="s">
        <v>106</v>
      </c>
      <c r="G13" s="68"/>
      <c r="H13" s="67" t="s">
        <v>107</v>
      </c>
      <c r="I13" s="68"/>
      <c r="J13" s="67" t="s">
        <v>108</v>
      </c>
      <c r="K13" s="68"/>
      <c r="L13" s="70"/>
    </row>
    <row r="14" spans="1:12" s="25" customFormat="1" ht="22.5" hidden="1" customHeight="1">
      <c r="A14" s="72" t="s">
        <v>109</v>
      </c>
      <c r="B14" s="73" t="s">
        <v>110</v>
      </c>
      <c r="C14" s="74"/>
      <c r="D14" s="74"/>
      <c r="E14" s="75"/>
      <c r="F14" s="73">
        <v>15</v>
      </c>
      <c r="G14" s="75"/>
      <c r="H14" s="73">
        <v>0</v>
      </c>
      <c r="I14" s="75"/>
      <c r="J14" s="73">
        <v>15</v>
      </c>
      <c r="K14" s="75"/>
      <c r="L14" s="76">
        <v>15</v>
      </c>
    </row>
    <row r="15" spans="1:12" s="25" customFormat="1" ht="16.5" hidden="1" customHeight="1">
      <c r="A15" s="72" t="s">
        <v>111</v>
      </c>
      <c r="B15" s="73"/>
      <c r="C15" s="74"/>
      <c r="D15" s="74"/>
      <c r="E15" s="75"/>
      <c r="F15" s="73"/>
      <c r="G15" s="75"/>
      <c r="H15" s="73">
        <v>3</v>
      </c>
      <c r="I15" s="75"/>
      <c r="J15" s="73">
        <v>12</v>
      </c>
      <c r="K15" s="75"/>
      <c r="L15" s="76">
        <v>12</v>
      </c>
    </row>
    <row r="16" spans="1:12" s="25" customFormat="1" ht="16.5" hidden="1" customHeight="1">
      <c r="A16" s="72" t="s">
        <v>112</v>
      </c>
      <c r="B16" s="73"/>
      <c r="C16" s="74"/>
      <c r="D16" s="74"/>
      <c r="E16" s="75"/>
      <c r="F16" s="73"/>
      <c r="G16" s="75"/>
      <c r="H16" s="73">
        <v>2</v>
      </c>
      <c r="I16" s="75"/>
      <c r="J16" s="73">
        <v>10</v>
      </c>
      <c r="K16" s="75"/>
      <c r="L16" s="76">
        <f t="shared" ref="L16" si="0">J16</f>
        <v>10</v>
      </c>
    </row>
    <row r="17" spans="1:12" s="25" customFormat="1" ht="16.5" hidden="1" customHeight="1">
      <c r="A17" s="76" t="s">
        <v>113</v>
      </c>
      <c r="B17" s="77"/>
      <c r="C17" s="77"/>
      <c r="D17" s="77"/>
      <c r="E17" s="77"/>
      <c r="F17" s="77"/>
      <c r="G17" s="77"/>
      <c r="H17" s="77">
        <v>5</v>
      </c>
      <c r="I17" s="77"/>
      <c r="J17" s="77">
        <v>5</v>
      </c>
      <c r="K17" s="77"/>
      <c r="L17" s="76">
        <v>5</v>
      </c>
    </row>
    <row r="18" spans="1:12" s="25" customFormat="1" ht="16.5" hidden="1" customHeight="1">
      <c r="A18" s="76" t="s">
        <v>114</v>
      </c>
      <c r="B18" s="77"/>
      <c r="C18" s="77"/>
      <c r="D18" s="77"/>
      <c r="E18" s="77"/>
      <c r="F18" s="73"/>
      <c r="G18" s="75"/>
      <c r="H18" s="73">
        <v>1</v>
      </c>
      <c r="I18" s="75"/>
      <c r="J18" s="73">
        <v>4</v>
      </c>
      <c r="K18" s="75"/>
      <c r="L18" s="76">
        <v>4</v>
      </c>
    </row>
    <row r="19" spans="1:12" s="25" customFormat="1" ht="16.5" hidden="1" customHeight="1">
      <c r="A19" s="76" t="s">
        <v>115</v>
      </c>
      <c r="B19" s="77"/>
      <c r="C19" s="77"/>
      <c r="D19" s="77"/>
      <c r="E19" s="77"/>
      <c r="F19" s="73"/>
      <c r="G19" s="75"/>
      <c r="H19" s="73">
        <v>1</v>
      </c>
      <c r="I19" s="75"/>
      <c r="J19" s="73">
        <v>3</v>
      </c>
      <c r="K19" s="75"/>
      <c r="L19" s="76">
        <v>3</v>
      </c>
    </row>
    <row r="20" spans="1:12" s="25" customFormat="1" ht="16.5" hidden="1" customHeight="1">
      <c r="A20" s="76" t="s">
        <v>116</v>
      </c>
      <c r="B20" s="77"/>
      <c r="C20" s="77"/>
      <c r="D20" s="77"/>
      <c r="E20" s="77"/>
      <c r="F20" s="73"/>
      <c r="G20" s="75"/>
      <c r="H20" s="73">
        <v>1</v>
      </c>
      <c r="I20" s="75"/>
      <c r="J20" s="73">
        <v>2</v>
      </c>
      <c r="K20" s="75"/>
      <c r="L20" s="76">
        <v>2</v>
      </c>
    </row>
    <row r="21" spans="1:12" s="25" customFormat="1" ht="16.5" hidden="1" customHeight="1">
      <c r="A21" s="76" t="s">
        <v>117</v>
      </c>
      <c r="B21" s="77"/>
      <c r="C21" s="77"/>
      <c r="D21" s="77"/>
      <c r="E21" s="77"/>
      <c r="F21" s="73"/>
      <c r="G21" s="75"/>
      <c r="H21" s="73">
        <v>2</v>
      </c>
      <c r="I21" s="75"/>
      <c r="J21" s="73">
        <v>0</v>
      </c>
      <c r="K21" s="75"/>
      <c r="L21" s="78">
        <v>0</v>
      </c>
    </row>
    <row r="22" spans="1:12" s="24" customFormat="1" ht="27.75" hidden="1" customHeight="1">
      <c r="A22" s="79" t="s">
        <v>118</v>
      </c>
      <c r="B22" s="58" t="s">
        <v>119</v>
      </c>
      <c r="C22" s="80"/>
      <c r="D22" s="80"/>
      <c r="E22" s="62"/>
      <c r="F22" s="58">
        <v>2</v>
      </c>
      <c r="G22" s="62"/>
      <c r="H22" s="58">
        <v>0</v>
      </c>
      <c r="I22" s="62"/>
      <c r="J22" s="58">
        <v>2</v>
      </c>
      <c r="K22" s="62"/>
      <c r="L22" s="26">
        <v>2</v>
      </c>
    </row>
    <row r="23" spans="1:12" s="24" customFormat="1" ht="17.25" hidden="1" customHeight="1">
      <c r="A23" s="79" t="s">
        <v>120</v>
      </c>
      <c r="B23" s="58"/>
      <c r="C23" s="80"/>
      <c r="D23" s="80"/>
      <c r="E23" s="62"/>
      <c r="F23" s="58"/>
      <c r="G23" s="62"/>
      <c r="H23" s="58">
        <v>1</v>
      </c>
      <c r="I23" s="62"/>
      <c r="J23" s="58">
        <v>1</v>
      </c>
      <c r="K23" s="62"/>
      <c r="L23" s="26">
        <v>1</v>
      </c>
    </row>
    <row r="24" spans="1:12" s="24" customFormat="1" ht="17.25" hidden="1" customHeight="1">
      <c r="A24" s="79" t="s">
        <v>121</v>
      </c>
      <c r="B24" s="58"/>
      <c r="C24" s="80"/>
      <c r="D24" s="80"/>
      <c r="E24" s="62"/>
      <c r="F24" s="58"/>
      <c r="G24" s="62"/>
      <c r="H24" s="58">
        <v>1</v>
      </c>
      <c r="I24" s="62"/>
      <c r="J24" s="58">
        <v>0</v>
      </c>
      <c r="K24" s="62"/>
      <c r="L24" s="81">
        <v>0</v>
      </c>
    </row>
    <row r="25" spans="1:12" s="24" customFormat="1" ht="36" hidden="1" customHeight="1">
      <c r="A25" s="26" t="s">
        <v>122</v>
      </c>
      <c r="B25" s="58" t="s">
        <v>123</v>
      </c>
      <c r="C25" s="80"/>
      <c r="D25" s="80"/>
      <c r="E25" s="62"/>
      <c r="F25" s="58">
        <v>3</v>
      </c>
      <c r="G25" s="62"/>
      <c r="H25" s="58">
        <v>0</v>
      </c>
      <c r="I25" s="62"/>
      <c r="J25" s="58">
        <f t="shared" ref="J25" si="1">F25-H25</f>
        <v>3</v>
      </c>
      <c r="K25" s="62"/>
      <c r="L25" s="26">
        <v>3</v>
      </c>
    </row>
    <row r="26" spans="1:12" s="24" customFormat="1" ht="19.5" hidden="1" customHeight="1">
      <c r="A26" s="26" t="s">
        <v>124</v>
      </c>
      <c r="B26" s="58"/>
      <c r="C26" s="80"/>
      <c r="D26" s="80"/>
      <c r="E26" s="62"/>
      <c r="F26" s="58"/>
      <c r="G26" s="62"/>
      <c r="H26" s="58">
        <v>2</v>
      </c>
      <c r="I26" s="62"/>
      <c r="J26" s="58">
        <v>1</v>
      </c>
      <c r="K26" s="62"/>
      <c r="L26" s="26">
        <v>1</v>
      </c>
    </row>
    <row r="27" spans="1:12" s="24" customFormat="1" ht="20.25" hidden="1" customHeight="1">
      <c r="A27" s="26" t="s">
        <v>125</v>
      </c>
      <c r="B27" s="58"/>
      <c r="C27" s="80"/>
      <c r="D27" s="80"/>
      <c r="E27" s="62"/>
      <c r="F27" s="58"/>
      <c r="G27" s="62"/>
      <c r="H27" s="58">
        <v>1</v>
      </c>
      <c r="I27" s="62"/>
      <c r="J27" s="58">
        <v>0</v>
      </c>
      <c r="K27" s="62"/>
      <c r="L27" s="81">
        <v>0</v>
      </c>
    </row>
    <row r="28" spans="1:12" s="24" customFormat="1" ht="18" hidden="1" customHeight="1">
      <c r="A28" s="26" t="s">
        <v>126</v>
      </c>
      <c r="B28" s="58" t="s">
        <v>127</v>
      </c>
      <c r="C28" s="80"/>
      <c r="D28" s="80"/>
      <c r="E28" s="62"/>
      <c r="F28" s="58">
        <v>3</v>
      </c>
      <c r="G28" s="62"/>
      <c r="H28" s="58">
        <v>0</v>
      </c>
      <c r="I28" s="62"/>
      <c r="J28" s="58">
        <v>3</v>
      </c>
      <c r="K28" s="62"/>
      <c r="L28" s="82">
        <v>3</v>
      </c>
    </row>
    <row r="29" spans="1:12" s="24" customFormat="1" ht="18" hidden="1" customHeight="1">
      <c r="A29" s="26" t="s">
        <v>128</v>
      </c>
      <c r="B29" s="58"/>
      <c r="C29" s="80"/>
      <c r="D29" s="80"/>
      <c r="E29" s="62"/>
      <c r="F29" s="58"/>
      <c r="G29" s="62"/>
      <c r="H29" s="58">
        <v>1</v>
      </c>
      <c r="I29" s="62"/>
      <c r="J29" s="58">
        <v>2</v>
      </c>
      <c r="K29" s="62"/>
      <c r="L29" s="82">
        <v>2</v>
      </c>
    </row>
    <row r="30" spans="1:12" s="24" customFormat="1" ht="18" hidden="1" customHeight="1">
      <c r="A30" s="26" t="s">
        <v>129</v>
      </c>
      <c r="B30" s="58"/>
      <c r="C30" s="80"/>
      <c r="D30" s="80"/>
      <c r="E30" s="62"/>
      <c r="F30" s="58"/>
      <c r="G30" s="62"/>
      <c r="H30" s="58">
        <v>1</v>
      </c>
      <c r="I30" s="62"/>
      <c r="J30" s="58">
        <v>1</v>
      </c>
      <c r="K30" s="62"/>
      <c r="L30" s="82">
        <v>1</v>
      </c>
    </row>
    <row r="31" spans="1:12" s="24" customFormat="1" ht="18" hidden="1" customHeight="1">
      <c r="A31" s="26" t="s">
        <v>130</v>
      </c>
      <c r="B31" s="58" t="s">
        <v>131</v>
      </c>
      <c r="C31" s="80"/>
      <c r="D31" s="80"/>
      <c r="E31" s="62"/>
      <c r="F31" s="58">
        <v>1</v>
      </c>
      <c r="G31" s="62"/>
      <c r="H31" s="58">
        <v>0</v>
      </c>
      <c r="I31" s="62"/>
      <c r="J31" s="58">
        <v>1</v>
      </c>
      <c r="K31" s="62"/>
      <c r="L31" s="82">
        <v>1</v>
      </c>
    </row>
    <row r="32" spans="1:12" s="24" customFormat="1" ht="18" hidden="1" customHeight="1">
      <c r="A32" s="26" t="s">
        <v>132</v>
      </c>
      <c r="B32" s="58"/>
      <c r="C32" s="80"/>
      <c r="D32" s="80"/>
      <c r="E32" s="62"/>
      <c r="F32" s="58"/>
      <c r="G32" s="62"/>
      <c r="H32" s="58">
        <v>1</v>
      </c>
      <c r="I32" s="62"/>
      <c r="J32" s="58">
        <v>0</v>
      </c>
      <c r="K32" s="62"/>
      <c r="L32" s="81">
        <v>0</v>
      </c>
    </row>
    <row r="33" spans="1:12" s="42" customFormat="1" ht="25.5" customHeight="1">
      <c r="A33" s="40" t="s">
        <v>133</v>
      </c>
      <c r="B33" s="61" t="s">
        <v>134</v>
      </c>
      <c r="C33" s="61"/>
      <c r="D33" s="61"/>
      <c r="E33" s="61"/>
      <c r="F33" s="61">
        <v>1</v>
      </c>
      <c r="G33" s="61"/>
      <c r="H33" s="61">
        <v>0</v>
      </c>
      <c r="I33" s="61"/>
      <c r="J33" s="61">
        <v>1</v>
      </c>
      <c r="K33" s="61"/>
      <c r="L33" s="41">
        <v>1</v>
      </c>
    </row>
    <row r="34" spans="1:12" s="42" customFormat="1" ht="30.75" customHeight="1">
      <c r="A34" s="40" t="s">
        <v>135</v>
      </c>
      <c r="B34" s="61" t="s">
        <v>134</v>
      </c>
      <c r="C34" s="61"/>
      <c r="D34" s="61"/>
      <c r="E34" s="61"/>
      <c r="F34" s="58"/>
      <c r="G34" s="62"/>
      <c r="H34" s="61">
        <v>1</v>
      </c>
      <c r="I34" s="61"/>
      <c r="J34" s="61">
        <v>0</v>
      </c>
      <c r="K34" s="61"/>
      <c r="L34" s="46">
        <v>0</v>
      </c>
    </row>
    <row r="35" spans="1:12" s="24" customFormat="1" ht="27.75" customHeight="1">
      <c r="A35" s="26" t="s">
        <v>136</v>
      </c>
      <c r="B35" s="58" t="s">
        <v>137</v>
      </c>
      <c r="C35" s="80"/>
      <c r="D35" s="80"/>
      <c r="E35" s="62"/>
      <c r="F35" s="58">
        <v>3</v>
      </c>
      <c r="G35" s="62"/>
      <c r="H35" s="58">
        <v>0</v>
      </c>
      <c r="I35" s="62"/>
      <c r="J35" s="58">
        <v>3</v>
      </c>
      <c r="K35" s="62"/>
      <c r="L35" s="82">
        <v>3</v>
      </c>
    </row>
    <row r="36" spans="1:12" s="24" customFormat="1" ht="27.75" customHeight="1">
      <c r="A36" s="45" t="s">
        <v>138</v>
      </c>
      <c r="B36" s="58" t="s">
        <v>137</v>
      </c>
      <c r="C36" s="80"/>
      <c r="D36" s="80"/>
      <c r="E36" s="62"/>
      <c r="F36" s="58"/>
      <c r="G36" s="62"/>
      <c r="H36" s="58">
        <v>2</v>
      </c>
      <c r="I36" s="62"/>
      <c r="J36" s="58">
        <v>1</v>
      </c>
      <c r="K36" s="62"/>
      <c r="L36" s="82">
        <v>1</v>
      </c>
    </row>
    <row r="37" spans="1:12" s="24" customFormat="1" ht="27.75" customHeight="1">
      <c r="A37" s="45" t="s">
        <v>139</v>
      </c>
      <c r="B37" s="58" t="s">
        <v>137</v>
      </c>
      <c r="C37" s="80"/>
      <c r="D37" s="80"/>
      <c r="E37" s="62"/>
      <c r="F37" s="58"/>
      <c r="G37" s="62"/>
      <c r="H37" s="58">
        <v>1</v>
      </c>
      <c r="I37" s="62"/>
      <c r="J37" s="58">
        <v>0</v>
      </c>
      <c r="K37" s="62"/>
      <c r="L37" s="81">
        <v>0</v>
      </c>
    </row>
    <row r="38" spans="1:12" s="24" customFormat="1" ht="18" customHeight="1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83"/>
    </row>
    <row r="39" spans="1:12" s="12" customFormat="1">
      <c r="A39" s="8" t="s">
        <v>140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4"/>
    </row>
    <row r="40" spans="1:12" ht="2.1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</row>
    <row r="41" spans="1:12" s="1" customFormat="1">
      <c r="C41" s="15"/>
      <c r="H41" s="1" t="s">
        <v>100</v>
      </c>
    </row>
    <row r="42" spans="1:12" s="1" customFormat="1">
      <c r="C42" s="15"/>
    </row>
    <row r="43" spans="1:12">
      <c r="H43" s="31" t="s">
        <v>101</v>
      </c>
      <c r="I43" s="30"/>
    </row>
    <row r="44" spans="1:12">
      <c r="H44" t="s">
        <v>102</v>
      </c>
    </row>
    <row r="45" spans="1:12">
      <c r="H45" s="59" t="s">
        <v>103</v>
      </c>
      <c r="I45" s="59"/>
      <c r="J45" s="59"/>
    </row>
  </sheetData>
  <mergeCells count="110">
    <mergeCell ref="A2:L2"/>
    <mergeCell ref="A3:L3"/>
    <mergeCell ref="A4:L4"/>
    <mergeCell ref="A5:L5"/>
    <mergeCell ref="A11:L11"/>
    <mergeCell ref="L12:L13"/>
    <mergeCell ref="B13:E13"/>
    <mergeCell ref="F13:G13"/>
    <mergeCell ref="F14:G14"/>
    <mergeCell ref="J15:K15"/>
    <mergeCell ref="A12:A13"/>
    <mergeCell ref="B12:K12"/>
    <mergeCell ref="H13:I13"/>
    <mergeCell ref="J13:K13"/>
    <mergeCell ref="B14:E14"/>
    <mergeCell ref="H14:I14"/>
    <mergeCell ref="J14:K14"/>
    <mergeCell ref="F26:G26"/>
    <mergeCell ref="H26:I26"/>
    <mergeCell ref="J26:K26"/>
    <mergeCell ref="B26:E26"/>
    <mergeCell ref="F15:G15"/>
    <mergeCell ref="B15:E15"/>
    <mergeCell ref="H15:I15"/>
    <mergeCell ref="B20:E20"/>
    <mergeCell ref="F20:G20"/>
    <mergeCell ref="H20:I20"/>
    <mergeCell ref="J20:K20"/>
    <mergeCell ref="B22:E22"/>
    <mergeCell ref="F22:G22"/>
    <mergeCell ref="H22:I22"/>
    <mergeCell ref="B21:E21"/>
    <mergeCell ref="F21:G21"/>
    <mergeCell ref="H21:I21"/>
    <mergeCell ref="J21:K21"/>
    <mergeCell ref="J22:K22"/>
    <mergeCell ref="B16:E16"/>
    <mergeCell ref="F16:G16"/>
    <mergeCell ref="H16:I16"/>
    <mergeCell ref="J16:K16"/>
    <mergeCell ref="B19:E19"/>
    <mergeCell ref="F19:G19"/>
    <mergeCell ref="H19:I19"/>
    <mergeCell ref="J19:K19"/>
    <mergeCell ref="B17:E17"/>
    <mergeCell ref="F17:G17"/>
    <mergeCell ref="H17:I17"/>
    <mergeCell ref="J17:K17"/>
    <mergeCell ref="B18:E18"/>
    <mergeCell ref="F18:G18"/>
    <mergeCell ref="H18:I18"/>
    <mergeCell ref="J18:K18"/>
    <mergeCell ref="B27:E27"/>
    <mergeCell ref="F27:G27"/>
    <mergeCell ref="H27:I27"/>
    <mergeCell ref="J27:K27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8:E28"/>
    <mergeCell ref="F28:G28"/>
    <mergeCell ref="H28:I28"/>
    <mergeCell ref="J28:K28"/>
    <mergeCell ref="B29:E29"/>
    <mergeCell ref="F29:G29"/>
    <mergeCell ref="H29:I29"/>
    <mergeCell ref="J29:K29"/>
    <mergeCell ref="J36:K36"/>
    <mergeCell ref="B34:E34"/>
    <mergeCell ref="F34:G34"/>
    <mergeCell ref="H34:I34"/>
    <mergeCell ref="J34:K34"/>
    <mergeCell ref="B30:E30"/>
    <mergeCell ref="F30:G30"/>
    <mergeCell ref="H30:I30"/>
    <mergeCell ref="H36:I36"/>
    <mergeCell ref="J30:K30"/>
    <mergeCell ref="B37:E37"/>
    <mergeCell ref="F37:G37"/>
    <mergeCell ref="H37:I37"/>
    <mergeCell ref="J37:K37"/>
    <mergeCell ref="H45:J45"/>
    <mergeCell ref="B31:E31"/>
    <mergeCell ref="F31:G31"/>
    <mergeCell ref="H31:I31"/>
    <mergeCell ref="J31:K31"/>
    <mergeCell ref="B32:E32"/>
    <mergeCell ref="F32:G32"/>
    <mergeCell ref="H32:I32"/>
    <mergeCell ref="J32:K32"/>
    <mergeCell ref="A40:L40"/>
    <mergeCell ref="B35:E35"/>
    <mergeCell ref="F35:G35"/>
    <mergeCell ref="H35:I35"/>
    <mergeCell ref="J35:K35"/>
    <mergeCell ref="B36:E36"/>
    <mergeCell ref="F36:G36"/>
    <mergeCell ref="B33:E33"/>
    <mergeCell ref="F33:G33"/>
    <mergeCell ref="H33:I33"/>
    <mergeCell ref="J33:K33"/>
  </mergeCells>
  <phoneticPr fontId="12" type="noConversion"/>
  <pageMargins left="0.7" right="0.7" top="0.75" bottom="0.75" header="0.3" footer="0.3"/>
  <pageSetup paperSize="9" scale="6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2021-10-07T06:10:16Z</dcterms:created>
  <dcterms:modified xsi:type="dcterms:W3CDTF">2026-02-04T07:03:10Z</dcterms:modified>
  <cp:category/>
  <cp:contentStatus/>
</cp:coreProperties>
</file>