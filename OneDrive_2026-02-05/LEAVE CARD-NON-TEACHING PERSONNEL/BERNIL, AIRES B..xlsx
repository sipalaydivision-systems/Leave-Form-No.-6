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521E5E8-6BC3-41C6-9744-0F9EC4496F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CTO" sheetId="4" r:id="rId2"/>
  </sheets>
  <definedNames>
    <definedName name="_xlnm.Print_Area" localSheetId="1">CTO!$A$1:$K$22</definedName>
    <definedName name="_xlnm.Print_Area" localSheetId="0">'Leave Card as TIC'!$A$1:$K$67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3" l="1"/>
  <c r="K60" i="3" s="1"/>
  <c r="J60" i="3"/>
  <c r="J61" i="3"/>
  <c r="I61" i="3" l="1"/>
  <c r="K61" i="3" s="1"/>
  <c r="J13" i="3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I13" i="3"/>
  <c r="J52" i="3" l="1"/>
  <c r="J53" i="3" s="1"/>
  <c r="J54" i="3" s="1"/>
  <c r="J55" i="3" s="1"/>
  <c r="J56" i="3" s="1"/>
  <c r="J57" i="3" s="1"/>
  <c r="J58" i="3" s="1"/>
  <c r="J59" i="3" s="1"/>
  <c r="I14" i="3"/>
  <c r="I15" i="3" s="1"/>
  <c r="K13" i="3"/>
  <c r="K15" i="3" l="1"/>
  <c r="I16" i="3"/>
  <c r="K14" i="3"/>
  <c r="I17" i="3" l="1"/>
  <c r="K16" i="3"/>
  <c r="I18" i="3" l="1"/>
  <c r="K17" i="3"/>
  <c r="I19" i="3" l="1"/>
  <c r="K18" i="3"/>
  <c r="I20" i="3" l="1"/>
  <c r="K19" i="3"/>
  <c r="I21" i="3" l="1"/>
  <c r="K20" i="3"/>
  <c r="K21" i="3" l="1"/>
  <c r="I22" i="3"/>
  <c r="I23" i="3" l="1"/>
  <c r="K22" i="3"/>
  <c r="I24" i="3" l="1"/>
  <c r="K23" i="3"/>
  <c r="I25" i="3" l="1"/>
  <c r="K24" i="3"/>
  <c r="I26" i="3" l="1"/>
  <c r="K25" i="3"/>
  <c r="I27" i="3" l="1"/>
  <c r="K26" i="3"/>
  <c r="K27" i="3" l="1"/>
  <c r="I28" i="3"/>
  <c r="I29" i="3" l="1"/>
  <c r="K28" i="3"/>
  <c r="I30" i="3" l="1"/>
  <c r="K29" i="3"/>
  <c r="I31" i="3" l="1"/>
  <c r="K30" i="3"/>
  <c r="K31" i="3" l="1"/>
  <c r="I32" i="3"/>
  <c r="I33" i="3" l="1"/>
  <c r="K32" i="3"/>
  <c r="I34" i="3" l="1"/>
  <c r="K33" i="3"/>
  <c r="I35" i="3" l="1"/>
  <c r="K34" i="3"/>
  <c r="I36" i="3" l="1"/>
  <c r="K35" i="3"/>
  <c r="I37" i="3" l="1"/>
  <c r="K36" i="3"/>
  <c r="K37" i="3" l="1"/>
  <c r="I38" i="3"/>
  <c r="K38" i="3" l="1"/>
  <c r="I39" i="3"/>
  <c r="I40" i="3" l="1"/>
  <c r="K39" i="3"/>
  <c r="I41" i="3" l="1"/>
  <c r="K40" i="3"/>
  <c r="K41" i="3" l="1"/>
  <c r="I42" i="3"/>
  <c r="I43" i="3" l="1"/>
  <c r="K42" i="3"/>
  <c r="I44" i="3" l="1"/>
  <c r="K43" i="3"/>
  <c r="I45" i="3" l="1"/>
  <c r="K44" i="3"/>
  <c r="I46" i="3" l="1"/>
  <c r="K45" i="3"/>
  <c r="I47" i="3" l="1"/>
  <c r="K46" i="3"/>
  <c r="K47" i="3" l="1"/>
  <c r="I48" i="3"/>
  <c r="K48" i="3" l="1"/>
  <c r="I49" i="3"/>
  <c r="K49" i="3" l="1"/>
  <c r="I50" i="3"/>
  <c r="K50" i="3" l="1"/>
  <c r="I51" i="3"/>
  <c r="I52" i="3" l="1"/>
  <c r="K51" i="3"/>
  <c r="K52" i="3" l="1"/>
  <c r="I53" i="3"/>
  <c r="K53" i="3" l="1"/>
  <c r="I54" i="3"/>
  <c r="K54" i="3" l="1"/>
  <c r="I55" i="3"/>
  <c r="K55" i="3" l="1"/>
  <c r="I56" i="3"/>
  <c r="I57" i="3" l="1"/>
  <c r="K56" i="3"/>
  <c r="K57" i="3" l="1"/>
  <c r="I58" i="3"/>
  <c r="K58" i="3" l="1"/>
  <c r="I59" i="3"/>
  <c r="K59" i="3" l="1"/>
</calcChain>
</file>

<file path=xl/sharedStrings.xml><?xml version="1.0" encoding="utf-8"?>
<sst xmlns="http://schemas.openxmlformats.org/spreadsheetml/2006/main" count="72" uniqueCount="60">
  <si>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</si>
  <si>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</si>
  <si>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</si>
  <si>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</si>
  <si>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</si>
  <si>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</si>
  <si>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</si>
  <si>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</si>
  <si>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</si>
  <si>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</si>
  <si>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</si>
  <si>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</si>
  <si>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</si>
  <si>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</si>
  <si>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</si>
  <si>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</si>
  <si>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</si>
  <si>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</si>
  <si>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</si>
  <si>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</si>
  <si>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</si>
  <si>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</si>
  <si>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</si>
  <si>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</si>
  <si>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</si>
  <si>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</si>
  <si>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</si>
  <si>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</si>
  <si>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</si>
  <si>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</si>
  <si>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</si>
  <si>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 xml:space="preserve">SCHOOL/OFFICE : </t>
  </si>
  <si>
    <t>ADD: 11/18-30/2024</t>
  </si>
  <si>
    <t>ADD: 12/1-31/2024</t>
  </si>
  <si>
    <t>ADD: 01/1/2025-02/28/2025</t>
  </si>
  <si>
    <t>LESS: 04/02/2025</t>
  </si>
  <si>
    <t>ADD: 03/1-31/2025</t>
  </si>
  <si>
    <t>LESS: 05/16/2025</t>
  </si>
  <si>
    <t>ADD: 04/1/2025-08/31/2025</t>
  </si>
  <si>
    <t>LESS: 10/3/2025</t>
  </si>
  <si>
    <t>LWOP</t>
  </si>
  <si>
    <t xml:space="preserve">12/06/2024 (LWOP) </t>
  </si>
  <si>
    <t>ADD: 09/1-30/2025</t>
  </si>
  <si>
    <t>LESS: 10/14/2025</t>
  </si>
  <si>
    <t>LESS: 10/24/2025</t>
  </si>
  <si>
    <t>COMPENSATORY TIME OFF (CTO)</t>
  </si>
  <si>
    <t>ADD: 02/5/2025</t>
  </si>
  <si>
    <t>SO # 002, S. 2025 RIZAL DAY 2024 CELEBRATION</t>
  </si>
  <si>
    <t>LESS: 11/14/2025</t>
  </si>
  <si>
    <t>NAME         : BERNIL,AIRES</t>
  </si>
  <si>
    <t>POSITION   : ADAS II</t>
  </si>
  <si>
    <t>ADD: 10/1-31/2025</t>
  </si>
  <si>
    <t>LESS: 12/15/2025</t>
  </si>
  <si>
    <t>LESS: 11/21/2025</t>
  </si>
  <si>
    <t>ADD: 07/01/2025</t>
  </si>
  <si>
    <t>SO # 044, S. 2025 127th PHIL. INDEPENCE DAY</t>
  </si>
  <si>
    <t>LESS: 01/09/2026</t>
  </si>
  <si>
    <t>ADD: 11/1-30/2025</t>
  </si>
  <si>
    <t>LESS: 12/26/2025</t>
  </si>
  <si>
    <t>LESS: 12/22-23/2025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</si>
</sst>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0" fillId="0" borderId="0"/>
    <xf numFmtId="0" fontId="7" fillId="0" borderId="0"/>
  </cellStyleXfs>
  <cellXfs count="7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/>
    <xf numFmtId="0" fontId="0" fillId="2" borderId="4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9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1" fillId="0" borderId="7" xfId="0" applyNumberFormat="1" applyFont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14" borderId="0" xfId="0" applyFill="1"/>
    <xf numFmtId="0" fontId="0" fillId="15" borderId="0" xfId="0" applyFill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2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8C93AFBF-AD38-45F1-B434-5493638397D7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BERNIL,AIRES</a:t>
          </a:r>
          <a:r>
            <a:rPr lang="en-US" sz="1100" baseline="0"/>
            <a:t> B.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NNHS</a:t>
          </a:r>
        </a:p>
      </xdr:txBody>
    </xdr:sp>
    <xdr:clientData/>
  </xdr:twoCellAnchor>
  <xdr:twoCellAnchor>
    <xdr:from>
      <xdr:col>5</xdr:col>
      <xdr:colOff>347452</xdr:colOff>
      <xdr:row>61</xdr:row>
      <xdr:rowOff>53914</xdr:rowOff>
    </xdr:from>
    <xdr:to>
      <xdr:col>10</xdr:col>
      <xdr:colOff>672043</xdr:colOff>
      <xdr:row>66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11600</xdr:colOff>
      <xdr:row>0</xdr:row>
      <xdr:rowOff>45779</xdr:rowOff>
    </xdr:from>
    <xdr:to>
      <xdr:col>5</xdr:col>
      <xdr:colOff>40360</xdr:colOff>
      <xdr:row>1</xdr:row>
      <xdr:rowOff>26534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CA570-0DDA-479D-9301-FD6D2F41A0B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4122" y="45779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6</xdr:col>
      <xdr:colOff>458901</xdr:colOff>
      <xdr:row>19</xdr:row>
      <xdr:rowOff>124505</xdr:rowOff>
    </xdr:from>
    <xdr:to>
      <xdr:col>11</xdr:col>
      <xdr:colOff>0</xdr:colOff>
      <xdr:row>21</xdr:row>
      <xdr:rowOff>38780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AF01E1-1BAB-4ED7-AC79-ABC60633515D}"/>
            </a:ext>
          </a:extLst>
        </xdr:cNvPr>
        <xdr:cNvSpPr txBox="1"/>
      </xdr:nvSpPr>
      <xdr:spPr>
        <a:xfrm>
          <a:off x="5592876" y="4391705"/>
          <a:ext cx="308644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DF1A76C-77DE-4FF5-91C5-EB864F8E11F6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L65"/>
  <sheetViews>
    <sheetView tabSelected="1" view="pageBreakPreview" topLeftCell="A11" zoomScale="106" zoomScaleNormal="100" zoomScaleSheetLayoutView="106" workbookViewId="0">
      <selection activeCell="I59" sqref="I59:K61"/>
    </sheetView>
  </sheetViews>
  <sheetFormatPr defaultRowHeight="15" x14ac:dyDescent="0.25"/>
  <cols>
    <col min="1" max="1" width="36.5703125" customWidth="1"/>
    <col min="2" max="5" width="11.5703125" customWidth="1"/>
    <col min="6" max="8" width="11.5703125" style="25" customWidth="1"/>
    <col min="9" max="11" width="11.5703125" customWidth="1"/>
    <col min="12" max="12" width="26.42578125" style="21" customWidth="1"/>
  </cols>
  <sheetData>
    <row r="1" spans="1:12" s="1" customFormat="1" ht="52.5" customHeight="1" x14ac:dyDescent="0.25"/>
    <row r="2" spans="1:12" s="1" customFormat="1" ht="10.5" customHeight="1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2" s="1" customFormat="1" ht="15.95" customHeight="1" x14ac:dyDescent="0.25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2" s="1" customFormat="1" ht="15.95" customHeight="1" x14ac:dyDescent="0.25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2" s="1" customFormat="1" ht="15.95" customHeight="1" x14ac:dyDescent="0.25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2" s="1" customFormat="1" ht="8.25" customHeight="1" x14ac:dyDescent="0.25"/>
    <row r="7" spans="1:12" s="1" customFormat="1" ht="12" customHeight="1" x14ac:dyDescent="0.25">
      <c r="A7" s="1" t="s">
        <v>16</v>
      </c>
      <c r="B7" s="48" t="s">
        <v>17</v>
      </c>
      <c r="C7" s="48"/>
      <c r="D7" s="48"/>
      <c r="I7" s="5" t="s">
        <v>18</v>
      </c>
      <c r="J7" s="15"/>
      <c r="K7" s="5"/>
    </row>
    <row r="8" spans="1:12" s="1" customFormat="1" ht="12" customHeight="1" x14ac:dyDescent="0.25">
      <c r="B8" s="6"/>
      <c r="C8" s="6"/>
      <c r="I8" s="6"/>
      <c r="J8" s="6"/>
      <c r="K8" s="6"/>
    </row>
    <row r="9" spans="1:12" s="1" customFormat="1" ht="12" customHeight="1" x14ac:dyDescent="0.25">
      <c r="A9" s="1" t="s">
        <v>19</v>
      </c>
      <c r="B9" s="48" t="s">
        <v>20</v>
      </c>
      <c r="C9" s="48"/>
      <c r="D9" s="48"/>
      <c r="I9" s="5" t="s">
        <v>21</v>
      </c>
      <c r="J9" s="16"/>
      <c r="K9" s="5"/>
    </row>
    <row r="10" spans="1:12" ht="23.25" customHeight="1" x14ac:dyDescent="0.25">
      <c r="A10" s="51" t="s">
        <v>22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/>
    </row>
    <row r="11" spans="1:12" ht="18.75" customHeight="1" x14ac:dyDescent="0.25">
      <c r="A11" s="52" t="s">
        <v>8</v>
      </c>
      <c r="B11" s="53" t="s">
        <v>9</v>
      </c>
      <c r="C11" s="53"/>
      <c r="D11" s="54" t="s">
        <v>23</v>
      </c>
      <c r="E11" s="54"/>
      <c r="F11" s="54"/>
      <c r="G11" s="54"/>
      <c r="H11" s="56" t="s">
        <v>40</v>
      </c>
      <c r="I11" s="55" t="s">
        <v>24</v>
      </c>
      <c r="J11" s="55"/>
      <c r="K11" s="52" t="s">
        <v>10</v>
      </c>
      <c r="L11" s="50" t="s">
        <v>25</v>
      </c>
    </row>
    <row r="12" spans="1:12" x14ac:dyDescent="0.25">
      <c r="A12" s="52"/>
      <c r="B12" s="28" t="s">
        <v>26</v>
      </c>
      <c r="C12" s="28" t="s">
        <v>27</v>
      </c>
      <c r="D12" s="28" t="s">
        <v>26</v>
      </c>
      <c r="E12" s="28" t="s">
        <v>27</v>
      </c>
      <c r="F12" s="28" t="s">
        <v>28</v>
      </c>
      <c r="G12" s="28" t="s">
        <v>29</v>
      </c>
      <c r="H12" s="57"/>
      <c r="I12" s="28" t="s">
        <v>26</v>
      </c>
      <c r="J12" s="28" t="s">
        <v>27</v>
      </c>
      <c r="K12" s="52"/>
      <c r="L12" s="50"/>
    </row>
    <row r="13" spans="1:12" ht="28.5" customHeight="1" x14ac:dyDescent="0.25">
      <c r="A13" s="17" t="s">
        <v>32</v>
      </c>
      <c r="B13" s="26">
        <v>0.54200000000000004</v>
      </c>
      <c r="C13" s="27">
        <v>0.54200000000000004</v>
      </c>
      <c r="D13" s="27"/>
      <c r="E13" s="26"/>
      <c r="F13" s="26"/>
      <c r="G13" s="26"/>
      <c r="H13" s="26"/>
      <c r="I13" s="19">
        <f>B13</f>
        <v>0.54200000000000004</v>
      </c>
      <c r="J13" s="19">
        <f>C13</f>
        <v>0.54200000000000004</v>
      </c>
      <c r="K13" s="20">
        <f>SUM(I13:J13)</f>
        <v>1.0840000000000001</v>
      </c>
    </row>
    <row r="14" spans="1:12" ht="17.25" customHeight="1" x14ac:dyDescent="0.25">
      <c r="A14" s="35" t="s">
        <v>41</v>
      </c>
      <c r="B14" s="34"/>
      <c r="C14" s="34"/>
      <c r="D14" s="34"/>
      <c r="E14" s="34"/>
      <c r="F14" s="34"/>
      <c r="G14" s="34"/>
      <c r="H14" s="33">
        <v>1</v>
      </c>
      <c r="I14" s="22">
        <f>I13-F14-D14+B14</f>
        <v>0.54200000000000004</v>
      </c>
      <c r="J14" s="22">
        <f>J13-E14+C14</f>
        <v>0.54200000000000004</v>
      </c>
      <c r="K14" s="23">
        <f>SUM(I14:J14)</f>
        <v>1.0840000000000001</v>
      </c>
    </row>
    <row r="15" spans="1:12" ht="17.25" hidden="1" customHeight="1" x14ac:dyDescent="0.25">
      <c r="A15" s="29"/>
      <c r="B15" s="30"/>
      <c r="C15" s="31"/>
      <c r="D15" s="32"/>
      <c r="E15" s="33"/>
      <c r="F15" s="33"/>
      <c r="G15" s="14"/>
      <c r="H15" s="14"/>
      <c r="I15" s="22">
        <f t="shared" ref="I15:I48" si="0">I14-F15-D15+B15</f>
        <v>0.54200000000000004</v>
      </c>
      <c r="J15" s="22">
        <f t="shared" ref="J15:J48" si="1">J14-E15+C15</f>
        <v>0.54200000000000004</v>
      </c>
      <c r="K15" s="23">
        <f t="shared" ref="K15:K48" si="2">SUM(I15:J15)</f>
        <v>1.0840000000000001</v>
      </c>
    </row>
    <row r="16" spans="1:12" ht="15.75" hidden="1" customHeight="1" x14ac:dyDescent="0.25">
      <c r="A16" s="29"/>
      <c r="B16" s="33"/>
      <c r="C16" s="32"/>
      <c r="D16" s="32"/>
      <c r="E16" s="33"/>
      <c r="F16" s="33"/>
      <c r="G16" s="14"/>
      <c r="H16" s="14"/>
      <c r="I16" s="22">
        <f t="shared" si="0"/>
        <v>0.54200000000000004</v>
      </c>
      <c r="J16" s="22">
        <f t="shared" si="1"/>
        <v>0.54200000000000004</v>
      </c>
      <c r="K16" s="23">
        <f t="shared" si="2"/>
        <v>1.0840000000000001</v>
      </c>
    </row>
    <row r="17" spans="1:11" ht="15.75" hidden="1" customHeight="1" x14ac:dyDescent="0.25">
      <c r="A17" s="29"/>
      <c r="B17" s="33"/>
      <c r="C17" s="32"/>
      <c r="D17" s="32"/>
      <c r="E17" s="33"/>
      <c r="F17" s="33"/>
      <c r="G17" s="14"/>
      <c r="H17" s="14"/>
      <c r="I17" s="22">
        <f t="shared" si="0"/>
        <v>0.54200000000000004</v>
      </c>
      <c r="J17" s="22">
        <f t="shared" si="1"/>
        <v>0.54200000000000004</v>
      </c>
      <c r="K17" s="23">
        <f t="shared" si="2"/>
        <v>1.0840000000000001</v>
      </c>
    </row>
    <row r="18" spans="1:11" ht="17.25" hidden="1" customHeight="1" x14ac:dyDescent="0.25">
      <c r="A18" s="29"/>
      <c r="B18" s="33"/>
      <c r="C18" s="32"/>
      <c r="D18" s="32"/>
      <c r="E18" s="33"/>
      <c r="F18" s="33"/>
      <c r="G18" s="14"/>
      <c r="H18" s="14"/>
      <c r="I18" s="22">
        <f t="shared" si="0"/>
        <v>0.54200000000000004</v>
      </c>
      <c r="J18" s="22">
        <f t="shared" si="1"/>
        <v>0.54200000000000004</v>
      </c>
      <c r="K18" s="23">
        <f t="shared" si="2"/>
        <v>1.0840000000000001</v>
      </c>
    </row>
    <row r="19" spans="1:11" ht="17.25" hidden="1" customHeight="1" x14ac:dyDescent="0.25">
      <c r="A19" s="29"/>
      <c r="B19" s="33"/>
      <c r="C19" s="32"/>
      <c r="D19" s="32"/>
      <c r="E19" s="33"/>
      <c r="F19" s="33"/>
      <c r="G19" s="14"/>
      <c r="H19" s="14"/>
      <c r="I19" s="22">
        <f t="shared" si="0"/>
        <v>0.54200000000000004</v>
      </c>
      <c r="J19" s="22">
        <f t="shared" si="1"/>
        <v>0.54200000000000004</v>
      </c>
      <c r="K19" s="23">
        <f t="shared" si="2"/>
        <v>1.0840000000000001</v>
      </c>
    </row>
    <row r="20" spans="1:11" ht="13.5" hidden="1" customHeight="1" x14ac:dyDescent="0.25">
      <c r="A20" s="29"/>
      <c r="B20" s="33"/>
      <c r="C20" s="32"/>
      <c r="D20" s="32"/>
      <c r="E20" s="33"/>
      <c r="F20" s="33"/>
      <c r="G20" s="14"/>
      <c r="H20" s="14"/>
      <c r="I20" s="22">
        <f t="shared" si="0"/>
        <v>0.54200000000000004</v>
      </c>
      <c r="J20" s="22">
        <f t="shared" si="1"/>
        <v>0.54200000000000004</v>
      </c>
      <c r="K20" s="23">
        <f t="shared" si="2"/>
        <v>1.0840000000000001</v>
      </c>
    </row>
    <row r="21" spans="1:11" ht="12" hidden="1" customHeight="1" x14ac:dyDescent="0.25">
      <c r="A21" s="29"/>
      <c r="B21" s="33"/>
      <c r="C21" s="32"/>
      <c r="D21" s="32"/>
      <c r="E21" s="33"/>
      <c r="F21" s="33"/>
      <c r="G21" s="14"/>
      <c r="H21" s="14"/>
      <c r="I21" s="22">
        <f t="shared" si="0"/>
        <v>0.54200000000000004</v>
      </c>
      <c r="J21" s="22">
        <f t="shared" si="1"/>
        <v>0.54200000000000004</v>
      </c>
      <c r="K21" s="23">
        <f t="shared" si="2"/>
        <v>1.0840000000000001</v>
      </c>
    </row>
    <row r="22" spans="1:11" ht="12" hidden="1" customHeight="1" x14ac:dyDescent="0.25">
      <c r="A22" s="29"/>
      <c r="B22" s="33"/>
      <c r="C22" s="32"/>
      <c r="D22" s="32"/>
      <c r="E22" s="33"/>
      <c r="F22" s="33"/>
      <c r="G22" s="14"/>
      <c r="H22" s="14"/>
      <c r="I22" s="22">
        <f t="shared" si="0"/>
        <v>0.54200000000000004</v>
      </c>
      <c r="J22" s="22">
        <f t="shared" si="1"/>
        <v>0.54200000000000004</v>
      </c>
      <c r="K22" s="23">
        <f t="shared" si="2"/>
        <v>1.0840000000000001</v>
      </c>
    </row>
    <row r="23" spans="1:11" ht="12" hidden="1" customHeight="1" x14ac:dyDescent="0.25">
      <c r="A23" s="29"/>
      <c r="B23" s="33"/>
      <c r="C23" s="32"/>
      <c r="D23" s="32"/>
      <c r="E23" s="33"/>
      <c r="F23" s="33"/>
      <c r="G23" s="14"/>
      <c r="H23" s="14"/>
      <c r="I23" s="22">
        <f t="shared" si="0"/>
        <v>0.54200000000000004</v>
      </c>
      <c r="J23" s="22">
        <f t="shared" si="1"/>
        <v>0.54200000000000004</v>
      </c>
      <c r="K23" s="23">
        <f t="shared" si="2"/>
        <v>1.0840000000000001</v>
      </c>
    </row>
    <row r="24" spans="1:11" ht="12" hidden="1" customHeight="1" x14ac:dyDescent="0.25">
      <c r="A24" s="17"/>
      <c r="B24" s="14"/>
      <c r="C24" s="18"/>
      <c r="D24" s="18"/>
      <c r="E24" s="14"/>
      <c r="F24" s="14"/>
      <c r="G24" s="14"/>
      <c r="H24" s="14"/>
      <c r="I24" s="22">
        <f t="shared" si="0"/>
        <v>0.54200000000000004</v>
      </c>
      <c r="J24" s="22">
        <f t="shared" si="1"/>
        <v>0.54200000000000004</v>
      </c>
      <c r="K24" s="23">
        <f t="shared" si="2"/>
        <v>1.0840000000000001</v>
      </c>
    </row>
    <row r="25" spans="1:11" ht="12" hidden="1" customHeight="1" x14ac:dyDescent="0.25">
      <c r="A25" s="17"/>
      <c r="B25" s="14"/>
      <c r="C25" s="18"/>
      <c r="D25" s="18"/>
      <c r="E25" s="14"/>
      <c r="F25" s="14"/>
      <c r="G25" s="14"/>
      <c r="H25" s="14"/>
      <c r="I25" s="22">
        <f t="shared" si="0"/>
        <v>0.54200000000000004</v>
      </c>
      <c r="J25" s="22">
        <f t="shared" si="1"/>
        <v>0.54200000000000004</v>
      </c>
      <c r="K25" s="23">
        <f t="shared" si="2"/>
        <v>1.0840000000000001</v>
      </c>
    </row>
    <row r="26" spans="1:11" ht="12" hidden="1" customHeight="1" x14ac:dyDescent="0.25">
      <c r="A26" s="17"/>
      <c r="B26" s="14"/>
      <c r="C26" s="18"/>
      <c r="D26" s="18"/>
      <c r="E26" s="14"/>
      <c r="F26" s="14"/>
      <c r="G26" s="14"/>
      <c r="H26" s="14"/>
      <c r="I26" s="22">
        <f t="shared" si="0"/>
        <v>0.54200000000000004</v>
      </c>
      <c r="J26" s="22">
        <f t="shared" si="1"/>
        <v>0.54200000000000004</v>
      </c>
      <c r="K26" s="23">
        <f t="shared" si="2"/>
        <v>1.0840000000000001</v>
      </c>
    </row>
    <row r="27" spans="1:11" ht="16.5" hidden="1" customHeight="1" x14ac:dyDescent="0.25">
      <c r="A27" s="17"/>
      <c r="B27" s="14"/>
      <c r="C27" s="18"/>
      <c r="D27" s="18"/>
      <c r="E27" s="14"/>
      <c r="F27" s="14"/>
      <c r="G27" s="14"/>
      <c r="H27" s="14"/>
      <c r="I27" s="22">
        <f t="shared" si="0"/>
        <v>0.54200000000000004</v>
      </c>
      <c r="J27" s="22">
        <f t="shared" si="1"/>
        <v>0.54200000000000004</v>
      </c>
      <c r="K27" s="23">
        <f t="shared" si="2"/>
        <v>1.0840000000000001</v>
      </c>
    </row>
    <row r="28" spans="1:11" ht="12" hidden="1" customHeight="1" x14ac:dyDescent="0.25">
      <c r="A28" s="17"/>
      <c r="B28" s="14"/>
      <c r="C28" s="18"/>
      <c r="D28" s="18"/>
      <c r="E28" s="14"/>
      <c r="F28" s="14"/>
      <c r="G28" s="14"/>
      <c r="H28" s="14"/>
      <c r="I28" s="22">
        <f t="shared" si="0"/>
        <v>0.54200000000000004</v>
      </c>
      <c r="J28" s="22">
        <f t="shared" si="1"/>
        <v>0.54200000000000004</v>
      </c>
      <c r="K28" s="23">
        <f t="shared" si="2"/>
        <v>1.0840000000000001</v>
      </c>
    </row>
    <row r="29" spans="1:11" ht="12" hidden="1" customHeight="1" x14ac:dyDescent="0.25">
      <c r="A29" s="17"/>
      <c r="B29" s="14"/>
      <c r="C29" s="18"/>
      <c r="D29" s="18"/>
      <c r="E29" s="14"/>
      <c r="F29" s="14"/>
      <c r="G29" s="14"/>
      <c r="H29" s="14"/>
      <c r="I29" s="22">
        <f t="shared" si="0"/>
        <v>0.54200000000000004</v>
      </c>
      <c r="J29" s="22">
        <f t="shared" si="1"/>
        <v>0.54200000000000004</v>
      </c>
      <c r="K29" s="23">
        <f t="shared" si="2"/>
        <v>1.0840000000000001</v>
      </c>
    </row>
    <row r="30" spans="1:11" ht="12" hidden="1" customHeight="1" x14ac:dyDescent="0.25">
      <c r="A30" s="17"/>
      <c r="B30" s="14"/>
      <c r="C30" s="18"/>
      <c r="D30" s="18"/>
      <c r="E30" s="14"/>
      <c r="F30" s="14"/>
      <c r="G30" s="14"/>
      <c r="H30" s="14"/>
      <c r="I30" s="22">
        <f t="shared" si="0"/>
        <v>0.54200000000000004</v>
      </c>
      <c r="J30" s="22">
        <f t="shared" si="1"/>
        <v>0.54200000000000004</v>
      </c>
      <c r="K30" s="23">
        <f t="shared" si="2"/>
        <v>1.0840000000000001</v>
      </c>
    </row>
    <row r="31" spans="1:11" ht="12" hidden="1" customHeight="1" x14ac:dyDescent="0.25">
      <c r="A31" s="17"/>
      <c r="B31" s="14"/>
      <c r="C31" s="18"/>
      <c r="D31" s="18"/>
      <c r="E31" s="14"/>
      <c r="F31" s="14"/>
      <c r="G31" s="14"/>
      <c r="H31" s="14"/>
      <c r="I31" s="22">
        <f t="shared" si="0"/>
        <v>0.54200000000000004</v>
      </c>
      <c r="J31" s="22">
        <f t="shared" si="1"/>
        <v>0.54200000000000004</v>
      </c>
      <c r="K31" s="23">
        <f t="shared" si="2"/>
        <v>1.0840000000000001</v>
      </c>
    </row>
    <row r="32" spans="1:11" ht="12" hidden="1" customHeight="1" x14ac:dyDescent="0.25">
      <c r="A32" s="17"/>
      <c r="B32" s="14"/>
      <c r="C32" s="18"/>
      <c r="D32" s="18"/>
      <c r="E32" s="14"/>
      <c r="F32" s="14"/>
      <c r="G32" s="14"/>
      <c r="H32" s="14"/>
      <c r="I32" s="22">
        <f t="shared" si="0"/>
        <v>0.54200000000000004</v>
      </c>
      <c r="J32" s="22">
        <f t="shared" si="1"/>
        <v>0.54200000000000004</v>
      </c>
      <c r="K32" s="23">
        <f t="shared" si="2"/>
        <v>1.0840000000000001</v>
      </c>
    </row>
    <row r="33" spans="1:12" ht="12" hidden="1" customHeight="1" x14ac:dyDescent="0.25">
      <c r="A33" s="17"/>
      <c r="B33" s="14"/>
      <c r="C33" s="14"/>
      <c r="D33" s="18"/>
      <c r="E33" s="14"/>
      <c r="F33" s="14"/>
      <c r="G33" s="14"/>
      <c r="H33" s="14"/>
      <c r="I33" s="22">
        <f t="shared" si="0"/>
        <v>0.54200000000000004</v>
      </c>
      <c r="J33" s="22">
        <f t="shared" si="1"/>
        <v>0.54200000000000004</v>
      </c>
      <c r="K33" s="23">
        <f t="shared" si="2"/>
        <v>1.0840000000000001</v>
      </c>
    </row>
    <row r="34" spans="1:12" s="10" customFormat="1" ht="12" hidden="1" customHeight="1" x14ac:dyDescent="0.25">
      <c r="A34" s="17"/>
      <c r="B34" s="14"/>
      <c r="C34" s="18"/>
      <c r="D34" s="18"/>
      <c r="E34" s="14"/>
      <c r="F34" s="14"/>
      <c r="G34" s="14"/>
      <c r="H34" s="14"/>
      <c r="I34" s="22">
        <f t="shared" si="0"/>
        <v>0.54200000000000004</v>
      </c>
      <c r="J34" s="22">
        <f t="shared" si="1"/>
        <v>0.54200000000000004</v>
      </c>
      <c r="K34" s="23">
        <f t="shared" si="2"/>
        <v>1.0840000000000001</v>
      </c>
      <c r="L34" s="24"/>
    </row>
    <row r="35" spans="1:12" s="10" customFormat="1" ht="12" hidden="1" customHeight="1" x14ac:dyDescent="0.25">
      <c r="A35" s="17"/>
      <c r="B35" s="14"/>
      <c r="C35" s="14"/>
      <c r="D35" s="18"/>
      <c r="E35" s="14"/>
      <c r="F35" s="14"/>
      <c r="G35" s="14"/>
      <c r="H35" s="14"/>
      <c r="I35" s="22">
        <f t="shared" si="0"/>
        <v>0.54200000000000004</v>
      </c>
      <c r="J35" s="22">
        <f t="shared" si="1"/>
        <v>0.54200000000000004</v>
      </c>
      <c r="K35" s="23">
        <f t="shared" si="2"/>
        <v>1.0840000000000001</v>
      </c>
      <c r="L35" s="24"/>
    </row>
    <row r="36" spans="1:12" s="10" customFormat="1" ht="12" hidden="1" customHeight="1" x14ac:dyDescent="0.25">
      <c r="A36" s="17"/>
      <c r="B36" s="14"/>
      <c r="C36" s="18"/>
      <c r="D36" s="18"/>
      <c r="E36" s="14"/>
      <c r="F36" s="14"/>
      <c r="G36" s="14"/>
      <c r="H36" s="14"/>
      <c r="I36" s="22">
        <f t="shared" si="0"/>
        <v>0.54200000000000004</v>
      </c>
      <c r="J36" s="22">
        <f t="shared" si="1"/>
        <v>0.54200000000000004</v>
      </c>
      <c r="K36" s="23">
        <f t="shared" si="2"/>
        <v>1.0840000000000001</v>
      </c>
      <c r="L36" s="24"/>
    </row>
    <row r="37" spans="1:12" s="10" customFormat="1" ht="12.75" hidden="1" customHeight="1" x14ac:dyDescent="0.25">
      <c r="A37" s="17"/>
      <c r="B37" s="14"/>
      <c r="C37" s="18"/>
      <c r="D37" s="18"/>
      <c r="E37" s="14"/>
      <c r="F37" s="14"/>
      <c r="G37" s="14"/>
      <c r="H37" s="14"/>
      <c r="I37" s="22">
        <f t="shared" si="0"/>
        <v>0.54200000000000004</v>
      </c>
      <c r="J37" s="22">
        <f t="shared" si="1"/>
        <v>0.54200000000000004</v>
      </c>
      <c r="K37" s="23">
        <f t="shared" si="2"/>
        <v>1.0840000000000001</v>
      </c>
      <c r="L37" s="24"/>
    </row>
    <row r="38" spans="1:12" ht="12" hidden="1" customHeight="1" x14ac:dyDescent="0.25">
      <c r="A38" s="17"/>
      <c r="B38" s="14"/>
      <c r="C38" s="18"/>
      <c r="D38" s="18"/>
      <c r="E38" s="14"/>
      <c r="F38" s="14"/>
      <c r="G38" s="14"/>
      <c r="H38" s="14"/>
      <c r="I38" s="22">
        <f t="shared" si="0"/>
        <v>0.54200000000000004</v>
      </c>
      <c r="J38" s="22">
        <f t="shared" si="1"/>
        <v>0.54200000000000004</v>
      </c>
      <c r="K38" s="23">
        <f t="shared" si="2"/>
        <v>1.0840000000000001</v>
      </c>
    </row>
    <row r="39" spans="1:12" s="10" customFormat="1" ht="12" hidden="1" customHeight="1" x14ac:dyDescent="0.25">
      <c r="A39" s="17"/>
      <c r="B39" s="14"/>
      <c r="C39" s="18"/>
      <c r="D39" s="18"/>
      <c r="E39" s="14"/>
      <c r="F39" s="14"/>
      <c r="G39" s="14"/>
      <c r="H39" s="14"/>
      <c r="I39" s="22">
        <f t="shared" si="0"/>
        <v>0.54200000000000004</v>
      </c>
      <c r="J39" s="22">
        <f t="shared" si="1"/>
        <v>0.54200000000000004</v>
      </c>
      <c r="K39" s="23">
        <f t="shared" si="2"/>
        <v>1.0840000000000001</v>
      </c>
      <c r="L39" s="24"/>
    </row>
    <row r="40" spans="1:12" s="10" customFormat="1" ht="15" hidden="1" customHeight="1" x14ac:dyDescent="0.25">
      <c r="A40" s="17"/>
      <c r="B40" s="14"/>
      <c r="C40" s="18"/>
      <c r="D40" s="18"/>
      <c r="E40" s="14"/>
      <c r="F40" s="14"/>
      <c r="G40" s="14"/>
      <c r="H40" s="14"/>
      <c r="I40" s="22">
        <f t="shared" si="0"/>
        <v>0.54200000000000004</v>
      </c>
      <c r="J40" s="22">
        <f t="shared" si="1"/>
        <v>0.54200000000000004</v>
      </c>
      <c r="K40" s="23">
        <f t="shared" si="2"/>
        <v>1.0840000000000001</v>
      </c>
      <c r="L40" s="24"/>
    </row>
    <row r="41" spans="1:12" s="10" customFormat="1" ht="16.5" hidden="1" customHeight="1" x14ac:dyDescent="0.25">
      <c r="A41" s="17"/>
      <c r="B41" s="14"/>
      <c r="C41" s="18"/>
      <c r="D41" s="18"/>
      <c r="E41" s="14"/>
      <c r="F41" s="14"/>
      <c r="G41" s="14"/>
      <c r="H41" s="14"/>
      <c r="I41" s="22">
        <f t="shared" si="0"/>
        <v>0.54200000000000004</v>
      </c>
      <c r="J41" s="22">
        <f t="shared" si="1"/>
        <v>0.54200000000000004</v>
      </c>
      <c r="K41" s="23">
        <f t="shared" si="2"/>
        <v>1.0840000000000001</v>
      </c>
      <c r="L41" s="24"/>
    </row>
    <row r="42" spans="1:12" s="10" customFormat="1" ht="16.5" hidden="1" customHeight="1" x14ac:dyDescent="0.25">
      <c r="A42" s="17"/>
      <c r="B42" s="14"/>
      <c r="C42" s="18"/>
      <c r="D42" s="18"/>
      <c r="E42" s="14"/>
      <c r="F42" s="14"/>
      <c r="G42" s="14"/>
      <c r="H42" s="14"/>
      <c r="I42" s="22">
        <f t="shared" si="0"/>
        <v>0.54200000000000004</v>
      </c>
      <c r="J42" s="22">
        <f t="shared" si="1"/>
        <v>0.54200000000000004</v>
      </c>
      <c r="K42" s="23">
        <f t="shared" si="2"/>
        <v>1.0840000000000001</v>
      </c>
      <c r="L42" s="24"/>
    </row>
    <row r="43" spans="1:12" hidden="1" x14ac:dyDescent="0.25">
      <c r="A43" s="17"/>
      <c r="B43" s="14"/>
      <c r="C43" s="18"/>
      <c r="D43" s="18"/>
      <c r="E43" s="14"/>
      <c r="F43" s="14"/>
      <c r="G43" s="14"/>
      <c r="H43" s="14"/>
      <c r="I43" s="22">
        <f t="shared" si="0"/>
        <v>0.54200000000000004</v>
      </c>
      <c r="J43" s="22">
        <f t="shared" si="1"/>
        <v>0.54200000000000004</v>
      </c>
      <c r="K43" s="23">
        <f t="shared" si="2"/>
        <v>1.0840000000000001</v>
      </c>
    </row>
    <row r="44" spans="1:12" hidden="1" x14ac:dyDescent="0.25">
      <c r="A44" s="17"/>
      <c r="B44" s="14"/>
      <c r="C44" s="18"/>
      <c r="D44" s="18"/>
      <c r="E44" s="14"/>
      <c r="F44" s="14"/>
      <c r="G44" s="14"/>
      <c r="H44" s="14"/>
      <c r="I44" s="22">
        <f t="shared" si="0"/>
        <v>0.54200000000000004</v>
      </c>
      <c r="J44" s="22">
        <f t="shared" si="1"/>
        <v>0.54200000000000004</v>
      </c>
      <c r="K44" s="23">
        <f t="shared" si="2"/>
        <v>1.0840000000000001</v>
      </c>
    </row>
    <row r="45" spans="1:12" hidden="1" x14ac:dyDescent="0.25">
      <c r="A45" s="17"/>
      <c r="B45" s="14"/>
      <c r="C45" s="18"/>
      <c r="D45" s="18"/>
      <c r="E45" s="14"/>
      <c r="F45" s="14"/>
      <c r="G45" s="14"/>
      <c r="H45" s="14"/>
      <c r="I45" s="22">
        <f t="shared" si="0"/>
        <v>0.54200000000000004</v>
      </c>
      <c r="J45" s="22">
        <f t="shared" si="1"/>
        <v>0.54200000000000004</v>
      </c>
      <c r="K45" s="23">
        <f t="shared" si="2"/>
        <v>1.0840000000000001</v>
      </c>
    </row>
    <row r="46" spans="1:12" x14ac:dyDescent="0.25">
      <c r="A46" s="18" t="s">
        <v>33</v>
      </c>
      <c r="B46" s="14">
        <v>1.25</v>
      </c>
      <c r="C46" s="18">
        <v>1.25</v>
      </c>
      <c r="D46" s="18"/>
      <c r="E46" s="14"/>
      <c r="F46" s="14"/>
      <c r="G46" s="14"/>
      <c r="H46" s="14"/>
      <c r="I46" s="22">
        <f t="shared" si="0"/>
        <v>1.792</v>
      </c>
      <c r="J46" s="22">
        <f t="shared" si="1"/>
        <v>1.792</v>
      </c>
      <c r="K46" s="23">
        <f t="shared" si="2"/>
        <v>3.5840000000000001</v>
      </c>
    </row>
    <row r="47" spans="1:12" x14ac:dyDescent="0.25">
      <c r="A47" s="18" t="s">
        <v>34</v>
      </c>
      <c r="B47" s="14">
        <v>2.5</v>
      </c>
      <c r="C47" s="18">
        <v>2.5</v>
      </c>
      <c r="D47" s="18"/>
      <c r="E47" s="14"/>
      <c r="F47" s="14"/>
      <c r="G47" s="14"/>
      <c r="H47" s="14"/>
      <c r="I47" s="22">
        <f t="shared" si="0"/>
        <v>4.2919999999999998</v>
      </c>
      <c r="J47" s="22">
        <f t="shared" si="1"/>
        <v>4.2919999999999998</v>
      </c>
      <c r="K47" s="23">
        <f t="shared" si="2"/>
        <v>8.5839999999999996</v>
      </c>
    </row>
    <row r="48" spans="1:12" x14ac:dyDescent="0.25">
      <c r="A48" s="18" t="s">
        <v>35</v>
      </c>
      <c r="B48" s="14"/>
      <c r="C48" s="18"/>
      <c r="D48" s="18"/>
      <c r="E48" s="14"/>
      <c r="F48" s="14"/>
      <c r="G48" s="36">
        <v>1</v>
      </c>
      <c r="H48" s="33"/>
      <c r="I48" s="22">
        <f t="shared" si="0"/>
        <v>4.2919999999999998</v>
      </c>
      <c r="J48" s="22">
        <f t="shared" si="1"/>
        <v>4.2919999999999998</v>
      </c>
      <c r="K48" s="23">
        <f t="shared" si="2"/>
        <v>8.5839999999999996</v>
      </c>
    </row>
    <row r="49" spans="1:11" x14ac:dyDescent="0.25">
      <c r="A49" s="32" t="s">
        <v>36</v>
      </c>
      <c r="B49" s="33">
        <v>1.25</v>
      </c>
      <c r="C49" s="32">
        <v>1.25</v>
      </c>
      <c r="D49" s="32"/>
      <c r="E49" s="33"/>
      <c r="F49" s="33"/>
      <c r="G49" s="33"/>
      <c r="H49" s="33"/>
      <c r="I49" s="22">
        <f t="shared" ref="I49:I50" si="3">I48-F49-D49+B49</f>
        <v>5.5419999999999998</v>
      </c>
      <c r="J49" s="22">
        <f t="shared" ref="J49:J50" si="4">J48-E49+C49</f>
        <v>5.5419999999999998</v>
      </c>
      <c r="K49" s="23">
        <f t="shared" ref="K49:K50" si="5">SUM(I49:J49)</f>
        <v>11.084</v>
      </c>
    </row>
    <row r="50" spans="1:11" x14ac:dyDescent="0.25">
      <c r="A50" s="32" t="s">
        <v>37</v>
      </c>
      <c r="B50" s="33"/>
      <c r="C50" s="32"/>
      <c r="D50" s="32"/>
      <c r="E50" s="33"/>
      <c r="F50" s="37">
        <v>1</v>
      </c>
      <c r="G50" s="33"/>
      <c r="H50" s="33"/>
      <c r="I50" s="22">
        <f t="shared" si="3"/>
        <v>4.5419999999999998</v>
      </c>
      <c r="J50" s="22">
        <f t="shared" si="4"/>
        <v>5.5419999999999998</v>
      </c>
      <c r="K50" s="23">
        <f t="shared" si="5"/>
        <v>10.084</v>
      </c>
    </row>
    <row r="51" spans="1:11" x14ac:dyDescent="0.25">
      <c r="A51" s="32" t="s">
        <v>38</v>
      </c>
      <c r="B51" s="33">
        <v>6.25</v>
      </c>
      <c r="C51" s="32">
        <v>6.25</v>
      </c>
      <c r="D51" s="32"/>
      <c r="E51" s="33"/>
      <c r="F51" s="33"/>
      <c r="G51" s="33"/>
      <c r="H51" s="33"/>
      <c r="I51" s="22">
        <f t="shared" ref="I51:I52" si="6">I50-F51-D51+B51</f>
        <v>10.792</v>
      </c>
      <c r="J51" s="22">
        <f t="shared" ref="J51:J52" si="7">J50-E51+C51</f>
        <v>11.792</v>
      </c>
      <c r="K51" s="23">
        <f t="shared" ref="K51:K52" si="8">SUM(I51:J51)</f>
        <v>22.584</v>
      </c>
    </row>
    <row r="52" spans="1:11" x14ac:dyDescent="0.25">
      <c r="A52" s="18" t="s">
        <v>39</v>
      </c>
      <c r="B52" s="14"/>
      <c r="C52" s="18"/>
      <c r="D52" s="18"/>
      <c r="E52" s="14"/>
      <c r="F52" s="14"/>
      <c r="G52" s="36">
        <v>1</v>
      </c>
      <c r="H52" s="14"/>
      <c r="I52" s="22">
        <f t="shared" si="6"/>
        <v>10.792</v>
      </c>
      <c r="J52" s="22">
        <f t="shared" si="7"/>
        <v>11.792</v>
      </c>
      <c r="K52" s="23">
        <f t="shared" si="8"/>
        <v>22.584</v>
      </c>
    </row>
    <row r="53" spans="1:11" x14ac:dyDescent="0.25">
      <c r="A53" s="32" t="s">
        <v>42</v>
      </c>
      <c r="B53" s="33">
        <v>1.25</v>
      </c>
      <c r="C53" s="32">
        <v>1.25</v>
      </c>
      <c r="D53" s="32"/>
      <c r="E53" s="33"/>
      <c r="F53" s="33"/>
      <c r="G53" s="33"/>
      <c r="H53" s="33"/>
      <c r="I53" s="22">
        <f t="shared" ref="I53:I55" si="9">I52-F53-D53+B53</f>
        <v>12.042</v>
      </c>
      <c r="J53" s="22">
        <f t="shared" ref="J53:J55" si="10">J52-E53+C53</f>
        <v>13.042</v>
      </c>
      <c r="K53" s="23">
        <f t="shared" ref="K53:K55" si="11">SUM(I53:J53)</f>
        <v>25.084</v>
      </c>
    </row>
    <row r="54" spans="1:11" x14ac:dyDescent="0.25">
      <c r="A54" s="32" t="s">
        <v>43</v>
      </c>
      <c r="B54" s="33"/>
      <c r="C54" s="32"/>
      <c r="D54" s="32"/>
      <c r="E54" s="33">
        <v>1</v>
      </c>
      <c r="F54" s="33"/>
      <c r="G54" s="33"/>
      <c r="H54" s="33"/>
      <c r="I54" s="22">
        <f t="shared" si="9"/>
        <v>12.042</v>
      </c>
      <c r="J54" s="22">
        <f t="shared" si="10"/>
        <v>12.042</v>
      </c>
      <c r="K54" s="23">
        <f t="shared" si="11"/>
        <v>24.084</v>
      </c>
    </row>
    <row r="55" spans="1:11" x14ac:dyDescent="0.25">
      <c r="A55" s="32" t="s">
        <v>44</v>
      </c>
      <c r="B55" s="33"/>
      <c r="C55" s="32"/>
      <c r="D55" s="32"/>
      <c r="E55" s="33"/>
      <c r="F55" s="37">
        <v>1</v>
      </c>
      <c r="G55" s="33"/>
      <c r="H55" s="33"/>
      <c r="I55" s="22">
        <f t="shared" si="9"/>
        <v>11.042</v>
      </c>
      <c r="J55" s="22">
        <f t="shared" si="10"/>
        <v>12.042</v>
      </c>
      <c r="K55" s="23">
        <f t="shared" si="11"/>
        <v>23.084</v>
      </c>
    </row>
    <row r="56" spans="1:11" x14ac:dyDescent="0.25">
      <c r="A56" s="18" t="s">
        <v>51</v>
      </c>
      <c r="B56" s="14">
        <v>1.25</v>
      </c>
      <c r="C56" s="18">
        <v>1.25</v>
      </c>
      <c r="D56" s="18"/>
      <c r="E56" s="14"/>
      <c r="F56" s="14"/>
      <c r="G56" s="14"/>
      <c r="H56" s="14"/>
      <c r="I56" s="22">
        <f t="shared" ref="I56" si="12">I55-F56-D56+B56</f>
        <v>12.292</v>
      </c>
      <c r="J56" s="22">
        <f t="shared" ref="J56" si="13">J55-E56+C56</f>
        <v>13.292</v>
      </c>
      <c r="K56" s="23">
        <f t="shared" ref="K56" si="14">SUM(I56:J56)</f>
        <v>25.584</v>
      </c>
    </row>
    <row r="57" spans="1:11" x14ac:dyDescent="0.25">
      <c r="A57" s="47" t="s">
        <v>52</v>
      </c>
      <c r="B57" s="46"/>
      <c r="C57" s="46"/>
      <c r="D57" s="46"/>
      <c r="E57" s="46"/>
      <c r="F57" s="37">
        <v>1</v>
      </c>
      <c r="G57" s="33"/>
      <c r="H57" s="33"/>
      <c r="I57" s="22">
        <f t="shared" ref="I57" si="15">I56-F57-D57+B57</f>
        <v>11.292</v>
      </c>
      <c r="J57" s="22">
        <f t="shared" ref="J57" si="16">J56-E57+C57</f>
        <v>13.292</v>
      </c>
      <c r="K57" s="23">
        <f t="shared" ref="K57" si="17">SUM(I57:J57)</f>
        <v>24.584</v>
      </c>
    </row>
    <row r="58" spans="1:11" x14ac:dyDescent="0.25">
      <c r="A58" s="47" t="s">
        <v>53</v>
      </c>
      <c r="B58" s="46"/>
      <c r="C58" s="46"/>
      <c r="D58" s="46"/>
      <c r="E58" s="47">
        <v>1</v>
      </c>
      <c r="F58" s="33"/>
      <c r="G58" s="33"/>
      <c r="H58" s="33"/>
      <c r="I58" s="22">
        <f t="shared" ref="I58" si="18">I57-F58-D58+B58</f>
        <v>11.292</v>
      </c>
      <c r="J58" s="22">
        <f t="shared" ref="J58" si="19">J57-E58+C58</f>
        <v>12.292</v>
      </c>
      <c r="K58" s="23">
        <f t="shared" ref="K58" si="20">SUM(I58:J58)</f>
        <v>23.584</v>
      </c>
    </row>
    <row r="59" spans="1:11" x14ac:dyDescent="0.25">
      <c r="A59" s="47" t="s">
        <v>57</v>
      </c>
      <c r="B59" s="47">
        <v>1.25</v>
      </c>
      <c r="C59" s="47">
        <v>1.25</v>
      </c>
      <c r="D59" s="46"/>
      <c r="E59" s="47"/>
      <c r="F59" s="33"/>
      <c r="G59" s="33"/>
      <c r="H59" s="33"/>
      <c r="I59" s="22">
        <f t="shared" ref="I59" si="21">I58-F59-D59+B59</f>
        <v>12.542</v>
      </c>
      <c r="J59" s="22">
        <f t="shared" ref="J59" si="22">J58-E59+C59</f>
        <v>13.542</v>
      </c>
      <c r="K59" s="23">
        <f t="shared" ref="K59" si="23">SUM(I59:J59)</f>
        <v>26.084</v>
      </c>
    </row>
    <row r="60" spans="1:11" x14ac:dyDescent="0.25">
      <c r="A60" s="47" t="s">
        <v>58</v>
      </c>
      <c r="B60" s="46"/>
      <c r="C60" s="46"/>
      <c r="D60" s="46"/>
      <c r="E60" s="47"/>
      <c r="F60" s="33"/>
      <c r="G60" s="73">
        <v>1</v>
      </c>
      <c r="H60" s="33"/>
      <c r="I60" s="22">
        <f t="shared" ref="I60:I61" si="24">I59-F60-D60+B60</f>
        <v>12.542</v>
      </c>
      <c r="J60" s="22">
        <f t="shared" ref="J60:J61" si="25">J59-E60+C60</f>
        <v>13.542</v>
      </c>
      <c r="K60" s="23">
        <f t="shared" ref="K60:K61" si="26">SUM(I60:J60)</f>
        <v>26.084</v>
      </c>
    </row>
    <row r="61" spans="1:11" x14ac:dyDescent="0.25">
      <c r="A61" s="47" t="s">
        <v>59</v>
      </c>
      <c r="B61" s="47"/>
      <c r="C61" s="47"/>
      <c r="D61" s="46"/>
      <c r="E61" s="47"/>
      <c r="F61" s="37">
        <v>2</v>
      </c>
      <c r="G61" s="33"/>
      <c r="H61" s="33"/>
      <c r="I61" s="22">
        <f t="shared" si="24"/>
        <v>10.542</v>
      </c>
      <c r="J61" s="22">
        <f t="shared" si="25"/>
        <v>13.542</v>
      </c>
      <c r="K61" s="23">
        <f t="shared" si="26"/>
        <v>24.084</v>
      </c>
    </row>
    <row r="65" spans="6:6" x14ac:dyDescent="0.25">
      <c r="F65" s="25" t="s">
        <v>30</v>
      </c>
    </row>
  </sheetData>
  <mergeCells count="14">
    <mergeCell ref="L11:L12"/>
    <mergeCell ref="A10:K10"/>
    <mergeCell ref="A11:A12"/>
    <mergeCell ref="B11:C11"/>
    <mergeCell ref="D11:G11"/>
    <mergeCell ref="I11:J11"/>
    <mergeCell ref="K11:K12"/>
    <mergeCell ref="H11:H12"/>
    <mergeCell ref="B9:D9"/>
    <mergeCell ref="A2:K2"/>
    <mergeCell ref="A3:K3"/>
    <mergeCell ref="A4:K4"/>
    <mergeCell ref="A5:K5"/>
    <mergeCell ref="B7:D7"/>
  </mergeCells>
  <printOptions horizontalCentered="1"/>
  <pageMargins left="0.25" right="0.25" top="0.25" bottom="0.25" header="0.3" footer="0.3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FC73-0AD4-4242-AB4D-2BE067D4092A}">
  <sheetPr>
    <pageSetUpPr fitToPage="1"/>
  </sheetPr>
  <dimension ref="A1:K22"/>
  <sheetViews>
    <sheetView view="pageBreakPreview" zoomScale="112" zoomScaleNormal="100" zoomScaleSheetLayoutView="112" workbookViewId="0">
      <selection activeCell="A20" sqref="A20:K20"/>
    </sheetView>
  </sheetViews>
  <sheetFormatPr defaultRowHeight="15" x14ac:dyDescent="0.25"/>
  <cols>
    <col min="1" max="1" width="29.85546875" customWidth="1"/>
    <col min="2" max="2" width="9.42578125" style="44" customWidth="1"/>
    <col min="3" max="3" width="9.28515625" style="12" customWidth="1"/>
    <col min="5" max="5" width="8.42578125" style="44" customWidth="1"/>
    <col min="6" max="6" width="10.85546875" style="13" customWidth="1"/>
    <col min="7" max="7" width="9.7109375" style="45" customWidth="1"/>
    <col min="8" max="8" width="10.85546875" customWidth="1"/>
    <col min="9" max="9" width="9.7109375" style="44" customWidth="1"/>
    <col min="10" max="10" width="10" style="13" customWidth="1"/>
    <col min="11" max="11" width="8.7109375" style="45" customWidth="1"/>
  </cols>
  <sheetData>
    <row r="1" spans="1:11" s="1" customFormat="1" ht="52.5" customHeight="1" x14ac:dyDescent="0.25">
      <c r="C1" s="2"/>
      <c r="D1" s="3"/>
      <c r="H1" s="4"/>
    </row>
    <row r="2" spans="1:11" s="1" customFormat="1" ht="10.5" customHeight="1" x14ac:dyDescent="0.2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s="1" customFormat="1" ht="15.95" customHeight="1" x14ac:dyDescent="0.25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s="1" customFormat="1" ht="15.95" customHeight="1" x14ac:dyDescent="0.25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</row>
    <row r="5" spans="1:11" s="1" customFormat="1" ht="15.95" customHeight="1" x14ac:dyDescent="0.25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s="1" customFormat="1" ht="8.25" customHeight="1" x14ac:dyDescent="0.25">
      <c r="C6" s="4"/>
      <c r="H6" s="4"/>
    </row>
    <row r="7" spans="1:11" s="1" customFormat="1" ht="8.25" customHeight="1" x14ac:dyDescent="0.25">
      <c r="C7" s="4"/>
      <c r="H7" s="4"/>
    </row>
    <row r="8" spans="1:11" s="1" customFormat="1" ht="12" customHeight="1" x14ac:dyDescent="0.25">
      <c r="A8" s="5" t="s">
        <v>49</v>
      </c>
      <c r="B8" s="5"/>
      <c r="C8" s="48" t="s">
        <v>4</v>
      </c>
      <c r="D8" s="48"/>
      <c r="E8" s="48"/>
      <c r="F8" s="48"/>
      <c r="G8" s="48"/>
      <c r="I8" s="48" t="s">
        <v>5</v>
      </c>
      <c r="J8" s="48"/>
      <c r="K8" s="48"/>
    </row>
    <row r="9" spans="1:11" s="1" customFormat="1" ht="12" customHeight="1" x14ac:dyDescent="0.25">
      <c r="B9" s="6"/>
      <c r="C9" s="48" t="s">
        <v>31</v>
      </c>
      <c r="D9" s="48"/>
      <c r="E9" s="48"/>
      <c r="F9" s="48"/>
      <c r="G9" s="48"/>
      <c r="I9" s="66" t="s">
        <v>6</v>
      </c>
      <c r="J9" s="66"/>
      <c r="K9" s="66"/>
    </row>
    <row r="10" spans="1:11" s="1" customFormat="1" ht="12" customHeight="1" x14ac:dyDescent="0.25">
      <c r="A10" s="5" t="s">
        <v>50</v>
      </c>
      <c r="B10" s="5"/>
      <c r="C10" s="7"/>
      <c r="D10" s="6"/>
      <c r="E10" s="6"/>
      <c r="I10" s="48" t="s">
        <v>7</v>
      </c>
      <c r="J10" s="48"/>
      <c r="K10" s="48"/>
    </row>
    <row r="11" spans="1:11" ht="16.5" customHeight="1" thickBot="1" x14ac:dyDescent="0.3">
      <c r="A11" s="67" t="s">
        <v>45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s="8" customFormat="1" ht="18.75" customHeight="1" x14ac:dyDescent="0.2">
      <c r="A12" s="68" t="s">
        <v>8</v>
      </c>
      <c r="B12" s="70" t="s">
        <v>9</v>
      </c>
      <c r="C12" s="71"/>
      <c r="D12" s="71"/>
      <c r="E12" s="71"/>
      <c r="F12" s="71"/>
      <c r="G12" s="71"/>
      <c r="H12" s="71"/>
      <c r="I12" s="71"/>
      <c r="J12" s="71"/>
      <c r="K12" s="71"/>
    </row>
    <row r="13" spans="1:11" s="8" customFormat="1" ht="24" customHeight="1" x14ac:dyDescent="0.2">
      <c r="A13" s="69"/>
      <c r="B13" s="59" t="s">
        <v>11</v>
      </c>
      <c r="C13" s="72"/>
      <c r="D13" s="72"/>
      <c r="E13" s="60"/>
      <c r="F13" s="59" t="s">
        <v>12</v>
      </c>
      <c r="G13" s="60"/>
      <c r="H13" s="59" t="s">
        <v>13</v>
      </c>
      <c r="I13" s="60"/>
      <c r="J13" s="59" t="s">
        <v>14</v>
      </c>
      <c r="K13" s="60"/>
    </row>
    <row r="14" spans="1:11" s="8" customFormat="1" ht="19.5" customHeight="1" x14ac:dyDescent="0.2">
      <c r="A14" s="38" t="s">
        <v>46</v>
      </c>
      <c r="B14" s="61" t="s">
        <v>47</v>
      </c>
      <c r="C14" s="62"/>
      <c r="D14" s="62"/>
      <c r="E14" s="63"/>
      <c r="F14" s="39">
        <v>1</v>
      </c>
      <c r="G14" s="40"/>
      <c r="H14" s="61">
        <v>0</v>
      </c>
      <c r="I14" s="63"/>
      <c r="J14" s="61">
        <v>1</v>
      </c>
      <c r="K14" s="63"/>
    </row>
    <row r="15" spans="1:11" s="8" customFormat="1" ht="19.5" customHeight="1" x14ac:dyDescent="0.2">
      <c r="A15" s="38" t="s">
        <v>48</v>
      </c>
      <c r="B15" s="61" t="s">
        <v>47</v>
      </c>
      <c r="C15" s="62"/>
      <c r="D15" s="62"/>
      <c r="E15" s="63"/>
      <c r="F15" s="39"/>
      <c r="G15" s="40"/>
      <c r="H15" s="61">
        <v>1</v>
      </c>
      <c r="I15" s="63"/>
      <c r="J15" s="64">
        <v>0</v>
      </c>
      <c r="K15" s="65"/>
    </row>
    <row r="16" spans="1:11" s="8" customFormat="1" ht="19.5" customHeight="1" x14ac:dyDescent="0.2">
      <c r="A16" s="38" t="s">
        <v>54</v>
      </c>
      <c r="B16" s="61" t="s">
        <v>55</v>
      </c>
      <c r="C16" s="62"/>
      <c r="D16" s="62"/>
      <c r="E16" s="63"/>
      <c r="F16" s="39">
        <v>1</v>
      </c>
      <c r="G16" s="40"/>
      <c r="H16" s="61">
        <v>0</v>
      </c>
      <c r="I16" s="63"/>
      <c r="J16" s="61">
        <v>1</v>
      </c>
      <c r="K16" s="63"/>
    </row>
    <row r="17" spans="1:11" s="8" customFormat="1" ht="19.5" customHeight="1" x14ac:dyDescent="0.2">
      <c r="A17" s="38" t="s">
        <v>56</v>
      </c>
      <c r="B17" s="61" t="s">
        <v>55</v>
      </c>
      <c r="C17" s="62"/>
      <c r="D17" s="62"/>
      <c r="E17" s="63"/>
      <c r="F17" s="39"/>
      <c r="G17" s="40"/>
      <c r="H17" s="61">
        <v>1</v>
      </c>
      <c r="I17" s="63"/>
      <c r="J17" s="64">
        <v>0</v>
      </c>
      <c r="K17" s="65"/>
    </row>
    <row r="18" spans="1:11" s="9" customFormat="1" ht="21" customHeight="1" x14ac:dyDescent="0.2">
      <c r="A18" s="41"/>
      <c r="B18" s="42"/>
      <c r="C18" s="42"/>
      <c r="D18" s="42"/>
      <c r="E18" s="42"/>
      <c r="F18" s="43"/>
      <c r="G18" s="43"/>
      <c r="H18" s="42"/>
      <c r="I18" s="42"/>
      <c r="J18" s="42"/>
      <c r="K18" s="42"/>
    </row>
    <row r="19" spans="1:11" s="9" customFormat="1" x14ac:dyDescent="0.2">
      <c r="A19" s="10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75.75" customHeight="1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</row>
    <row r="21" spans="1:11" s="1" customFormat="1" x14ac:dyDescent="0.25">
      <c r="C21" s="4"/>
    </row>
    <row r="22" spans="1:11" s="1" customFormat="1" x14ac:dyDescent="0.25">
      <c r="C22" s="4"/>
    </row>
  </sheetData>
  <mergeCells count="29">
    <mergeCell ref="A2:K2"/>
    <mergeCell ref="A3:K3"/>
    <mergeCell ref="A4:K4"/>
    <mergeCell ref="A5:K5"/>
    <mergeCell ref="C8:G8"/>
    <mergeCell ref="I8:K8"/>
    <mergeCell ref="C9:G9"/>
    <mergeCell ref="I9:K9"/>
    <mergeCell ref="I10:K10"/>
    <mergeCell ref="A11:K11"/>
    <mergeCell ref="A12:A13"/>
    <mergeCell ref="B12:K12"/>
    <mergeCell ref="B13:E13"/>
    <mergeCell ref="F13:G13"/>
    <mergeCell ref="H13:I13"/>
    <mergeCell ref="A20:K20"/>
    <mergeCell ref="J13:K13"/>
    <mergeCell ref="B14:E14"/>
    <mergeCell ref="H14:I14"/>
    <mergeCell ref="J14:K14"/>
    <mergeCell ref="B15:E15"/>
    <mergeCell ref="H15:I15"/>
    <mergeCell ref="J15:K15"/>
    <mergeCell ref="B16:E16"/>
    <mergeCell ref="H16:I16"/>
    <mergeCell ref="J16:K16"/>
    <mergeCell ref="B17:E17"/>
    <mergeCell ref="H17:I17"/>
    <mergeCell ref="J17:K17"/>
  </mergeCells>
  <pageMargins left="0.25" right="0.25" top="0.75" bottom="0.75" header="0.3" footer="0.3"/>
  <pageSetup paperSize="9" scale="79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as TIC</vt:lpstr>
      <vt:lpstr>CTO</vt:lpstr>
      <vt:lpstr>CTO!Print_Area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2026-01-14T02:02:01Z</cp:lastPrinted>
  <dcterms:created xsi:type="dcterms:W3CDTF">2022-11-24T07:01:13Z</dcterms:created>
  <dcterms:modified xsi:type="dcterms:W3CDTF">2026-01-14T02:03:14Z</dcterms:modified>
</cp:coreProperties>
</file>