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" sheetId="6" r:id="rId1"/>
    <sheet name="CTO" sheetId="9" r:id="rId2"/>
    <sheet name="OTHER TYPES OF LEAVES" sheetId="8" r:id="rId3"/>
  </sheets>
  <definedNames>
    <definedName name="_xlnm.Print_Area" localSheetId="2">'OTHER TYPES OF LEAVES'!$A$1:$L$24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<sst xmlns="http://schemas.openxmlformats.org/spreadsheetml/2006/main" count="132" uniqueCount="106">
  <si>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</si>
  <si>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</si>
  <si>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</si>
  <si>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</si>
  <si>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</si>
  <si>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</si>
  <si>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</si>
  <si>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</si>
  <si>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</si>
  <si>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</si>
  <si>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</si>
  <si>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</si>
  <si>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</si>
  <si>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</si>
  <si>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</si>
  <si>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</si>
  <si>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</si>
  <si>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</si>
  <si>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</si>
  <si>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</si>
  <si>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DATE OF APPOINTMENT: JULY 15, 2019</t>
  </si>
  <si>
    <t>ADD: 7/15/2019 - 7/31/2019</t>
  </si>
  <si>
    <t>ADD: 8/01/2019 - 12/31/2019</t>
  </si>
  <si>
    <t>ADD: 01/01/2020 -12/31/2020</t>
  </si>
  <si>
    <t>LESS: MONETIZATION 2020</t>
  </si>
  <si>
    <t>LESS: FL 2020</t>
  </si>
  <si>
    <t>ADD: 01/01/2021 - 09/30/2021</t>
  </si>
  <si>
    <t>LESS: MONETIZATION 2021</t>
  </si>
  <si>
    <t>ADD: 10/01/2021 - 10/31/2021</t>
  </si>
  <si>
    <t>LESS: 11/10 &amp; 11/2021</t>
  </si>
  <si>
    <t>ADD: 11/01/2021 - 12/31/2021</t>
  </si>
  <si>
    <t>LESS: FL 2021</t>
  </si>
  <si>
    <t>ADD: 01/01/22 - 05/31/22</t>
  </si>
  <si>
    <t>LESS: 06/01/22</t>
  </si>
  <si>
    <t>ADD: 06/01/22 - 06/30/22</t>
  </si>
  <si>
    <t>LESS: 06/02/22</t>
  </si>
  <si>
    <t>LESS: 07/01 &amp; 05/22</t>
  </si>
  <si>
    <t>LESS: 07/08/22</t>
  </si>
  <si>
    <t>LESS: 08/25/22</t>
  </si>
  <si>
    <t>ADD: 07/01/22 - 08/31/22</t>
  </si>
  <si>
    <t>LESS: MONETIZATION 2022</t>
  </si>
  <si>
    <t>ADD: 09/01/22 - 11/30/22</t>
  </si>
  <si>
    <t>LESS: 12/27 &amp; 28/22</t>
  </si>
  <si>
    <t>ADD: 12/01/22 - 12/31/22</t>
  </si>
  <si>
    <t>ADD: 1/01/23 - 03/31/23</t>
  </si>
  <si>
    <t>LESS: 04/19 &amp; 20/23</t>
  </si>
  <si>
    <t>ADD: 04/01/23 - 05/31/23</t>
  </si>
  <si>
    <t>LESS: 06/13 &amp; 14/23</t>
  </si>
  <si>
    <t>ADD: 06/01/23 - 08/31/23</t>
  </si>
  <si>
    <t>LESS: MONETIZATION 2023</t>
  </si>
  <si>
    <t>LESS: 08/14 &amp; 15/2023</t>
  </si>
  <si>
    <t>ADD: 09/01/23-12/31/23</t>
  </si>
  <si>
    <t>LESS: MANDATORY FORCED LEAVE 2023</t>
  </si>
  <si>
    <t>ADD: 01/01/2024- 05/31/2024</t>
  </si>
  <si>
    <t>LESS: 06/19/2024</t>
  </si>
  <si>
    <t>ADD: 06/1/2024-07/31/2024</t>
  </si>
  <si>
    <t>LESS: MONETIZATION 2024</t>
  </si>
  <si>
    <t>ADD: 08/1/2024-09/30/2024</t>
  </si>
  <si>
    <t>LESS: 09/27/2024</t>
  </si>
  <si>
    <t>ADD: 10/1/2024-11/30/2024</t>
  </si>
  <si>
    <t>LESS: 12/26-27/2024</t>
  </si>
  <si>
    <t>ADD: 12/1-31/2024</t>
  </si>
  <si>
    <t>LESS: MANDATORY FL 2024</t>
  </si>
  <si>
    <t>ADD: 01/1/2025-06/30/2025</t>
  </si>
  <si>
    <t>LESS: MONETIZATION 2025</t>
  </si>
  <si>
    <t>LESS: 06/20/2025</t>
  </si>
  <si>
    <t>ADD: 07/1/2025-11/30/2025</t>
  </si>
  <si>
    <t>LESS: 12/15, 19 &amp; 26/2025</t>
  </si>
  <si>
    <t>DATE FILED: 12/15,19, 26, 29,30</t>
  </si>
  <si>
    <t>Certified Correct:</t>
  </si>
  <si>
    <t>MA. LUISA B. CATIGAN</t>
  </si>
  <si>
    <t>Administrative Officer IV</t>
  </si>
  <si>
    <t xml:space="preserve">               HRMO</t>
  </si>
  <si>
    <t>COMPENSATORY TIME OFF (CTO)</t>
  </si>
  <si>
    <t>Special Order No. and Date Issued</t>
  </si>
  <si>
    <t>No. of Days Granted</t>
  </si>
  <si>
    <t>No. of Days Used</t>
  </si>
  <si>
    <t>Balance</t>
  </si>
  <si>
    <t>ADD: 04/17/2023</t>
  </si>
  <si>
    <t>SO # 048, S.2023, DISTRICT AND CITY SPORTS MEET 2023</t>
  </si>
  <si>
    <t>LESS: 05/23/2023</t>
  </si>
  <si>
    <t>ADD: 03/12/2024</t>
  </si>
  <si>
    <t>SO # 006, S.2024, DIVISION SPORTS MEET 2024</t>
  </si>
  <si>
    <t>LESS: 07/16/2024</t>
  </si>
  <si>
    <t>LESS: 10/08/2024</t>
  </si>
  <si>
    <t>NOTE:  Valid for one (1) year only</t>
  </si>
  <si>
    <t>HRMO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</si>
  <si>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</si>
  <si>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</si>
  <si>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</si>
  <si>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</si>
  <si>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</si>
  <si>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</si>
  <si>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</si>
  <si>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</si>
  <si>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</si>
  <si>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</si>
  <si>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</si>
  <si>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</si>
  <si>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</si>
  <si>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</si>
  <si>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</si>
  <si>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</si>
  <si>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</si>
  <si>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</si>
  <si>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12/22, 23, 27 &amp;28/2021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</si>
</sst>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9" applyNumberFormat="0" applyAlignment="0" applyProtection="0">
      <alignment vertical="center"/>
    </xf>
    <xf numFmtId="0" fontId="19" fillId="12" borderId="20" applyNumberFormat="0" applyAlignment="0" applyProtection="0">
      <alignment vertical="center"/>
    </xf>
    <xf numFmtId="0" fontId="20" fillId="12" borderId="19" applyNumberFormat="0" applyAlignment="0" applyProtection="0">
      <alignment vertical="center"/>
    </xf>
    <xf numFmtId="0" fontId="21" fillId="13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7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3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76" fontId="0" fillId="2" borderId="3" xfId="0" applyNumberForma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176" fontId="0" fillId="8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6" fontId="0" fillId="0" borderId="3" xfId="0" applyNumberFormat="1" applyFill="1" applyBorder="1" applyAlignment="1">
      <alignment horizontal="center" vertical="center"/>
    </xf>
    <xf numFmtId="176" fontId="0" fillId="0" borderId="3" xfId="0" applyNumberFormat="1" applyFill="1" applyBorder="1" applyAlignment="1">
      <alignment horizontal="center" vertical="center"/>
    </xf>
    <xf numFmtId="176" fontId="0" fillId="9" borderId="3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76" fontId="0" fillId="2" borderId="3" xfId="0" applyNumberFormat="1" applyFill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6" fontId="0" fillId="2" borderId="0" xfId="0" applyNumberFormat="1" applyFill="1" applyAlignment="1">
      <alignment horizontal="center" vertical="center" wrapText="1"/>
    </xf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0</xdr:row>
      <xdr:rowOff>26459</xdr:rowOff>
    </xdr:from>
    <xdr:to>
      <xdr:col>4</xdr:col>
      <xdr:colOff>1548</xdr:colOff>
      <xdr:row>0</xdr:row>
      <xdr:rowOff>664635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00600" y="26035"/>
          <a:ext cx="79502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4" name="TextBox 3"/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ADVINCULA,</a:t>
          </a:r>
          <a:r>
            <a:rPr lang="en-US" sz="1100" baseline="0"/>
            <a:t> AILEEN E.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5" name="TextBox 4"/>
        <xdr:cNvSpPr txBox="1"/>
      </xdr:nvSpPr>
      <xdr:spPr>
        <a:xfrm>
          <a:off x="616585" y="1725930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PLANNING</a:t>
          </a:r>
          <a:r>
            <a:rPr lang="en-US" sz="1100" baseline="0"/>
            <a:t> OFFICER </a:t>
          </a:r>
          <a:r>
            <a:rPr lang="en-US" sz="1100"/>
            <a:t> 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502708</xdr:colOff>
      <xdr:row>8</xdr:row>
      <xdr:rowOff>119063</xdr:rowOff>
    </xdr:to>
    <xdr:sp>
      <xdr:nvSpPr>
        <xdr:cNvPr id="6" name="TextBox 5"/>
        <xdr:cNvSpPr txBox="1"/>
      </xdr:nvSpPr>
      <xdr:spPr>
        <a:xfrm>
          <a:off x="4421505" y="1707515"/>
          <a:ext cx="167513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5</xdr:col>
      <xdr:colOff>222250</xdr:colOff>
      <xdr:row>0</xdr:row>
      <xdr:rowOff>635001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92880" y="45720"/>
          <a:ext cx="765810" cy="58928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7</xdr:row>
      <xdr:rowOff>19051</xdr:rowOff>
    </xdr:from>
    <xdr:to>
      <xdr:col>1</xdr:col>
      <xdr:colOff>705556</xdr:colOff>
      <xdr:row>8</xdr:row>
      <xdr:rowOff>114301</xdr:rowOff>
    </xdr:to>
    <xdr:sp>
      <xdr:nvSpPr>
        <xdr:cNvPr id="3" name="TextBox 2"/>
        <xdr:cNvSpPr txBox="1"/>
      </xdr:nvSpPr>
      <xdr:spPr>
        <a:xfrm>
          <a:off x="654050" y="1684020"/>
          <a:ext cx="153098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PLANNING OFFICER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>
      <xdr:nvSpPr>
        <xdr:cNvPr id="4" name="TextBox 3"/>
        <xdr:cNvSpPr txBox="1"/>
      </xdr:nvSpPr>
      <xdr:spPr>
        <a:xfrm>
          <a:off x="3828415" y="1706880"/>
          <a:ext cx="117094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  <a:endParaRPr lang="en-US" sz="1100"/>
        </a:p>
      </xdr:txBody>
    </xdr:sp>
    <xdr:clientData/>
  </xdr:twoCellAnchor>
  <xdr:twoCellAnchor>
    <xdr:from>
      <xdr:col>0</xdr:col>
      <xdr:colOff>562183</xdr:colOff>
      <xdr:row>4</xdr:row>
      <xdr:rowOff>148618</xdr:rowOff>
    </xdr:from>
    <xdr:to>
      <xdr:col>1</xdr:col>
      <xdr:colOff>1065797</xdr:colOff>
      <xdr:row>6</xdr:row>
      <xdr:rowOff>93215</xdr:rowOff>
    </xdr:to>
    <xdr:sp>
      <xdr:nvSpPr>
        <xdr:cNvPr id="5" name="TextBox 4"/>
        <xdr:cNvSpPr txBox="1"/>
      </xdr:nvSpPr>
      <xdr:spPr>
        <a:xfrm>
          <a:off x="561975" y="1353820"/>
          <a:ext cx="1983105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ADVINCULA,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AILEEN</a:t>
          </a:r>
          <a:endParaRPr lang="en-US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162776</xdr:colOff>
      <xdr:row>0</xdr:row>
      <xdr:rowOff>29031</xdr:rowOff>
    </xdr:from>
    <xdr:to>
      <xdr:col>5</xdr:col>
      <xdr:colOff>378435</xdr:colOff>
      <xdr:row>0</xdr:row>
      <xdr:rowOff>904394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38625" y="28575"/>
          <a:ext cx="871855" cy="8756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5401310"/>
          <a:ext cx="322008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814596</xdr:colOff>
      <xdr:row>5</xdr:row>
      <xdr:rowOff>96212</xdr:rowOff>
    </xdr:from>
    <xdr:to>
      <xdr:col>1</xdr:col>
      <xdr:colOff>134697</xdr:colOff>
      <xdr:row>7</xdr:row>
      <xdr:rowOff>115454</xdr:rowOff>
    </xdr:to>
    <xdr:sp>
      <xdr:nvSpPr>
        <xdr:cNvPr id="4" name="TextBox 3"/>
        <xdr:cNvSpPr txBox="1"/>
      </xdr:nvSpPr>
      <xdr:spPr>
        <a:xfrm>
          <a:off x="814070" y="1744345"/>
          <a:ext cx="142684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ADVINCULA,</a:t>
          </a:r>
          <a:r>
            <a:rPr lang="en-US" sz="1100" baseline="0"/>
            <a:t> AILEEN</a:t>
          </a:r>
          <a:endParaRPr lang="en-US" sz="1100"/>
        </a:p>
      </xdr:txBody>
    </xdr:sp>
    <xdr:clientData/>
  </xdr:twoCellAnchor>
  <xdr:twoCellAnchor>
    <xdr:from>
      <xdr:col>0</xdr:col>
      <xdr:colOff>782526</xdr:colOff>
      <xdr:row>8</xdr:row>
      <xdr:rowOff>57728</xdr:rowOff>
    </xdr:from>
    <xdr:to>
      <xdr:col>1</xdr:col>
      <xdr:colOff>102627</xdr:colOff>
      <xdr:row>9</xdr:row>
      <xdr:rowOff>128283</xdr:rowOff>
    </xdr:to>
    <xdr:sp>
      <xdr:nvSpPr>
        <xdr:cNvPr id="5" name="TextBox 4"/>
        <xdr:cNvSpPr txBox="1"/>
      </xdr:nvSpPr>
      <xdr:spPr>
        <a:xfrm>
          <a:off x="782320" y="2067560"/>
          <a:ext cx="1426210" cy="223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PLANNING OFFICER III</a:t>
          </a:r>
          <a:endParaRPr lang="en-US" sz="1100"/>
        </a:p>
      </xdr:txBody>
    </xdr:sp>
    <xdr:clientData/>
  </xdr:twoCellAnchor>
  <xdr:twoCellAnchor>
    <xdr:from>
      <xdr:col>3</xdr:col>
      <xdr:colOff>525959</xdr:colOff>
      <xdr:row>7</xdr:row>
      <xdr:rowOff>83385</xdr:rowOff>
    </xdr:from>
    <xdr:to>
      <xdr:col>6</xdr:col>
      <xdr:colOff>220206</xdr:colOff>
      <xdr:row>9</xdr:row>
      <xdr:rowOff>3963</xdr:rowOff>
    </xdr:to>
    <xdr:sp>
      <xdr:nvSpPr>
        <xdr:cNvPr id="6" name="TextBox 5"/>
        <xdr:cNvSpPr txBox="1"/>
      </xdr:nvSpPr>
      <xdr:spPr>
        <a:xfrm>
          <a:off x="3945255" y="1941195"/>
          <a:ext cx="166370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68"/>
  <sheetViews>
    <sheetView tabSelected="1" view="pageBreakPreview" zoomScale="96" zoomScaleNormal="100" topLeftCell="A48" workbookViewId="0">
      <selection activeCell="A59" sqref="$A59:$XFD59"/>
    </sheetView>
  </sheetViews>
  <sheetFormatPr defaultColWidth="9" defaultRowHeight="14.4"/>
  <cols>
    <col min="1" max="1" width="46.8518518518519" customWidth="1"/>
    <col min="2" max="10" width="11.5740740740741" customWidth="1"/>
    <col min="13" max="13" width="11.5740740740741" customWidth="1"/>
  </cols>
  <sheetData>
    <row r="1" s="1" customFormat="1" ht="52.5" customHeight="1" spans="2:9">
      <c r="B1"/>
      <c r="C1"/>
      <c r="D1"/>
      <c r="E1"/>
      <c r="F1"/>
      <c r="G1"/>
      <c r="H1"/>
      <c r="I1"/>
    </row>
    <row r="2" s="1" customFormat="1" ht="10.5" customHeight="1" spans="1:10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</row>
    <row r="3" s="1" customFormat="1" ht="15.95" customHeight="1" spans="1:10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</row>
    <row r="4" s="1" customFormat="1" ht="15.95" customHeight="1" spans="1:10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</row>
    <row r="5" s="1" customFormat="1" ht="15.95" customHeight="1" spans="1:10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</row>
    <row r="6" s="1" customFormat="1" ht="8.25" customHeight="1" spans="2:9">
      <c r="B6"/>
      <c r="C6"/>
      <c r="D6"/>
      <c r="E6"/>
      <c r="F6"/>
      <c r="G6"/>
      <c r="H6"/>
      <c r="I6"/>
    </row>
    <row r="7" s="1" customFormat="1" ht="12" customHeight="1" spans="1:10">
      <c r="A7" s="1" t="s">
        <v>4</v>
      </c>
      <c r="B7" s="47" t="s">
        <v>5</v>
      </c>
      <c r="C7" s="47"/>
      <c r="D7" s="47"/>
      <c r="E7"/>
      <c r="F7"/>
      <c r="G7"/>
      <c r="H7" s="48" t="s">
        <v>6</v>
      </c>
      <c r="I7" s="69"/>
      <c r="J7" s="8"/>
    </row>
    <row r="8" s="1" customFormat="1" ht="12" customHeight="1" spans="2:10">
      <c r="B8" s="49"/>
      <c r="C8" s="49"/>
      <c r="D8"/>
      <c r="E8"/>
      <c r="F8"/>
      <c r="G8"/>
      <c r="H8" s="49"/>
      <c r="I8" s="49"/>
      <c r="J8" s="10"/>
    </row>
    <row r="9" s="1" customFormat="1" ht="12" customHeight="1" spans="1:10">
      <c r="A9" s="1" t="s">
        <v>7</v>
      </c>
      <c r="B9" s="47" t="s">
        <v>8</v>
      </c>
      <c r="C9" s="47"/>
      <c r="D9" s="47"/>
      <c r="E9"/>
      <c r="F9"/>
      <c r="G9"/>
      <c r="H9" s="48" t="s">
        <v>9</v>
      </c>
      <c r="I9" s="70"/>
      <c r="J9" s="8"/>
    </row>
    <row r="10" ht="16.5" customHeight="1" spans="1:10">
      <c r="A10" s="50" t="s">
        <v>10</v>
      </c>
      <c r="B10" s="50"/>
      <c r="C10" s="50"/>
      <c r="D10" s="50"/>
      <c r="E10" s="50"/>
      <c r="F10" s="50"/>
      <c r="G10" s="50"/>
      <c r="H10" s="50"/>
      <c r="I10" s="50"/>
      <c r="J10" s="50"/>
    </row>
    <row r="11" s="2" customFormat="1" ht="18.75" customHeight="1" spans="1:10">
      <c r="A11" s="51" t="s">
        <v>11</v>
      </c>
      <c r="B11" s="52" t="s">
        <v>12</v>
      </c>
      <c r="C11" s="52"/>
      <c r="D11" s="53" t="s">
        <v>13</v>
      </c>
      <c r="E11" s="54"/>
      <c r="F11" s="54"/>
      <c r="G11" s="55"/>
      <c r="H11" s="52" t="s">
        <v>14</v>
      </c>
      <c r="I11" s="52"/>
      <c r="J11" s="51" t="s">
        <v>15</v>
      </c>
    </row>
    <row r="12" s="2" customFormat="1" ht="35.45" customHeight="1" spans="1:10">
      <c r="A12" s="51"/>
      <c r="B12" s="52" t="s">
        <v>16</v>
      </c>
      <c r="C12" s="52" t="s">
        <v>17</v>
      </c>
      <c r="D12" s="52" t="s">
        <v>16</v>
      </c>
      <c r="E12" s="52" t="s">
        <v>17</v>
      </c>
      <c r="F12" s="52" t="s">
        <v>18</v>
      </c>
      <c r="G12" s="56" t="s">
        <v>19</v>
      </c>
      <c r="H12" s="52" t="s">
        <v>16</v>
      </c>
      <c r="I12" s="52" t="s">
        <v>17</v>
      </c>
      <c r="J12" s="51"/>
    </row>
    <row r="13" s="2" customFormat="1" ht="18" customHeight="1" spans="1:10">
      <c r="A13" s="57" t="s">
        <v>20</v>
      </c>
      <c r="B13" s="57"/>
      <c r="C13" s="57"/>
      <c r="D13" s="57"/>
      <c r="E13" s="57"/>
      <c r="F13" s="57"/>
      <c r="G13" s="57"/>
      <c r="H13" s="57"/>
      <c r="I13" s="57"/>
      <c r="J13" s="57"/>
    </row>
    <row r="14" s="2" customFormat="1" ht="18" customHeight="1" spans="1:10">
      <c r="A14" s="16" t="s">
        <v>21</v>
      </c>
      <c r="B14" s="58">
        <v>0.708</v>
      </c>
      <c r="C14" s="58">
        <v>0.708</v>
      </c>
      <c r="D14" s="58"/>
      <c r="E14" s="58"/>
      <c r="F14" s="58"/>
      <c r="G14" s="58"/>
      <c r="H14" s="58">
        <f>B14</f>
        <v>0.708</v>
      </c>
      <c r="I14" s="58">
        <f>C14</f>
        <v>0.708</v>
      </c>
      <c r="J14" s="71">
        <f>H14+I14</f>
        <v>1.416</v>
      </c>
    </row>
    <row r="15" s="3" customFormat="1" ht="18" customHeight="1" spans="1:10">
      <c r="A15" s="17" t="s">
        <v>22</v>
      </c>
      <c r="B15" s="58">
        <v>6.25</v>
      </c>
      <c r="C15" s="58">
        <v>6.25</v>
      </c>
      <c r="D15" s="58"/>
      <c r="E15" s="58"/>
      <c r="F15" s="58"/>
      <c r="G15" s="58"/>
      <c r="H15" s="58">
        <f>H14-F15-D15+B15</f>
        <v>6.958</v>
      </c>
      <c r="I15" s="58">
        <f>I14-E15+C15</f>
        <v>6.958</v>
      </c>
      <c r="J15" s="71">
        <f>H15+I15</f>
        <v>13.916</v>
      </c>
    </row>
    <row r="16" s="3" customFormat="1" ht="18" customHeight="1" spans="1:10">
      <c r="A16" s="17" t="s">
        <v>23</v>
      </c>
      <c r="B16" s="58">
        <v>15</v>
      </c>
      <c r="C16" s="58">
        <v>15</v>
      </c>
      <c r="D16" s="58"/>
      <c r="E16" s="58"/>
      <c r="F16" s="58"/>
      <c r="G16" s="58"/>
      <c r="H16" s="58">
        <f t="shared" ref="H16:H17" si="0">H15-F16-D16+B16</f>
        <v>21.958</v>
      </c>
      <c r="I16" s="58">
        <f t="shared" ref="I16:I17" si="1">I15-E16+C16</f>
        <v>21.958</v>
      </c>
      <c r="J16" s="71">
        <f t="shared" ref="J16:J17" si="2">H16+I16</f>
        <v>43.916</v>
      </c>
    </row>
    <row r="17" s="3" customFormat="1" ht="18" customHeight="1" spans="1:10">
      <c r="A17" s="17" t="s">
        <v>24</v>
      </c>
      <c r="B17" s="58"/>
      <c r="C17" s="58"/>
      <c r="D17" s="58">
        <v>5</v>
      </c>
      <c r="E17" s="58"/>
      <c r="F17" s="58"/>
      <c r="G17" s="58"/>
      <c r="H17" s="58">
        <f t="shared" si="0"/>
        <v>16.958</v>
      </c>
      <c r="I17" s="58">
        <f t="shared" si="1"/>
        <v>21.958</v>
      </c>
      <c r="J17" s="71">
        <f t="shared" si="2"/>
        <v>38.916</v>
      </c>
    </row>
    <row r="18" s="3" customFormat="1" ht="18" customHeight="1" spans="1:10">
      <c r="A18" s="17" t="s">
        <v>25</v>
      </c>
      <c r="B18" s="58"/>
      <c r="C18" s="58"/>
      <c r="D18" s="58"/>
      <c r="E18" s="58"/>
      <c r="F18" s="58">
        <v>5</v>
      </c>
      <c r="G18" s="58"/>
      <c r="H18" s="58">
        <f t="shared" ref="H18:H19" si="3">H17-F18-D18+B18</f>
        <v>11.958</v>
      </c>
      <c r="I18" s="58">
        <f t="shared" ref="I18:I19" si="4">I17-E18+C18</f>
        <v>21.958</v>
      </c>
      <c r="J18" s="71">
        <f t="shared" ref="J18:J19" si="5">H18+I18</f>
        <v>33.916</v>
      </c>
    </row>
    <row r="19" s="3" customFormat="1" ht="18" customHeight="1" spans="1:10">
      <c r="A19" s="17" t="s">
        <v>26</v>
      </c>
      <c r="B19" s="58">
        <v>11.25</v>
      </c>
      <c r="C19" s="58">
        <v>11.25</v>
      </c>
      <c r="D19" s="58"/>
      <c r="E19" s="58"/>
      <c r="F19" s="58"/>
      <c r="G19" s="58"/>
      <c r="H19" s="58">
        <f t="shared" si="3"/>
        <v>23.208</v>
      </c>
      <c r="I19" s="58">
        <f t="shared" si="4"/>
        <v>33.208</v>
      </c>
      <c r="J19" s="71">
        <f t="shared" si="5"/>
        <v>56.416</v>
      </c>
    </row>
    <row r="20" s="3" customFormat="1" ht="18" customHeight="1" spans="1:10">
      <c r="A20" s="17" t="s">
        <v>27</v>
      </c>
      <c r="B20" s="58"/>
      <c r="C20" s="58"/>
      <c r="D20" s="58">
        <v>21</v>
      </c>
      <c r="E20" s="58">
        <v>8</v>
      </c>
      <c r="F20" s="58"/>
      <c r="G20" s="58"/>
      <c r="H20" s="58">
        <f t="shared" ref="H20:H36" si="6">H19-F20-D20+B20</f>
        <v>2.208</v>
      </c>
      <c r="I20" s="58">
        <f t="shared" ref="I20:I36" si="7">I19-E20+C20</f>
        <v>25.208</v>
      </c>
      <c r="J20" s="71">
        <f t="shared" ref="J20:J36" si="8">H20+I20</f>
        <v>27.416</v>
      </c>
    </row>
    <row r="21" s="3" customFormat="1" ht="18" customHeight="1" spans="1:10">
      <c r="A21" s="17" t="s">
        <v>28</v>
      </c>
      <c r="B21" s="58">
        <v>1.25</v>
      </c>
      <c r="C21" s="58">
        <v>1.25</v>
      </c>
      <c r="D21" s="58"/>
      <c r="E21" s="58"/>
      <c r="F21" s="58"/>
      <c r="G21" s="58"/>
      <c r="H21" s="58">
        <f t="shared" si="6"/>
        <v>3.458</v>
      </c>
      <c r="I21" s="58">
        <f t="shared" si="7"/>
        <v>26.458</v>
      </c>
      <c r="J21" s="71">
        <f t="shared" si="8"/>
        <v>29.916</v>
      </c>
    </row>
    <row r="22" s="3" customFormat="1" ht="18" customHeight="1" spans="1:10">
      <c r="A22" s="19" t="s">
        <v>29</v>
      </c>
      <c r="B22" s="58"/>
      <c r="C22" s="58"/>
      <c r="D22" s="58"/>
      <c r="E22" s="58">
        <v>2</v>
      </c>
      <c r="F22" s="58"/>
      <c r="G22" s="58"/>
      <c r="H22" s="58">
        <f t="shared" si="6"/>
        <v>3.458</v>
      </c>
      <c r="I22" s="58">
        <f t="shared" si="7"/>
        <v>24.458</v>
      </c>
      <c r="J22" s="71">
        <f t="shared" si="8"/>
        <v>27.916</v>
      </c>
    </row>
    <row r="23" s="3" customFormat="1" ht="18" customHeight="1" spans="1:10">
      <c r="A23" s="17" t="s">
        <v>30</v>
      </c>
      <c r="B23" s="58">
        <v>2.5</v>
      </c>
      <c r="C23" s="58">
        <v>2.5</v>
      </c>
      <c r="D23" s="58"/>
      <c r="E23" s="58"/>
      <c r="F23" s="58"/>
      <c r="G23" s="58"/>
      <c r="H23" s="58">
        <f t="shared" si="6"/>
        <v>5.958</v>
      </c>
      <c r="I23" s="58">
        <f t="shared" si="7"/>
        <v>26.958</v>
      </c>
      <c r="J23" s="71">
        <f t="shared" si="8"/>
        <v>32.916</v>
      </c>
    </row>
    <row r="24" s="3" customFormat="1" ht="18" customHeight="1" spans="1:10">
      <c r="A24" s="17" t="s">
        <v>31</v>
      </c>
      <c r="B24" s="58"/>
      <c r="C24" s="58"/>
      <c r="D24" s="58"/>
      <c r="E24" s="58"/>
      <c r="F24" s="58">
        <v>5</v>
      </c>
      <c r="G24" s="58"/>
      <c r="H24" s="58">
        <f t="shared" si="6"/>
        <v>0.957999999999998</v>
      </c>
      <c r="I24" s="58">
        <f t="shared" si="7"/>
        <v>26.958</v>
      </c>
      <c r="J24" s="71">
        <f t="shared" si="8"/>
        <v>27.916</v>
      </c>
    </row>
    <row r="25" s="3" customFormat="1" ht="18" customHeight="1" spans="1:10">
      <c r="A25" s="19" t="s">
        <v>32</v>
      </c>
      <c r="B25" s="58">
        <v>6.25</v>
      </c>
      <c r="C25" s="58">
        <v>6.25</v>
      </c>
      <c r="D25" s="58"/>
      <c r="E25" s="58"/>
      <c r="F25" s="58"/>
      <c r="G25" s="58"/>
      <c r="H25" s="58">
        <f t="shared" si="6"/>
        <v>7.208</v>
      </c>
      <c r="I25" s="58">
        <f t="shared" si="7"/>
        <v>33.208</v>
      </c>
      <c r="J25" s="71">
        <f t="shared" si="8"/>
        <v>40.416</v>
      </c>
    </row>
    <row r="26" s="3" customFormat="1" ht="18" customHeight="1" spans="1:10">
      <c r="A26" s="19" t="s">
        <v>33</v>
      </c>
      <c r="B26" s="58"/>
      <c r="C26" s="58"/>
      <c r="D26" s="58"/>
      <c r="E26" s="58"/>
      <c r="F26" s="58"/>
      <c r="G26" s="58">
        <v>1</v>
      </c>
      <c r="H26" s="58">
        <f t="shared" si="6"/>
        <v>7.208</v>
      </c>
      <c r="I26" s="58">
        <f t="shared" si="7"/>
        <v>33.208</v>
      </c>
      <c r="J26" s="71">
        <f t="shared" si="8"/>
        <v>40.416</v>
      </c>
    </row>
    <row r="27" s="3" customFormat="1" ht="18" customHeight="1" spans="1:10">
      <c r="A27" s="19" t="s">
        <v>34</v>
      </c>
      <c r="B27" s="58">
        <v>1.25</v>
      </c>
      <c r="C27" s="58">
        <v>1.25</v>
      </c>
      <c r="D27" s="58"/>
      <c r="E27" s="58"/>
      <c r="F27" s="58"/>
      <c r="G27" s="58"/>
      <c r="H27" s="58">
        <f t="shared" si="6"/>
        <v>8.458</v>
      </c>
      <c r="I27" s="58">
        <f t="shared" si="7"/>
        <v>34.458</v>
      </c>
      <c r="J27" s="71">
        <f t="shared" si="8"/>
        <v>42.916</v>
      </c>
    </row>
    <row r="28" s="3" customFormat="1" ht="18" customHeight="1" spans="1:10">
      <c r="A28" s="19" t="s">
        <v>35</v>
      </c>
      <c r="B28" s="58"/>
      <c r="C28" s="58"/>
      <c r="D28" s="58"/>
      <c r="E28" s="58">
        <v>1</v>
      </c>
      <c r="F28" s="58"/>
      <c r="G28" s="58"/>
      <c r="H28" s="58">
        <f t="shared" si="6"/>
        <v>8.458</v>
      </c>
      <c r="I28" s="58">
        <f t="shared" si="7"/>
        <v>33.458</v>
      </c>
      <c r="J28" s="71">
        <f t="shared" si="8"/>
        <v>41.916</v>
      </c>
    </row>
    <row r="29" ht="18" customHeight="1" spans="1:10">
      <c r="A29" s="19" t="s">
        <v>36</v>
      </c>
      <c r="B29" s="58"/>
      <c r="C29" s="58"/>
      <c r="D29" s="58"/>
      <c r="E29" s="58"/>
      <c r="F29" s="58">
        <v>2</v>
      </c>
      <c r="G29" s="58"/>
      <c r="H29" s="58">
        <f t="shared" si="6"/>
        <v>6.458</v>
      </c>
      <c r="I29" s="58">
        <f t="shared" si="7"/>
        <v>33.458</v>
      </c>
      <c r="J29" s="71">
        <f t="shared" si="8"/>
        <v>39.916</v>
      </c>
    </row>
    <row r="30" ht="18" customHeight="1" spans="1:10">
      <c r="A30" s="19" t="s">
        <v>37</v>
      </c>
      <c r="B30" s="58"/>
      <c r="C30" s="58"/>
      <c r="D30" s="58"/>
      <c r="E30" s="58"/>
      <c r="F30" s="58"/>
      <c r="G30" s="58">
        <v>1</v>
      </c>
      <c r="H30" s="58">
        <f t="shared" si="6"/>
        <v>6.458</v>
      </c>
      <c r="I30" s="58">
        <f t="shared" si="7"/>
        <v>33.458</v>
      </c>
      <c r="J30" s="71">
        <f t="shared" si="8"/>
        <v>39.916</v>
      </c>
    </row>
    <row r="31" ht="18" customHeight="1" spans="1:10">
      <c r="A31" s="19" t="s">
        <v>38</v>
      </c>
      <c r="B31" s="58"/>
      <c r="C31" s="58"/>
      <c r="D31" s="58"/>
      <c r="E31" s="58"/>
      <c r="F31" s="58">
        <v>1</v>
      </c>
      <c r="G31" s="58"/>
      <c r="H31" s="58">
        <f t="shared" si="6"/>
        <v>5.458</v>
      </c>
      <c r="I31" s="58">
        <f t="shared" si="7"/>
        <v>33.458</v>
      </c>
      <c r="J31" s="71">
        <f t="shared" si="8"/>
        <v>38.916</v>
      </c>
    </row>
    <row r="32" ht="18" customHeight="1" spans="1:10">
      <c r="A32" s="19" t="s">
        <v>39</v>
      </c>
      <c r="B32" s="58">
        <v>2.5</v>
      </c>
      <c r="C32" s="58">
        <v>2.5</v>
      </c>
      <c r="D32" s="58"/>
      <c r="E32" s="58"/>
      <c r="F32" s="58"/>
      <c r="G32" s="58"/>
      <c r="H32" s="58">
        <f t="shared" si="6"/>
        <v>7.958</v>
      </c>
      <c r="I32" s="58">
        <f t="shared" si="7"/>
        <v>35.958</v>
      </c>
      <c r="J32" s="71">
        <f t="shared" si="8"/>
        <v>43.916</v>
      </c>
    </row>
    <row r="33" ht="18" customHeight="1" spans="1:10">
      <c r="A33" s="59" t="s">
        <v>40</v>
      </c>
      <c r="B33" s="58"/>
      <c r="C33" s="58"/>
      <c r="D33" s="58">
        <v>5</v>
      </c>
      <c r="E33" s="58">
        <v>24</v>
      </c>
      <c r="F33" s="58"/>
      <c r="G33" s="58"/>
      <c r="H33" s="58">
        <f t="shared" si="6"/>
        <v>2.958</v>
      </c>
      <c r="I33" s="58">
        <f t="shared" si="7"/>
        <v>11.958</v>
      </c>
      <c r="J33" s="71">
        <f t="shared" si="8"/>
        <v>14.916</v>
      </c>
    </row>
    <row r="34" ht="18" customHeight="1" spans="1:10">
      <c r="A34" s="19" t="s">
        <v>41</v>
      </c>
      <c r="B34" s="58">
        <v>3.75</v>
      </c>
      <c r="C34" s="58">
        <v>3.75</v>
      </c>
      <c r="D34" s="58"/>
      <c r="E34" s="58"/>
      <c r="F34" s="58"/>
      <c r="G34" s="58"/>
      <c r="H34" s="58">
        <f t="shared" si="6"/>
        <v>6.708</v>
      </c>
      <c r="I34" s="58">
        <f t="shared" si="7"/>
        <v>15.708</v>
      </c>
      <c r="J34" s="71">
        <f t="shared" si="8"/>
        <v>22.416</v>
      </c>
    </row>
    <row r="35" ht="18" customHeight="1" spans="1:10">
      <c r="A35" s="19" t="s">
        <v>42</v>
      </c>
      <c r="B35" s="58"/>
      <c r="C35" s="58"/>
      <c r="D35" s="58"/>
      <c r="E35" s="58"/>
      <c r="F35" s="58">
        <v>2</v>
      </c>
      <c r="G35" s="58"/>
      <c r="H35" s="58">
        <f t="shared" si="6"/>
        <v>4.708</v>
      </c>
      <c r="I35" s="58">
        <f t="shared" si="7"/>
        <v>15.708</v>
      </c>
      <c r="J35" s="71">
        <f t="shared" si="8"/>
        <v>20.416</v>
      </c>
    </row>
    <row r="36" ht="18" customHeight="1" spans="1:10">
      <c r="A36" s="19" t="s">
        <v>43</v>
      </c>
      <c r="B36" s="58">
        <v>1.25</v>
      </c>
      <c r="C36" s="58">
        <v>1.25</v>
      </c>
      <c r="D36" s="58"/>
      <c r="E36" s="58"/>
      <c r="F36" s="58"/>
      <c r="G36" s="58"/>
      <c r="H36" s="58">
        <f t="shared" si="6"/>
        <v>5.958</v>
      </c>
      <c r="I36" s="58">
        <f t="shared" si="7"/>
        <v>16.958</v>
      </c>
      <c r="J36" s="71">
        <f t="shared" si="8"/>
        <v>22.916</v>
      </c>
    </row>
    <row r="37" ht="18" customHeight="1" spans="1:10">
      <c r="A37" s="19" t="s">
        <v>44</v>
      </c>
      <c r="B37" s="58">
        <v>3.75</v>
      </c>
      <c r="C37" s="58">
        <v>3.75</v>
      </c>
      <c r="D37" s="58"/>
      <c r="E37" s="58"/>
      <c r="F37" s="58"/>
      <c r="G37" s="58"/>
      <c r="H37" s="58">
        <f t="shared" ref="H37:H38" si="9">H36-F37-D37+B37</f>
        <v>9.708</v>
      </c>
      <c r="I37" s="58">
        <f t="shared" ref="I37:I38" si="10">I36-E37+C37</f>
        <v>20.708</v>
      </c>
      <c r="J37" s="71">
        <f t="shared" ref="J37:J38" si="11">H37+I37</f>
        <v>30.416</v>
      </c>
    </row>
    <row r="38" ht="18" customHeight="1" spans="1:10">
      <c r="A38" s="19" t="s">
        <v>45</v>
      </c>
      <c r="B38" s="58"/>
      <c r="C38" s="58"/>
      <c r="D38" s="58"/>
      <c r="E38" s="58"/>
      <c r="F38" s="58"/>
      <c r="G38" s="58">
        <v>2</v>
      </c>
      <c r="H38" s="58">
        <f t="shared" si="9"/>
        <v>9.708</v>
      </c>
      <c r="I38" s="58">
        <f t="shared" si="10"/>
        <v>20.708</v>
      </c>
      <c r="J38" s="71">
        <f t="shared" si="11"/>
        <v>30.416</v>
      </c>
    </row>
    <row r="39" ht="18" customHeight="1" spans="1:10">
      <c r="A39" s="19" t="s">
        <v>46</v>
      </c>
      <c r="B39" s="58">
        <v>2.5</v>
      </c>
      <c r="C39" s="58">
        <v>2.5</v>
      </c>
      <c r="D39" s="58"/>
      <c r="E39" s="58"/>
      <c r="F39" s="58"/>
      <c r="G39" s="58"/>
      <c r="H39" s="58">
        <f t="shared" ref="H39" si="12">H38-F39-D39+B39</f>
        <v>12.208</v>
      </c>
      <c r="I39" s="58">
        <f t="shared" ref="I39" si="13">I38-E39+C39</f>
        <v>23.208</v>
      </c>
      <c r="J39" s="71">
        <f t="shared" ref="J39" si="14">H39+I39</f>
        <v>35.416</v>
      </c>
    </row>
    <row r="40" ht="18" customHeight="1" spans="1:10">
      <c r="A40" s="19" t="s">
        <v>47</v>
      </c>
      <c r="B40" s="58"/>
      <c r="C40" s="58"/>
      <c r="D40" s="58"/>
      <c r="E40" s="58"/>
      <c r="F40" s="58">
        <v>2</v>
      </c>
      <c r="G40" s="58"/>
      <c r="H40" s="58">
        <f t="shared" ref="H40" si="15">H39-F40-D40+B40</f>
        <v>10.208</v>
      </c>
      <c r="I40" s="58">
        <f t="shared" ref="I40" si="16">I39-E40+C40</f>
        <v>23.208</v>
      </c>
      <c r="J40" s="71">
        <f t="shared" ref="J40" si="17">H40+I40</f>
        <v>33.416</v>
      </c>
    </row>
    <row r="41" ht="18" customHeight="1" spans="1:10">
      <c r="A41" s="19" t="s">
        <v>48</v>
      </c>
      <c r="B41" s="58">
        <v>3.75</v>
      </c>
      <c r="C41" s="58">
        <v>3.75</v>
      </c>
      <c r="D41" s="58"/>
      <c r="E41" s="58"/>
      <c r="F41" s="58"/>
      <c r="G41" s="58"/>
      <c r="H41" s="58">
        <f t="shared" ref="H41" si="18">H40-F41-D41+B41</f>
        <v>13.958</v>
      </c>
      <c r="I41" s="58">
        <f t="shared" ref="I41" si="19">I40-E41+C41</f>
        <v>26.958</v>
      </c>
      <c r="J41" s="71">
        <f t="shared" ref="J41" si="20">H41+I41</f>
        <v>40.916</v>
      </c>
    </row>
    <row r="42" ht="18" customHeight="1" spans="1:10">
      <c r="A42" s="19" t="s">
        <v>49</v>
      </c>
      <c r="B42" s="58"/>
      <c r="C42" s="58"/>
      <c r="D42" s="58">
        <v>8</v>
      </c>
      <c r="E42" s="58">
        <v>21</v>
      </c>
      <c r="F42" s="58"/>
      <c r="G42" s="58"/>
      <c r="H42" s="58">
        <f t="shared" ref="H42" si="21">H41-F42-D42+B42</f>
        <v>5.958</v>
      </c>
      <c r="I42" s="58">
        <f t="shared" ref="I42" si="22">I41-E42+C42</f>
        <v>5.958</v>
      </c>
      <c r="J42" s="71">
        <f t="shared" ref="J42" si="23">H42+I42</f>
        <v>11.916</v>
      </c>
    </row>
    <row r="43" ht="18" customHeight="1" spans="1:10">
      <c r="A43" s="19" t="s">
        <v>50</v>
      </c>
      <c r="B43" s="58"/>
      <c r="C43" s="58"/>
      <c r="D43" s="58"/>
      <c r="E43" s="58">
        <v>2</v>
      </c>
      <c r="F43" s="58"/>
      <c r="G43" s="58"/>
      <c r="H43" s="58">
        <f t="shared" ref="H43:H44" si="24">H42-F43-D43+B43</f>
        <v>5.958</v>
      </c>
      <c r="I43" s="58">
        <f t="shared" ref="I43:I44" si="25">I42-E43+C43</f>
        <v>3.958</v>
      </c>
      <c r="J43" s="71">
        <f t="shared" ref="J43:J44" si="26">H43+I43</f>
        <v>9.916</v>
      </c>
    </row>
    <row r="44" ht="18" customHeight="1" spans="1:10">
      <c r="A44" s="19" t="s">
        <v>51</v>
      </c>
      <c r="B44" s="58">
        <v>5</v>
      </c>
      <c r="C44" s="58">
        <v>5</v>
      </c>
      <c r="D44" s="58"/>
      <c r="E44" s="58"/>
      <c r="F44" s="58"/>
      <c r="G44" s="58"/>
      <c r="H44" s="58">
        <f t="shared" si="24"/>
        <v>10.958</v>
      </c>
      <c r="I44" s="58">
        <f t="shared" si="25"/>
        <v>8.958</v>
      </c>
      <c r="J44" s="71">
        <f t="shared" si="26"/>
        <v>19.916</v>
      </c>
    </row>
    <row r="45" ht="18" customHeight="1" spans="1:10">
      <c r="A45" s="19" t="s">
        <v>52</v>
      </c>
      <c r="B45" s="58"/>
      <c r="C45" s="58"/>
      <c r="D45" s="58"/>
      <c r="E45" s="58"/>
      <c r="F45" s="58">
        <v>3</v>
      </c>
      <c r="G45" s="58"/>
      <c r="H45" s="58">
        <f t="shared" ref="H45:H47" si="27">H44-F45-D45+B45</f>
        <v>7.958</v>
      </c>
      <c r="I45" s="58">
        <f t="shared" ref="I45:I47" si="28">I44-E45+C45</f>
        <v>8.958</v>
      </c>
      <c r="J45" s="71">
        <f t="shared" ref="J45:J47" si="29">H45+I45</f>
        <v>16.916</v>
      </c>
    </row>
    <row r="46" ht="18" customHeight="1" spans="1:10">
      <c r="A46" s="19" t="s">
        <v>53</v>
      </c>
      <c r="B46" s="58">
        <v>6.25</v>
      </c>
      <c r="C46" s="58">
        <v>6.25</v>
      </c>
      <c r="D46" s="58"/>
      <c r="E46" s="58"/>
      <c r="F46" s="58"/>
      <c r="G46" s="58"/>
      <c r="H46" s="58">
        <f t="shared" si="27"/>
        <v>14.208</v>
      </c>
      <c r="I46" s="58">
        <f t="shared" si="28"/>
        <v>15.208</v>
      </c>
      <c r="J46" s="71">
        <f t="shared" si="29"/>
        <v>29.416</v>
      </c>
    </row>
    <row r="47" ht="18" customHeight="1" spans="1:10">
      <c r="A47" s="19" t="s">
        <v>54</v>
      </c>
      <c r="B47" s="58"/>
      <c r="C47" s="58"/>
      <c r="D47" s="58"/>
      <c r="E47" s="58">
        <v>1</v>
      </c>
      <c r="F47" s="58"/>
      <c r="G47" s="58"/>
      <c r="H47" s="58">
        <f t="shared" si="27"/>
        <v>14.208</v>
      </c>
      <c r="I47" s="58">
        <f t="shared" si="28"/>
        <v>14.208</v>
      </c>
      <c r="J47" s="71">
        <f t="shared" si="29"/>
        <v>28.416</v>
      </c>
    </row>
    <row r="48" ht="18" customHeight="1" spans="1:10">
      <c r="A48" s="19" t="s">
        <v>55</v>
      </c>
      <c r="B48" s="58">
        <v>2.5</v>
      </c>
      <c r="C48" s="58">
        <v>2.5</v>
      </c>
      <c r="D48" s="58"/>
      <c r="E48" s="58"/>
      <c r="F48" s="58"/>
      <c r="G48" s="58"/>
      <c r="H48" s="58">
        <f t="shared" ref="H48:H51" si="30">H47-F48-D48+B48</f>
        <v>16.708</v>
      </c>
      <c r="I48" s="58">
        <f t="shared" ref="I48:I51" si="31">I47-E48+C48</f>
        <v>16.708</v>
      </c>
      <c r="J48" s="71">
        <f t="shared" ref="J48" si="32">H48+I48</f>
        <v>33.416</v>
      </c>
    </row>
    <row r="49" ht="18" customHeight="1" spans="1:10">
      <c r="A49" s="19" t="s">
        <v>56</v>
      </c>
      <c r="B49" s="58"/>
      <c r="C49" s="58"/>
      <c r="D49" s="58">
        <v>10</v>
      </c>
      <c r="E49" s="58"/>
      <c r="F49" s="58"/>
      <c r="G49" s="58"/>
      <c r="H49" s="58">
        <f t="shared" si="30"/>
        <v>6.708</v>
      </c>
      <c r="I49" s="58">
        <f t="shared" si="31"/>
        <v>16.708</v>
      </c>
      <c r="J49" s="72">
        <f t="shared" ref="J49" si="33">H49+I49</f>
        <v>23.416</v>
      </c>
    </row>
    <row r="50" ht="18" customHeight="1" spans="1:10">
      <c r="A50" s="19" t="s">
        <v>57</v>
      </c>
      <c r="B50" s="58">
        <v>2.5</v>
      </c>
      <c r="C50" s="58">
        <v>2.5</v>
      </c>
      <c r="D50" s="58"/>
      <c r="E50" s="58"/>
      <c r="F50" s="58"/>
      <c r="G50" s="58"/>
      <c r="H50" s="58">
        <f t="shared" si="30"/>
        <v>9.208</v>
      </c>
      <c r="I50" s="58">
        <f t="shared" si="31"/>
        <v>19.208</v>
      </c>
      <c r="J50" s="72">
        <f t="shared" ref="J50" si="34">H50+I50</f>
        <v>28.416</v>
      </c>
    </row>
    <row r="51" ht="18" customHeight="1" spans="1:10">
      <c r="A51" s="19" t="s">
        <v>58</v>
      </c>
      <c r="B51" s="58"/>
      <c r="C51" s="58"/>
      <c r="D51" s="58"/>
      <c r="E51" s="58">
        <v>1</v>
      </c>
      <c r="F51" s="58"/>
      <c r="G51" s="58"/>
      <c r="H51" s="58">
        <f t="shared" si="30"/>
        <v>9.208</v>
      </c>
      <c r="I51" s="58">
        <f t="shared" si="31"/>
        <v>18.208</v>
      </c>
      <c r="J51" s="72">
        <f t="shared" ref="J51" si="35">H51+I51</f>
        <v>27.416</v>
      </c>
    </row>
    <row r="52" ht="18" customHeight="1" spans="1:10">
      <c r="A52" s="19" t="s">
        <v>59</v>
      </c>
      <c r="B52" s="58">
        <v>2.5</v>
      </c>
      <c r="C52" s="58">
        <v>2.5</v>
      </c>
      <c r="D52" s="58"/>
      <c r="E52" s="58"/>
      <c r="F52" s="58"/>
      <c r="G52" s="58"/>
      <c r="H52" s="58">
        <f t="shared" ref="H52:H53" si="36">H51-F52-D52+B52</f>
        <v>11.708</v>
      </c>
      <c r="I52" s="58">
        <f t="shared" ref="I52:I53" si="37">I51-E52+C52</f>
        <v>20.708</v>
      </c>
      <c r="J52" s="72">
        <f t="shared" ref="J52:J53" si="38">H52+I52</f>
        <v>32.416</v>
      </c>
    </row>
    <row r="53" ht="18" customHeight="1" spans="1:10">
      <c r="A53" s="19" t="s">
        <v>60</v>
      </c>
      <c r="B53" s="58"/>
      <c r="C53" s="58"/>
      <c r="D53" s="58"/>
      <c r="E53" s="58"/>
      <c r="F53" s="58">
        <v>2</v>
      </c>
      <c r="G53" s="58"/>
      <c r="H53" s="58">
        <f t="shared" si="36"/>
        <v>9.708</v>
      </c>
      <c r="I53" s="58">
        <f t="shared" si="37"/>
        <v>20.708</v>
      </c>
      <c r="J53" s="72">
        <f t="shared" si="38"/>
        <v>30.416</v>
      </c>
    </row>
    <row r="54" ht="18" customHeight="1" spans="1:10">
      <c r="A54" s="19" t="s">
        <v>61</v>
      </c>
      <c r="B54" s="58">
        <v>1.25</v>
      </c>
      <c r="C54" s="58">
        <v>1.25</v>
      </c>
      <c r="D54" s="58"/>
      <c r="E54" s="58"/>
      <c r="F54" s="58"/>
      <c r="G54" s="58"/>
      <c r="H54" s="58">
        <f t="shared" ref="H54:H58" si="39">H53-F54-D54+B54</f>
        <v>10.958</v>
      </c>
      <c r="I54" s="58">
        <f t="shared" ref="I54:I58" si="40">I53-E54+C54</f>
        <v>21.958</v>
      </c>
      <c r="J54" s="72">
        <f t="shared" ref="J54:J55" si="41">H54+I54</f>
        <v>32.916</v>
      </c>
    </row>
    <row r="55" ht="18" customHeight="1" spans="1:10">
      <c r="A55" s="19" t="s">
        <v>62</v>
      </c>
      <c r="B55" s="58"/>
      <c r="C55" s="58"/>
      <c r="D55" s="58"/>
      <c r="E55" s="58"/>
      <c r="F55" s="58">
        <v>3</v>
      </c>
      <c r="G55" s="58"/>
      <c r="H55" s="58">
        <f t="shared" si="39"/>
        <v>7.958</v>
      </c>
      <c r="I55" s="58">
        <f t="shared" si="40"/>
        <v>21.958</v>
      </c>
      <c r="J55" s="72">
        <f t="shared" si="41"/>
        <v>29.916</v>
      </c>
    </row>
    <row r="56" ht="18" customHeight="1" spans="1:10">
      <c r="A56" s="19" t="s">
        <v>63</v>
      </c>
      <c r="B56" s="58">
        <v>7.5</v>
      </c>
      <c r="C56" s="58">
        <v>7.5</v>
      </c>
      <c r="D56" s="58"/>
      <c r="E56" s="58"/>
      <c r="F56" s="58"/>
      <c r="G56" s="58"/>
      <c r="H56" s="58">
        <f t="shared" si="39"/>
        <v>15.458</v>
      </c>
      <c r="I56" s="58">
        <f t="shared" si="40"/>
        <v>29.458</v>
      </c>
      <c r="J56" s="72">
        <f t="shared" ref="J56" si="42">H56+I56</f>
        <v>44.916</v>
      </c>
    </row>
    <row r="57" ht="18" customHeight="1" spans="1:10">
      <c r="A57" s="19" t="s">
        <v>64</v>
      </c>
      <c r="B57" s="58"/>
      <c r="C57" s="58"/>
      <c r="D57" s="58">
        <v>10</v>
      </c>
      <c r="E57" s="58"/>
      <c r="F57" s="58"/>
      <c r="G57" s="58"/>
      <c r="H57" s="58">
        <f t="shared" si="39"/>
        <v>5.458</v>
      </c>
      <c r="I57" s="58">
        <f t="shared" si="40"/>
        <v>29.458</v>
      </c>
      <c r="J57" s="72">
        <f t="shared" ref="J57" si="43">H57+I57</f>
        <v>34.916</v>
      </c>
    </row>
    <row r="58" ht="18" customHeight="1" spans="1:10">
      <c r="A58" s="19" t="s">
        <v>65</v>
      </c>
      <c r="B58" s="58"/>
      <c r="C58" s="58"/>
      <c r="D58" s="58"/>
      <c r="E58" s="58"/>
      <c r="F58" s="58"/>
      <c r="G58" s="60">
        <v>1</v>
      </c>
      <c r="H58" s="58">
        <f t="shared" si="39"/>
        <v>5.458</v>
      </c>
      <c r="I58" s="58">
        <f t="shared" si="40"/>
        <v>29.458</v>
      </c>
      <c r="J58" s="72">
        <f t="shared" ref="J58" si="44">H58+I58</f>
        <v>34.916</v>
      </c>
    </row>
    <row r="59" s="46" customFormat="1" ht="18" customHeight="1" spans="1:10">
      <c r="A59" s="61" t="s">
        <v>66</v>
      </c>
      <c r="B59" s="62">
        <v>6.25</v>
      </c>
      <c r="C59" s="62">
        <v>6.25</v>
      </c>
      <c r="D59" s="62"/>
      <c r="E59" s="62"/>
      <c r="F59" s="62"/>
      <c r="G59" s="63"/>
      <c r="H59" s="58">
        <f>H58-F59-D59+B59</f>
        <v>11.708</v>
      </c>
      <c r="I59" s="58">
        <f>I58-E59+C59</f>
        <v>35.708</v>
      </c>
      <c r="J59" s="72">
        <f>H59+I59</f>
        <v>47.416</v>
      </c>
    </row>
    <row r="60" s="46" customFormat="1" ht="18" customHeight="1" spans="1:11">
      <c r="A60" s="61" t="s">
        <v>67</v>
      </c>
      <c r="B60" s="62"/>
      <c r="C60" s="62"/>
      <c r="D60" s="62"/>
      <c r="E60" s="62"/>
      <c r="F60" s="64">
        <v>3</v>
      </c>
      <c r="G60" s="63"/>
      <c r="H60" s="58">
        <f>H59-F60-D60+B60</f>
        <v>8.708</v>
      </c>
      <c r="I60" s="58">
        <f>I59-E60+C60</f>
        <v>35.708</v>
      </c>
      <c r="J60" s="72">
        <f>H60+I60</f>
        <v>44.416</v>
      </c>
      <c r="K60" s="46" t="s">
        <v>68</v>
      </c>
    </row>
    <row r="61" s="46" customFormat="1" ht="18" customHeight="1" spans="1:10">
      <c r="A61" s="65"/>
      <c r="B61" s="66"/>
      <c r="C61" s="66"/>
      <c r="D61" s="66"/>
      <c r="E61" s="66"/>
      <c r="F61" s="66"/>
      <c r="G61" s="67"/>
      <c r="H61" s="66"/>
      <c r="I61" s="66"/>
      <c r="J61" s="73"/>
    </row>
    <row r="62" ht="18" customHeight="1" spans="1:10">
      <c r="A62" s="45"/>
      <c r="B62" s="68"/>
      <c r="C62" s="68"/>
      <c r="D62" s="68"/>
      <c r="E62" s="68"/>
      <c r="F62" s="68"/>
      <c r="G62" s="68"/>
      <c r="H62" s="68"/>
      <c r="I62" s="68"/>
      <c r="J62" s="74"/>
    </row>
    <row r="63" ht="18" customHeight="1" spans="1:10">
      <c r="A63" s="45"/>
      <c r="B63" s="68"/>
      <c r="C63" s="68"/>
      <c r="D63" s="68"/>
      <c r="E63" s="68"/>
      <c r="F63" s="68"/>
      <c r="G63" s="68"/>
      <c r="H63" s="68"/>
      <c r="I63" s="68"/>
      <c r="J63" s="75"/>
    </row>
    <row r="64" s="1" customFormat="1" spans="2:9">
      <c r="B64"/>
      <c r="C64"/>
      <c r="D64"/>
      <c r="E64"/>
      <c r="F64"/>
      <c r="G64" t="s">
        <v>69</v>
      </c>
      <c r="H64"/>
      <c r="I64"/>
    </row>
    <row r="65" s="1" customFormat="1" spans="2:9">
      <c r="B65"/>
      <c r="C65"/>
      <c r="D65"/>
      <c r="E65"/>
      <c r="F65"/>
      <c r="G65"/>
      <c r="H65"/>
      <c r="I65"/>
    </row>
    <row r="66" s="1" customFormat="1" spans="2:9">
      <c r="B66"/>
      <c r="C66"/>
      <c r="D66"/>
      <c r="E66"/>
      <c r="F66"/>
      <c r="G66" s="76" t="s">
        <v>70</v>
      </c>
      <c r="H66"/>
      <c r="I66"/>
    </row>
    <row r="67" s="1" customFormat="1" spans="2:9">
      <c r="B67"/>
      <c r="C67"/>
      <c r="D67"/>
      <c r="E67"/>
      <c r="F67"/>
      <c r="G67" t="s">
        <v>71</v>
      </c>
      <c r="H67"/>
      <c r="I67"/>
    </row>
    <row r="68" s="1" customFormat="1" spans="2:9">
      <c r="B68"/>
      <c r="C68"/>
      <c r="D68"/>
      <c r="E68"/>
      <c r="F68"/>
      <c r="G68" t="s">
        <v>72</v>
      </c>
      <c r="H68"/>
      <c r="I68"/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3:J13"/>
    <mergeCell ref="A11:A12"/>
    <mergeCell ref="J11:J12"/>
  </mergeCells>
  <printOptions horizontalCentered="1"/>
  <pageMargins left="0.5" right="0.5" top="0.5" bottom="0.5" header="0.31496062992126" footer="0.31496062992126"/>
  <pageSetup paperSize="9" scale="51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4"/>
  <sheetViews>
    <sheetView view="pageBreakPreview" zoomScale="108" zoomScaleNormal="100" topLeftCell="A10" workbookViewId="0">
      <selection activeCell="A19" sqref="A19:L19"/>
    </sheetView>
  </sheetViews>
  <sheetFormatPr defaultColWidth="9" defaultRowHeight="14.4"/>
  <cols>
    <col min="1" max="1" width="21.5740740740741" customWidth="1"/>
    <col min="2" max="2" width="17.5740740740741" customWidth="1"/>
  </cols>
  <sheetData>
    <row r="1" s="1" customFormat="1" ht="52.5" customHeight="1"/>
    <row r="2" s="1" customFormat="1" ht="10.5" customHeight="1" spans="1:1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="1" customFormat="1" ht="15.95" customHeight="1" spans="1:1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="1" customFormat="1" ht="15.95" customHeight="1" spans="1:12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="1" customFormat="1" ht="15.95" customHeight="1" spans="1:12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="1" customFormat="1" ht="8.25" customHeight="1"/>
    <row r="7" s="1" customFormat="1" ht="12" customHeight="1" spans="1:8">
      <c r="A7" s="1" t="s">
        <v>4</v>
      </c>
      <c r="C7" s="8" t="s">
        <v>5</v>
      </c>
      <c r="D7" s="8"/>
      <c r="G7" s="8" t="s">
        <v>6</v>
      </c>
      <c r="H7" s="26"/>
    </row>
    <row r="8" s="1" customFormat="1" ht="12" customHeight="1" spans="3:8">
      <c r="C8" s="10"/>
      <c r="G8" s="10"/>
      <c r="H8" s="10"/>
    </row>
    <row r="9" s="1" customFormat="1" ht="12" customHeight="1" spans="1:8">
      <c r="A9" s="1" t="s">
        <v>7</v>
      </c>
      <c r="C9" s="8" t="s">
        <v>8</v>
      </c>
      <c r="D9" s="8"/>
      <c r="G9" s="8" t="s">
        <v>9</v>
      </c>
      <c r="H9" s="27"/>
    </row>
    <row r="10" ht="16.5" customHeight="1" spans="1:12">
      <c r="A10" s="12" t="s">
        <v>73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="2" customFormat="1" ht="18.75" customHeight="1" spans="1:12">
      <c r="A11" s="28" t="s">
        <v>11</v>
      </c>
      <c r="B11" s="29" t="s">
        <v>12</v>
      </c>
      <c r="C11" s="30"/>
      <c r="D11" s="30"/>
      <c r="E11" s="30"/>
      <c r="F11" s="30"/>
      <c r="G11" s="30"/>
      <c r="H11" s="30"/>
      <c r="I11" s="30"/>
      <c r="J11" s="30"/>
      <c r="K11" s="30"/>
      <c r="L11" s="40" t="s">
        <v>15</v>
      </c>
    </row>
    <row r="12" s="2" customFormat="1" ht="24" customHeight="1" spans="1:12">
      <c r="A12" s="31"/>
      <c r="B12" s="32" t="s">
        <v>74</v>
      </c>
      <c r="C12" s="33"/>
      <c r="D12" s="33"/>
      <c r="E12" s="34"/>
      <c r="F12" s="32" t="s">
        <v>75</v>
      </c>
      <c r="G12" s="34"/>
      <c r="H12" s="32" t="s">
        <v>76</v>
      </c>
      <c r="I12" s="34"/>
      <c r="J12" s="32" t="s">
        <v>77</v>
      </c>
      <c r="K12" s="34"/>
      <c r="L12" s="23"/>
    </row>
    <row r="13" s="2" customFormat="1" ht="24.95" customHeight="1" spans="1:12">
      <c r="A13" s="15" t="s">
        <v>78</v>
      </c>
      <c r="B13" s="35" t="s">
        <v>79</v>
      </c>
      <c r="C13" s="36"/>
      <c r="D13" s="36"/>
      <c r="E13" s="37"/>
      <c r="F13" s="35">
        <v>1</v>
      </c>
      <c r="G13" s="37"/>
      <c r="H13" s="35">
        <v>0</v>
      </c>
      <c r="I13" s="37"/>
      <c r="J13" s="35">
        <v>1</v>
      </c>
      <c r="K13" s="37"/>
      <c r="L13" s="24">
        <v>1</v>
      </c>
    </row>
    <row r="14" s="3" customFormat="1" ht="25.5" customHeight="1" spans="1:12">
      <c r="A14" s="15" t="s">
        <v>80</v>
      </c>
      <c r="B14" s="35"/>
      <c r="C14" s="36"/>
      <c r="D14" s="36"/>
      <c r="E14" s="37"/>
      <c r="F14" s="35"/>
      <c r="G14" s="37"/>
      <c r="H14" s="35">
        <v>1</v>
      </c>
      <c r="I14" s="37"/>
      <c r="J14" s="35">
        <v>0</v>
      </c>
      <c r="K14" s="37"/>
      <c r="L14" s="41">
        <v>0</v>
      </c>
    </row>
    <row r="15" s="3" customFormat="1" ht="25.5" customHeight="1" spans="1:12">
      <c r="A15" s="15" t="s">
        <v>81</v>
      </c>
      <c r="B15" s="35" t="s">
        <v>82</v>
      </c>
      <c r="C15" s="36"/>
      <c r="D15" s="36"/>
      <c r="E15" s="37"/>
      <c r="F15" s="35">
        <v>3</v>
      </c>
      <c r="G15" s="37"/>
      <c r="H15" s="35">
        <v>0</v>
      </c>
      <c r="I15" s="37"/>
      <c r="J15" s="35">
        <v>3</v>
      </c>
      <c r="K15" s="37"/>
      <c r="L15" s="42">
        <v>3</v>
      </c>
    </row>
    <row r="16" s="3" customFormat="1" ht="25.5" customHeight="1" spans="1:12">
      <c r="A16" s="15" t="s">
        <v>83</v>
      </c>
      <c r="B16" s="35"/>
      <c r="C16" s="36"/>
      <c r="D16" s="36"/>
      <c r="E16" s="37"/>
      <c r="F16" s="35"/>
      <c r="G16" s="37"/>
      <c r="H16" s="35">
        <v>1</v>
      </c>
      <c r="I16" s="37"/>
      <c r="J16" s="35">
        <v>2</v>
      </c>
      <c r="K16" s="37"/>
      <c r="L16" s="42">
        <v>2</v>
      </c>
    </row>
    <row r="17" s="3" customFormat="1" ht="25.5" customHeight="1" spans="1:12">
      <c r="A17" s="15" t="s">
        <v>84</v>
      </c>
      <c r="B17" s="35"/>
      <c r="C17" s="36"/>
      <c r="D17" s="36"/>
      <c r="E17" s="37"/>
      <c r="F17" s="35"/>
      <c r="G17" s="37"/>
      <c r="H17" s="35">
        <v>1</v>
      </c>
      <c r="I17" s="37"/>
      <c r="J17" s="35">
        <v>1</v>
      </c>
      <c r="K17" s="37"/>
      <c r="L17" s="42">
        <v>1</v>
      </c>
    </row>
    <row r="18" s="3" customFormat="1" spans="1:12">
      <c r="A18" s="38" t="s">
        <v>85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43"/>
    </row>
    <row r="19" ht="18.95" customHeight="1" spans="1:12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="1" customFormat="1" spans="3:9">
      <c r="C20" s="6"/>
      <c r="I20" s="1" t="s">
        <v>69</v>
      </c>
    </row>
    <row r="21" s="1" customFormat="1" spans="3:3">
      <c r="C21" s="6"/>
    </row>
    <row r="22" spans="9:11">
      <c r="I22" s="44" t="s">
        <v>70</v>
      </c>
      <c r="J22" s="44"/>
      <c r="K22" s="44"/>
    </row>
    <row r="23" spans="9:9">
      <c r="I23" t="s">
        <v>71</v>
      </c>
    </row>
    <row r="24" spans="9:10">
      <c r="I24" s="45" t="s">
        <v>86</v>
      </c>
      <c r="J24" s="45"/>
    </row>
  </sheetData>
  <mergeCells count="35">
    <mergeCell ref="A2:L2"/>
    <mergeCell ref="A3:L3"/>
    <mergeCell ref="A4:L4"/>
    <mergeCell ref="A5:L5"/>
    <mergeCell ref="A10:L10"/>
    <mergeCell ref="B11:K11"/>
    <mergeCell ref="B12:E12"/>
    <mergeCell ref="F12:G12"/>
    <mergeCell ref="H12:I12"/>
    <mergeCell ref="J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A19:L19"/>
    <mergeCell ref="I22:K22"/>
    <mergeCell ref="I24:J24"/>
    <mergeCell ref="A11:A12"/>
    <mergeCell ref="L11:L12"/>
  </mergeCells>
  <pageMargins left="0.7" right="0.7" top="0.75" bottom="0.75" header="0.3" footer="0.3"/>
  <pageSetup paperSize="9" scale="67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view="pageBreakPreview" zoomScale="99" zoomScaleNormal="100" topLeftCell="A4" workbookViewId="0">
      <selection activeCell="A3" sqref="A3:L3"/>
    </sheetView>
  </sheetViews>
  <sheetFormatPr defaultColWidth="9" defaultRowHeight="14.4"/>
  <cols>
    <col min="1" max="1" width="30.712962962963" customWidth="1"/>
    <col min="2" max="12" width="9.57407407407407" customWidth="1"/>
  </cols>
  <sheetData>
    <row r="1" s="1" customFormat="1" ht="71.45" customHeight="1" spans="3:8">
      <c r="C1" s="4"/>
      <c r="D1" s="5"/>
      <c r="H1" s="6"/>
    </row>
    <row r="2" s="1" customFormat="1" ht="10.5" customHeight="1" spans="1:1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="1" customFormat="1" ht="15.95" customHeight="1" spans="1:1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="1" customFormat="1" ht="15.95" customHeight="1" spans="1:12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="1" customFormat="1" ht="15.95" customHeight="1" spans="1:12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="1" customFormat="1" ht="8.25" customHeight="1" spans="3:8">
      <c r="C6" s="6"/>
      <c r="H6" s="6"/>
    </row>
    <row r="7" s="1" customFormat="1" ht="8.25" customHeight="1" spans="3:8">
      <c r="C7" s="6"/>
      <c r="H7" s="6"/>
    </row>
    <row r="8" s="1" customFormat="1" ht="12" customHeight="1" spans="1:12">
      <c r="A8" s="8" t="s">
        <v>87</v>
      </c>
      <c r="B8" s="8"/>
      <c r="C8" s="9" t="s">
        <v>88</v>
      </c>
      <c r="D8" s="9"/>
      <c r="E8" s="9"/>
      <c r="F8" s="9"/>
      <c r="G8" s="9"/>
      <c r="I8" s="9" t="s">
        <v>89</v>
      </c>
      <c r="J8" s="9"/>
      <c r="K8" s="9"/>
      <c r="L8" s="8"/>
    </row>
    <row r="9" s="1" customFormat="1" ht="12" customHeight="1" spans="2:12">
      <c r="B9" s="10"/>
      <c r="C9" s="9" t="s">
        <v>90</v>
      </c>
      <c r="D9" s="9"/>
      <c r="E9" s="9"/>
      <c r="F9" s="9"/>
      <c r="G9" s="9"/>
      <c r="I9" s="22" t="s">
        <v>91</v>
      </c>
      <c r="J9" s="22"/>
      <c r="K9" s="22"/>
      <c r="L9" s="10"/>
    </row>
    <row r="10" s="1" customFormat="1" ht="12" customHeight="1" spans="1:12">
      <c r="A10" s="8" t="s">
        <v>92</v>
      </c>
      <c r="B10" s="8"/>
      <c r="C10" s="11"/>
      <c r="D10" s="10"/>
      <c r="E10" s="10"/>
      <c r="I10" s="9" t="s">
        <v>93</v>
      </c>
      <c r="J10" s="9"/>
      <c r="K10" s="9"/>
      <c r="L10" s="8"/>
    </row>
    <row r="11" ht="16.5" customHeight="1" spans="1:12">
      <c r="A11" s="12" t="s">
        <v>94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="2" customFormat="1" ht="48" spans="1:12">
      <c r="A12" s="13" t="s">
        <v>11</v>
      </c>
      <c r="B12" s="14" t="s">
        <v>95</v>
      </c>
      <c r="C12" s="14" t="s">
        <v>96</v>
      </c>
      <c r="D12" s="14" t="s">
        <v>97</v>
      </c>
      <c r="E12" s="14" t="s">
        <v>98</v>
      </c>
      <c r="F12" s="14" t="s">
        <v>99</v>
      </c>
      <c r="G12" s="14" t="s">
        <v>100</v>
      </c>
      <c r="H12" s="14" t="s">
        <v>101</v>
      </c>
      <c r="I12" s="14" t="s">
        <v>102</v>
      </c>
      <c r="J12" s="14" t="s">
        <v>103</v>
      </c>
      <c r="K12" s="14" t="s">
        <v>104</v>
      </c>
      <c r="L12" s="23" t="s">
        <v>15</v>
      </c>
    </row>
    <row r="13" s="2" customFormat="1" ht="18" customHeight="1" spans="1:12">
      <c r="A13" s="15" t="s">
        <v>105</v>
      </c>
      <c r="B13" s="16"/>
      <c r="C13" s="17"/>
      <c r="D13" s="17"/>
      <c r="E13" s="16"/>
      <c r="F13" s="16"/>
      <c r="G13" s="16"/>
      <c r="H13" s="17"/>
      <c r="I13" s="16"/>
      <c r="J13" s="16">
        <v>4</v>
      </c>
      <c r="K13" s="16"/>
      <c r="L13" s="24">
        <v>4</v>
      </c>
    </row>
    <row r="14" s="2" customFormat="1" ht="18" customHeight="1" spans="1:12">
      <c r="A14" s="15"/>
      <c r="B14" s="16"/>
      <c r="C14" s="17"/>
      <c r="D14" s="17"/>
      <c r="E14" s="16"/>
      <c r="F14" s="16"/>
      <c r="G14" s="16"/>
      <c r="H14" s="17"/>
      <c r="I14" s="16"/>
      <c r="J14" s="16"/>
      <c r="K14" s="16"/>
      <c r="L14" s="24"/>
    </row>
    <row r="15" s="3" customFormat="1" ht="18" customHeight="1" spans="1:12">
      <c r="A15" s="18"/>
      <c r="B15" s="16"/>
      <c r="C15" s="17"/>
      <c r="D15" s="17"/>
      <c r="E15" s="16"/>
      <c r="F15" s="16"/>
      <c r="G15" s="16"/>
      <c r="H15" s="17"/>
      <c r="I15" s="16"/>
      <c r="J15" s="16"/>
      <c r="K15" s="16"/>
      <c r="L15" s="24"/>
    </row>
    <row r="16" s="3" customFormat="1" ht="18" customHeight="1" spans="1:12">
      <c r="A16" s="19"/>
      <c r="B16" s="16"/>
      <c r="C16" s="17"/>
      <c r="D16" s="17"/>
      <c r="E16" s="16"/>
      <c r="F16" s="16"/>
      <c r="G16" s="16"/>
      <c r="H16" s="17"/>
      <c r="I16" s="16"/>
      <c r="J16" s="16"/>
      <c r="K16" s="16"/>
      <c r="L16" s="24"/>
    </row>
    <row r="17" s="3" customFormat="1" ht="18" customHeight="1" spans="1:12">
      <c r="A17" s="17"/>
      <c r="B17" s="16"/>
      <c r="C17" s="17"/>
      <c r="D17" s="17"/>
      <c r="E17" s="16"/>
      <c r="F17" s="16"/>
      <c r="G17" s="16"/>
      <c r="H17" s="17"/>
      <c r="I17" s="16"/>
      <c r="J17" s="16"/>
      <c r="K17" s="16"/>
      <c r="L17" s="24"/>
    </row>
    <row r="18" s="3" customFormat="1" ht="18" customHeight="1" spans="1:12">
      <c r="A18" s="15"/>
      <c r="B18" s="16"/>
      <c r="C18" s="17"/>
      <c r="D18" s="17"/>
      <c r="E18" s="16"/>
      <c r="F18" s="16"/>
      <c r="G18" s="16"/>
      <c r="H18" s="17"/>
      <c r="I18" s="16"/>
      <c r="J18" s="16"/>
      <c r="K18" s="16"/>
      <c r="L18" s="24"/>
    </row>
    <row r="19" s="3" customFormat="1" ht="18" customHeight="1" spans="1:12">
      <c r="A19" s="15"/>
      <c r="B19" s="16"/>
      <c r="C19" s="17"/>
      <c r="D19" s="17"/>
      <c r="E19" s="16"/>
      <c r="F19" s="16"/>
      <c r="G19" s="16"/>
      <c r="H19" s="17"/>
      <c r="I19" s="16"/>
      <c r="J19" s="16"/>
      <c r="K19" s="16"/>
      <c r="L19" s="24"/>
    </row>
    <row r="20" s="3" customFormat="1" ht="18" customHeight="1" spans="1:12">
      <c r="A20" s="15"/>
      <c r="B20" s="16"/>
      <c r="C20" s="17"/>
      <c r="D20" s="17"/>
      <c r="E20" s="16"/>
      <c r="F20" s="16"/>
      <c r="G20" s="16"/>
      <c r="H20" s="17"/>
      <c r="I20" s="16"/>
      <c r="J20" s="16"/>
      <c r="K20" s="16"/>
      <c r="L20" s="24"/>
    </row>
    <row r="21" s="3" customFormat="1" ht="18" customHeight="1" spans="1:12">
      <c r="A21" s="20"/>
      <c r="B21" s="16"/>
      <c r="C21" s="17"/>
      <c r="D21" s="17"/>
      <c r="E21" s="16"/>
      <c r="F21" s="16"/>
      <c r="G21" s="16"/>
      <c r="H21" s="17"/>
      <c r="I21" s="16"/>
      <c r="J21" s="16"/>
      <c r="K21" s="25"/>
      <c r="L21" s="24"/>
    </row>
    <row r="22" ht="75.75" customHeight="1" spans="1:1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="1" customFormat="1" spans="3:3">
      <c r="C23" s="6"/>
    </row>
    <row r="24" s="1" customFormat="1" spans="3:3">
      <c r="C24" s="6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rintOptions horizontalCentered="1"/>
  <pageMargins left="0.5" right="0.5" top="0.5" bottom="0.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</vt:lpstr>
      <vt:lpstr>CTO</vt:lpstr>
      <vt:lpstr>OTHER TYPES OF LEAVES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2025-06-20T07:32:00Z</cp:lastPrinted>
  <dcterms:modified xsi:type="dcterms:W3CDTF">2026-01-01T03:55:57Z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096DCE7266F44D2C8890215337221A64_12</vt:lpwstr>
  </property>
  <property fmtid="{D5CDD505-2E9C-101B-9397-08002B2CF9AE}" pid="3" name="KSOProductBuildVer">
    <vt:lpwstr>1033-12.2.0.23196</vt:lpwstr>
  </property>
</Properties>
</file>