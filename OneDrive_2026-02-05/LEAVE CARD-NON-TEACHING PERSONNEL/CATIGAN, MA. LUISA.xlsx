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36" documentId="11_881D63A7A429163DD8AE7C5D75A928DAE8CD355D" xr6:coauthVersionLast="47" xr6:coauthVersionMax="47" xr10:uidLastSave="{2CB38173-F49F-4F9E-8EB5-29C210B074A8}"/>
  <bookViews>
    <workbookView xWindow="0" yWindow="0" windowWidth="22188" windowHeight="9000" xr2:uid="{00000000-000D-0000-FFFF-FFFF00000000}"/>
  </bookViews>
  <sheets>
    <sheet name="CATIGAN" sheetId="12" r:id="rId1"/>
    <sheet name="CTO" sheetId="11" r:id="rId2"/>
    <sheet name="ELECTION" sheetId="9" r:id="rId3"/>
    <sheet name="OTHER TYPES OF LEAVE" sheetId="8" r:id="rId4"/>
  </sheets>
  <definedNames>
    <definedName name="_xlnm.Print_Area" localSheetId="1">CTO!$A$1:$G$21</definedName>
    <definedName name="_xlnm.Print_Area" localSheetId="2">ELECTION!$A$1:$M$30</definedName>
    <definedName name="_xlnm.Print_Area" localSheetId="0">CATIGAN!$A$1:$J$133</definedName>
    <definedName name="_xlnm.Print_Area" localSheetId="3">'OTHER TYPES OF LEAVE'!$A$1:$L$24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2" l="1"/>
  <c r="I123" i="12"/>
  <c r="J123" i="12"/>
  <c r="H124" i="12"/>
  <c r="I124" i="12"/>
  <c r="J124" i="12"/>
  <c r="H125" i="12"/>
  <c r="I125" i="12"/>
  <c r="J125" i="12"/>
  <c r="H126" i="12"/>
  <c r="I126" i="12"/>
  <c r="J126" i="12"/>
  <c r="G15" i="11"/>
  <c r="G12" i="11"/>
  <c r="I13" i="12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I84" i="12" s="1"/>
  <c r="I85" i="12" s="1"/>
  <c r="I86" i="12" s="1"/>
  <c r="I87" i="12" s="1"/>
  <c r="I88" i="12" s="1"/>
  <c r="I89" i="12" s="1"/>
  <c r="I90" i="12" s="1"/>
  <c r="I91" i="12" s="1"/>
  <c r="I92" i="12" s="1"/>
  <c r="I93" i="12" s="1"/>
  <c r="I94" i="12" s="1"/>
  <c r="I95" i="12" s="1"/>
  <c r="I96" i="12" s="1"/>
  <c r="I97" i="12" s="1"/>
  <c r="I98" i="12" s="1"/>
  <c r="I99" i="12" s="1"/>
  <c r="I100" i="12" s="1"/>
  <c r="I101" i="12" s="1"/>
  <c r="I102" i="12" s="1"/>
  <c r="I103" i="12" s="1"/>
  <c r="I104" i="12" s="1"/>
  <c r="I105" i="12" s="1"/>
  <c r="I106" i="12" s="1"/>
  <c r="I107" i="12" s="1"/>
  <c r="I108" i="12" s="1"/>
  <c r="I109" i="12" s="1"/>
  <c r="I110" i="12" s="1"/>
  <c r="I111" i="12" s="1"/>
  <c r="I112" i="12" s="1"/>
  <c r="I113" i="12" s="1"/>
  <c r="I114" i="12" s="1"/>
  <c r="I115" i="12" s="1"/>
  <c r="I116" i="12" s="1"/>
  <c r="I117" i="12" s="1"/>
  <c r="I118" i="12" s="1"/>
  <c r="I119" i="12" s="1"/>
  <c r="I120" i="12" s="1"/>
  <c r="I121" i="12" s="1"/>
  <c r="I122" i="12" s="1"/>
  <c r="H13" i="12"/>
  <c r="H14" i="12" l="1"/>
  <c r="J13" i="12"/>
  <c r="H15" i="12" l="1"/>
  <c r="J14" i="12"/>
  <c r="H16" i="12" l="1"/>
  <c r="J15" i="12"/>
  <c r="H17" i="12" l="1"/>
  <c r="J16" i="12"/>
  <c r="H18" i="12" l="1"/>
  <c r="J17" i="12"/>
  <c r="H19" i="12" l="1"/>
  <c r="J18" i="12"/>
  <c r="H20" i="12" l="1"/>
  <c r="J19" i="12"/>
  <c r="H21" i="12" l="1"/>
  <c r="J20" i="12"/>
  <c r="H22" i="12" l="1"/>
  <c r="J21" i="12"/>
  <c r="H23" i="12" l="1"/>
  <c r="J22" i="12"/>
  <c r="H24" i="12" l="1"/>
  <c r="J23" i="12"/>
  <c r="H25" i="12" l="1"/>
  <c r="J24" i="12"/>
  <c r="H26" i="12" l="1"/>
  <c r="J25" i="12"/>
  <c r="H27" i="12" l="1"/>
  <c r="J26" i="12"/>
  <c r="H28" i="12" l="1"/>
  <c r="J27" i="12"/>
  <c r="H29" i="12" l="1"/>
  <c r="J28" i="12"/>
  <c r="H30" i="12" l="1"/>
  <c r="J29" i="12"/>
  <c r="H31" i="12" l="1"/>
  <c r="J30" i="12"/>
  <c r="H32" i="12" l="1"/>
  <c r="J31" i="12"/>
  <c r="H33" i="12" l="1"/>
  <c r="J32" i="12"/>
  <c r="H34" i="12" l="1"/>
  <c r="J33" i="12"/>
  <c r="H35" i="12" l="1"/>
  <c r="J34" i="12"/>
  <c r="H36" i="12" l="1"/>
  <c r="J35" i="12"/>
  <c r="H37" i="12" l="1"/>
  <c r="J36" i="12"/>
  <c r="H38" i="12" l="1"/>
  <c r="J37" i="12"/>
  <c r="H39" i="12" l="1"/>
  <c r="J38" i="12"/>
  <c r="H40" i="12" l="1"/>
  <c r="J39" i="12"/>
  <c r="H41" i="12" l="1"/>
  <c r="J40" i="12"/>
  <c r="H42" i="12" l="1"/>
  <c r="J41" i="12"/>
  <c r="H43" i="12" l="1"/>
  <c r="J42" i="12"/>
  <c r="H44" i="12" l="1"/>
  <c r="J43" i="12"/>
  <c r="H45" i="12" l="1"/>
  <c r="J44" i="12"/>
  <c r="H46" i="12" l="1"/>
  <c r="J45" i="12"/>
  <c r="H47" i="12" l="1"/>
  <c r="J46" i="12"/>
  <c r="H48" i="12" l="1"/>
  <c r="J47" i="12"/>
  <c r="H49" i="12" l="1"/>
  <c r="J48" i="12"/>
  <c r="H50" i="12" l="1"/>
  <c r="J49" i="12"/>
  <c r="H51" i="12" l="1"/>
  <c r="J50" i="12"/>
  <c r="H52" i="12" l="1"/>
  <c r="J51" i="12"/>
  <c r="H53" i="12" l="1"/>
  <c r="J52" i="12"/>
  <c r="H54" i="12" l="1"/>
  <c r="J53" i="12"/>
  <c r="H55" i="12" l="1"/>
  <c r="J54" i="12"/>
  <c r="H56" i="12" l="1"/>
  <c r="J55" i="12"/>
  <c r="H57" i="12" l="1"/>
  <c r="J56" i="12"/>
  <c r="H58" i="12" l="1"/>
  <c r="J57" i="12"/>
  <c r="H59" i="12" l="1"/>
  <c r="J58" i="12"/>
  <c r="H60" i="12" l="1"/>
  <c r="J59" i="12"/>
  <c r="H61" i="12" l="1"/>
  <c r="J60" i="12"/>
  <c r="H62" i="12" l="1"/>
  <c r="J61" i="12"/>
  <c r="H63" i="12" l="1"/>
  <c r="J62" i="12"/>
  <c r="H64" i="12" l="1"/>
  <c r="J63" i="12"/>
  <c r="H65" i="12" l="1"/>
  <c r="J64" i="12"/>
  <c r="H66" i="12" l="1"/>
  <c r="J65" i="12"/>
  <c r="H67" i="12" l="1"/>
  <c r="J66" i="12"/>
  <c r="H68" i="12" l="1"/>
  <c r="J67" i="12"/>
  <c r="H69" i="12" l="1"/>
  <c r="J68" i="12"/>
  <c r="H70" i="12" l="1"/>
  <c r="J69" i="12"/>
  <c r="H71" i="12" l="1"/>
  <c r="J70" i="12"/>
  <c r="H72" i="12" l="1"/>
  <c r="J71" i="12"/>
  <c r="H73" i="12" l="1"/>
  <c r="J72" i="12"/>
  <c r="H74" i="12" l="1"/>
  <c r="J73" i="12"/>
  <c r="H75" i="12" l="1"/>
  <c r="J74" i="12"/>
  <c r="H76" i="12" l="1"/>
  <c r="J75" i="12"/>
  <c r="H77" i="12" l="1"/>
  <c r="J76" i="12"/>
  <c r="H78" i="12" l="1"/>
  <c r="J77" i="12"/>
  <c r="H79" i="12" l="1"/>
  <c r="J78" i="12"/>
  <c r="H80" i="12" l="1"/>
  <c r="J79" i="12"/>
  <c r="H81" i="12" l="1"/>
  <c r="J80" i="12"/>
  <c r="H82" i="12" l="1"/>
  <c r="J81" i="12"/>
  <c r="H83" i="12" l="1"/>
  <c r="J82" i="12"/>
  <c r="H84" i="12" l="1"/>
  <c r="J83" i="12"/>
  <c r="H85" i="12" l="1"/>
  <c r="J84" i="12"/>
  <c r="H86" i="12" l="1"/>
  <c r="J85" i="12"/>
  <c r="H87" i="12" l="1"/>
  <c r="J86" i="12"/>
  <c r="H88" i="12" l="1"/>
  <c r="J87" i="12"/>
  <c r="H89" i="12" l="1"/>
  <c r="J88" i="12"/>
  <c r="H90" i="12" l="1"/>
  <c r="J89" i="12"/>
  <c r="H91" i="12" l="1"/>
  <c r="J90" i="12"/>
  <c r="H92" i="12" l="1"/>
  <c r="J91" i="12"/>
  <c r="H93" i="12" l="1"/>
  <c r="J92" i="12"/>
  <c r="H94" i="12" l="1"/>
  <c r="J93" i="12"/>
  <c r="H95" i="12" l="1"/>
  <c r="J94" i="12"/>
  <c r="H96" i="12" l="1"/>
  <c r="J95" i="12"/>
  <c r="H97" i="12" l="1"/>
  <c r="J96" i="12"/>
  <c r="H98" i="12" l="1"/>
  <c r="J97" i="12"/>
  <c r="H99" i="12" l="1"/>
  <c r="J98" i="12"/>
  <c r="H100" i="12" l="1"/>
  <c r="J99" i="12"/>
  <c r="H101" i="12" l="1"/>
  <c r="J100" i="12"/>
  <c r="H102" i="12" l="1"/>
  <c r="J101" i="12"/>
  <c r="H103" i="12" l="1"/>
  <c r="J102" i="12"/>
  <c r="H104" i="12" l="1"/>
  <c r="J103" i="12"/>
  <c r="H105" i="12" l="1"/>
  <c r="J104" i="12"/>
  <c r="H106" i="12" l="1"/>
  <c r="J105" i="12"/>
  <c r="H107" i="12" l="1"/>
  <c r="J106" i="12"/>
  <c r="H108" i="12" l="1"/>
  <c r="J107" i="12"/>
  <c r="H109" i="12" l="1"/>
  <c r="J108" i="12"/>
  <c r="H110" i="12" l="1"/>
  <c r="J109" i="12"/>
  <c r="H111" i="12" l="1"/>
  <c r="J110" i="12"/>
  <c r="H112" i="12" l="1"/>
  <c r="J111" i="12"/>
  <c r="H113" i="12" l="1"/>
  <c r="J112" i="12"/>
  <c r="H114" i="12" l="1"/>
  <c r="J113" i="12"/>
  <c r="H115" i="12" l="1"/>
  <c r="J114" i="12"/>
  <c r="H116" i="12" l="1"/>
  <c r="J115" i="12"/>
  <c r="H117" i="12" l="1"/>
  <c r="J116" i="12"/>
  <c r="H118" i="12" l="1"/>
  <c r="J117" i="12"/>
  <c r="H119" i="12" l="1"/>
  <c r="J118" i="12"/>
  <c r="H120" i="12" l="1"/>
  <c r="J119" i="12"/>
  <c r="H121" i="12" l="1"/>
  <c r="J120" i="12"/>
  <c r="H122" i="12" l="1"/>
  <c r="J121" i="12"/>
  <c r="J122" i="12" l="1"/>
</calcChain>
</file>

<file path=xl/sharedStrings.xml><?xml version="1.0" encoding="utf-8"?>
<sst xmlns="http://schemas.openxmlformats.org/spreadsheetml/2006/main" count="235" uniqueCount="202">
  <si>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</si>
  <si>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</si>
  <si>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</si>
  <si>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</si>
  <si>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</si>
  <si>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</si>
  <si>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</si>
  <si>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</si>
  <si>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</si>
  <si>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</si>
  <si>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</si>
  <si>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</si>
  <si>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</si>
  <si>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</si>
  <si>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</si>
  <si>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</si>
  <si>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</si>
  <si>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</si>
  <si>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</si>
  <si>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</si>
  <si>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</si>
  <si>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02/03 - 29/2020</t>
  </si>
  <si>
    <t>ADD: 03/01/2020 - 12/31/2020</t>
  </si>
  <si>
    <t>LESS: FL 2020</t>
  </si>
  <si>
    <t>ADD: 01/1/2021-04/30/2021</t>
  </si>
  <si>
    <t>LESS: 05/19 &amp; 21/2021</t>
  </si>
  <si>
    <t>ADD: 05/1-31/2021</t>
  </si>
  <si>
    <t>LESS: 06/8 &amp; 9/2021</t>
  </si>
  <si>
    <t>ADD: 06/01/21 - 08/31/21</t>
  </si>
  <si>
    <t>LESS: 09/7/2021 PM</t>
  </si>
  <si>
    <t>LESS: 09/15/2021</t>
  </si>
  <si>
    <t>LESS: 09/16/2021</t>
  </si>
  <si>
    <t>ADD: 09/1-30/2021</t>
  </si>
  <si>
    <t>LESS: MONETIZATION 2021 (29 DAYS)</t>
  </si>
  <si>
    <t>ADD: 10/1/2021-11/30/2021</t>
  </si>
  <si>
    <t>LESS: 12/6, 7 &amp; 9/2021</t>
  </si>
  <si>
    <t>ADD: 12/1-31/2021</t>
  </si>
  <si>
    <t>LESS: MANDATORY FL 2021</t>
  </si>
  <si>
    <t>LESS: 01/20-21/22</t>
  </si>
  <si>
    <t>LESS: 01/14/22</t>
  </si>
  <si>
    <t>LESS: 01/31/2022 HALF DAY</t>
  </si>
  <si>
    <t>ADD: 01/1-31/2022</t>
  </si>
  <si>
    <t>LESS: 02/17/2022</t>
  </si>
  <si>
    <t>ADD: 02/01/22 - 02/28/22</t>
  </si>
  <si>
    <t>LESS: 03/4/2022</t>
  </si>
  <si>
    <t>LESS: 03/18/22</t>
  </si>
  <si>
    <t>LESS: 03/21/22</t>
  </si>
  <si>
    <t>LESS: 03/29/22 (AM)</t>
  </si>
  <si>
    <t>ADD: 03/1/2022-04/30/2022</t>
  </si>
  <si>
    <t>LESS: 04/27/2022 HALF DAY</t>
  </si>
  <si>
    <t>ADD: 05/1-31/2022</t>
  </si>
  <si>
    <t>LESS: 5/31 &amp; 6/ 1 &amp; 2 (AM),2022</t>
  </si>
  <si>
    <t>ADD: 06/01/22 - 06/30/22</t>
  </si>
  <si>
    <t>LESS: 07/04/22</t>
  </si>
  <si>
    <t>ADD: 07/01/22 - 07/31/22</t>
  </si>
  <si>
    <t>LESS: 08/24/22</t>
  </si>
  <si>
    <t>LESS: 08/25/22</t>
  </si>
  <si>
    <t>ADD: 08/01/22 - 08/31/22</t>
  </si>
  <si>
    <t>LESS: 09/28/22</t>
  </si>
  <si>
    <t>LESS: MONETIZATION 2022 (20 DAYS)</t>
  </si>
  <si>
    <t>ADD: 09/1-30/22</t>
  </si>
  <si>
    <t>LESS: 10/26/22 &amp; 10/28/22(AM)</t>
  </si>
  <si>
    <t>ADD: 10/1-31/2022</t>
  </si>
  <si>
    <t>LESS: 11/2 &amp; 10 AM/2022</t>
  </si>
  <si>
    <t>ADD: 11/01/22 - 12/31/22</t>
  </si>
  <si>
    <t>LESS: 11/23/2022</t>
  </si>
  <si>
    <t>LESS: 12/16/2022</t>
  </si>
  <si>
    <t>LESS: 12/22-23, 28/2022</t>
  </si>
  <si>
    <t>LESS: 12/29/2022</t>
  </si>
  <si>
    <t>ADD: 01/1-31/2023</t>
  </si>
  <si>
    <t>LESS: 01/03 &amp; 04/23</t>
  </si>
  <si>
    <t>LESS: 01/23/23</t>
  </si>
  <si>
    <t>LESS: 02/07 &amp; 08/23</t>
  </si>
  <si>
    <t>ADD: 02/1-28/2023</t>
  </si>
  <si>
    <t>LESS: 03/03/23</t>
  </si>
  <si>
    <t>LESS: 04/19/23</t>
  </si>
  <si>
    <t>ADD: 03/01/23 - 08/31/23</t>
  </si>
  <si>
    <t>LESS: MONETIZATION 2023</t>
  </si>
  <si>
    <t>LESS: 09/26/2023</t>
  </si>
  <si>
    <t>ADD: 09/1-30/2023</t>
  </si>
  <si>
    <t>LESS: 10/6/2023</t>
  </si>
  <si>
    <t>LESS: 10/23-24/2023</t>
  </si>
  <si>
    <t>ADD: 10/01/2023-10/31/2023</t>
  </si>
  <si>
    <t>LESS: 10/25-27/2023</t>
  </si>
  <si>
    <t>LESS: 10/31/2023 &amp; 11/3/2023</t>
  </si>
  <si>
    <t>ADD: 11/1/2023-12/31/2023</t>
  </si>
  <si>
    <t>LESS: 11/6-9/2023</t>
  </si>
  <si>
    <t>LESS: 11/13-14/2023</t>
  </si>
  <si>
    <t>LESS: 11/15-16/2023</t>
  </si>
  <si>
    <t>LESS: 11/21/2023 UNDERTIME</t>
  </si>
  <si>
    <t>LESS: 01/02 &amp; 01/08, 2024</t>
  </si>
  <si>
    <t>LESS: 01/23/2024PM-01/24/2024 (AM)</t>
  </si>
  <si>
    <t>ADD:01/1/2024-04/30/2024</t>
  </si>
  <si>
    <t>LESS: 05/20/2024 (AM)</t>
  </si>
  <si>
    <t>ADD: 05/1-31/2024</t>
  </si>
  <si>
    <t>LESS: 06/21 &amp; 24/2024</t>
  </si>
  <si>
    <t>ADD: 06/1-30/2024</t>
  </si>
  <si>
    <t>LESS: 07/08/2024</t>
  </si>
  <si>
    <t>ADD: 07/01/2024-08/31/2024</t>
  </si>
  <si>
    <t>LESS: 08/27/2024</t>
  </si>
  <si>
    <t>LESS: 09/9 &amp; 23/2024</t>
  </si>
  <si>
    <t>ADD: 09/1-30/2024</t>
  </si>
  <si>
    <t>LESS: 10/28/2024</t>
  </si>
  <si>
    <t>ADD: 10/1-31/2024</t>
  </si>
  <si>
    <t>LESS: 11/6/2024 (PM) UNDERTIME</t>
  </si>
  <si>
    <t>LESS: 11/7, 8, 13, 14/2024</t>
  </si>
  <si>
    <t>LESS: 12/16-19/2024</t>
  </si>
  <si>
    <t>LESS: 12/13, 23 (PM), 26, 27/2024</t>
  </si>
  <si>
    <t>ADD: 11/1/2024-12/31/2024</t>
  </si>
  <si>
    <t>ADD: 01/1-31/2025</t>
  </si>
  <si>
    <t>LESS: 02/17/2025 (PM) UNDERTIME</t>
  </si>
  <si>
    <t>LESS: 02/7, 10, 11/2025</t>
  </si>
  <si>
    <t>ADD: 02/1-28/2025</t>
  </si>
  <si>
    <t>LESS: 01/2-3/2025</t>
  </si>
  <si>
    <t>ADD: 03/1-31/2025</t>
  </si>
  <si>
    <t>LESS: 03/27-28/2025</t>
  </si>
  <si>
    <t>LESS: 04/14/2025</t>
  </si>
  <si>
    <t>LESS: 04/15/2025</t>
  </si>
  <si>
    <t>LESS: 04/28/2025 (AM)</t>
  </si>
  <si>
    <t>ADD: 04/1-30/2025</t>
  </si>
  <si>
    <t>LESS: 05/9 &amp; 13/2025</t>
  </si>
  <si>
    <t>ADD: 05/1/2025-9/30/2025</t>
  </si>
  <si>
    <t>LESS: 09/30/2025</t>
  </si>
  <si>
    <t>ADD: 10/1-31/2025</t>
  </si>
  <si>
    <t>LESS: MONETIZATION 2025</t>
  </si>
  <si>
    <t>LESS: 12/22, 23, 26/2025</t>
  </si>
  <si>
    <t>LESS: 10/13/2025</t>
  </si>
  <si>
    <t>LESS: 11/7-AM &amp; 11-AM/2025</t>
  </si>
  <si>
    <t>LESS: 11/28/2025</t>
  </si>
  <si>
    <t>ADD: 11/1-30/2025</t>
  </si>
  <si>
    <t>LESS: 12/01/2025-AM: UNDERTIME</t>
  </si>
  <si>
    <t>ADD: 12/1-31/2025</t>
  </si>
  <si>
    <t>LESS: FL 2025</t>
  </si>
  <si>
    <t>ADD: 01/1-31/2026</t>
  </si>
  <si>
    <t>LESS: 12/17-18/2025</t>
  </si>
  <si>
    <t xml:space="preserve">  </t>
  </si>
  <si>
    <t>REGION VI-WESTERN VISAYAS</t>
  </si>
  <si>
    <t>Name       :</t>
  </si>
  <si>
    <t>CATIGAN, MA. LUISA</t>
  </si>
  <si>
    <t>POSITION:</t>
  </si>
  <si>
    <t>AO IV HRMO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</si>
  <si>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</si>
  <si>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</si>
  <si>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</si>
  <si>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</si>
  <si>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</si>
  <si>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</si>
  <si>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AUGUST 23, 2022</t>
  </si>
  <si>
    <t>S.O. #052, s. 2022, dated JULY 13, 2022</t>
  </si>
  <si>
    <t>124TH PHILIPPINE INDEPENDENCE DAY CELEBRATION</t>
  </si>
  <si>
    <t>Date Granted: July 13, 2022</t>
  </si>
  <si>
    <t>Note: Validity of S.O. is One (1) from the date it was granted</t>
  </si>
  <si>
    <t>Total Remaining Balance</t>
  </si>
  <si>
    <t>CERTIFIED CORRECT:</t>
  </si>
  <si>
    <t>MA. LUISA B. CATIGAN</t>
  </si>
  <si>
    <t>Administrative Officer IV</t>
  </si>
  <si>
    <t>HRMO</t>
  </si>
  <si>
    <t>NAME          : CATIGAN, MA. LUISA B.</t>
  </si>
  <si>
    <t>DISTRICT                : _______________________</t>
  </si>
  <si>
    <t>EMPLOYEE NO    : __________</t>
  </si>
  <si>
    <t>SCHOOL/OFFICE : OSDS</t>
  </si>
  <si>
    <t>STATION CODE    : __________</t>
  </si>
  <si>
    <t>POSITION   : AO IV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</si>
  <si>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</si>
  <si>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</si>
  <si>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</si>
  <si>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</si>
  <si>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</si>
  <si>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</si>
  <si>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</si>
  <si>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</si>
  <si>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S0 # 1211, s. 2002</t>
  </si>
  <si>
    <t>Add: May 14, 2001</t>
  </si>
  <si>
    <t>National and Local Election</t>
  </si>
  <si>
    <t>S0 # 1576, s. 2003</t>
  </si>
  <si>
    <t>Add: July 15, 2002</t>
  </si>
  <si>
    <t>Barangay and SK Elections</t>
  </si>
  <si>
    <t>S0 # 2135, s. 2004</t>
  </si>
  <si>
    <t>Add: May 10, 2004</t>
  </si>
  <si>
    <t>LESS: MAY 12,17,19&amp;22, 2023</t>
  </si>
  <si>
    <t>LESS: MAY 29, 2023</t>
  </si>
  <si>
    <t>LESS: JUNE 09, 13, 14 &amp; 16, 2023</t>
  </si>
  <si>
    <t>LESS: JUNE 23,26,27, 2023</t>
  </si>
  <si>
    <t>LESS: JULY 12 &amp; 25, 2023</t>
  </si>
  <si>
    <t>LESS: 08/4&amp;7/2023</t>
  </si>
  <si>
    <t>LESS:09/18-21/2023</t>
  </si>
  <si>
    <t>NAME          : _____________________</t>
  </si>
  <si>
    <t>EMPLOYEE NO     : __________</t>
  </si>
  <si>
    <t>SCHOOL/OFFICE   : _______________________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</si>
  <si>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</si>
  <si>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</si>
  <si>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</si>
  <si>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</si>
  <si>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</si>
  <si>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</si>
  <si>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</si>
  <si>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</si>
  <si>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</si>
  <si>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</si>
  <si>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</si>
  <si>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</si>
  <si>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12/27, 28 &amp; 29/2021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</si>
</sst>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3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22" xfId="0" applyFont="1" applyFill="1" applyBorder="1" applyAlignment="1">
      <alignment vertical="center"/>
    </xf>
    <xf numFmtId="0" fontId="0" fillId="2" borderId="22" xfId="0" applyFill="1" applyBorder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22" xfId="0" applyFont="1" applyFill="1" applyBorder="1"/>
    <xf numFmtId="0" fontId="3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 wrapText="1"/>
    </xf>
    <xf numFmtId="1" fontId="9" fillId="2" borderId="25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8" fillId="2" borderId="3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0" fillId="7" borderId="3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10" borderId="3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164" fontId="0" fillId="0" borderId="34" xfId="0" applyNumberFormat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27" xfId="0" applyFont="1" applyBorder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0" fillId="0" borderId="34" xfId="0" applyNumberFormat="1" applyFill="1" applyBorder="1" applyAlignment="1">
      <alignment horizontal="center" vertical="center"/>
    </xf>
    <xf numFmtId="164" fontId="0" fillId="7" borderId="34" xfId="0" applyNumberFormat="1" applyFill="1" applyBorder="1" applyAlignment="1">
      <alignment horizontal="center" vertical="center"/>
    </xf>
    <xf numFmtId="164" fontId="12" fillId="0" borderId="3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483797</xdr:colOff>
      <xdr:row>0</xdr:row>
      <xdr:rowOff>-3535</xdr:rowOff>
    </xdr:from>
    <xdr:to>
      <xdr:col>4</xdr:col>
      <xdr:colOff>309725</xdr:colOff>
      <xdr:row>0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6272" y="-3535"/>
          <a:ext cx="7117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CATIGAN, MA. LUISA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IV-HRMO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42741</xdr:rowOff>
    </xdr:from>
    <xdr:to>
      <xdr:col>5</xdr:col>
      <xdr:colOff>161744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16655" y="1707515"/>
          <a:ext cx="212788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OSDS-PERSONNEL</a:t>
          </a:r>
          <a:r>
            <a:rPr lang="en-US" sz="1100" baseline="0"/>
            <a:t> SECTION</a:t>
          </a:r>
          <a:endParaRPr lang="en-US" sz="1100"/>
        </a:p>
      </xdr:txBody>
    </xdr:sp>
    <xdr:clientData/>
  </xdr:twoCellAnchor>
  <xdr:twoCellAnchor>
    <xdr:from>
      <xdr:col>5</xdr:col>
      <xdr:colOff>461752</xdr:colOff>
      <xdr:row>127</xdr:row>
      <xdr:rowOff>101539</xdr:rowOff>
    </xdr:from>
    <xdr:to>
      <xdr:col>9</xdr:col>
      <xdr:colOff>786343</xdr:colOff>
      <xdr:row>133</xdr:row>
      <xdr:rowOff>37381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 txBox="1"/>
      </xdr:nvSpPr>
      <xdr:spPr>
        <a:xfrm>
          <a:off x="6795877" y="22475764"/>
          <a:ext cx="3867891" cy="10121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BALTAZAR B. TABIANO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V</a:t>
          </a:r>
          <a:r>
            <a:rPr lang="en-PH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1549402</xdr:colOff>
      <xdr:row>0</xdr:row>
      <xdr:rowOff>19049</xdr:rowOff>
    </xdr:from>
    <xdr:to>
      <xdr:col>3</xdr:col>
      <xdr:colOff>2505076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2" y="19049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78804</xdr:colOff>
      <xdr:row>0</xdr:row>
      <xdr:rowOff>21626</xdr:rowOff>
    </xdr:from>
    <xdr:to>
      <xdr:col>5</xdr:col>
      <xdr:colOff>251355</xdr:colOff>
      <xdr:row>0</xdr:row>
      <xdr:rowOff>654844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115" y="21590"/>
          <a:ext cx="789305" cy="6330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769408</xdr:colOff>
      <xdr:row>8</xdr:row>
      <xdr:rowOff>16140</xdr:rowOff>
    </xdr:from>
    <xdr:to>
      <xdr:col>2</xdr:col>
      <xdr:colOff>45508</xdr:colOff>
      <xdr:row>8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68985" y="17856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6614</xdr:rowOff>
    </xdr:from>
    <xdr:to>
      <xdr:col>3</xdr:col>
      <xdr:colOff>128275</xdr:colOff>
      <xdr:row>29</xdr:row>
      <xdr:rowOff>52916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0" y="5526405"/>
          <a:ext cx="3527425" cy="9607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BALTAZAR B. TABIANO</a:t>
          </a:r>
        </a:p>
        <a:p>
          <a:r>
            <a:rPr lang="en-US" sz="1100" baseline="0"/>
            <a:t>	Administrative Officer V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6414</xdr:colOff>
      <xdr:row>0</xdr:row>
      <xdr:rowOff>41597</xdr:rowOff>
    </xdr:from>
    <xdr:ext cx="773490" cy="60623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6730" y="41275"/>
          <a:ext cx="773430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6200" y="4749165"/>
          <a:ext cx="353314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795353</xdr:colOff>
      <xdr:row>5</xdr:row>
      <xdr:rowOff>51314</xdr:rowOff>
    </xdr:from>
    <xdr:to>
      <xdr:col>1</xdr:col>
      <xdr:colOff>296223</xdr:colOff>
      <xdr:row>7</xdr:row>
      <xdr:rowOff>95651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795020" y="1458595"/>
          <a:ext cx="195961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CATIGAN, MA. LUISA</a:t>
          </a:r>
        </a:p>
      </xdr:txBody>
    </xdr:sp>
    <xdr:clientData/>
  </xdr:twoCellAnchor>
  <xdr:twoCellAnchor>
    <xdr:from>
      <xdr:col>0</xdr:col>
      <xdr:colOff>859495</xdr:colOff>
      <xdr:row>8</xdr:row>
      <xdr:rowOff>32071</xdr:rowOff>
    </xdr:from>
    <xdr:to>
      <xdr:col>1</xdr:col>
      <xdr:colOff>360365</xdr:colOff>
      <xdr:row>9</xdr:row>
      <xdr:rowOff>134200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859155" y="1801495"/>
          <a:ext cx="1959610" cy="254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IV</a:t>
          </a:r>
        </a:p>
      </xdr:txBody>
    </xdr:sp>
    <xdr:clientData/>
  </xdr:twoCellAnchor>
  <xdr:twoCellAnchor>
    <xdr:from>
      <xdr:col>3</xdr:col>
      <xdr:colOff>602929</xdr:colOff>
      <xdr:row>7</xdr:row>
      <xdr:rowOff>102626</xdr:rowOff>
    </xdr:from>
    <xdr:to>
      <xdr:col>6</xdr:col>
      <xdr:colOff>433175</xdr:colOff>
      <xdr:row>9</xdr:row>
      <xdr:rowOff>84211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4295775" y="1719580"/>
          <a:ext cx="1682115" cy="286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2"/>
  <sheetViews>
    <sheetView tabSelected="1" view="pageBreakPreview" topLeftCell="A98" zoomScale="136" zoomScaleNormal="100" workbookViewId="0">
      <selection activeCell="L120" sqref="L120"/>
    </sheetView>
  </sheetViews>
  <sheetFormatPr defaultColWidth="9" defaultRowHeight="14.45"/>
  <cols>
    <col min="1" max="1" width="36.625" customWidth="1"/>
    <col min="2" max="5" width="11.625" customWidth="1"/>
    <col min="6" max="7" width="11.625" style="29" customWidth="1"/>
    <col min="8" max="10" width="11.625" customWidth="1"/>
    <col min="11" max="11" width="26.375" style="48" customWidth="1"/>
  </cols>
  <sheetData>
    <row r="1" spans="1:11" s="1" customFormat="1" ht="52.5" customHeight="1"/>
    <row r="2" spans="1:11" s="1" customFormat="1" ht="10.5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</row>
    <row r="3" spans="1:11" s="1" customFormat="1" ht="15.95" customHeight="1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</row>
    <row r="4" spans="1:11" s="1" customFormat="1" ht="15.95" customHeight="1">
      <c r="A4" s="68" t="s">
        <v>2</v>
      </c>
      <c r="B4" s="68"/>
      <c r="C4" s="68"/>
      <c r="D4" s="68"/>
      <c r="E4" s="68"/>
      <c r="F4" s="68"/>
      <c r="G4" s="68"/>
      <c r="H4" s="68"/>
      <c r="I4" s="68"/>
      <c r="J4" s="68"/>
    </row>
    <row r="5" spans="1:11" s="1" customFormat="1" ht="15.95" customHeight="1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</row>
    <row r="6" spans="1:11" s="1" customFormat="1" ht="8.25" customHeight="1"/>
    <row r="7" spans="1:11" s="1" customFormat="1" ht="12" customHeight="1">
      <c r="A7" s="1" t="s">
        <v>4</v>
      </c>
      <c r="B7" s="69" t="s">
        <v>5</v>
      </c>
      <c r="C7" s="69"/>
      <c r="D7" s="69"/>
      <c r="H7" s="7" t="s">
        <v>6</v>
      </c>
      <c r="I7" s="31"/>
      <c r="J7" s="7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7</v>
      </c>
      <c r="B9" s="69" t="s">
        <v>8</v>
      </c>
      <c r="C9" s="69"/>
      <c r="D9" s="69"/>
      <c r="H9" s="7" t="s">
        <v>9</v>
      </c>
      <c r="I9" s="33"/>
      <c r="J9" s="7"/>
    </row>
    <row r="10" spans="1:11" ht="23.25" customHeight="1">
      <c r="A10" s="71" t="s">
        <v>10</v>
      </c>
      <c r="B10" s="71"/>
      <c r="C10" s="71"/>
      <c r="D10" s="71"/>
      <c r="E10" s="71"/>
      <c r="F10" s="71"/>
      <c r="G10" s="71"/>
      <c r="H10" s="71"/>
      <c r="I10" s="71"/>
      <c r="J10" s="71"/>
      <c r="K10"/>
    </row>
    <row r="11" spans="1:11" ht="18.75" customHeight="1">
      <c r="A11" s="79" t="s">
        <v>11</v>
      </c>
      <c r="B11" s="72" t="s">
        <v>12</v>
      </c>
      <c r="C11" s="73"/>
      <c r="D11" s="74" t="s">
        <v>13</v>
      </c>
      <c r="E11" s="75"/>
      <c r="F11" s="75"/>
      <c r="G11" s="76"/>
      <c r="H11" s="77" t="s">
        <v>14</v>
      </c>
      <c r="I11" s="78"/>
      <c r="J11" s="81" t="s">
        <v>15</v>
      </c>
      <c r="K11" s="70" t="s">
        <v>16</v>
      </c>
    </row>
    <row r="12" spans="1:11" ht="18.75" customHeight="1">
      <c r="A12" s="80"/>
      <c r="B12" s="56" t="s">
        <v>17</v>
      </c>
      <c r="C12" s="56" t="s">
        <v>18</v>
      </c>
      <c r="D12" s="56" t="s">
        <v>17</v>
      </c>
      <c r="E12" s="56" t="s">
        <v>18</v>
      </c>
      <c r="F12" s="56" t="s">
        <v>19</v>
      </c>
      <c r="G12" s="56" t="s">
        <v>20</v>
      </c>
      <c r="H12" s="56" t="s">
        <v>17</v>
      </c>
      <c r="I12" s="56" t="s">
        <v>18</v>
      </c>
      <c r="J12" s="82"/>
      <c r="K12" s="70"/>
    </row>
    <row r="13" spans="1:11" ht="23.25" customHeight="1">
      <c r="A13" s="16" t="s">
        <v>21</v>
      </c>
      <c r="B13" s="20">
        <v>1.125</v>
      </c>
      <c r="C13" s="20">
        <v>1.125</v>
      </c>
      <c r="D13" s="51"/>
      <c r="E13" s="51"/>
      <c r="F13" s="51"/>
      <c r="G13" s="51"/>
      <c r="H13" s="20">
        <f>B13</f>
        <v>1.125</v>
      </c>
      <c r="I13" s="20">
        <f>C13</f>
        <v>1.125</v>
      </c>
      <c r="J13" s="20">
        <f>SUM(H13:I13)</f>
        <v>2.25</v>
      </c>
    </row>
    <row r="14" spans="1:11" ht="12" customHeight="1">
      <c r="A14" s="16" t="s">
        <v>22</v>
      </c>
      <c r="B14" s="20">
        <v>12.5</v>
      </c>
      <c r="C14" s="20">
        <v>12.5</v>
      </c>
      <c r="D14" s="51"/>
      <c r="E14" s="51"/>
      <c r="F14" s="51"/>
      <c r="G14" s="51"/>
      <c r="H14" s="20">
        <f>H13-F14-D14+B14</f>
        <v>13.625</v>
      </c>
      <c r="I14" s="20">
        <f>I13-E14+C14</f>
        <v>13.625</v>
      </c>
      <c r="J14" s="20">
        <f>SUM(H14:I14)</f>
        <v>27.25</v>
      </c>
    </row>
    <row r="15" spans="1:11" ht="12" customHeight="1">
      <c r="A15" s="16" t="s">
        <v>23</v>
      </c>
      <c r="B15" s="51"/>
      <c r="C15" s="51"/>
      <c r="D15" s="51"/>
      <c r="E15" s="51"/>
      <c r="F15" s="51">
        <v>5</v>
      </c>
      <c r="G15" s="51"/>
      <c r="H15" s="20">
        <f t="shared" ref="H15:H27" si="0">H14-F15-D15+B15</f>
        <v>8.625</v>
      </c>
      <c r="I15" s="20">
        <f t="shared" ref="I15:I27" si="1">I14-E15+C15</f>
        <v>13.625</v>
      </c>
      <c r="J15" s="20">
        <f t="shared" ref="J15:J27" si="2">SUM(H15:I15)</f>
        <v>22.25</v>
      </c>
    </row>
    <row r="16" spans="1:11" ht="12.75" customHeight="1">
      <c r="A16" s="16" t="s">
        <v>24</v>
      </c>
      <c r="B16" s="51">
        <v>5</v>
      </c>
      <c r="C16" s="51">
        <v>5</v>
      </c>
      <c r="D16" s="51"/>
      <c r="E16" s="51"/>
      <c r="F16" s="51"/>
      <c r="G16" s="51"/>
      <c r="H16" s="20">
        <f t="shared" si="0"/>
        <v>13.625</v>
      </c>
      <c r="I16" s="20">
        <f t="shared" si="1"/>
        <v>18.625</v>
      </c>
      <c r="J16" s="20">
        <f t="shared" si="2"/>
        <v>32.25</v>
      </c>
    </row>
    <row r="17" spans="1:10" ht="12.75" customHeight="1">
      <c r="A17" s="16" t="s">
        <v>25</v>
      </c>
      <c r="B17" s="51"/>
      <c r="C17" s="51"/>
      <c r="D17" s="51"/>
      <c r="E17" s="51"/>
      <c r="F17" s="51">
        <v>2</v>
      </c>
      <c r="G17" s="51"/>
      <c r="H17" s="20">
        <f t="shared" si="0"/>
        <v>11.625</v>
      </c>
      <c r="I17" s="20">
        <f t="shared" si="1"/>
        <v>18.625</v>
      </c>
      <c r="J17" s="20">
        <f t="shared" si="2"/>
        <v>30.25</v>
      </c>
    </row>
    <row r="18" spans="1:10" ht="12" customHeight="1">
      <c r="A18" s="16" t="s">
        <v>26</v>
      </c>
      <c r="B18" s="51">
        <v>1.25</v>
      </c>
      <c r="C18" s="51">
        <v>1.25</v>
      </c>
      <c r="D18" s="51"/>
      <c r="E18" s="51"/>
      <c r="F18" s="51"/>
      <c r="G18" s="51"/>
      <c r="H18" s="20">
        <f t="shared" si="0"/>
        <v>12.875</v>
      </c>
      <c r="I18" s="20">
        <f t="shared" si="1"/>
        <v>19.875</v>
      </c>
      <c r="J18" s="20">
        <f t="shared" si="2"/>
        <v>32.75</v>
      </c>
    </row>
    <row r="19" spans="1:10" ht="12" customHeight="1">
      <c r="A19" s="16" t="s">
        <v>27</v>
      </c>
      <c r="B19" s="51"/>
      <c r="C19" s="51"/>
      <c r="D19" s="51"/>
      <c r="E19" s="51"/>
      <c r="F19" s="51">
        <v>2</v>
      </c>
      <c r="G19" s="51"/>
      <c r="H19" s="20">
        <f t="shared" si="0"/>
        <v>10.875</v>
      </c>
      <c r="I19" s="20">
        <f t="shared" si="1"/>
        <v>19.875</v>
      </c>
      <c r="J19" s="20">
        <f t="shared" si="2"/>
        <v>30.75</v>
      </c>
    </row>
    <row r="20" spans="1:10" ht="12" customHeight="1">
      <c r="A20" s="16" t="s">
        <v>28</v>
      </c>
      <c r="B20" s="51">
        <v>3.75</v>
      </c>
      <c r="C20" s="51">
        <v>3.75</v>
      </c>
      <c r="D20" s="51"/>
      <c r="E20" s="51"/>
      <c r="F20" s="51"/>
      <c r="G20" s="51"/>
      <c r="H20" s="20">
        <f t="shared" si="0"/>
        <v>14.625</v>
      </c>
      <c r="I20" s="20">
        <f t="shared" si="1"/>
        <v>23.625</v>
      </c>
      <c r="J20" s="20">
        <f t="shared" si="2"/>
        <v>38.25</v>
      </c>
    </row>
    <row r="21" spans="1:10" ht="12" customHeight="1">
      <c r="A21" s="16" t="s">
        <v>29</v>
      </c>
      <c r="B21" s="51"/>
      <c r="C21" s="51"/>
      <c r="D21" s="51">
        <v>0.5</v>
      </c>
      <c r="E21" s="51"/>
      <c r="F21" s="51"/>
      <c r="G21" s="51"/>
      <c r="H21" s="20">
        <f t="shared" si="0"/>
        <v>14.125</v>
      </c>
      <c r="I21" s="20">
        <f t="shared" si="1"/>
        <v>23.625</v>
      </c>
      <c r="J21" s="20">
        <f t="shared" si="2"/>
        <v>37.75</v>
      </c>
    </row>
    <row r="22" spans="1:10" ht="12" customHeight="1">
      <c r="A22" s="16" t="s">
        <v>30</v>
      </c>
      <c r="B22" s="51"/>
      <c r="C22" s="51"/>
      <c r="D22" s="51"/>
      <c r="E22" s="51"/>
      <c r="F22" s="51"/>
      <c r="G22" s="51">
        <v>1</v>
      </c>
      <c r="H22" s="20">
        <f t="shared" si="0"/>
        <v>14.125</v>
      </c>
      <c r="I22" s="20">
        <f t="shared" si="1"/>
        <v>23.625</v>
      </c>
      <c r="J22" s="20">
        <f t="shared" si="2"/>
        <v>37.75</v>
      </c>
    </row>
    <row r="23" spans="1:10" ht="12" customHeight="1">
      <c r="A23" s="16" t="s">
        <v>31</v>
      </c>
      <c r="B23" s="51"/>
      <c r="C23" s="51"/>
      <c r="D23" s="51"/>
      <c r="E23" s="51"/>
      <c r="F23" s="51"/>
      <c r="G23" s="51">
        <v>1</v>
      </c>
      <c r="H23" s="20">
        <f t="shared" si="0"/>
        <v>14.125</v>
      </c>
      <c r="I23" s="20">
        <f t="shared" si="1"/>
        <v>23.625</v>
      </c>
      <c r="J23" s="20">
        <f t="shared" si="2"/>
        <v>37.75</v>
      </c>
    </row>
    <row r="24" spans="1:10" ht="12" customHeight="1">
      <c r="A24" s="16" t="s">
        <v>32</v>
      </c>
      <c r="B24" s="51">
        <v>1.25</v>
      </c>
      <c r="C24" s="51">
        <v>1.25</v>
      </c>
      <c r="D24" s="51"/>
      <c r="E24" s="51"/>
      <c r="F24" s="51"/>
      <c r="G24" s="51"/>
      <c r="H24" s="20">
        <f t="shared" si="0"/>
        <v>15.375</v>
      </c>
      <c r="I24" s="20">
        <f t="shared" si="1"/>
        <v>24.875</v>
      </c>
      <c r="J24" s="20">
        <f t="shared" si="2"/>
        <v>40.25</v>
      </c>
    </row>
    <row r="25" spans="1:10" ht="12.75" customHeight="1">
      <c r="A25" s="16" t="s">
        <v>33</v>
      </c>
      <c r="B25" s="51"/>
      <c r="C25" s="51"/>
      <c r="D25" s="51">
        <v>14</v>
      </c>
      <c r="E25" s="51">
        <v>15</v>
      </c>
      <c r="F25" s="51"/>
      <c r="G25" s="51"/>
      <c r="H25" s="20">
        <f t="shared" si="0"/>
        <v>1.375</v>
      </c>
      <c r="I25" s="20">
        <f t="shared" si="1"/>
        <v>9.875</v>
      </c>
      <c r="J25" s="20">
        <f t="shared" si="2"/>
        <v>11.25</v>
      </c>
    </row>
    <row r="26" spans="1:10" ht="12" customHeight="1">
      <c r="A26" s="16" t="s">
        <v>34</v>
      </c>
      <c r="B26" s="51">
        <v>2.5</v>
      </c>
      <c r="C26" s="51">
        <v>2.5</v>
      </c>
      <c r="D26" s="51"/>
      <c r="E26" s="51"/>
      <c r="F26" s="51"/>
      <c r="G26" s="51"/>
      <c r="H26" s="20">
        <f t="shared" si="0"/>
        <v>3.875</v>
      </c>
      <c r="I26" s="20">
        <f t="shared" si="1"/>
        <v>12.375</v>
      </c>
      <c r="J26" s="20">
        <f t="shared" si="2"/>
        <v>16.25</v>
      </c>
    </row>
    <row r="27" spans="1:10" ht="12" customHeight="1">
      <c r="A27" s="16" t="s">
        <v>35</v>
      </c>
      <c r="B27" s="51"/>
      <c r="C27" s="51"/>
      <c r="D27" s="51"/>
      <c r="E27" s="51">
        <v>3</v>
      </c>
      <c r="F27" s="51"/>
      <c r="G27" s="51"/>
      <c r="H27" s="20">
        <f t="shared" si="0"/>
        <v>3.875</v>
      </c>
      <c r="I27" s="20">
        <f t="shared" si="1"/>
        <v>9.375</v>
      </c>
      <c r="J27" s="20">
        <f t="shared" si="2"/>
        <v>13.25</v>
      </c>
    </row>
    <row r="28" spans="1:10" s="48" customFormat="1" ht="12" customHeight="1">
      <c r="A28" s="16" t="s">
        <v>36</v>
      </c>
      <c r="B28" s="51">
        <v>1.25</v>
      </c>
      <c r="C28" s="51">
        <v>1.25</v>
      </c>
      <c r="D28" s="51"/>
      <c r="E28" s="51"/>
      <c r="F28" s="51"/>
      <c r="G28" s="51"/>
      <c r="H28" s="20">
        <f t="shared" ref="H28:H31" si="3">H27-F28-D28+B28</f>
        <v>5.125</v>
      </c>
      <c r="I28" s="20">
        <f t="shared" ref="I28:I31" si="4">I27-E28+C28</f>
        <v>10.625</v>
      </c>
      <c r="J28" s="20">
        <f t="shared" ref="J28:J31" si="5">SUM(H28:I28)</f>
        <v>15.75</v>
      </c>
    </row>
    <row r="29" spans="1:10" s="48" customFormat="1" ht="15" customHeight="1">
      <c r="A29" s="57" t="s">
        <v>37</v>
      </c>
      <c r="B29" s="58"/>
      <c r="C29" s="51"/>
      <c r="D29" s="51"/>
      <c r="E29" s="51"/>
      <c r="F29" s="51">
        <v>1</v>
      </c>
      <c r="G29" s="51"/>
      <c r="H29" s="20">
        <f t="shared" si="3"/>
        <v>4.125</v>
      </c>
      <c r="I29" s="20">
        <f t="shared" si="4"/>
        <v>10.625</v>
      </c>
      <c r="J29" s="20">
        <f t="shared" si="5"/>
        <v>14.75</v>
      </c>
    </row>
    <row r="30" spans="1:10" s="48" customFormat="1" ht="14.25" customHeight="1">
      <c r="A30" s="50" t="s">
        <v>38</v>
      </c>
      <c r="B30" s="51"/>
      <c r="C30" s="51"/>
      <c r="D30" s="51"/>
      <c r="E30" s="51">
        <v>2</v>
      </c>
      <c r="F30" s="51"/>
      <c r="G30" s="51"/>
      <c r="H30" s="20">
        <f t="shared" si="3"/>
        <v>4.125</v>
      </c>
      <c r="I30" s="20">
        <f t="shared" si="4"/>
        <v>8.625</v>
      </c>
      <c r="J30" s="20">
        <f t="shared" si="5"/>
        <v>12.75</v>
      </c>
    </row>
    <row r="31" spans="1:10" s="48" customFormat="1" ht="13.5" customHeight="1">
      <c r="A31" s="50" t="s">
        <v>39</v>
      </c>
      <c r="B31" s="51"/>
      <c r="C31" s="51"/>
      <c r="D31" s="51"/>
      <c r="E31" s="51"/>
      <c r="F31" s="51">
        <v>1</v>
      </c>
      <c r="G31" s="51"/>
      <c r="H31" s="20">
        <f t="shared" si="3"/>
        <v>3.125</v>
      </c>
      <c r="I31" s="20">
        <f t="shared" si="4"/>
        <v>8.625</v>
      </c>
      <c r="J31" s="20">
        <f t="shared" si="5"/>
        <v>11.75</v>
      </c>
    </row>
    <row r="32" spans="1:10" s="48" customFormat="1" ht="13.5" customHeight="1">
      <c r="A32" s="50" t="s">
        <v>40</v>
      </c>
      <c r="B32" s="51"/>
      <c r="C32" s="51"/>
      <c r="D32" s="51"/>
      <c r="E32" s="51">
        <v>0.5</v>
      </c>
      <c r="F32" s="51"/>
      <c r="G32" s="51"/>
      <c r="H32" s="20">
        <f t="shared" ref="H32:H55" si="6">H31-F32-D32+B32</f>
        <v>3.125</v>
      </c>
      <c r="I32" s="20">
        <f t="shared" ref="I32:I55" si="7">I31-E32+C32</f>
        <v>8.125</v>
      </c>
      <c r="J32" s="20">
        <f t="shared" ref="J32:J55" si="8">SUM(H32:I32)</f>
        <v>11.25</v>
      </c>
    </row>
    <row r="33" spans="1:11" ht="12" customHeight="1">
      <c r="A33" s="16" t="s">
        <v>41</v>
      </c>
      <c r="B33" s="51">
        <v>1.25</v>
      </c>
      <c r="C33" s="51">
        <v>1.25</v>
      </c>
      <c r="D33" s="51"/>
      <c r="E33" s="51"/>
      <c r="F33" s="51"/>
      <c r="G33" s="51"/>
      <c r="H33" s="20">
        <f t="shared" si="6"/>
        <v>4.375</v>
      </c>
      <c r="I33" s="20">
        <f t="shared" si="7"/>
        <v>9.375</v>
      </c>
      <c r="J33" s="20">
        <f t="shared" si="8"/>
        <v>13.75</v>
      </c>
    </row>
    <row r="34" spans="1:11" ht="12" customHeight="1">
      <c r="A34" s="16" t="s">
        <v>42</v>
      </c>
      <c r="B34" s="51"/>
      <c r="C34" s="51"/>
      <c r="D34" s="51"/>
      <c r="E34" s="51"/>
      <c r="F34" s="51"/>
      <c r="G34" s="51">
        <v>1</v>
      </c>
      <c r="H34" s="20">
        <f t="shared" si="6"/>
        <v>4.375</v>
      </c>
      <c r="I34" s="20">
        <f t="shared" si="7"/>
        <v>9.375</v>
      </c>
      <c r="J34" s="20">
        <f t="shared" si="8"/>
        <v>13.75</v>
      </c>
    </row>
    <row r="35" spans="1:11" ht="14.25" customHeight="1">
      <c r="A35" s="16" t="s">
        <v>43</v>
      </c>
      <c r="B35" s="51">
        <v>1.25</v>
      </c>
      <c r="C35" s="51">
        <v>1.25</v>
      </c>
      <c r="D35" s="51"/>
      <c r="E35" s="51"/>
      <c r="F35" s="51"/>
      <c r="G35" s="51"/>
      <c r="H35" s="20">
        <f t="shared" si="6"/>
        <v>5.625</v>
      </c>
      <c r="I35" s="20">
        <f t="shared" si="7"/>
        <v>10.625</v>
      </c>
      <c r="J35" s="20">
        <f t="shared" si="8"/>
        <v>16.25</v>
      </c>
    </row>
    <row r="36" spans="1:11" ht="12" customHeight="1">
      <c r="A36" s="16" t="s">
        <v>44</v>
      </c>
      <c r="B36" s="51"/>
      <c r="C36" s="51"/>
      <c r="D36" s="51"/>
      <c r="E36" s="51"/>
      <c r="F36" s="51"/>
      <c r="G36" s="51">
        <v>1</v>
      </c>
      <c r="H36" s="20">
        <f t="shared" si="6"/>
        <v>5.625</v>
      </c>
      <c r="I36" s="20">
        <f t="shared" si="7"/>
        <v>10.625</v>
      </c>
      <c r="J36" s="20">
        <f t="shared" si="8"/>
        <v>16.25</v>
      </c>
    </row>
    <row r="37" spans="1:11" ht="12" customHeight="1">
      <c r="A37" s="16" t="s">
        <v>45</v>
      </c>
      <c r="B37" s="51"/>
      <c r="C37" s="51"/>
      <c r="D37" s="51"/>
      <c r="E37" s="51">
        <v>1</v>
      </c>
      <c r="F37" s="51"/>
      <c r="G37" s="51"/>
      <c r="H37" s="20">
        <f t="shared" si="6"/>
        <v>5.625</v>
      </c>
      <c r="I37" s="20">
        <f t="shared" si="7"/>
        <v>9.625</v>
      </c>
      <c r="J37" s="20">
        <f t="shared" si="8"/>
        <v>15.25</v>
      </c>
    </row>
    <row r="38" spans="1:11" ht="12" customHeight="1">
      <c r="A38" s="16" t="s">
        <v>46</v>
      </c>
      <c r="B38" s="51"/>
      <c r="C38" s="51"/>
      <c r="D38" s="51"/>
      <c r="E38" s="51">
        <v>1</v>
      </c>
      <c r="F38" s="51"/>
      <c r="G38" s="51"/>
      <c r="H38" s="20">
        <f t="shared" si="6"/>
        <v>5.625</v>
      </c>
      <c r="I38" s="20">
        <f t="shared" si="7"/>
        <v>8.625</v>
      </c>
      <c r="J38" s="20">
        <f t="shared" si="8"/>
        <v>14.25</v>
      </c>
    </row>
    <row r="39" spans="1:11" s="49" customFormat="1" ht="12" customHeight="1">
      <c r="A39" s="16" t="s">
        <v>47</v>
      </c>
      <c r="B39" s="51"/>
      <c r="C39" s="51"/>
      <c r="D39" s="51">
        <v>0.5</v>
      </c>
      <c r="E39" s="51"/>
      <c r="F39" s="51"/>
      <c r="G39" s="51"/>
      <c r="H39" s="20">
        <f t="shared" si="6"/>
        <v>5.125</v>
      </c>
      <c r="I39" s="20">
        <f t="shared" si="7"/>
        <v>8.625</v>
      </c>
      <c r="J39" s="20">
        <f t="shared" si="8"/>
        <v>13.75</v>
      </c>
      <c r="K39" s="52"/>
    </row>
    <row r="40" spans="1:11" s="49" customFormat="1" ht="12" customHeight="1">
      <c r="A40" s="16" t="s">
        <v>48</v>
      </c>
      <c r="B40" s="51">
        <v>2.5</v>
      </c>
      <c r="C40" s="51">
        <v>2.5</v>
      </c>
      <c r="D40" s="51"/>
      <c r="E40" s="51"/>
      <c r="F40" s="51"/>
      <c r="G40" s="51"/>
      <c r="H40" s="20">
        <f t="shared" si="6"/>
        <v>7.625</v>
      </c>
      <c r="I40" s="20">
        <f t="shared" si="7"/>
        <v>11.125</v>
      </c>
      <c r="J40" s="20">
        <f t="shared" si="8"/>
        <v>18.75</v>
      </c>
      <c r="K40" s="52"/>
    </row>
    <row r="41" spans="1:11" s="49" customFormat="1" ht="12.75" customHeight="1">
      <c r="A41" s="16" t="s">
        <v>49</v>
      </c>
      <c r="B41" s="51"/>
      <c r="C41" s="51"/>
      <c r="D41" s="51"/>
      <c r="E41" s="51">
        <v>0.5</v>
      </c>
      <c r="F41" s="51"/>
      <c r="G41" s="51"/>
      <c r="H41" s="20">
        <f t="shared" si="6"/>
        <v>7.625</v>
      </c>
      <c r="I41" s="20">
        <f t="shared" si="7"/>
        <v>10.625</v>
      </c>
      <c r="J41" s="20">
        <f t="shared" si="8"/>
        <v>18.25</v>
      </c>
      <c r="K41" s="52"/>
    </row>
    <row r="42" spans="1:11" ht="12" customHeight="1">
      <c r="A42" s="16" t="s">
        <v>50</v>
      </c>
      <c r="B42" s="51">
        <v>1.25</v>
      </c>
      <c r="C42" s="51">
        <v>1.25</v>
      </c>
      <c r="D42" s="51"/>
      <c r="E42" s="51"/>
      <c r="F42" s="51"/>
      <c r="G42" s="51"/>
      <c r="H42" s="20">
        <f t="shared" si="6"/>
        <v>8.875</v>
      </c>
      <c r="I42" s="20">
        <f t="shared" si="7"/>
        <v>11.875</v>
      </c>
      <c r="J42" s="20">
        <f t="shared" si="8"/>
        <v>20.75</v>
      </c>
    </row>
    <row r="43" spans="1:11" ht="15.75" customHeight="1">
      <c r="A43" s="16" t="s">
        <v>51</v>
      </c>
      <c r="B43" s="51"/>
      <c r="C43" s="51"/>
      <c r="D43" s="51"/>
      <c r="E43" s="51">
        <v>2.5</v>
      </c>
      <c r="F43" s="51"/>
      <c r="G43" s="51"/>
      <c r="H43" s="20">
        <f t="shared" si="6"/>
        <v>8.875</v>
      </c>
      <c r="I43" s="20">
        <f t="shared" si="7"/>
        <v>9.375</v>
      </c>
      <c r="J43" s="20">
        <f t="shared" si="8"/>
        <v>18.25</v>
      </c>
    </row>
    <row r="44" spans="1:11" s="49" customFormat="1" ht="16.5" customHeight="1">
      <c r="A44" s="16" t="s">
        <v>52</v>
      </c>
      <c r="B44" s="51">
        <v>1.25</v>
      </c>
      <c r="C44" s="51">
        <v>1.25</v>
      </c>
      <c r="D44" s="51"/>
      <c r="E44" s="51"/>
      <c r="F44" s="51"/>
      <c r="G44" s="51"/>
      <c r="H44" s="20">
        <f t="shared" si="6"/>
        <v>10.125</v>
      </c>
      <c r="I44" s="20">
        <f t="shared" si="7"/>
        <v>10.625</v>
      </c>
      <c r="J44" s="20">
        <f t="shared" si="8"/>
        <v>20.75</v>
      </c>
      <c r="K44" s="52"/>
    </row>
    <row r="45" spans="1:11" s="49" customFormat="1" ht="12" customHeight="1">
      <c r="A45" s="16" t="s">
        <v>53</v>
      </c>
      <c r="B45" s="51"/>
      <c r="C45" s="51"/>
      <c r="D45" s="51"/>
      <c r="E45" s="51">
        <v>1</v>
      </c>
      <c r="F45" s="51"/>
      <c r="G45" s="51"/>
      <c r="H45" s="20">
        <f t="shared" si="6"/>
        <v>10.125</v>
      </c>
      <c r="I45" s="20">
        <f t="shared" si="7"/>
        <v>9.625</v>
      </c>
      <c r="J45" s="20">
        <f t="shared" si="8"/>
        <v>19.75</v>
      </c>
      <c r="K45" s="52"/>
    </row>
    <row r="46" spans="1:11" ht="12" customHeight="1">
      <c r="A46" s="16" t="s">
        <v>54</v>
      </c>
      <c r="B46" s="51">
        <v>1.25</v>
      </c>
      <c r="C46" s="51">
        <v>1.25</v>
      </c>
      <c r="D46" s="51"/>
      <c r="E46" s="51"/>
      <c r="F46" s="51"/>
      <c r="G46" s="51"/>
      <c r="H46" s="20">
        <f t="shared" si="6"/>
        <v>11.375</v>
      </c>
      <c r="I46" s="20">
        <f t="shared" si="7"/>
        <v>10.875</v>
      </c>
      <c r="J46" s="20">
        <f t="shared" si="8"/>
        <v>22.25</v>
      </c>
    </row>
    <row r="47" spans="1:11" ht="16.5" customHeight="1">
      <c r="A47" s="16" t="s">
        <v>55</v>
      </c>
      <c r="B47" s="51"/>
      <c r="C47" s="51"/>
      <c r="D47" s="51"/>
      <c r="E47" s="51"/>
      <c r="F47" s="51"/>
      <c r="G47" s="51">
        <v>1</v>
      </c>
      <c r="H47" s="20">
        <f t="shared" si="6"/>
        <v>11.375</v>
      </c>
      <c r="I47" s="20">
        <f t="shared" si="7"/>
        <v>10.875</v>
      </c>
      <c r="J47" s="20">
        <f t="shared" si="8"/>
        <v>22.25</v>
      </c>
    </row>
    <row r="48" spans="1:11" ht="12" customHeight="1">
      <c r="A48" s="16" t="s">
        <v>56</v>
      </c>
      <c r="B48" s="51"/>
      <c r="C48" s="51"/>
      <c r="D48" s="51"/>
      <c r="E48" s="51">
        <v>1</v>
      </c>
      <c r="F48" s="51"/>
      <c r="G48" s="51"/>
      <c r="H48" s="20">
        <f t="shared" si="6"/>
        <v>11.375</v>
      </c>
      <c r="I48" s="20">
        <f t="shared" si="7"/>
        <v>9.875</v>
      </c>
      <c r="J48" s="20">
        <f t="shared" si="8"/>
        <v>21.25</v>
      </c>
    </row>
    <row r="49" spans="1:10" s="48" customFormat="1" ht="12" customHeight="1">
      <c r="A49" s="16" t="s">
        <v>57</v>
      </c>
      <c r="B49" s="51">
        <v>1.25</v>
      </c>
      <c r="C49" s="51">
        <v>1.25</v>
      </c>
      <c r="D49" s="51"/>
      <c r="E49" s="51"/>
      <c r="F49" s="51"/>
      <c r="G49" s="51"/>
      <c r="H49" s="20">
        <f t="shared" si="6"/>
        <v>12.625</v>
      </c>
      <c r="I49" s="20">
        <f t="shared" si="7"/>
        <v>11.125</v>
      </c>
      <c r="J49" s="20">
        <f t="shared" si="8"/>
        <v>23.75</v>
      </c>
    </row>
    <row r="50" spans="1:10" s="48" customFormat="1" ht="12" customHeight="1">
      <c r="A50" s="16" t="s">
        <v>58</v>
      </c>
      <c r="B50" s="51"/>
      <c r="C50" s="51"/>
      <c r="D50" s="51"/>
      <c r="E50" s="51">
        <v>1</v>
      </c>
      <c r="F50" s="51"/>
      <c r="G50" s="51"/>
      <c r="H50" s="20">
        <f t="shared" si="6"/>
        <v>12.625</v>
      </c>
      <c r="I50" s="20">
        <f t="shared" si="7"/>
        <v>10.125</v>
      </c>
      <c r="J50" s="20">
        <f t="shared" si="8"/>
        <v>22.75</v>
      </c>
    </row>
    <row r="51" spans="1:10" s="48" customFormat="1" ht="12" customHeight="1">
      <c r="A51" s="16" t="s">
        <v>59</v>
      </c>
      <c r="B51" s="51"/>
      <c r="C51" s="51"/>
      <c r="D51" s="51">
        <v>11</v>
      </c>
      <c r="E51" s="51">
        <v>9</v>
      </c>
      <c r="F51" s="51"/>
      <c r="G51" s="51"/>
      <c r="H51" s="20">
        <f t="shared" si="6"/>
        <v>1.625</v>
      </c>
      <c r="I51" s="20">
        <f t="shared" si="7"/>
        <v>1.125</v>
      </c>
      <c r="J51" s="20">
        <f t="shared" si="8"/>
        <v>2.75</v>
      </c>
    </row>
    <row r="52" spans="1:10" s="48" customFormat="1" ht="12" customHeight="1">
      <c r="A52" s="16" t="s">
        <v>60</v>
      </c>
      <c r="B52" s="51">
        <v>1.25</v>
      </c>
      <c r="C52" s="51">
        <v>1.25</v>
      </c>
      <c r="D52" s="51"/>
      <c r="E52" s="51"/>
      <c r="F52" s="51">
        <v>0</v>
      </c>
      <c r="G52" s="51"/>
      <c r="H52" s="20">
        <f t="shared" si="6"/>
        <v>2.875</v>
      </c>
      <c r="I52" s="20">
        <f t="shared" si="7"/>
        <v>2.375</v>
      </c>
      <c r="J52" s="20">
        <f t="shared" si="8"/>
        <v>5.25</v>
      </c>
    </row>
    <row r="53" spans="1:10" s="48" customFormat="1" ht="14.25" customHeight="1">
      <c r="A53" s="16" t="s">
        <v>61</v>
      </c>
      <c r="B53" s="51"/>
      <c r="C53" s="51"/>
      <c r="D53" s="51"/>
      <c r="E53" s="51">
        <v>1.5</v>
      </c>
      <c r="F53" s="51"/>
      <c r="G53" s="51"/>
      <c r="H53" s="20">
        <f t="shared" si="6"/>
        <v>2.875</v>
      </c>
      <c r="I53" s="20">
        <f t="shared" si="7"/>
        <v>0.875</v>
      </c>
      <c r="J53" s="20">
        <f t="shared" si="8"/>
        <v>3.75</v>
      </c>
    </row>
    <row r="54" spans="1:10" s="48" customFormat="1" ht="12" customHeight="1">
      <c r="A54" s="16" t="s">
        <v>62</v>
      </c>
      <c r="B54" s="51">
        <v>1.25</v>
      </c>
      <c r="C54" s="51">
        <v>1.25</v>
      </c>
      <c r="D54" s="51"/>
      <c r="E54" s="51"/>
      <c r="F54" s="51"/>
      <c r="G54" s="51"/>
      <c r="H54" s="20">
        <f t="shared" si="6"/>
        <v>4.125</v>
      </c>
      <c r="I54" s="20">
        <f t="shared" si="7"/>
        <v>2.125</v>
      </c>
      <c r="J54" s="20">
        <f t="shared" si="8"/>
        <v>6.25</v>
      </c>
    </row>
    <row r="55" spans="1:10" s="48" customFormat="1" ht="15.75" customHeight="1">
      <c r="A55" s="16" t="s">
        <v>63</v>
      </c>
      <c r="B55" s="51"/>
      <c r="C55" s="51"/>
      <c r="D55" s="51"/>
      <c r="E55" s="51">
        <v>1.5</v>
      </c>
      <c r="F55" s="51"/>
      <c r="G55" s="51"/>
      <c r="H55" s="20">
        <f t="shared" si="6"/>
        <v>4.125</v>
      </c>
      <c r="I55" s="20">
        <f t="shared" si="7"/>
        <v>0.625</v>
      </c>
      <c r="J55" s="20">
        <f t="shared" si="8"/>
        <v>4.75</v>
      </c>
    </row>
    <row r="56" spans="1:10" s="48" customFormat="1" ht="15.75" customHeight="1">
      <c r="A56" s="16" t="s">
        <v>64</v>
      </c>
      <c r="B56" s="51">
        <v>2.5</v>
      </c>
      <c r="C56" s="51">
        <v>2.5</v>
      </c>
      <c r="D56" s="51"/>
      <c r="E56" s="51"/>
      <c r="F56" s="51"/>
      <c r="G56" s="51"/>
      <c r="H56" s="20">
        <f t="shared" ref="H56" si="9">H55-F56-D56+B56</f>
        <v>6.625</v>
      </c>
      <c r="I56" s="20">
        <f t="shared" ref="I56" si="10">I55-E56+C56</f>
        <v>3.125</v>
      </c>
      <c r="J56" s="20">
        <f t="shared" ref="J56" si="11">SUM(H56:I56)</f>
        <v>9.75</v>
      </c>
    </row>
    <row r="57" spans="1:10" s="48" customFormat="1" ht="14.25" customHeight="1">
      <c r="A57" s="16" t="s">
        <v>65</v>
      </c>
      <c r="B57" s="51"/>
      <c r="C57" s="51"/>
      <c r="D57" s="51"/>
      <c r="E57" s="51">
        <v>1</v>
      </c>
      <c r="F57" s="51"/>
      <c r="G57" s="51"/>
      <c r="H57" s="20">
        <f t="shared" ref="H57:H76" si="12">H56-F57-D57+B57</f>
        <v>6.625</v>
      </c>
      <c r="I57" s="20">
        <f t="shared" ref="I57:I76" si="13">I56-E57+C57</f>
        <v>2.125</v>
      </c>
      <c r="J57" s="20">
        <f t="shared" ref="J57:J76" si="14">SUM(H57:I57)</f>
        <v>8.75</v>
      </c>
    </row>
    <row r="58" spans="1:10" s="48" customFormat="1" ht="15" customHeight="1">
      <c r="A58" s="16" t="s">
        <v>66</v>
      </c>
      <c r="B58" s="51"/>
      <c r="C58" s="51"/>
      <c r="D58" s="51"/>
      <c r="E58" s="51"/>
      <c r="F58" s="51">
        <v>1</v>
      </c>
      <c r="G58" s="51"/>
      <c r="H58" s="20">
        <f t="shared" si="12"/>
        <v>5.625</v>
      </c>
      <c r="I58" s="20">
        <f t="shared" si="13"/>
        <v>2.125</v>
      </c>
      <c r="J58" s="20">
        <f t="shared" si="14"/>
        <v>7.75</v>
      </c>
    </row>
    <row r="59" spans="1:10" s="48" customFormat="1" ht="12" customHeight="1">
      <c r="A59" s="16" t="s">
        <v>67</v>
      </c>
      <c r="B59" s="51"/>
      <c r="C59" s="51"/>
      <c r="D59" s="51"/>
      <c r="E59" s="51"/>
      <c r="F59" s="51">
        <v>3</v>
      </c>
      <c r="G59" s="51"/>
      <c r="H59" s="20">
        <f t="shared" si="12"/>
        <v>2.625</v>
      </c>
      <c r="I59" s="20">
        <f t="shared" si="13"/>
        <v>2.125</v>
      </c>
      <c r="J59" s="20">
        <f t="shared" si="14"/>
        <v>4.75</v>
      </c>
    </row>
    <row r="60" spans="1:10" s="48" customFormat="1" ht="12" customHeight="1">
      <c r="A60" s="16" t="s">
        <v>68</v>
      </c>
      <c r="B60" s="51"/>
      <c r="C60" s="51"/>
      <c r="D60" s="51"/>
      <c r="E60" s="51">
        <v>1</v>
      </c>
      <c r="F60" s="51"/>
      <c r="G60" s="51"/>
      <c r="H60" s="20">
        <f t="shared" si="12"/>
        <v>2.625</v>
      </c>
      <c r="I60" s="20">
        <f t="shared" si="13"/>
        <v>1.125</v>
      </c>
      <c r="J60" s="20">
        <f t="shared" si="14"/>
        <v>3.75</v>
      </c>
    </row>
    <row r="61" spans="1:10" s="48" customFormat="1" ht="12" customHeight="1">
      <c r="A61" s="16" t="s">
        <v>69</v>
      </c>
      <c r="B61" s="51">
        <v>1.25</v>
      </c>
      <c r="C61" s="51">
        <v>1.25</v>
      </c>
      <c r="D61" s="51"/>
      <c r="E61" s="51"/>
      <c r="F61" s="51"/>
      <c r="G61" s="51"/>
      <c r="H61" s="20">
        <f t="shared" si="12"/>
        <v>3.875</v>
      </c>
      <c r="I61" s="20">
        <f t="shared" si="13"/>
        <v>2.375</v>
      </c>
      <c r="J61" s="20">
        <f t="shared" si="14"/>
        <v>6.25</v>
      </c>
    </row>
    <row r="62" spans="1:10" s="48" customFormat="1" ht="12" customHeight="1">
      <c r="A62" s="16" t="s">
        <v>70</v>
      </c>
      <c r="B62" s="51"/>
      <c r="C62" s="51"/>
      <c r="D62" s="51"/>
      <c r="E62" s="51">
        <v>2</v>
      </c>
      <c r="F62" s="51"/>
      <c r="G62" s="51"/>
      <c r="H62" s="20">
        <f t="shared" si="12"/>
        <v>3.875</v>
      </c>
      <c r="I62" s="20">
        <f t="shared" si="13"/>
        <v>0.375</v>
      </c>
      <c r="J62" s="20">
        <f t="shared" si="14"/>
        <v>4.25</v>
      </c>
    </row>
    <row r="63" spans="1:10" s="48" customFormat="1" ht="15.75" customHeight="1">
      <c r="A63" s="16" t="s">
        <v>71</v>
      </c>
      <c r="B63" s="51"/>
      <c r="C63" s="51"/>
      <c r="D63" s="51"/>
      <c r="E63" s="51"/>
      <c r="F63" s="51"/>
      <c r="G63" s="51">
        <v>1</v>
      </c>
      <c r="H63" s="20">
        <f t="shared" si="12"/>
        <v>3.875</v>
      </c>
      <c r="I63" s="20">
        <f t="shared" si="13"/>
        <v>0.375</v>
      </c>
      <c r="J63" s="20">
        <f t="shared" si="14"/>
        <v>4.25</v>
      </c>
    </row>
    <row r="64" spans="1:10" s="48" customFormat="1" ht="12" customHeight="1">
      <c r="A64" s="16" t="s">
        <v>72</v>
      </c>
      <c r="B64" s="51"/>
      <c r="C64" s="51"/>
      <c r="D64" s="51"/>
      <c r="E64" s="51"/>
      <c r="F64" s="51"/>
      <c r="G64" s="51">
        <v>2</v>
      </c>
      <c r="H64" s="20">
        <f t="shared" si="12"/>
        <v>3.875</v>
      </c>
      <c r="I64" s="20">
        <f t="shared" si="13"/>
        <v>0.375</v>
      </c>
      <c r="J64" s="20">
        <f t="shared" si="14"/>
        <v>4.25</v>
      </c>
    </row>
    <row r="65" spans="1:10" s="48" customFormat="1" ht="12" customHeight="1">
      <c r="A65" s="16" t="s">
        <v>73</v>
      </c>
      <c r="B65" s="51">
        <v>1.25</v>
      </c>
      <c r="C65" s="51">
        <v>1.25</v>
      </c>
      <c r="D65" s="51"/>
      <c r="E65" s="51"/>
      <c r="F65" s="51"/>
      <c r="G65" s="51"/>
      <c r="H65" s="20">
        <f t="shared" si="12"/>
        <v>5.125</v>
      </c>
      <c r="I65" s="20">
        <f t="shared" si="13"/>
        <v>1.625</v>
      </c>
      <c r="J65" s="20">
        <f t="shared" si="14"/>
        <v>6.75</v>
      </c>
    </row>
    <row r="66" spans="1:10" s="48" customFormat="1" ht="12" customHeight="1">
      <c r="A66" s="16" t="s">
        <v>74</v>
      </c>
      <c r="B66" s="51"/>
      <c r="C66" s="51"/>
      <c r="D66" s="51"/>
      <c r="E66" s="51">
        <v>1</v>
      </c>
      <c r="F66" s="51"/>
      <c r="G66" s="51"/>
      <c r="H66" s="20">
        <f t="shared" si="12"/>
        <v>5.125</v>
      </c>
      <c r="I66" s="20">
        <f t="shared" si="13"/>
        <v>0.625</v>
      </c>
      <c r="J66" s="20">
        <f t="shared" si="14"/>
        <v>5.75</v>
      </c>
    </row>
    <row r="67" spans="1:10" s="48" customFormat="1" ht="12" customHeight="1">
      <c r="A67" s="16" t="s">
        <v>75</v>
      </c>
      <c r="B67" s="51"/>
      <c r="C67" s="51"/>
      <c r="D67" s="51"/>
      <c r="E67" s="51"/>
      <c r="F67" s="51">
        <v>1</v>
      </c>
      <c r="G67" s="51"/>
      <c r="H67" s="20">
        <f t="shared" si="12"/>
        <v>4.125</v>
      </c>
      <c r="I67" s="20">
        <f t="shared" si="13"/>
        <v>0.625</v>
      </c>
      <c r="J67" s="20">
        <f t="shared" si="14"/>
        <v>4.75</v>
      </c>
    </row>
    <row r="68" spans="1:10" s="48" customFormat="1" ht="12" customHeight="1">
      <c r="A68" s="16" t="s">
        <v>76</v>
      </c>
      <c r="B68" s="51">
        <v>7.5</v>
      </c>
      <c r="C68" s="51">
        <v>7.5</v>
      </c>
      <c r="D68" s="51"/>
      <c r="E68" s="51"/>
      <c r="F68" s="51"/>
      <c r="G68" s="51"/>
      <c r="H68" s="20">
        <f t="shared" si="12"/>
        <v>11.625</v>
      </c>
      <c r="I68" s="20">
        <f t="shared" si="13"/>
        <v>8.125</v>
      </c>
      <c r="J68" s="20">
        <f t="shared" si="14"/>
        <v>19.75</v>
      </c>
    </row>
    <row r="69" spans="1:10" s="48" customFormat="1" ht="12" customHeight="1">
      <c r="A69" s="16" t="s">
        <v>77</v>
      </c>
      <c r="B69" s="51"/>
      <c r="C69" s="51"/>
      <c r="D69" s="51">
        <v>7</v>
      </c>
      <c r="E69" s="51">
        <v>5</v>
      </c>
      <c r="F69" s="51"/>
      <c r="G69" s="51"/>
      <c r="H69" s="20">
        <f t="shared" si="12"/>
        <v>4.625</v>
      </c>
      <c r="I69" s="20">
        <f t="shared" si="13"/>
        <v>3.125</v>
      </c>
      <c r="J69" s="20">
        <f t="shared" si="14"/>
        <v>7.75</v>
      </c>
    </row>
    <row r="70" spans="1:10" s="48" customFormat="1" ht="12" customHeight="1">
      <c r="A70" s="16" t="s">
        <v>78</v>
      </c>
      <c r="B70" s="51"/>
      <c r="C70" s="51"/>
      <c r="D70" s="51"/>
      <c r="E70" s="51">
        <v>1</v>
      </c>
      <c r="F70" s="51"/>
      <c r="G70" s="51"/>
      <c r="H70" s="20">
        <f t="shared" si="12"/>
        <v>4.625</v>
      </c>
      <c r="I70" s="20">
        <f t="shared" si="13"/>
        <v>2.125</v>
      </c>
      <c r="J70" s="20">
        <f t="shared" si="14"/>
        <v>6.75</v>
      </c>
    </row>
    <row r="71" spans="1:10" s="48" customFormat="1" ht="12" customHeight="1">
      <c r="A71" s="16" t="s">
        <v>79</v>
      </c>
      <c r="B71" s="51">
        <v>1.25</v>
      </c>
      <c r="C71" s="51">
        <v>1.25</v>
      </c>
      <c r="D71" s="51"/>
      <c r="E71" s="51"/>
      <c r="F71" s="51"/>
      <c r="G71" s="51"/>
      <c r="H71" s="20">
        <f t="shared" si="12"/>
        <v>5.875</v>
      </c>
      <c r="I71" s="20">
        <f t="shared" si="13"/>
        <v>3.375</v>
      </c>
      <c r="J71" s="20">
        <f t="shared" si="14"/>
        <v>9.25</v>
      </c>
    </row>
    <row r="72" spans="1:10" s="48" customFormat="1" ht="12" customHeight="1">
      <c r="A72" s="16" t="s">
        <v>80</v>
      </c>
      <c r="B72" s="51"/>
      <c r="C72" s="51"/>
      <c r="D72" s="51"/>
      <c r="E72" s="51">
        <v>1</v>
      </c>
      <c r="F72" s="51"/>
      <c r="G72" s="51"/>
      <c r="H72" s="20">
        <f t="shared" si="12"/>
        <v>5.875</v>
      </c>
      <c r="I72" s="20">
        <f t="shared" si="13"/>
        <v>2.375</v>
      </c>
      <c r="J72" s="20">
        <f t="shared" si="14"/>
        <v>8.25</v>
      </c>
    </row>
    <row r="73" spans="1:10" s="48" customFormat="1" ht="12" customHeight="1">
      <c r="A73" s="16" t="s">
        <v>81</v>
      </c>
      <c r="B73" s="51"/>
      <c r="C73" s="51"/>
      <c r="D73" s="51"/>
      <c r="E73" s="51"/>
      <c r="F73" s="51">
        <v>2</v>
      </c>
      <c r="G73" s="51"/>
      <c r="H73" s="20">
        <f t="shared" si="12"/>
        <v>3.875</v>
      </c>
      <c r="I73" s="20">
        <f t="shared" si="13"/>
        <v>2.375</v>
      </c>
      <c r="J73" s="20">
        <f t="shared" si="14"/>
        <v>6.25</v>
      </c>
    </row>
    <row r="74" spans="1:10" s="48" customFormat="1" ht="12" customHeight="1">
      <c r="A74" s="16" t="s">
        <v>82</v>
      </c>
      <c r="B74" s="51">
        <v>1.25</v>
      </c>
      <c r="C74" s="51">
        <v>1.25</v>
      </c>
      <c r="D74" s="51"/>
      <c r="E74" s="51"/>
      <c r="F74" s="51"/>
      <c r="G74" s="51"/>
      <c r="H74" s="20">
        <f t="shared" si="12"/>
        <v>5.125</v>
      </c>
      <c r="I74" s="20">
        <f t="shared" si="13"/>
        <v>3.625</v>
      </c>
      <c r="J74" s="20">
        <f t="shared" si="14"/>
        <v>8.75</v>
      </c>
    </row>
    <row r="75" spans="1:10" s="48" customFormat="1" ht="12" customHeight="1">
      <c r="A75" s="16" t="s">
        <v>83</v>
      </c>
      <c r="B75" s="51"/>
      <c r="C75" s="51"/>
      <c r="D75" s="51">
        <v>3</v>
      </c>
      <c r="E75" s="51"/>
      <c r="F75" s="51"/>
      <c r="G75" s="51"/>
      <c r="H75" s="20">
        <f t="shared" si="12"/>
        <v>2.125</v>
      </c>
      <c r="I75" s="20">
        <f t="shared" si="13"/>
        <v>3.625</v>
      </c>
      <c r="J75" s="20">
        <f t="shared" si="14"/>
        <v>5.75</v>
      </c>
    </row>
    <row r="76" spans="1:10" s="48" customFormat="1" ht="12" customHeight="1">
      <c r="A76" s="16" t="s">
        <v>84</v>
      </c>
      <c r="B76" s="51"/>
      <c r="C76" s="51"/>
      <c r="D76" s="51"/>
      <c r="E76" s="51"/>
      <c r="F76" s="51">
        <v>2</v>
      </c>
      <c r="G76" s="51"/>
      <c r="H76" s="20">
        <f t="shared" si="12"/>
        <v>0.125</v>
      </c>
      <c r="I76" s="20">
        <f t="shared" si="13"/>
        <v>3.625</v>
      </c>
      <c r="J76" s="20">
        <f t="shared" si="14"/>
        <v>3.75</v>
      </c>
    </row>
    <row r="77" spans="1:10" s="48" customFormat="1" ht="12" customHeight="1">
      <c r="A77" s="16" t="s">
        <v>85</v>
      </c>
      <c r="B77" s="51">
        <v>2.5</v>
      </c>
      <c r="C77" s="51">
        <v>2.5</v>
      </c>
      <c r="D77" s="51"/>
      <c r="E77" s="51"/>
      <c r="F77" s="51"/>
      <c r="G77" s="51"/>
      <c r="H77" s="20">
        <f t="shared" ref="H77:H80" si="15">H76-F77-D77+B77</f>
        <v>2.625</v>
      </c>
      <c r="I77" s="20">
        <f t="shared" ref="I77:I80" si="16">I76-E77+C77</f>
        <v>6.125</v>
      </c>
      <c r="J77" s="20">
        <f t="shared" ref="J77:J80" si="17">SUM(H77:I77)</f>
        <v>8.75</v>
      </c>
    </row>
    <row r="78" spans="1:10" s="48" customFormat="1" ht="12" customHeight="1">
      <c r="A78" s="16" t="s">
        <v>86</v>
      </c>
      <c r="B78" s="51"/>
      <c r="C78" s="51"/>
      <c r="D78" s="51"/>
      <c r="E78" s="51">
        <v>4</v>
      </c>
      <c r="F78" s="51"/>
      <c r="G78" s="51"/>
      <c r="H78" s="20">
        <f t="shared" si="15"/>
        <v>2.625</v>
      </c>
      <c r="I78" s="20">
        <f t="shared" si="16"/>
        <v>2.125</v>
      </c>
      <c r="J78" s="20">
        <f t="shared" si="17"/>
        <v>4.75</v>
      </c>
    </row>
    <row r="79" spans="1:10" s="48" customFormat="1" ht="14.25" customHeight="1">
      <c r="A79" s="59" t="s">
        <v>87</v>
      </c>
      <c r="B79" s="60"/>
      <c r="C79" s="60"/>
      <c r="D79" s="59">
        <v>2</v>
      </c>
      <c r="E79" s="51"/>
      <c r="F79" s="51"/>
      <c r="G79" s="51"/>
      <c r="H79" s="20">
        <f t="shared" si="15"/>
        <v>0.625</v>
      </c>
      <c r="I79" s="20">
        <f t="shared" si="16"/>
        <v>2.125</v>
      </c>
      <c r="J79" s="20">
        <f t="shared" si="17"/>
        <v>2.75</v>
      </c>
    </row>
    <row r="80" spans="1:10" s="48" customFormat="1" ht="14.25" customHeight="1">
      <c r="A80" s="59" t="s">
        <v>88</v>
      </c>
      <c r="B80" s="59"/>
      <c r="C80" s="59"/>
      <c r="D80" s="59"/>
      <c r="E80" s="51">
        <v>2</v>
      </c>
      <c r="F80" s="51"/>
      <c r="G80" s="51"/>
      <c r="H80" s="20">
        <f t="shared" si="15"/>
        <v>0.625</v>
      </c>
      <c r="I80" s="20">
        <f t="shared" si="16"/>
        <v>0.125</v>
      </c>
      <c r="J80" s="20">
        <f t="shared" si="17"/>
        <v>0.75</v>
      </c>
    </row>
    <row r="81" spans="1:10" s="48" customFormat="1" ht="14.25" customHeight="1">
      <c r="A81" s="59" t="s">
        <v>89</v>
      </c>
      <c r="B81" s="59"/>
      <c r="C81" s="59"/>
      <c r="D81" s="59">
        <v>0.5</v>
      </c>
      <c r="E81" s="51"/>
      <c r="F81" s="51"/>
      <c r="G81" s="51"/>
      <c r="H81" s="20">
        <f t="shared" ref="H81:H113" si="18">H80-F81-D81+B81</f>
        <v>0.125</v>
      </c>
      <c r="I81" s="20">
        <f t="shared" ref="I81:I113" si="19">I80-E81+C81</f>
        <v>0.125</v>
      </c>
      <c r="J81" s="20">
        <f t="shared" ref="J81:J113" si="20">SUM(H81:I81)</f>
        <v>0.25</v>
      </c>
    </row>
    <row r="82" spans="1:10" s="48" customFormat="1" ht="14.25" customHeight="1">
      <c r="A82" s="59" t="s">
        <v>90</v>
      </c>
      <c r="B82" s="59"/>
      <c r="C82" s="59"/>
      <c r="D82" s="59"/>
      <c r="E82" s="51"/>
      <c r="F82" s="51"/>
      <c r="G82" s="51">
        <v>2</v>
      </c>
      <c r="H82" s="20">
        <f t="shared" si="18"/>
        <v>0.125</v>
      </c>
      <c r="I82" s="20">
        <f t="shared" si="19"/>
        <v>0.125</v>
      </c>
      <c r="J82" s="20">
        <f t="shared" si="20"/>
        <v>0.25</v>
      </c>
    </row>
    <row r="83" spans="1:10" s="48" customFormat="1" ht="14.25" customHeight="1">
      <c r="A83" s="59" t="s">
        <v>91</v>
      </c>
      <c r="B83" s="59"/>
      <c r="C83" s="59"/>
      <c r="D83" s="59"/>
      <c r="E83" s="51"/>
      <c r="F83" s="51"/>
      <c r="G83" s="51">
        <v>1</v>
      </c>
      <c r="H83" s="20">
        <f t="shared" si="18"/>
        <v>0.125</v>
      </c>
      <c r="I83" s="20">
        <f t="shared" si="19"/>
        <v>0.125</v>
      </c>
      <c r="J83" s="20">
        <f t="shared" si="20"/>
        <v>0.25</v>
      </c>
    </row>
    <row r="84" spans="1:10" s="48" customFormat="1" ht="14.25" customHeight="1">
      <c r="A84" s="59" t="s">
        <v>92</v>
      </c>
      <c r="B84" s="59">
        <v>5</v>
      </c>
      <c r="C84" s="59">
        <v>5</v>
      </c>
      <c r="D84" s="59"/>
      <c r="E84" s="51"/>
      <c r="F84" s="51"/>
      <c r="G84" s="51"/>
      <c r="H84" s="20">
        <f t="shared" si="18"/>
        <v>5.125</v>
      </c>
      <c r="I84" s="20">
        <f t="shared" si="19"/>
        <v>5.125</v>
      </c>
      <c r="J84" s="20">
        <f t="shared" si="20"/>
        <v>10.25</v>
      </c>
    </row>
    <row r="85" spans="1:10" s="48" customFormat="1" ht="14.25" customHeight="1">
      <c r="A85" s="59" t="s">
        <v>93</v>
      </c>
      <c r="B85" s="59"/>
      <c r="C85" s="59"/>
      <c r="D85" s="59">
        <v>0.5</v>
      </c>
      <c r="E85" s="51"/>
      <c r="F85" s="51"/>
      <c r="G85" s="51"/>
      <c r="H85" s="20">
        <f t="shared" si="18"/>
        <v>4.625</v>
      </c>
      <c r="I85" s="20">
        <f t="shared" si="19"/>
        <v>5.125</v>
      </c>
      <c r="J85" s="20">
        <f t="shared" si="20"/>
        <v>9.75</v>
      </c>
    </row>
    <row r="86" spans="1:10" s="48" customFormat="1" ht="14.25" customHeight="1">
      <c r="A86" s="59" t="s">
        <v>94</v>
      </c>
      <c r="B86" s="59">
        <v>1.25</v>
      </c>
      <c r="C86" s="59">
        <v>1.25</v>
      </c>
      <c r="D86" s="59"/>
      <c r="E86" s="51"/>
      <c r="F86" s="51"/>
      <c r="G86" s="51"/>
      <c r="H86" s="20">
        <f t="shared" si="18"/>
        <v>5.875</v>
      </c>
      <c r="I86" s="20">
        <f t="shared" si="19"/>
        <v>6.375</v>
      </c>
      <c r="J86" s="20">
        <f t="shared" si="20"/>
        <v>12.25</v>
      </c>
    </row>
    <row r="87" spans="1:10" s="48" customFormat="1" ht="14.25" customHeight="1">
      <c r="A87" s="59" t="s">
        <v>95</v>
      </c>
      <c r="B87" s="59"/>
      <c r="C87" s="59"/>
      <c r="D87" s="59"/>
      <c r="E87" s="51">
        <v>2</v>
      </c>
      <c r="F87" s="51"/>
      <c r="G87" s="51"/>
      <c r="H87" s="20">
        <f t="shared" si="18"/>
        <v>5.875</v>
      </c>
      <c r="I87" s="20">
        <f t="shared" si="19"/>
        <v>4.375</v>
      </c>
      <c r="J87" s="20">
        <f t="shared" si="20"/>
        <v>10.25</v>
      </c>
    </row>
    <row r="88" spans="1:10" s="48" customFormat="1" ht="14.25" customHeight="1">
      <c r="A88" s="59" t="s">
        <v>96</v>
      </c>
      <c r="B88" s="59">
        <v>1.25</v>
      </c>
      <c r="C88" s="59">
        <v>1.25</v>
      </c>
      <c r="D88" s="59"/>
      <c r="E88" s="51"/>
      <c r="F88" s="51"/>
      <c r="G88" s="51"/>
      <c r="H88" s="20">
        <f t="shared" si="18"/>
        <v>7.125</v>
      </c>
      <c r="I88" s="20">
        <f t="shared" si="19"/>
        <v>5.625</v>
      </c>
      <c r="J88" s="20">
        <f t="shared" si="20"/>
        <v>12.75</v>
      </c>
    </row>
    <row r="89" spans="1:10" s="48" customFormat="1" ht="14.25" customHeight="1">
      <c r="A89" s="59" t="s">
        <v>97</v>
      </c>
      <c r="B89" s="59"/>
      <c r="C89" s="59"/>
      <c r="D89" s="59"/>
      <c r="E89" s="51"/>
      <c r="F89" s="51">
        <v>1</v>
      </c>
      <c r="G89" s="51"/>
      <c r="H89" s="20">
        <f t="shared" si="18"/>
        <v>6.125</v>
      </c>
      <c r="I89" s="20">
        <f t="shared" si="19"/>
        <v>5.625</v>
      </c>
      <c r="J89" s="20">
        <f t="shared" si="20"/>
        <v>11.75</v>
      </c>
    </row>
    <row r="90" spans="1:10" s="48" customFormat="1" ht="14.25" customHeight="1">
      <c r="A90" s="59" t="s">
        <v>98</v>
      </c>
      <c r="B90" s="59">
        <v>2.5</v>
      </c>
      <c r="C90" s="59">
        <v>2.5</v>
      </c>
      <c r="D90" s="59"/>
      <c r="E90" s="51"/>
      <c r="F90" s="51"/>
      <c r="G90" s="51"/>
      <c r="H90" s="20">
        <f t="shared" si="18"/>
        <v>8.625</v>
      </c>
      <c r="I90" s="20">
        <f t="shared" si="19"/>
        <v>8.125</v>
      </c>
      <c r="J90" s="20">
        <f t="shared" si="20"/>
        <v>16.75</v>
      </c>
    </row>
    <row r="91" spans="1:10" s="48" customFormat="1" ht="14.25" customHeight="1">
      <c r="A91" s="59" t="s">
        <v>99</v>
      </c>
      <c r="B91" s="59"/>
      <c r="C91" s="59"/>
      <c r="D91" s="59"/>
      <c r="E91" s="51">
        <v>1</v>
      </c>
      <c r="F91" s="51"/>
      <c r="G91" s="51"/>
      <c r="H91" s="20">
        <f t="shared" si="18"/>
        <v>8.625</v>
      </c>
      <c r="I91" s="20">
        <f t="shared" si="19"/>
        <v>7.125</v>
      </c>
      <c r="J91" s="20">
        <f t="shared" si="20"/>
        <v>15.75</v>
      </c>
    </row>
    <row r="92" spans="1:10" s="48" customFormat="1" ht="14.25" customHeight="1">
      <c r="A92" s="59" t="s">
        <v>100</v>
      </c>
      <c r="B92" s="59"/>
      <c r="C92" s="59"/>
      <c r="D92" s="59"/>
      <c r="E92" s="51">
        <v>2</v>
      </c>
      <c r="F92" s="51"/>
      <c r="G92" s="51"/>
      <c r="H92" s="20">
        <f t="shared" si="18"/>
        <v>8.625</v>
      </c>
      <c r="I92" s="20">
        <f t="shared" si="19"/>
        <v>5.125</v>
      </c>
      <c r="J92" s="20">
        <f t="shared" si="20"/>
        <v>13.75</v>
      </c>
    </row>
    <row r="93" spans="1:10" s="48" customFormat="1" ht="14.25" customHeight="1">
      <c r="A93" s="59" t="s">
        <v>101</v>
      </c>
      <c r="B93" s="59">
        <v>1.25</v>
      </c>
      <c r="C93" s="59">
        <v>1.25</v>
      </c>
      <c r="D93" s="59"/>
      <c r="E93" s="51"/>
      <c r="F93" s="51"/>
      <c r="G93" s="51"/>
      <c r="H93" s="20">
        <f t="shared" si="18"/>
        <v>9.875</v>
      </c>
      <c r="I93" s="20">
        <f t="shared" si="19"/>
        <v>6.375</v>
      </c>
      <c r="J93" s="20">
        <f t="shared" si="20"/>
        <v>16.25</v>
      </c>
    </row>
    <row r="94" spans="1:10" s="48" customFormat="1" ht="14.25" customHeight="1">
      <c r="A94" s="59" t="s">
        <v>102</v>
      </c>
      <c r="B94" s="59"/>
      <c r="C94" s="59"/>
      <c r="D94" s="59"/>
      <c r="E94" s="51">
        <v>1</v>
      </c>
      <c r="F94" s="51"/>
      <c r="G94" s="51"/>
      <c r="H94" s="20">
        <f t="shared" si="18"/>
        <v>9.875</v>
      </c>
      <c r="I94" s="20">
        <f t="shared" si="19"/>
        <v>5.375</v>
      </c>
      <c r="J94" s="20">
        <f t="shared" si="20"/>
        <v>15.25</v>
      </c>
    </row>
    <row r="95" spans="1:10" s="48" customFormat="1" ht="14.25" customHeight="1">
      <c r="A95" s="59" t="s">
        <v>103</v>
      </c>
      <c r="B95" s="59">
        <v>1.25</v>
      </c>
      <c r="C95" s="59">
        <v>1.25</v>
      </c>
      <c r="D95" s="59"/>
      <c r="E95" s="51"/>
      <c r="F95" s="51"/>
      <c r="G95" s="51"/>
      <c r="H95" s="20">
        <f t="shared" si="18"/>
        <v>11.125</v>
      </c>
      <c r="I95" s="20">
        <f t="shared" si="19"/>
        <v>6.625</v>
      </c>
      <c r="J95" s="20">
        <f t="shared" si="20"/>
        <v>17.75</v>
      </c>
    </row>
    <row r="96" spans="1:10" s="48" customFormat="1" ht="14.25" customHeight="1">
      <c r="A96" s="59" t="s">
        <v>104</v>
      </c>
      <c r="B96" s="59"/>
      <c r="C96" s="59"/>
      <c r="D96" s="59">
        <v>0.5</v>
      </c>
      <c r="E96" s="51"/>
      <c r="F96" s="51"/>
      <c r="G96" s="51"/>
      <c r="H96" s="20">
        <f t="shared" si="18"/>
        <v>10.625</v>
      </c>
      <c r="I96" s="20">
        <f t="shared" si="19"/>
        <v>6.625</v>
      </c>
      <c r="J96" s="20">
        <f t="shared" si="20"/>
        <v>17.25</v>
      </c>
    </row>
    <row r="97" spans="1:10" s="48" customFormat="1" ht="14.25" customHeight="1">
      <c r="A97" s="59" t="s">
        <v>105</v>
      </c>
      <c r="B97" s="59"/>
      <c r="C97" s="59"/>
      <c r="D97" s="59"/>
      <c r="E97" s="51">
        <v>4</v>
      </c>
      <c r="F97" s="51"/>
      <c r="G97" s="51"/>
      <c r="H97" s="20">
        <f t="shared" si="18"/>
        <v>10.625</v>
      </c>
      <c r="I97" s="20">
        <f t="shared" si="19"/>
        <v>2.625</v>
      </c>
      <c r="J97" s="20">
        <f t="shared" si="20"/>
        <v>13.25</v>
      </c>
    </row>
    <row r="98" spans="1:10" s="48" customFormat="1" ht="14.25" customHeight="1">
      <c r="A98" s="59" t="s">
        <v>106</v>
      </c>
      <c r="B98" s="59"/>
      <c r="C98" s="59"/>
      <c r="D98" s="59"/>
      <c r="E98" s="51"/>
      <c r="F98" s="51">
        <v>4</v>
      </c>
      <c r="G98" s="51"/>
      <c r="H98" s="20">
        <f t="shared" si="18"/>
        <v>6.625</v>
      </c>
      <c r="I98" s="20">
        <f t="shared" si="19"/>
        <v>2.625</v>
      </c>
      <c r="J98" s="20">
        <f t="shared" si="20"/>
        <v>9.25</v>
      </c>
    </row>
    <row r="99" spans="1:10" s="48" customFormat="1" ht="14.25" customHeight="1">
      <c r="A99" s="59" t="s">
        <v>107</v>
      </c>
      <c r="B99" s="59"/>
      <c r="C99" s="59"/>
      <c r="D99" s="59">
        <v>3.5</v>
      </c>
      <c r="E99" s="51"/>
      <c r="F99" s="51"/>
      <c r="G99" s="51"/>
      <c r="H99" s="20">
        <f t="shared" si="18"/>
        <v>3.125</v>
      </c>
      <c r="I99" s="20">
        <f t="shared" si="19"/>
        <v>2.625</v>
      </c>
      <c r="J99" s="20">
        <f t="shared" si="20"/>
        <v>5.75</v>
      </c>
    </row>
    <row r="100" spans="1:10" s="48" customFormat="1" ht="14.25" customHeight="1">
      <c r="A100" s="59" t="s">
        <v>108</v>
      </c>
      <c r="B100" s="59">
        <v>2.5</v>
      </c>
      <c r="C100" s="59">
        <v>2.5</v>
      </c>
      <c r="D100" s="59"/>
      <c r="E100" s="51"/>
      <c r="F100" s="51"/>
      <c r="G100" s="51"/>
      <c r="H100" s="20">
        <f t="shared" si="18"/>
        <v>5.625</v>
      </c>
      <c r="I100" s="20">
        <f t="shared" si="19"/>
        <v>5.125</v>
      </c>
      <c r="J100" s="20">
        <f t="shared" si="20"/>
        <v>10.75</v>
      </c>
    </row>
    <row r="101" spans="1:10" s="48" customFormat="1" ht="14.25" customHeight="1">
      <c r="A101" s="59" t="s">
        <v>109</v>
      </c>
      <c r="B101" s="59">
        <v>1.25</v>
      </c>
      <c r="C101" s="59">
        <v>1.25</v>
      </c>
      <c r="D101" s="59"/>
      <c r="E101" s="51"/>
      <c r="F101" s="51"/>
      <c r="G101" s="51"/>
      <c r="H101" s="20">
        <f t="shared" si="18"/>
        <v>6.875</v>
      </c>
      <c r="I101" s="20">
        <f t="shared" si="19"/>
        <v>6.375</v>
      </c>
      <c r="J101" s="20">
        <f t="shared" si="20"/>
        <v>13.25</v>
      </c>
    </row>
    <row r="102" spans="1:10" s="48" customFormat="1" ht="14.25" customHeight="1">
      <c r="A102" s="59" t="s">
        <v>110</v>
      </c>
      <c r="B102" s="59"/>
      <c r="C102" s="59"/>
      <c r="D102" s="59">
        <v>0.5</v>
      </c>
      <c r="E102" s="51"/>
      <c r="F102" s="51"/>
      <c r="G102" s="51"/>
      <c r="H102" s="20">
        <f t="shared" si="18"/>
        <v>6.375</v>
      </c>
      <c r="I102" s="20">
        <f t="shared" si="19"/>
        <v>6.375</v>
      </c>
      <c r="J102" s="20">
        <f t="shared" si="20"/>
        <v>12.75</v>
      </c>
    </row>
    <row r="103" spans="1:10" s="48" customFormat="1" ht="14.25" customHeight="1">
      <c r="A103" s="59" t="s">
        <v>111</v>
      </c>
      <c r="B103" s="59"/>
      <c r="C103" s="59"/>
      <c r="D103" s="59"/>
      <c r="E103" s="51">
        <v>3</v>
      </c>
      <c r="F103" s="51"/>
      <c r="G103" s="51"/>
      <c r="H103" s="20">
        <f t="shared" si="18"/>
        <v>6.375</v>
      </c>
      <c r="I103" s="20">
        <f t="shared" si="19"/>
        <v>3.375</v>
      </c>
      <c r="J103" s="20">
        <f t="shared" si="20"/>
        <v>9.75</v>
      </c>
    </row>
    <row r="104" spans="1:10" s="48" customFormat="1" ht="14.25" customHeight="1">
      <c r="A104" s="59" t="s">
        <v>112</v>
      </c>
      <c r="B104" s="59">
        <v>1.25</v>
      </c>
      <c r="C104" s="59">
        <v>1.25</v>
      </c>
      <c r="D104" s="59"/>
      <c r="E104" s="51"/>
      <c r="F104" s="51"/>
      <c r="G104" s="51"/>
      <c r="H104" s="20">
        <f t="shared" si="18"/>
        <v>7.625</v>
      </c>
      <c r="I104" s="20">
        <f t="shared" si="19"/>
        <v>4.625</v>
      </c>
      <c r="J104" s="20">
        <f t="shared" si="20"/>
        <v>12.25</v>
      </c>
    </row>
    <row r="105" spans="1:10" s="48" customFormat="1" ht="14.25" customHeight="1">
      <c r="A105" s="59" t="s">
        <v>113</v>
      </c>
      <c r="B105" s="59"/>
      <c r="C105" s="59"/>
      <c r="D105" s="59"/>
      <c r="E105" s="51">
        <v>2</v>
      </c>
      <c r="F105" s="51"/>
      <c r="G105" s="51"/>
      <c r="H105" s="20">
        <f t="shared" si="18"/>
        <v>7.625</v>
      </c>
      <c r="I105" s="20">
        <f t="shared" si="19"/>
        <v>2.625</v>
      </c>
      <c r="J105" s="20">
        <f t="shared" si="20"/>
        <v>10.25</v>
      </c>
    </row>
    <row r="106" spans="1:10" s="48" customFormat="1" ht="14.25" customHeight="1">
      <c r="A106" s="59" t="s">
        <v>114</v>
      </c>
      <c r="B106" s="59">
        <v>1.25</v>
      </c>
      <c r="C106" s="59">
        <v>1.25</v>
      </c>
      <c r="D106" s="59"/>
      <c r="E106" s="51"/>
      <c r="F106" s="51"/>
      <c r="G106" s="51"/>
      <c r="H106" s="20">
        <f t="shared" si="18"/>
        <v>8.875</v>
      </c>
      <c r="I106" s="20">
        <f t="shared" si="19"/>
        <v>3.875</v>
      </c>
      <c r="J106" s="20">
        <f t="shared" si="20"/>
        <v>12.75</v>
      </c>
    </row>
    <row r="107" spans="1:10" s="48" customFormat="1" ht="14.25" customHeight="1">
      <c r="A107" s="59" t="s">
        <v>115</v>
      </c>
      <c r="B107" s="59"/>
      <c r="C107" s="59"/>
      <c r="D107" s="59"/>
      <c r="E107" s="51">
        <v>2</v>
      </c>
      <c r="F107" s="51"/>
      <c r="G107" s="51"/>
      <c r="H107" s="20">
        <f t="shared" si="18"/>
        <v>8.875</v>
      </c>
      <c r="I107" s="20">
        <f t="shared" si="19"/>
        <v>1.875</v>
      </c>
      <c r="J107" s="20">
        <f t="shared" si="20"/>
        <v>10.75</v>
      </c>
    </row>
    <row r="108" spans="1:10" s="48" customFormat="1" ht="14.25" customHeight="1">
      <c r="A108" s="59" t="s">
        <v>116</v>
      </c>
      <c r="B108" s="59"/>
      <c r="C108" s="59"/>
      <c r="D108" s="59"/>
      <c r="E108" s="51"/>
      <c r="F108" s="53">
        <v>1</v>
      </c>
      <c r="G108" s="51"/>
      <c r="H108" s="20">
        <f t="shared" si="18"/>
        <v>7.875</v>
      </c>
      <c r="I108" s="20">
        <f t="shared" si="19"/>
        <v>1.875</v>
      </c>
      <c r="J108" s="20">
        <f t="shared" si="20"/>
        <v>9.75</v>
      </c>
    </row>
    <row r="109" spans="1:10" s="48" customFormat="1" ht="14.25" customHeight="1">
      <c r="A109" s="59" t="s">
        <v>117</v>
      </c>
      <c r="B109" s="59"/>
      <c r="C109" s="59"/>
      <c r="D109" s="59"/>
      <c r="E109" s="51"/>
      <c r="F109" s="51"/>
      <c r="G109" s="61">
        <v>1</v>
      </c>
      <c r="H109" s="20">
        <f t="shared" si="18"/>
        <v>7.875</v>
      </c>
      <c r="I109" s="20">
        <f t="shared" si="19"/>
        <v>1.875</v>
      </c>
      <c r="J109" s="20">
        <f t="shared" si="20"/>
        <v>9.75</v>
      </c>
    </row>
    <row r="110" spans="1:10" s="48" customFormat="1" ht="14.25" customHeight="1">
      <c r="A110" s="59" t="s">
        <v>118</v>
      </c>
      <c r="B110" s="59"/>
      <c r="C110" s="59"/>
      <c r="D110" s="59">
        <v>0.5</v>
      </c>
      <c r="E110" s="51"/>
      <c r="F110" s="51"/>
      <c r="G110" s="51"/>
      <c r="H110" s="20">
        <f t="shared" si="18"/>
        <v>7.375</v>
      </c>
      <c r="I110" s="20">
        <f t="shared" si="19"/>
        <v>1.875</v>
      </c>
      <c r="J110" s="20">
        <f t="shared" si="20"/>
        <v>9.25</v>
      </c>
    </row>
    <row r="111" spans="1:10" s="48" customFormat="1" ht="14.25" customHeight="1">
      <c r="A111" s="59" t="s">
        <v>119</v>
      </c>
      <c r="B111" s="59">
        <v>1.25</v>
      </c>
      <c r="C111" s="59">
        <v>1.25</v>
      </c>
      <c r="D111" s="59"/>
      <c r="E111" s="51"/>
      <c r="F111" s="51"/>
      <c r="G111" s="51"/>
      <c r="H111" s="20">
        <f t="shared" si="18"/>
        <v>8.625</v>
      </c>
      <c r="I111" s="20">
        <f t="shared" si="19"/>
        <v>3.125</v>
      </c>
      <c r="J111" s="20">
        <f t="shared" si="20"/>
        <v>11.75</v>
      </c>
    </row>
    <row r="112" spans="1:10" s="48" customFormat="1" ht="14.25" customHeight="1">
      <c r="A112" s="59" t="s">
        <v>120</v>
      </c>
      <c r="B112" s="59"/>
      <c r="C112" s="59"/>
      <c r="D112" s="59"/>
      <c r="E112" s="51">
        <v>2</v>
      </c>
      <c r="F112" s="51"/>
      <c r="G112" s="51"/>
      <c r="H112" s="20">
        <f t="shared" si="18"/>
        <v>8.625</v>
      </c>
      <c r="I112" s="20">
        <f t="shared" si="19"/>
        <v>1.125</v>
      </c>
      <c r="J112" s="20">
        <f t="shared" si="20"/>
        <v>9.75</v>
      </c>
    </row>
    <row r="113" spans="1:10" s="48" customFormat="1" ht="14.25" customHeight="1">
      <c r="A113" s="59" t="s">
        <v>121</v>
      </c>
      <c r="B113" s="59">
        <v>6.25</v>
      </c>
      <c r="C113" s="59">
        <v>6.25</v>
      </c>
      <c r="D113" s="59"/>
      <c r="E113" s="51"/>
      <c r="F113" s="51"/>
      <c r="G113" s="51"/>
      <c r="H113" s="20">
        <f t="shared" si="18"/>
        <v>14.875</v>
      </c>
      <c r="I113" s="20">
        <f t="shared" si="19"/>
        <v>7.375</v>
      </c>
      <c r="J113" s="20">
        <f t="shared" si="20"/>
        <v>22.25</v>
      </c>
    </row>
    <row r="114" spans="1:10" s="48" customFormat="1" ht="14.25" customHeight="1">
      <c r="A114" s="59" t="s">
        <v>122</v>
      </c>
      <c r="B114" s="59"/>
      <c r="C114" s="59"/>
      <c r="D114" s="59"/>
      <c r="E114" s="51">
        <v>1</v>
      </c>
      <c r="F114" s="51"/>
      <c r="G114" s="51"/>
      <c r="H114" s="20">
        <f t="shared" ref="H114" si="21">H113-F114-D114+B114</f>
        <v>14.875</v>
      </c>
      <c r="I114" s="20">
        <f t="shared" ref="I114" si="22">I113-E114+C114</f>
        <v>6.375</v>
      </c>
      <c r="J114" s="20">
        <f t="shared" ref="J114" si="23">SUM(H114:I114)</f>
        <v>21.25</v>
      </c>
    </row>
    <row r="115" spans="1:10" s="48" customFormat="1" ht="14.25" customHeight="1">
      <c r="A115" s="59" t="s">
        <v>123</v>
      </c>
      <c r="B115" s="59">
        <v>1.25</v>
      </c>
      <c r="C115" s="59">
        <v>1.25</v>
      </c>
      <c r="D115" s="59"/>
      <c r="E115" s="51"/>
      <c r="F115" s="51"/>
      <c r="G115" s="51"/>
      <c r="H115" s="20">
        <f t="shared" ref="H115:H116" si="24">H114-F115-D115+B115</f>
        <v>16.125</v>
      </c>
      <c r="I115" s="20">
        <f t="shared" ref="I115:I116" si="25">I114-E115+C115</f>
        <v>7.625</v>
      </c>
      <c r="J115" s="20">
        <f t="shared" ref="J115:J116" si="26">SUM(H115:I115)</f>
        <v>23.75</v>
      </c>
    </row>
    <row r="116" spans="1:10" s="48" customFormat="1" ht="14.25" customHeight="1">
      <c r="A116" s="59" t="s">
        <v>124</v>
      </c>
      <c r="B116" s="59"/>
      <c r="C116" s="59"/>
      <c r="D116" s="59">
        <v>10</v>
      </c>
      <c r="E116" s="51"/>
      <c r="F116" s="51"/>
      <c r="G116" s="51"/>
      <c r="H116" s="20">
        <f t="shared" si="24"/>
        <v>6.125</v>
      </c>
      <c r="I116" s="20">
        <f t="shared" si="25"/>
        <v>7.625</v>
      </c>
      <c r="J116" s="20">
        <f t="shared" si="26"/>
        <v>13.75</v>
      </c>
    </row>
    <row r="117" spans="1:10" s="48" customFormat="1" ht="14.25" customHeight="1">
      <c r="A117" s="59" t="s">
        <v>125</v>
      </c>
      <c r="B117" s="59"/>
      <c r="C117" s="59"/>
      <c r="D117" s="59"/>
      <c r="E117" s="51"/>
      <c r="F117" s="53">
        <v>3</v>
      </c>
      <c r="G117" s="51"/>
      <c r="H117" s="20">
        <f t="shared" ref="H117" si="27">H116-F117-D117+B117</f>
        <v>3.125</v>
      </c>
      <c r="I117" s="20">
        <f t="shared" ref="I117" si="28">I116-E117+C117</f>
        <v>7.625</v>
      </c>
      <c r="J117" s="20">
        <f t="shared" ref="J117" si="29">SUM(H117:I117)</f>
        <v>10.75</v>
      </c>
    </row>
    <row r="118" spans="1:10" s="48" customFormat="1" ht="14.25" customHeight="1">
      <c r="A118" s="59" t="s">
        <v>126</v>
      </c>
      <c r="B118" s="59"/>
      <c r="C118" s="59"/>
      <c r="D118" s="59"/>
      <c r="E118" s="51">
        <v>1</v>
      </c>
      <c r="F118" s="51"/>
      <c r="G118" s="51"/>
      <c r="H118" s="20">
        <f t="shared" ref="H118" si="30">H117-F118-D118+B118</f>
        <v>3.125</v>
      </c>
      <c r="I118" s="20">
        <f t="shared" ref="I118" si="31">I117-E118+C118</f>
        <v>6.625</v>
      </c>
      <c r="J118" s="20">
        <f t="shared" ref="J118" si="32">SUM(H118:I118)</f>
        <v>9.75</v>
      </c>
    </row>
    <row r="119" spans="1:10" s="48" customFormat="1" ht="14.25" customHeight="1">
      <c r="A119" s="59" t="s">
        <v>127</v>
      </c>
      <c r="B119" s="59"/>
      <c r="C119" s="59"/>
      <c r="D119" s="59">
        <v>1</v>
      </c>
      <c r="E119" s="51"/>
      <c r="F119" s="51"/>
      <c r="G119" s="51"/>
      <c r="H119" s="20">
        <f t="shared" ref="H119:H120" si="33">H118-F119-D119+B119</f>
        <v>2.125</v>
      </c>
      <c r="I119" s="20">
        <f t="shared" ref="I119:I120" si="34">I118-E119+C119</f>
        <v>6.625</v>
      </c>
      <c r="J119" s="20">
        <f t="shared" ref="J119:J120" si="35">SUM(H119:I119)</f>
        <v>8.75</v>
      </c>
    </row>
    <row r="120" spans="1:10" s="48" customFormat="1" ht="14.25" customHeight="1">
      <c r="A120" s="59" t="s">
        <v>128</v>
      </c>
      <c r="B120" s="59"/>
      <c r="C120" s="59"/>
      <c r="D120" s="59"/>
      <c r="E120" s="51"/>
      <c r="F120" s="51"/>
      <c r="G120" s="61">
        <v>1</v>
      </c>
      <c r="H120" s="20">
        <f t="shared" si="33"/>
        <v>2.125</v>
      </c>
      <c r="I120" s="20">
        <f t="shared" si="34"/>
        <v>6.625</v>
      </c>
      <c r="J120" s="20">
        <f t="shared" si="35"/>
        <v>8.75</v>
      </c>
    </row>
    <row r="121" spans="1:10" s="48" customFormat="1" ht="14.25" customHeight="1">
      <c r="A121" s="65" t="s">
        <v>129</v>
      </c>
      <c r="B121" s="65">
        <v>1.25</v>
      </c>
      <c r="C121" s="65">
        <v>1.25</v>
      </c>
      <c r="D121" s="65"/>
      <c r="E121" s="66"/>
      <c r="F121" s="66"/>
      <c r="G121" s="66"/>
      <c r="H121" s="67">
        <f>H120-F121-D121+B121</f>
        <v>3.375</v>
      </c>
      <c r="I121" s="67">
        <f>I120-E121+C121</f>
        <v>7.875</v>
      </c>
      <c r="J121" s="67">
        <f>SUM(H121:I121)</f>
        <v>11.25</v>
      </c>
    </row>
    <row r="122" spans="1:10" s="48" customFormat="1" ht="14.25" customHeight="1">
      <c r="A122" s="62" t="s">
        <v>130</v>
      </c>
      <c r="B122" s="62"/>
      <c r="C122" s="62"/>
      <c r="D122" s="62">
        <v>0.5</v>
      </c>
      <c r="E122" s="63"/>
      <c r="F122" s="63"/>
      <c r="G122" s="63"/>
      <c r="H122" s="64">
        <f>H121-F122-D122+B122</f>
        <v>2.875</v>
      </c>
      <c r="I122" s="64">
        <f>I121-E122+C122</f>
        <v>7.875</v>
      </c>
      <c r="J122" s="64">
        <f>SUM(H122:I122)</f>
        <v>10.75</v>
      </c>
    </row>
    <row r="123" spans="1:10" s="48" customFormat="1" ht="14.25" customHeight="1">
      <c r="A123" s="62" t="s">
        <v>131</v>
      </c>
      <c r="B123" s="62">
        <v>1.25</v>
      </c>
      <c r="C123" s="62">
        <v>1.25</v>
      </c>
      <c r="D123" s="62"/>
      <c r="E123" s="63"/>
      <c r="F123" s="63"/>
      <c r="G123" s="63"/>
      <c r="H123" s="64">
        <f t="shared" ref="H123:H126" si="36">H122-F123-D123+B123</f>
        <v>4.125</v>
      </c>
      <c r="I123" s="64">
        <f t="shared" ref="I123:I126" si="37">I122-E123+C123</f>
        <v>9.125</v>
      </c>
      <c r="J123" s="64">
        <f t="shared" ref="J123:J126" si="38">SUM(H123:I123)</f>
        <v>13.25</v>
      </c>
    </row>
    <row r="124" spans="1:10" s="48" customFormat="1" ht="14.25" customHeight="1">
      <c r="A124" s="62" t="s">
        <v>132</v>
      </c>
      <c r="B124" s="62"/>
      <c r="C124" s="62"/>
      <c r="D124" s="62"/>
      <c r="E124" s="63"/>
      <c r="F124" s="125">
        <v>1</v>
      </c>
      <c r="G124" s="63"/>
      <c r="H124" s="64">
        <f t="shared" si="36"/>
        <v>3.125</v>
      </c>
      <c r="I124" s="64">
        <f t="shared" si="37"/>
        <v>9.125</v>
      </c>
      <c r="J124" s="64">
        <f t="shared" si="38"/>
        <v>12.25</v>
      </c>
    </row>
    <row r="125" spans="1:10" s="48" customFormat="1" ht="14.25" customHeight="1">
      <c r="A125" s="62" t="s">
        <v>133</v>
      </c>
      <c r="B125" s="62">
        <v>1.25</v>
      </c>
      <c r="C125" s="62">
        <v>1.25</v>
      </c>
      <c r="D125" s="62"/>
      <c r="E125" s="63"/>
      <c r="F125" s="126"/>
      <c r="G125" s="63"/>
      <c r="H125" s="64">
        <f t="shared" si="36"/>
        <v>4.375</v>
      </c>
      <c r="I125" s="64">
        <f t="shared" si="37"/>
        <v>10.375</v>
      </c>
      <c r="J125" s="64">
        <f t="shared" si="38"/>
        <v>14.75</v>
      </c>
    </row>
    <row r="126" spans="1:10" s="48" customFormat="1" ht="14.25" customHeight="1">
      <c r="A126" s="62" t="s">
        <v>134</v>
      </c>
      <c r="B126" s="62"/>
      <c r="C126" s="62"/>
      <c r="D126" s="62"/>
      <c r="E126" s="63">
        <v>2</v>
      </c>
      <c r="F126" s="63"/>
      <c r="G126" s="124"/>
      <c r="H126" s="64">
        <f t="shared" si="36"/>
        <v>4.375</v>
      </c>
      <c r="I126" s="64">
        <f t="shared" si="37"/>
        <v>8.375</v>
      </c>
      <c r="J126" s="64">
        <f t="shared" si="38"/>
        <v>12.75</v>
      </c>
    </row>
    <row r="127" spans="1:10" s="48" customFormat="1" ht="14.25" customHeight="1">
      <c r="A127" s="46"/>
      <c r="B127" s="46"/>
      <c r="C127" s="46"/>
      <c r="D127" s="46"/>
      <c r="E127" s="54"/>
      <c r="F127" s="54"/>
      <c r="G127" s="54"/>
      <c r="H127" s="55"/>
      <c r="I127" s="55"/>
      <c r="J127" s="55"/>
    </row>
    <row r="131" spans="1:10" s="48" customFormat="1">
      <c r="A131"/>
      <c r="B131"/>
      <c r="C131"/>
      <c r="D131"/>
      <c r="E131"/>
      <c r="F131" s="29" t="s">
        <v>135</v>
      </c>
      <c r="G131" s="29"/>
      <c r="H131"/>
      <c r="I131"/>
      <c r="J131"/>
    </row>
    <row r="132" spans="1:10" ht="13.5"/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511811023622047" bottom="0.70866141732283505" header="0.31496062992126" footer="0.31496062992126"/>
  <pageSetup paperSize="9" scale="71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view="pageBreakPreview" zoomScaleNormal="100" workbookViewId="0">
      <selection activeCell="C12" sqref="C12"/>
    </sheetView>
  </sheetViews>
  <sheetFormatPr defaultColWidth="9" defaultRowHeight="14.45"/>
  <cols>
    <col min="2" max="2" width="18.125" customWidth="1"/>
    <col min="3" max="3" width="19.625" customWidth="1"/>
    <col min="4" max="4" width="56.375" customWidth="1"/>
    <col min="5" max="5" width="12.375" customWidth="1"/>
    <col min="6" max="6" width="13.375" customWidth="1"/>
    <col min="7" max="7" width="15.125" customWidth="1"/>
  </cols>
  <sheetData>
    <row r="1" spans="1:7" ht="58.5" customHeight="1"/>
    <row r="2" spans="1:7" ht="15.95" customHeight="1">
      <c r="A2" s="83" t="s">
        <v>0</v>
      </c>
      <c r="B2" s="84"/>
      <c r="C2" s="84"/>
      <c r="D2" s="84"/>
      <c r="E2" s="84"/>
      <c r="F2" s="84"/>
      <c r="G2" s="84"/>
    </row>
    <row r="3" spans="1:7" ht="15.95" customHeight="1">
      <c r="A3" s="84" t="s">
        <v>1</v>
      </c>
      <c r="B3" s="84"/>
      <c r="C3" s="84"/>
      <c r="D3" s="84"/>
      <c r="E3" s="84"/>
      <c r="F3" s="84"/>
      <c r="G3" s="84"/>
    </row>
    <row r="4" spans="1:7" ht="15.95" customHeight="1">
      <c r="A4" s="84" t="s">
        <v>136</v>
      </c>
      <c r="B4" s="84"/>
      <c r="C4" s="84"/>
      <c r="D4" s="84"/>
      <c r="E4" s="84"/>
      <c r="F4" s="84"/>
      <c r="G4" s="84"/>
    </row>
    <row r="5" spans="1:7" ht="15.95" customHeight="1">
      <c r="A5" s="84" t="s">
        <v>3</v>
      </c>
      <c r="B5" s="84"/>
      <c r="C5" s="84"/>
      <c r="D5" s="84"/>
      <c r="E5" s="84"/>
      <c r="F5" s="84"/>
      <c r="G5" s="84"/>
    </row>
    <row r="6" spans="1:7" ht="19.5" customHeight="1">
      <c r="A6" s="85"/>
      <c r="B6" s="85"/>
      <c r="C6" s="85"/>
      <c r="D6" s="85"/>
      <c r="E6" s="85"/>
      <c r="F6" s="85"/>
      <c r="G6" s="85"/>
    </row>
    <row r="7" spans="1:7" ht="12" customHeight="1">
      <c r="A7" s="1" t="s">
        <v>137</v>
      </c>
      <c r="B7" s="31" t="s">
        <v>138</v>
      </c>
      <c r="C7" s="7"/>
      <c r="D7" s="7"/>
      <c r="E7" s="32" t="s">
        <v>6</v>
      </c>
      <c r="F7" s="33"/>
      <c r="G7" s="34"/>
    </row>
    <row r="8" spans="1:7" ht="12" customHeight="1">
      <c r="A8" s="1"/>
      <c r="B8" s="35"/>
      <c r="C8" s="8"/>
      <c r="D8" s="8"/>
      <c r="E8" s="36"/>
      <c r="F8" s="1"/>
      <c r="G8" s="1"/>
    </row>
    <row r="9" spans="1:7" ht="12" customHeight="1">
      <c r="A9" s="1" t="s">
        <v>139</v>
      </c>
      <c r="B9" s="31" t="s">
        <v>140</v>
      </c>
      <c r="C9" s="7"/>
      <c r="D9" s="8"/>
      <c r="E9" s="32" t="s">
        <v>9</v>
      </c>
      <c r="F9" s="37"/>
      <c r="G9" s="34"/>
    </row>
    <row r="10" spans="1:7" ht="24.75" customHeight="1">
      <c r="A10" s="71" t="s">
        <v>141</v>
      </c>
      <c r="B10" s="71"/>
      <c r="C10" s="71"/>
      <c r="D10" s="71"/>
      <c r="E10" s="71"/>
      <c r="F10" s="71"/>
      <c r="G10" s="71"/>
    </row>
    <row r="11" spans="1:7" s="29" customFormat="1" ht="29.25" customHeight="1">
      <c r="A11" s="86" t="s">
        <v>142</v>
      </c>
      <c r="B11" s="87"/>
      <c r="C11" s="38" t="s">
        <v>143</v>
      </c>
      <c r="D11" s="39" t="s">
        <v>144</v>
      </c>
      <c r="E11" s="38" t="s">
        <v>145</v>
      </c>
      <c r="F11" s="38" t="s">
        <v>146</v>
      </c>
      <c r="G11" s="40" t="s">
        <v>14</v>
      </c>
    </row>
    <row r="12" spans="1:7" ht="44.25" customHeight="1">
      <c r="A12" s="88" t="s">
        <v>147</v>
      </c>
      <c r="B12" s="89"/>
      <c r="C12" s="41" t="s">
        <v>148</v>
      </c>
      <c r="D12" s="41" t="s">
        <v>149</v>
      </c>
      <c r="E12" s="42">
        <v>1</v>
      </c>
      <c r="F12" s="43">
        <v>1</v>
      </c>
      <c r="G12" s="44">
        <f>E12-F12</f>
        <v>0</v>
      </c>
    </row>
    <row r="13" spans="1:7">
      <c r="A13" s="90" t="s">
        <v>150</v>
      </c>
      <c r="B13" s="91"/>
      <c r="C13" s="91"/>
      <c r="D13" s="91"/>
      <c r="E13" s="91"/>
      <c r="F13" s="91"/>
      <c r="G13" s="92"/>
    </row>
    <row r="14" spans="1:7">
      <c r="A14" s="90" t="s">
        <v>151</v>
      </c>
      <c r="B14" s="91"/>
      <c r="C14" s="91"/>
      <c r="D14" s="91"/>
      <c r="E14" s="91"/>
      <c r="F14" s="91"/>
      <c r="G14" s="92"/>
    </row>
    <row r="15" spans="1:7" s="30" customFormat="1" ht="30" customHeight="1">
      <c r="A15" s="94" t="s">
        <v>152</v>
      </c>
      <c r="B15" s="95"/>
      <c r="C15" s="95"/>
      <c r="D15" s="95"/>
      <c r="E15" s="95"/>
      <c r="F15" s="96"/>
      <c r="G15" s="45">
        <f>G12</f>
        <v>0</v>
      </c>
    </row>
    <row r="16" spans="1:7" ht="10.5" customHeight="1">
      <c r="A16" s="46"/>
      <c r="B16" s="46"/>
      <c r="C16" s="47"/>
      <c r="D16" s="47"/>
      <c r="E16" s="47"/>
      <c r="F16" s="47"/>
      <c r="G16" s="47"/>
    </row>
    <row r="17" spans="1:7" ht="18.75" customHeight="1">
      <c r="A17" s="97" t="s">
        <v>153</v>
      </c>
      <c r="B17" s="97"/>
      <c r="C17" s="47"/>
      <c r="D17" s="47"/>
      <c r="E17" s="47"/>
      <c r="F17" s="47"/>
      <c r="G17" s="47"/>
    </row>
    <row r="18" spans="1:7" ht="18.75" customHeight="1">
      <c r="A18" s="98"/>
      <c r="B18" s="98"/>
      <c r="C18" s="47"/>
      <c r="D18" s="47"/>
      <c r="E18" s="47"/>
      <c r="F18" s="47"/>
      <c r="G18" s="47"/>
    </row>
    <row r="19" spans="1:7" ht="18.75" customHeight="1">
      <c r="A19" s="99" t="s">
        <v>154</v>
      </c>
      <c r="B19" s="99"/>
      <c r="C19" s="99"/>
      <c r="D19" s="47"/>
      <c r="E19" s="47"/>
      <c r="F19" s="47"/>
      <c r="G19" s="47"/>
    </row>
    <row r="20" spans="1:7" ht="18.75" customHeight="1">
      <c r="A20" s="93" t="s">
        <v>155</v>
      </c>
      <c r="B20" s="93"/>
      <c r="C20" s="93"/>
      <c r="D20" s="47"/>
      <c r="E20" s="47"/>
      <c r="F20" s="47"/>
      <c r="G20" s="47"/>
    </row>
    <row r="21" spans="1:7" ht="18.75" customHeight="1">
      <c r="A21" s="93" t="s">
        <v>156</v>
      </c>
      <c r="B21" s="93"/>
      <c r="C21" s="47"/>
      <c r="D21" s="47"/>
      <c r="E21" s="47"/>
      <c r="F21" s="47"/>
      <c r="G21" s="47"/>
    </row>
  </sheetData>
  <mergeCells count="16">
    <mergeCell ref="A21:B21"/>
    <mergeCell ref="A15:F15"/>
    <mergeCell ref="A17:B17"/>
    <mergeCell ref="A18:B18"/>
    <mergeCell ref="A19:C19"/>
    <mergeCell ref="A20:C20"/>
    <mergeCell ref="A10:G10"/>
    <mergeCell ref="A11:B11"/>
    <mergeCell ref="A12:B12"/>
    <mergeCell ref="A13:G13"/>
    <mergeCell ref="A14:G14"/>
    <mergeCell ref="A2:G2"/>
    <mergeCell ref="A3:G3"/>
    <mergeCell ref="A4:G4"/>
    <mergeCell ref="A5:G5"/>
    <mergeCell ref="A6:G6"/>
  </mergeCells>
  <printOptions horizontalCentered="1"/>
  <pageMargins left="0.23622047244094499" right="0.23622047244094499" top="0.23622047244094499" bottom="0.23622047244094499" header="0.31496062992126" footer="0.31496062992126"/>
  <pageSetup paperSize="9" scale="9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view="pageBreakPreview" topLeftCell="A5" zoomScale="96" zoomScaleNormal="100" workbookViewId="0">
      <selection activeCell="M24" sqref="M24"/>
    </sheetView>
  </sheetViews>
  <sheetFormatPr defaultColWidth="9" defaultRowHeight="14.45"/>
  <cols>
    <col min="1" max="1" width="21.875" customWidth="1"/>
    <col min="2" max="2" width="18.75" customWidth="1"/>
    <col min="6" max="6" width="6.875" customWidth="1"/>
    <col min="8" max="8" width="7.375" customWidth="1"/>
    <col min="10" max="10" width="7" customWidth="1"/>
  </cols>
  <sheetData>
    <row r="1" spans="1:13" s="1" customFormat="1" ht="52.5" customHeight="1">
      <c r="D1" s="4"/>
      <c r="E1" s="5"/>
      <c r="I1" s="6"/>
    </row>
    <row r="2" spans="1:13" s="1" customFormat="1" ht="10.5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3" s="1" customFormat="1" ht="15.95" customHeight="1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s="1" customFormat="1" ht="15.95" customHeight="1">
      <c r="A4" s="68" t="s">
        <v>136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s="1" customFormat="1" ht="15.95" customHeight="1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</row>
    <row r="6" spans="1:13" s="1" customFormat="1" ht="8.25" customHeight="1">
      <c r="D6" s="6"/>
      <c r="I6" s="6"/>
    </row>
    <row r="7" spans="1:13" s="1" customFormat="1" ht="8.25" customHeight="1">
      <c r="D7" s="6"/>
      <c r="I7" s="6"/>
    </row>
    <row r="8" spans="1:13" s="1" customFormat="1" ht="12" customHeight="1">
      <c r="A8" s="7" t="s">
        <v>157</v>
      </c>
      <c r="B8" s="7"/>
      <c r="C8" s="7"/>
      <c r="D8" s="69" t="s">
        <v>158</v>
      </c>
      <c r="E8" s="69"/>
      <c r="F8" s="69"/>
      <c r="G8" s="69"/>
      <c r="H8" s="69"/>
      <c r="J8" s="69" t="s">
        <v>159</v>
      </c>
      <c r="K8" s="69"/>
      <c r="L8" s="69"/>
      <c r="M8" s="7"/>
    </row>
    <row r="9" spans="1:13" s="1" customFormat="1" ht="12" customHeight="1">
      <c r="C9" s="8"/>
      <c r="D9" s="69" t="s">
        <v>160</v>
      </c>
      <c r="E9" s="69"/>
      <c r="F9" s="69"/>
      <c r="G9" s="69"/>
      <c r="H9" s="69"/>
      <c r="J9" s="100" t="s">
        <v>161</v>
      </c>
      <c r="K9" s="100"/>
      <c r="L9" s="100"/>
      <c r="M9" s="8"/>
    </row>
    <row r="10" spans="1:13" s="1" customFormat="1" ht="12" customHeight="1">
      <c r="A10" s="7" t="s">
        <v>162</v>
      </c>
      <c r="B10" s="7"/>
      <c r="C10" s="7"/>
      <c r="D10" s="9"/>
      <c r="E10" s="8"/>
      <c r="F10" s="8"/>
      <c r="J10" s="69" t="s">
        <v>163</v>
      </c>
      <c r="K10" s="69"/>
      <c r="L10" s="69"/>
      <c r="M10" s="7"/>
    </row>
    <row r="11" spans="1:13" ht="16.5" customHeight="1">
      <c r="A11" s="71" t="s">
        <v>164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spans="1:13" s="2" customFormat="1" ht="18.75" customHeight="1">
      <c r="A12" s="104" t="s">
        <v>165</v>
      </c>
      <c r="B12" s="107" t="s">
        <v>11</v>
      </c>
      <c r="C12" s="113" t="s">
        <v>166</v>
      </c>
      <c r="D12" s="114"/>
      <c r="E12" s="113" t="s">
        <v>167</v>
      </c>
      <c r="F12" s="114"/>
      <c r="G12" s="113" t="s">
        <v>168</v>
      </c>
      <c r="H12" s="114"/>
      <c r="I12" s="113" t="s">
        <v>169</v>
      </c>
      <c r="J12" s="114"/>
      <c r="K12" s="113" t="s">
        <v>170</v>
      </c>
      <c r="L12" s="114"/>
      <c r="M12" s="110" t="s">
        <v>15</v>
      </c>
    </row>
    <row r="13" spans="1:13" s="2" customFormat="1" ht="11.1" customHeight="1">
      <c r="A13" s="105"/>
      <c r="B13" s="108"/>
      <c r="C13" s="115"/>
      <c r="D13" s="116"/>
      <c r="E13" s="115"/>
      <c r="F13" s="116"/>
      <c r="G13" s="115"/>
      <c r="H13" s="116"/>
      <c r="I13" s="115"/>
      <c r="J13" s="116"/>
      <c r="K13" s="115"/>
      <c r="L13" s="116"/>
      <c r="M13" s="111"/>
    </row>
    <row r="14" spans="1:13" s="2" customFormat="1" ht="5.45" customHeight="1">
      <c r="A14" s="106"/>
      <c r="B14" s="109"/>
      <c r="C14" s="117"/>
      <c r="D14" s="118"/>
      <c r="E14" s="117"/>
      <c r="F14" s="118"/>
      <c r="G14" s="117"/>
      <c r="H14" s="118"/>
      <c r="I14" s="117"/>
      <c r="J14" s="118"/>
      <c r="K14" s="117"/>
      <c r="L14" s="118"/>
      <c r="M14" s="112"/>
    </row>
    <row r="15" spans="1:13" s="2" customFormat="1" ht="21.95" customHeight="1">
      <c r="A15" s="21" t="s">
        <v>171</v>
      </c>
      <c r="B15" s="22" t="s">
        <v>172</v>
      </c>
      <c r="C15" s="101" t="s">
        <v>173</v>
      </c>
      <c r="D15" s="102"/>
      <c r="E15" s="101"/>
      <c r="F15" s="102"/>
      <c r="G15" s="101">
        <v>10</v>
      </c>
      <c r="H15" s="103"/>
      <c r="I15" s="101">
        <v>0</v>
      </c>
      <c r="J15" s="103"/>
      <c r="K15" s="101">
        <v>10</v>
      </c>
      <c r="L15" s="103"/>
      <c r="M15" s="26">
        <v>10</v>
      </c>
    </row>
    <row r="16" spans="1:13" s="1" customFormat="1" ht="21.95" customHeight="1">
      <c r="A16" s="21" t="s">
        <v>174</v>
      </c>
      <c r="B16" s="23" t="s">
        <v>175</v>
      </c>
      <c r="C16" s="24"/>
      <c r="D16" s="24"/>
      <c r="E16" s="101" t="s">
        <v>176</v>
      </c>
      <c r="F16" s="103"/>
      <c r="G16" s="101">
        <v>5</v>
      </c>
      <c r="H16" s="103"/>
      <c r="I16" s="101">
        <v>0</v>
      </c>
      <c r="J16" s="103"/>
      <c r="K16" s="101">
        <v>15</v>
      </c>
      <c r="L16" s="103"/>
      <c r="M16" s="23">
        <v>15</v>
      </c>
    </row>
    <row r="17" spans="1:13" s="1" customFormat="1" ht="21.95" customHeight="1">
      <c r="A17" s="21" t="s">
        <v>177</v>
      </c>
      <c r="B17" s="23" t="s">
        <v>178</v>
      </c>
      <c r="C17" s="101" t="s">
        <v>173</v>
      </c>
      <c r="D17" s="102"/>
      <c r="E17" s="101"/>
      <c r="F17" s="103"/>
      <c r="G17" s="101">
        <v>5</v>
      </c>
      <c r="H17" s="103"/>
      <c r="I17" s="101">
        <v>0</v>
      </c>
      <c r="J17" s="103"/>
      <c r="K17" s="101">
        <v>20</v>
      </c>
      <c r="L17" s="103"/>
      <c r="M17" s="23">
        <v>20</v>
      </c>
    </row>
    <row r="18" spans="1:13" s="3" customFormat="1" ht="21.95" customHeight="1">
      <c r="A18" s="23"/>
      <c r="B18" s="23" t="s">
        <v>179</v>
      </c>
      <c r="C18" s="101" t="s">
        <v>173</v>
      </c>
      <c r="D18" s="102"/>
      <c r="E18" s="101"/>
      <c r="F18" s="103"/>
      <c r="G18" s="101"/>
      <c r="H18" s="103"/>
      <c r="I18" s="101">
        <v>4</v>
      </c>
      <c r="J18" s="103"/>
      <c r="K18" s="101">
        <v>16</v>
      </c>
      <c r="L18" s="103"/>
      <c r="M18" s="23">
        <v>16</v>
      </c>
    </row>
    <row r="19" spans="1:13" s="1" customFormat="1" ht="21.95" customHeight="1">
      <c r="A19" s="23"/>
      <c r="B19" s="23" t="s">
        <v>180</v>
      </c>
      <c r="C19" s="101" t="s">
        <v>173</v>
      </c>
      <c r="D19" s="102"/>
      <c r="E19" s="101"/>
      <c r="F19" s="103"/>
      <c r="G19" s="101"/>
      <c r="H19" s="103"/>
      <c r="I19" s="101">
        <v>1</v>
      </c>
      <c r="J19" s="103"/>
      <c r="K19" s="101">
        <v>15</v>
      </c>
      <c r="L19" s="103"/>
      <c r="M19" s="23">
        <v>15</v>
      </c>
    </row>
    <row r="20" spans="1:13" s="1" customFormat="1" ht="21.95" customHeight="1">
      <c r="A20" s="23"/>
      <c r="B20" s="23" t="s">
        <v>181</v>
      </c>
      <c r="C20" s="101" t="s">
        <v>173</v>
      </c>
      <c r="D20" s="102"/>
      <c r="E20" s="101"/>
      <c r="F20" s="103"/>
      <c r="G20" s="101"/>
      <c r="H20" s="103"/>
      <c r="I20" s="101">
        <v>4</v>
      </c>
      <c r="J20" s="103"/>
      <c r="K20" s="101">
        <v>11</v>
      </c>
      <c r="L20" s="103"/>
      <c r="M20" s="23">
        <v>11</v>
      </c>
    </row>
    <row r="21" spans="1:13" s="1" customFormat="1" ht="21.95" customHeight="1">
      <c r="A21" s="25"/>
      <c r="B21" s="23" t="s">
        <v>182</v>
      </c>
      <c r="C21" s="101" t="s">
        <v>173</v>
      </c>
      <c r="D21" s="102"/>
      <c r="E21" s="101"/>
      <c r="F21" s="103"/>
      <c r="G21" s="119"/>
      <c r="H21" s="120"/>
      <c r="I21" s="121">
        <v>3</v>
      </c>
      <c r="J21" s="122"/>
      <c r="K21" s="119">
        <v>8</v>
      </c>
      <c r="L21" s="120"/>
      <c r="M21" s="27">
        <v>8</v>
      </c>
    </row>
    <row r="22" spans="1:13" s="1" customFormat="1" ht="21.95" customHeight="1">
      <c r="A22" s="25"/>
      <c r="B22" s="23" t="s">
        <v>183</v>
      </c>
      <c r="C22" s="101" t="s">
        <v>173</v>
      </c>
      <c r="D22" s="102"/>
      <c r="E22" s="101"/>
      <c r="F22" s="103"/>
      <c r="G22" s="119"/>
      <c r="H22" s="120"/>
      <c r="I22" s="121">
        <v>2</v>
      </c>
      <c r="J22" s="122"/>
      <c r="K22" s="119">
        <v>6</v>
      </c>
      <c r="L22" s="120"/>
      <c r="M22" s="27">
        <v>6</v>
      </c>
    </row>
    <row r="23" spans="1:13" s="1" customFormat="1" ht="21.95" customHeight="1">
      <c r="A23" s="25"/>
      <c r="B23" s="23" t="s">
        <v>184</v>
      </c>
      <c r="C23" s="101" t="s">
        <v>173</v>
      </c>
      <c r="D23" s="102"/>
      <c r="E23" s="101"/>
      <c r="F23" s="103"/>
      <c r="G23" s="119"/>
      <c r="H23" s="120"/>
      <c r="I23" s="121">
        <v>2</v>
      </c>
      <c r="J23" s="122"/>
      <c r="K23" s="119">
        <v>4</v>
      </c>
      <c r="L23" s="120"/>
      <c r="M23" s="27">
        <v>4</v>
      </c>
    </row>
    <row r="24" spans="1:13" s="1" customFormat="1" ht="21.95" customHeight="1">
      <c r="A24" s="25"/>
      <c r="B24" s="23" t="s">
        <v>185</v>
      </c>
      <c r="C24" s="101" t="s">
        <v>173</v>
      </c>
      <c r="D24" s="102"/>
      <c r="E24" s="101"/>
      <c r="F24" s="103"/>
      <c r="G24" s="119"/>
      <c r="H24" s="120"/>
      <c r="I24" s="121">
        <v>4</v>
      </c>
      <c r="J24" s="122"/>
      <c r="K24" s="119">
        <v>0</v>
      </c>
      <c r="L24" s="120"/>
      <c r="M24" s="28">
        <v>0</v>
      </c>
    </row>
    <row r="25" spans="1:13" s="1" customFormat="1">
      <c r="D25" s="6"/>
    </row>
  </sheetData>
  <mergeCells count="67">
    <mergeCell ref="K12:L14"/>
    <mergeCell ref="C24:D24"/>
    <mergeCell ref="E24:F24"/>
    <mergeCell ref="G24:H24"/>
    <mergeCell ref="I24:J24"/>
    <mergeCell ref="K24:L24"/>
    <mergeCell ref="C23:D23"/>
    <mergeCell ref="E23:F23"/>
    <mergeCell ref="G23:H23"/>
    <mergeCell ref="I23:J23"/>
    <mergeCell ref="K23:L23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rintOptions horizontalCentered="1"/>
  <pageMargins left="0.7" right="0.7" top="0.25" bottom="0.25" header="0.3" footer="0.3"/>
  <pageSetup paperSize="9" scale="9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view="pageBreakPreview" topLeftCell="A11" zoomScale="99" zoomScaleNormal="100" workbookViewId="0">
      <selection activeCell="F19" sqref="F19"/>
    </sheetView>
  </sheetViews>
  <sheetFormatPr defaultColWidth="9" defaultRowHeight="14.45"/>
  <cols>
    <col min="1" max="1" width="35.875" customWidth="1"/>
  </cols>
  <sheetData>
    <row r="1" spans="1:12" s="1" customFormat="1" ht="52.5" customHeight="1">
      <c r="C1" s="4"/>
      <c r="D1" s="5"/>
      <c r="H1" s="6"/>
    </row>
    <row r="2" spans="1:12" s="1" customFormat="1" ht="10.5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s="1" customFormat="1" ht="15.95" customHeight="1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s="1" customFormat="1" ht="15.95" customHeight="1">
      <c r="A4" s="68" t="s">
        <v>136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s="1" customFormat="1" ht="15.95" customHeight="1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 s="1" customFormat="1" ht="8.25" customHeight="1">
      <c r="C6" s="6"/>
      <c r="H6" s="6"/>
    </row>
    <row r="7" spans="1:12" s="1" customFormat="1" ht="8.25" customHeight="1">
      <c r="C7" s="6"/>
      <c r="H7" s="6"/>
    </row>
    <row r="8" spans="1:12" s="1" customFormat="1" ht="12" customHeight="1">
      <c r="A8" s="7" t="s">
        <v>186</v>
      </c>
      <c r="B8" s="7"/>
      <c r="C8" s="69" t="s">
        <v>158</v>
      </c>
      <c r="D8" s="69"/>
      <c r="E8" s="69"/>
      <c r="F8" s="69"/>
      <c r="G8" s="69"/>
      <c r="I8" s="69" t="s">
        <v>187</v>
      </c>
      <c r="J8" s="69"/>
      <c r="K8" s="69"/>
      <c r="L8" s="7"/>
    </row>
    <row r="9" spans="1:12" s="1" customFormat="1" ht="12" customHeight="1">
      <c r="B9" s="8"/>
      <c r="C9" s="69" t="s">
        <v>188</v>
      </c>
      <c r="D9" s="69"/>
      <c r="E9" s="69"/>
      <c r="F9" s="69"/>
      <c r="G9" s="69"/>
      <c r="I9" s="100" t="s">
        <v>161</v>
      </c>
      <c r="J9" s="100"/>
      <c r="K9" s="100"/>
      <c r="L9" s="8"/>
    </row>
    <row r="10" spans="1:12" s="1" customFormat="1" ht="12" customHeight="1">
      <c r="A10" s="7" t="s">
        <v>189</v>
      </c>
      <c r="B10" s="7"/>
      <c r="C10" s="9"/>
      <c r="D10" s="8"/>
      <c r="E10" s="8"/>
      <c r="I10" s="69" t="s">
        <v>163</v>
      </c>
      <c r="J10" s="69"/>
      <c r="K10" s="69"/>
      <c r="L10" s="7"/>
    </row>
    <row r="11" spans="1:12" ht="16.5" customHeight="1">
      <c r="A11" s="71" t="s">
        <v>190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</row>
    <row r="12" spans="1:12" s="2" customFormat="1" ht="48">
      <c r="A12" s="10" t="s">
        <v>11</v>
      </c>
      <c r="B12" s="11" t="s">
        <v>191</v>
      </c>
      <c r="C12" s="11" t="s">
        <v>192</v>
      </c>
      <c r="D12" s="11" t="s">
        <v>193</v>
      </c>
      <c r="E12" s="11" t="s">
        <v>194</v>
      </c>
      <c r="F12" s="11" t="s">
        <v>195</v>
      </c>
      <c r="G12" s="11" t="s">
        <v>196</v>
      </c>
      <c r="H12" s="11" t="s">
        <v>197</v>
      </c>
      <c r="I12" s="11" t="s">
        <v>198</v>
      </c>
      <c r="J12" s="11" t="s">
        <v>199</v>
      </c>
      <c r="K12" s="11" t="s">
        <v>200</v>
      </c>
      <c r="L12" s="18" t="s">
        <v>15</v>
      </c>
    </row>
    <row r="13" spans="1:12" s="2" customFormat="1">
      <c r="A13" s="12" t="s">
        <v>201</v>
      </c>
      <c r="B13" s="13"/>
      <c r="C13" s="14"/>
      <c r="D13" s="14"/>
      <c r="E13" s="13"/>
      <c r="F13" s="13"/>
      <c r="G13" s="13"/>
      <c r="H13" s="14"/>
      <c r="I13" s="13"/>
      <c r="J13" s="13">
        <v>3</v>
      </c>
      <c r="K13" s="13"/>
      <c r="L13" s="19">
        <v>3</v>
      </c>
    </row>
    <row r="14" spans="1:12" s="2" customFormat="1">
      <c r="A14" s="12"/>
      <c r="B14" s="13"/>
      <c r="C14" s="14"/>
      <c r="D14" s="14"/>
      <c r="E14" s="13"/>
      <c r="F14" s="13"/>
      <c r="G14" s="13"/>
      <c r="H14" s="14"/>
      <c r="I14" s="13"/>
      <c r="J14" s="13"/>
      <c r="K14" s="13"/>
      <c r="L14" s="19"/>
    </row>
    <row r="15" spans="1:12" s="3" customFormat="1">
      <c r="A15" s="15"/>
      <c r="B15" s="13"/>
      <c r="C15" s="14"/>
      <c r="D15" s="14"/>
      <c r="E15" s="13"/>
      <c r="F15" s="13"/>
      <c r="G15" s="13"/>
      <c r="H15" s="14"/>
      <c r="I15" s="13"/>
      <c r="J15" s="13"/>
      <c r="K15" s="13"/>
      <c r="L15" s="19"/>
    </row>
    <row r="16" spans="1:12" s="3" customFormat="1">
      <c r="A16" s="16"/>
      <c r="B16" s="13"/>
      <c r="C16" s="14"/>
      <c r="D16" s="14"/>
      <c r="E16" s="13"/>
      <c r="F16" s="13"/>
      <c r="G16" s="13"/>
      <c r="H16" s="14"/>
      <c r="I16" s="13"/>
      <c r="J16" s="13"/>
      <c r="K16" s="13"/>
      <c r="L16" s="19"/>
    </row>
    <row r="17" spans="1:12" s="3" customFormat="1">
      <c r="A17" s="14"/>
      <c r="B17" s="13"/>
      <c r="C17" s="14"/>
      <c r="D17" s="14"/>
      <c r="E17" s="13"/>
      <c r="F17" s="13"/>
      <c r="G17" s="13"/>
      <c r="H17" s="14"/>
      <c r="I17" s="13"/>
      <c r="J17" s="13"/>
      <c r="K17" s="13"/>
      <c r="L17" s="19"/>
    </row>
    <row r="18" spans="1:12" s="3" customFormat="1">
      <c r="A18" s="12"/>
      <c r="B18" s="13"/>
      <c r="C18" s="14"/>
      <c r="D18" s="14"/>
      <c r="E18" s="13"/>
      <c r="F18" s="13"/>
      <c r="G18" s="13"/>
      <c r="H18" s="14"/>
      <c r="I18" s="13"/>
      <c r="J18" s="13"/>
      <c r="K18" s="13"/>
      <c r="L18" s="19"/>
    </row>
    <row r="19" spans="1:12" s="3" customFormat="1">
      <c r="A19" s="12"/>
      <c r="B19" s="13"/>
      <c r="C19" s="14"/>
      <c r="D19" s="14"/>
      <c r="E19" s="13"/>
      <c r="F19" s="13"/>
      <c r="G19" s="13"/>
      <c r="H19" s="14"/>
      <c r="I19" s="13"/>
      <c r="J19" s="13"/>
      <c r="K19" s="13"/>
      <c r="L19" s="19"/>
    </row>
    <row r="20" spans="1:12" s="3" customFormat="1">
      <c r="A20" s="12"/>
      <c r="B20" s="13"/>
      <c r="C20" s="14"/>
      <c r="D20" s="14"/>
      <c r="E20" s="13"/>
      <c r="F20" s="13"/>
      <c r="G20" s="13"/>
      <c r="H20" s="14"/>
      <c r="I20" s="13"/>
      <c r="J20" s="13"/>
      <c r="K20" s="13"/>
      <c r="L20" s="19"/>
    </row>
    <row r="21" spans="1:12" s="3" customFormat="1">
      <c r="A21" s="17"/>
      <c r="B21" s="13"/>
      <c r="C21" s="14"/>
      <c r="D21" s="14"/>
      <c r="E21" s="13"/>
      <c r="F21" s="13"/>
      <c r="G21" s="13"/>
      <c r="H21" s="14"/>
      <c r="I21" s="13"/>
      <c r="J21" s="13"/>
      <c r="K21" s="20"/>
      <c r="L21" s="19"/>
    </row>
    <row r="22" spans="1:12" ht="7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</row>
    <row r="23" spans="1:12" s="1" customFormat="1">
      <c r="C23" s="6"/>
    </row>
    <row r="24" spans="1:12" s="1" customFormat="1">
      <c r="C24" s="6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2026-02-05T00:51:23Z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DD2B43AABDE64AB1A3E8C3F7703096A9_12</vt:lpwstr>
  </property>
  <property fmtid="{D5CDD505-2E9C-101B-9397-08002B2CF9AE}" pid="3" name="KSOProductBuildVer">
    <vt:lpwstr>1033-12.2.0.23196</vt:lpwstr>
  </property>
</Properties>
</file>