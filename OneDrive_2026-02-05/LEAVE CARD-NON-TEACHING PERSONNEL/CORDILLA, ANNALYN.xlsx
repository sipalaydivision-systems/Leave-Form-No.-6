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23890F56-78B7-4749-9490-A5DE38FADA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6" r:id="rId1"/>
    <sheet name="ELECTION" sheetId="9" r:id="rId2"/>
  </sheets>
  <definedNames>
    <definedName name="_xlnm.Print_Area" localSheetId="0">'Leave Card (NE)'!$A$1:$J$103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5" i="6" l="1"/>
  <c r="J95" i="6" s="1"/>
  <c r="I95" i="6"/>
  <c r="I96" i="6" s="1"/>
  <c r="B29" i="6"/>
  <c r="I13" i="6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I86" i="6" s="1"/>
  <c r="I87" i="6" s="1"/>
  <c r="I88" i="6" s="1"/>
  <c r="I89" i="6" s="1"/>
  <c r="I90" i="6" s="1"/>
  <c r="I91" i="6" s="1"/>
  <c r="I92" i="6" s="1"/>
  <c r="I93" i="6" s="1"/>
  <c r="I94" i="6" s="1"/>
  <c r="H13" i="6"/>
  <c r="H96" i="6" l="1"/>
  <c r="J96" i="6" s="1"/>
  <c r="H14" i="6"/>
  <c r="H15" i="6" s="1"/>
  <c r="H16" i="6" s="1"/>
  <c r="H17" i="6" s="1"/>
  <c r="J13" i="6"/>
  <c r="J17" i="6" l="1"/>
  <c r="H18" i="6"/>
  <c r="J15" i="6"/>
  <c r="J14" i="6"/>
  <c r="J16" i="6"/>
  <c r="J18" i="6" l="1"/>
  <c r="H19" i="6"/>
  <c r="H20" i="6" l="1"/>
  <c r="J19" i="6"/>
  <c r="H21" i="6" l="1"/>
  <c r="H22" i="6" s="1"/>
  <c r="J20" i="6"/>
  <c r="J22" i="6" l="1"/>
  <c r="H23" i="6"/>
  <c r="J21" i="6"/>
  <c r="J23" i="6" l="1"/>
  <c r="H24" i="6"/>
  <c r="J24" i="6" l="1"/>
  <c r="H25" i="6"/>
  <c r="J25" i="6" l="1"/>
  <c r="H26" i="6"/>
  <c r="J26" i="6" l="1"/>
  <c r="H27" i="6"/>
  <c r="J27" i="6" l="1"/>
  <c r="H28" i="6"/>
  <c r="J28" i="6" l="1"/>
  <c r="H29" i="6"/>
  <c r="J29" i="6" l="1"/>
  <c r="H30" i="6"/>
  <c r="J30" i="6" l="1"/>
  <c r="H31" i="6"/>
  <c r="J31" i="6" l="1"/>
  <c r="H32" i="6"/>
  <c r="J32" i="6" l="1"/>
  <c r="H33" i="6"/>
  <c r="J33" i="6" l="1"/>
  <c r="H34" i="6"/>
  <c r="J34" i="6" l="1"/>
  <c r="H35" i="6"/>
  <c r="J35" i="6" l="1"/>
  <c r="H36" i="6"/>
  <c r="J36" i="6" l="1"/>
  <c r="H37" i="6"/>
  <c r="J37" i="6" l="1"/>
  <c r="H38" i="6"/>
  <c r="J38" i="6" l="1"/>
  <c r="H39" i="6"/>
  <c r="J39" i="6" l="1"/>
  <c r="H40" i="6"/>
  <c r="J40" i="6" l="1"/>
  <c r="H41" i="6"/>
  <c r="J41" i="6" l="1"/>
  <c r="H42" i="6"/>
  <c r="J42" i="6" l="1"/>
  <c r="H43" i="6"/>
  <c r="J43" i="6" l="1"/>
  <c r="H44" i="6"/>
  <c r="H45" i="6" l="1"/>
  <c r="J44" i="6"/>
  <c r="J45" i="6" l="1"/>
  <c r="H46" i="6"/>
  <c r="J46" i="6" l="1"/>
  <c r="H47" i="6"/>
  <c r="J47" i="6" l="1"/>
  <c r="H48" i="6"/>
  <c r="H49" i="6" l="1"/>
  <c r="J48" i="6"/>
  <c r="J49" i="6" l="1"/>
  <c r="H50" i="6"/>
  <c r="H51" i="6" l="1"/>
  <c r="J50" i="6"/>
  <c r="J51" i="6" l="1"/>
  <c r="H52" i="6"/>
  <c r="J52" i="6" l="1"/>
  <c r="H53" i="6"/>
  <c r="J53" i="6" l="1"/>
  <c r="H54" i="6"/>
  <c r="H55" i="6" l="1"/>
  <c r="J54" i="6"/>
  <c r="J55" i="6" l="1"/>
  <c r="H56" i="6"/>
  <c r="J56" i="6" l="1"/>
  <c r="H57" i="6"/>
  <c r="J57" i="6" l="1"/>
  <c r="H58" i="6"/>
  <c r="J58" i="6" l="1"/>
  <c r="H59" i="6"/>
  <c r="J59" i="6" l="1"/>
  <c r="H60" i="6"/>
  <c r="J60" i="6" l="1"/>
  <c r="H61" i="6"/>
  <c r="H62" i="6" l="1"/>
  <c r="J61" i="6"/>
  <c r="J62" i="6" l="1"/>
  <c r="H63" i="6"/>
  <c r="J63" i="6" l="1"/>
  <c r="H64" i="6"/>
  <c r="H65" i="6" l="1"/>
  <c r="J64" i="6"/>
  <c r="J65" i="6" l="1"/>
  <c r="H66" i="6"/>
  <c r="J66" i="6" l="1"/>
  <c r="H67" i="6"/>
  <c r="J67" i="6" l="1"/>
  <c r="H68" i="6"/>
  <c r="J68" i="6" l="1"/>
  <c r="H69" i="6"/>
  <c r="H70" i="6" l="1"/>
  <c r="J69" i="6"/>
  <c r="H71" i="6" l="1"/>
  <c r="J70" i="6"/>
  <c r="H72" i="6" l="1"/>
  <c r="J71" i="6"/>
  <c r="H73" i="6" l="1"/>
  <c r="J72" i="6"/>
  <c r="J73" i="6" l="1"/>
  <c r="H74" i="6"/>
  <c r="H75" i="6" l="1"/>
  <c r="J74" i="6"/>
  <c r="H76" i="6" l="1"/>
  <c r="J75" i="6"/>
  <c r="H77" i="6" l="1"/>
  <c r="J76" i="6"/>
  <c r="J77" i="6" l="1"/>
  <c r="H78" i="6"/>
  <c r="H79" i="6" l="1"/>
  <c r="J78" i="6"/>
  <c r="H80" i="6" l="1"/>
  <c r="J79" i="6"/>
  <c r="H81" i="6" l="1"/>
  <c r="J80" i="6"/>
  <c r="J81" i="6" l="1"/>
  <c r="H82" i="6"/>
  <c r="J82" i="6" l="1"/>
  <c r="H83" i="6"/>
  <c r="H84" i="6" l="1"/>
  <c r="J83" i="6"/>
  <c r="H85" i="6" l="1"/>
  <c r="J84" i="6"/>
  <c r="H86" i="6" l="1"/>
  <c r="J85" i="6"/>
  <c r="H87" i="6" l="1"/>
  <c r="J86" i="6"/>
  <c r="H88" i="6" l="1"/>
  <c r="J87" i="6"/>
  <c r="H89" i="6" l="1"/>
  <c r="J88" i="6"/>
  <c r="J89" i="6" l="1"/>
  <c r="H90" i="6"/>
  <c r="H91" i="6" l="1"/>
  <c r="J90" i="6"/>
  <c r="J91" i="6" l="1"/>
  <c r="H92" i="6"/>
  <c r="J92" i="6" l="1"/>
  <c r="H93" i="6"/>
  <c r="J93" i="6" l="1"/>
  <c r="H94" i="6"/>
  <c r="J94" i="6" s="1"/>
</calcChain>
</file>

<file path=xl/sharedStrings.xml><?xml version="1.0" encoding="utf-8"?>
<sst xmlns="http://schemas.openxmlformats.org/spreadsheetml/2006/main" count="137" uniqueCount="126">
  <si>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</si>
  <si>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</si>
  <si>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</si>
  <si>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</si>
  <si>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</si>
  <si>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</si>
  <si>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</si>
  <si>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</si>
  <si>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</si>
  <si>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</si>
  <si>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</si>
  <si>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LESS: 03/08/2022</t>
  </si>
  <si>
    <t>ADD: 01/01/22 - 02/28/22</t>
  </si>
  <si>
    <t>ADD: 03/01/22 - 05/31/22</t>
  </si>
  <si>
    <t>LESS: 06/01/22</t>
  </si>
  <si>
    <t>LESS: 06/08/22</t>
  </si>
  <si>
    <t>LESS: 03/14/2022</t>
  </si>
  <si>
    <t>LESS: 07/01/22</t>
  </si>
  <si>
    <t>LESS: 06/07 &amp; 17/22</t>
  </si>
  <si>
    <t>ADD: 06/01/22 - 06/30/22</t>
  </si>
  <si>
    <t>ADD: 07/01/22 - 07/31/22</t>
  </si>
  <si>
    <t>LESS: 08/11/22</t>
  </si>
  <si>
    <t>ADD: 08/01/22 - 08/31/22</t>
  </si>
  <si>
    <t>LESS: MONETIZATION 2022</t>
  </si>
  <si>
    <t>LESS: 09/30/22</t>
  </si>
  <si>
    <t>ADD: 09/01/22 - 11/30/22</t>
  </si>
  <si>
    <t>Republic of the Philippines</t>
  </si>
  <si>
    <t>Department of Education</t>
  </si>
  <si>
    <t>REGION VI-WESTERN VISAYAS</t>
  </si>
  <si>
    <t>SCHOOLS DIVISION OF SIPALAY CITY</t>
  </si>
  <si>
    <t>DISTRICT                : _______________________</t>
  </si>
  <si>
    <t>EMPLOYEE NO    : __________</t>
  </si>
  <si>
    <t>STATION CODE    : __________</t>
  </si>
  <si>
    <t>DIVISION CODE   : 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</si>
  <si>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</si>
  <si>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</si>
  <si>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</si>
  <si>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</si>
  <si>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No. of Days Granted</t>
  </si>
  <si>
    <t>No. of Days Used</t>
  </si>
  <si>
    <t>Balance</t>
  </si>
  <si>
    <t>S.0 # 051, S. 2022, JULY 1, 2022</t>
  </si>
  <si>
    <t>ADD: JULY 01, 2022</t>
  </si>
  <si>
    <t xml:space="preserve"> MAY 9, 2022 NATIONAL AND LOCAL ELECTION</t>
  </si>
  <si>
    <t xml:space="preserve">NAME          : </t>
  </si>
  <si>
    <t xml:space="preserve">POSITION   : </t>
  </si>
  <si>
    <t xml:space="preserve">SCHOOL/OFFICE : </t>
  </si>
  <si>
    <t>LESS: 11/29/2022</t>
  </si>
  <si>
    <t>LESS: 12/01/22</t>
  </si>
  <si>
    <t>LESS: 12/16/22</t>
  </si>
  <si>
    <t>ADD: 12/01/22-12/31/22</t>
  </si>
  <si>
    <t>SPECIAL</t>
  </si>
  <si>
    <t>Name: _____________________________</t>
  </si>
  <si>
    <t>DISTRICT: ___________________________</t>
  </si>
  <si>
    <t>POSITION: __________________________</t>
  </si>
  <si>
    <t>SCHOOL/OFFICE:_____________________</t>
  </si>
  <si>
    <t>ADD: 03/27/2019 - 03/31/2019</t>
  </si>
  <si>
    <t>LESS: 10/16/2019</t>
  </si>
  <si>
    <t>LESS: 10/23 &amp; 24/2019</t>
  </si>
  <si>
    <t>LESS: 11/28/2019</t>
  </si>
  <si>
    <t>LESS: 12/26 &amp; 27/2019</t>
  </si>
  <si>
    <t>ADD: 01/01/2020 - 12/31/2020</t>
  </si>
  <si>
    <t>LESS: 12/28 &amp; 29/2020</t>
  </si>
  <si>
    <t>LESS: MONETIZATION 2020</t>
  </si>
  <si>
    <t>LESS: FL 2020</t>
  </si>
  <si>
    <t>LESS: 05/21/2021</t>
  </si>
  <si>
    <t>LESS: 03/25/2021</t>
  </si>
  <si>
    <t>ADD: 01/01/2021 - 07/31/2021</t>
  </si>
  <si>
    <t>LESS: 08/3/2021</t>
  </si>
  <si>
    <t>ADD: 08/01/2021 - 08/31/2021</t>
  </si>
  <si>
    <t>LESS: 09/20/2021</t>
  </si>
  <si>
    <t>LESS: 09/23 &amp; 24/2021</t>
  </si>
  <si>
    <t>LESS: MONETIZATION 2021</t>
  </si>
  <si>
    <t>LESS: 11/26/2021</t>
  </si>
  <si>
    <t>LESS: 11/29/2021</t>
  </si>
  <si>
    <t>LESS: 12/22 &amp; 24/2021</t>
  </si>
  <si>
    <t>ADD: 09/01/2021 - 12/31/2021</t>
  </si>
  <si>
    <t>LESS: 1/6/2022</t>
  </si>
  <si>
    <t>LESS: CALAMITY LEAVE 12/21,23,28 &amp; 29/21</t>
  </si>
  <si>
    <t>ADD: 01/01/23-02/28/23</t>
  </si>
  <si>
    <t>LESS: 03/10/23</t>
  </si>
  <si>
    <t>ADD: 03/01/23-03/31/23</t>
  </si>
  <si>
    <t>LESS: 04/12/23</t>
  </si>
  <si>
    <t xml:space="preserve">LESS: 05/26/23 </t>
  </si>
  <si>
    <t>ADD: 05/01/23-05/31/23</t>
  </si>
  <si>
    <t xml:space="preserve">LESS: 06/09/23 </t>
  </si>
  <si>
    <t>ADD: 06/01/23-06/30/23</t>
  </si>
  <si>
    <t xml:space="preserve">LESS: 07/07/23 </t>
  </si>
  <si>
    <t xml:space="preserve">LESS: 07/18/23 </t>
  </si>
  <si>
    <t xml:space="preserve">LESS: 07/31/23 </t>
  </si>
  <si>
    <t>ADD: 07/01/23-08/31/23</t>
  </si>
  <si>
    <t>LESS: MONETIZATION 2023</t>
  </si>
  <si>
    <t>Certified Correct:</t>
  </si>
  <si>
    <t>MA. LUISA B. CATIGAN</t>
  </si>
  <si>
    <t>Administrative Officer IV</t>
  </si>
  <si>
    <t>ADD: 09/01-12/31/2023</t>
  </si>
  <si>
    <t>ADD: 01/01/2024-05/31/2024</t>
  </si>
  <si>
    <t>LESS: 06/27-28/2024</t>
  </si>
  <si>
    <t>ADD: JUNE-JULY 31, 2024</t>
  </si>
  <si>
    <t>LESS: 07/25/2024</t>
  </si>
  <si>
    <t>LESS: 07/31/2024</t>
  </si>
  <si>
    <t>LESS: MONETIZATION 2024</t>
  </si>
  <si>
    <t xml:space="preserve">               HRMO</t>
  </si>
  <si>
    <t>LESS: 08/28/2024</t>
  </si>
  <si>
    <t>ADD: 08/1-31/2024</t>
  </si>
  <si>
    <t>LESS: 09/30/2024</t>
  </si>
  <si>
    <t>ADD: 09/1-30/2024</t>
  </si>
  <si>
    <t>LESS: 10/9-10/2024</t>
  </si>
  <si>
    <t xml:space="preserve">LESS: 07/15/22 </t>
  </si>
  <si>
    <t xml:space="preserve">LESS: 03/24/23 </t>
  </si>
  <si>
    <t>ADD: 10/1/2024-12/31/2024</t>
  </si>
  <si>
    <t>LESS: 01/06/2025</t>
  </si>
  <si>
    <t>LESS: 01/28/2025</t>
  </si>
  <si>
    <t>ADD: 04/01/2019 - 09/30/2019</t>
  </si>
  <si>
    <t>ADD: 10/1-31/2019</t>
  </si>
  <si>
    <t>ADD: 11/1-30/2019</t>
  </si>
  <si>
    <t>ADD: 12/1-31/2019</t>
  </si>
  <si>
    <t>ADD: 01/1/2025-06/30/2025</t>
  </si>
  <si>
    <t>LESS: FL 2019</t>
  </si>
  <si>
    <t>ADD: 04/1-30/2023</t>
  </si>
  <si>
    <t>LESS:  FL 2024</t>
  </si>
  <si>
    <t>LESS: 07/8/2025</t>
  </si>
  <si>
    <t>ADD:07/1/2025-08/31/2025</t>
  </si>
  <si>
    <t>LESS: 09/3/2025</t>
  </si>
  <si>
    <t>LESS: 09/30/2025</t>
  </si>
  <si>
    <t>LESS: 09/24/2025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</si>
</sst>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164" fontId="3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/>
    <xf numFmtId="164" fontId="3" fillId="2" borderId="2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9" fillId="0" borderId="0" xfId="0" applyFont="1"/>
    <xf numFmtId="0" fontId="0" fillId="2" borderId="8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10" fillId="0" borderId="0" xfId="0" applyFont="1"/>
    <xf numFmtId="0" fontId="10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14" fontId="10" fillId="0" borderId="10" xfId="0" applyNumberFormat="1" applyFont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1" fontId="0" fillId="0" borderId="1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12" fillId="2" borderId="0" xfId="0" applyFont="1" applyFill="1"/>
    <xf numFmtId="164" fontId="0" fillId="1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164" fontId="0" fillId="11" borderId="1" xfId="0" applyNumberForma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1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6" fillId="2" borderId="15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 wrapText="1"/>
    </xf>
    <xf numFmtId="0" fontId="7" fillId="8" borderId="17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8" fillId="9" borderId="16" xfId="0" applyFont="1" applyFill="1" applyBorder="1" applyAlignment="1">
      <alignment horizontal="center" vertical="center" wrapText="1"/>
    </xf>
    <xf numFmtId="0" fontId="8" fillId="9" borderId="7" xfId="0" applyFont="1" applyFill="1" applyBorder="1" applyAlignment="1">
      <alignment horizontal="center" vertical="center" wrapText="1"/>
    </xf>
    <xf numFmtId="0" fontId="8" fillId="9" borderId="18" xfId="0" applyFont="1" applyFill="1" applyBorder="1" applyAlignment="1">
      <alignment horizontal="center" vertical="center" wrapText="1"/>
    </xf>
    <xf numFmtId="0" fontId="8" fillId="9" borderId="19" xfId="0" applyFont="1" applyFill="1" applyBorder="1" applyAlignment="1">
      <alignment horizontal="center" vertical="center" wrapText="1"/>
    </xf>
    <xf numFmtId="0" fontId="8" fillId="9" borderId="21" xfId="0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514350</xdr:colOff>
      <xdr:row>0</xdr:row>
      <xdr:rowOff>31751</xdr:rowOff>
    </xdr:from>
    <xdr:to>
      <xdr:col>4</xdr:col>
      <xdr:colOff>416055</xdr:colOff>
      <xdr:row>0</xdr:row>
      <xdr:rowOff>590551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F86F38-240B-485B-9049-060AF669DF0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8500" y="31751"/>
          <a:ext cx="714505" cy="5588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450117</xdr:colOff>
      <xdr:row>5</xdr:row>
      <xdr:rowOff>75711</xdr:rowOff>
    </xdr:from>
    <xdr:to>
      <xdr:col>0</xdr:col>
      <xdr:colOff>2135066</xdr:colOff>
      <xdr:row>7</xdr:row>
      <xdr:rowOff>68385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6993D4B-B8F6-4179-B0EE-5F738EFDBCFB}"/>
            </a:ext>
          </a:extLst>
        </xdr:cNvPr>
        <xdr:cNvSpPr txBox="1"/>
      </xdr:nvSpPr>
      <xdr:spPr>
        <a:xfrm>
          <a:off x="450117" y="1409211"/>
          <a:ext cx="168494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CORDILLA, ANNALYN</a:t>
          </a:r>
        </a:p>
      </xdr:txBody>
    </xdr:sp>
    <xdr:clientData/>
  </xdr:twoCellAnchor>
  <xdr:twoCellAnchor>
    <xdr:from>
      <xdr:col>0</xdr:col>
      <xdr:colOff>645258</xdr:colOff>
      <xdr:row>7</xdr:row>
      <xdr:rowOff>118207</xdr:rowOff>
    </xdr:from>
    <xdr:to>
      <xdr:col>1</xdr:col>
      <xdr:colOff>25157</xdr:colOff>
      <xdr:row>9</xdr:row>
      <xdr:rowOff>63255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9139C23-699D-454A-BFEB-B9C9F616D32C}"/>
            </a:ext>
          </a:extLst>
        </xdr:cNvPr>
        <xdr:cNvSpPr txBox="1"/>
      </xdr:nvSpPr>
      <xdr:spPr>
        <a:xfrm>
          <a:off x="645258" y="1708882"/>
          <a:ext cx="1637324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7332E6C-81A7-43CC-A5B0-319096FF39F5}"/>
            </a:ext>
          </a:extLst>
        </xdr:cNvPr>
        <xdr:cNvSpPr txBox="1"/>
      </xdr:nvSpPr>
      <xdr:spPr>
        <a:xfrm>
          <a:off x="34568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MARIANO GEMORA NHS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529166</xdr:colOff>
      <xdr:row>0</xdr:row>
      <xdr:rowOff>35120</xdr:rowOff>
    </xdr:from>
    <xdr:to>
      <xdr:col>5</xdr:col>
      <xdr:colOff>2260</xdr:colOff>
      <xdr:row>0</xdr:row>
      <xdr:rowOff>623241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2947BF-B8EB-4ABE-A198-6153212E8AB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86296" y="35120"/>
          <a:ext cx="696057" cy="588121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3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5537FD7-C5A1-4BB7-A77F-C9AAADFC4D53}"/>
            </a:ext>
          </a:extLst>
        </xdr:cNvPr>
        <xdr:cNvSpPr txBox="1"/>
      </xdr:nvSpPr>
      <xdr:spPr>
        <a:xfrm>
          <a:off x="76200" y="4165600"/>
          <a:ext cx="4279900" cy="1057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E6B8A98-5BA4-45A5-AD88-936473FBFD4A}"/>
            </a:ext>
          </a:extLst>
        </xdr:cNvPr>
        <xdr:cNvCxnSpPr/>
      </xdr:nvCxnSpPr>
      <xdr:spPr>
        <a:xfrm>
          <a:off x="742950" y="1774825"/>
          <a:ext cx="25273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5E62A6AE-CED8-4130-A3BD-A7822E14F1D0}"/>
            </a:ext>
          </a:extLst>
        </xdr:cNvPr>
        <xdr:cNvCxnSpPr/>
      </xdr:nvCxnSpPr>
      <xdr:spPr>
        <a:xfrm>
          <a:off x="752475" y="2060575"/>
          <a:ext cx="25273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952500</xdr:colOff>
      <xdr:row>5</xdr:row>
      <xdr:rowOff>88194</xdr:rowOff>
    </xdr:from>
    <xdr:to>
      <xdr:col>2</xdr:col>
      <xdr:colOff>29398</xdr:colOff>
      <xdr:row>7</xdr:row>
      <xdr:rowOff>99954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64BD27C-A261-4DEB-A50D-62982A1DC2D4}"/>
            </a:ext>
          </a:extLst>
        </xdr:cNvPr>
        <xdr:cNvSpPr txBox="1"/>
      </xdr:nvSpPr>
      <xdr:spPr>
        <a:xfrm>
          <a:off x="952500" y="1505185"/>
          <a:ext cx="2122546" cy="2116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CORDILLA, ANALYN</a:t>
          </a:r>
        </a:p>
      </xdr:txBody>
    </xdr:sp>
    <xdr:clientData/>
  </xdr:twoCellAnchor>
  <xdr:twoCellAnchor>
    <xdr:from>
      <xdr:col>0</xdr:col>
      <xdr:colOff>829027</xdr:colOff>
      <xdr:row>8</xdr:row>
      <xdr:rowOff>52916</xdr:rowOff>
    </xdr:from>
    <xdr:to>
      <xdr:col>1</xdr:col>
      <xdr:colOff>1493425</xdr:colOff>
      <xdr:row>9</xdr:row>
      <xdr:rowOff>111713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BE707E1-A9FD-44E4-B9DF-850FB16536CB}"/>
            </a:ext>
          </a:extLst>
        </xdr:cNvPr>
        <xdr:cNvSpPr txBox="1"/>
      </xdr:nvSpPr>
      <xdr:spPr>
        <a:xfrm>
          <a:off x="829027" y="1822685"/>
          <a:ext cx="2122546" cy="2116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</a:p>
      </xdr:txBody>
    </xdr:sp>
    <xdr:clientData/>
  </xdr:twoCellAnchor>
  <xdr:twoCellAnchor>
    <xdr:from>
      <xdr:col>4</xdr:col>
      <xdr:colOff>488010</xdr:colOff>
      <xdr:row>8</xdr:row>
      <xdr:rowOff>41156</xdr:rowOff>
    </xdr:from>
    <xdr:to>
      <xdr:col>8</xdr:col>
      <xdr:colOff>364537</xdr:colOff>
      <xdr:row>9</xdr:row>
      <xdr:rowOff>47037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7C0C115-F8E2-4112-8726-D4701238668E}"/>
            </a:ext>
          </a:extLst>
        </xdr:cNvPr>
        <xdr:cNvSpPr txBox="1"/>
      </xdr:nvSpPr>
      <xdr:spPr>
        <a:xfrm>
          <a:off x="4756621" y="1810925"/>
          <a:ext cx="2122546" cy="2293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48"/>
  <sheetViews>
    <sheetView tabSelected="1" view="pageBreakPreview" topLeftCell="A82" zoomScaleNormal="100" zoomScaleSheetLayoutView="100" workbookViewId="0">
      <selection activeCell="C98" sqref="C98"/>
    </sheetView>
  </sheetViews>
  <sheetFormatPr defaultRowHeight="15" x14ac:dyDescent="0.25"/>
  <cols>
    <col min="1" max="1" width="33.85546875" customWidth="1"/>
    <col min="2" max="6" width="11.5703125" customWidth="1"/>
    <col min="7" max="7" width="11.5703125" style="24" customWidth="1"/>
    <col min="8" max="10" width="11.5703125" customWidth="1"/>
  </cols>
  <sheetData>
    <row r="1" spans="1:10" s="1" customFormat="1" ht="47.45" customHeight="1" x14ac:dyDescent="0.25">
      <c r="A1" s="23"/>
    </row>
    <row r="2" spans="1:10" s="1" customFormat="1" ht="10.5" customHeight="1" x14ac:dyDescent="0.25">
      <c r="A2" s="64" t="s">
        <v>26</v>
      </c>
      <c r="B2" s="64"/>
      <c r="C2" s="64"/>
      <c r="D2" s="64"/>
      <c r="E2" s="64"/>
      <c r="F2" s="64"/>
      <c r="G2" s="64"/>
      <c r="H2" s="64"/>
      <c r="I2" s="64"/>
      <c r="J2" s="64"/>
    </row>
    <row r="3" spans="1:10" s="1" customFormat="1" ht="15.95" customHeight="1" x14ac:dyDescent="0.25">
      <c r="A3" s="64" t="s">
        <v>27</v>
      </c>
      <c r="B3" s="64"/>
      <c r="C3" s="64"/>
      <c r="D3" s="64"/>
      <c r="E3" s="64"/>
      <c r="F3" s="64"/>
      <c r="G3" s="64"/>
      <c r="H3" s="64"/>
      <c r="I3" s="64"/>
      <c r="J3" s="64"/>
    </row>
    <row r="4" spans="1:10" s="1" customFormat="1" ht="15.95" customHeight="1" x14ac:dyDescent="0.25">
      <c r="A4" s="64" t="s">
        <v>28</v>
      </c>
      <c r="B4" s="64"/>
      <c r="C4" s="64"/>
      <c r="D4" s="64"/>
      <c r="E4" s="64"/>
      <c r="F4" s="64"/>
      <c r="G4" s="64"/>
      <c r="H4" s="64"/>
      <c r="I4" s="64"/>
      <c r="J4" s="64"/>
    </row>
    <row r="5" spans="1:10" s="1" customFormat="1" ht="15.95" customHeight="1" x14ac:dyDescent="0.25">
      <c r="A5" s="64" t="s">
        <v>29</v>
      </c>
      <c r="B5" s="64"/>
      <c r="C5" s="64"/>
      <c r="D5" s="64"/>
      <c r="E5" s="64"/>
      <c r="F5" s="64"/>
      <c r="G5" s="64"/>
      <c r="H5" s="64"/>
      <c r="I5" s="64"/>
      <c r="J5" s="64"/>
    </row>
    <row r="6" spans="1:10" s="1" customFormat="1" ht="8.25" customHeight="1" x14ac:dyDescent="0.25">
      <c r="A6" s="23"/>
    </row>
    <row r="7" spans="1:10" s="1" customFormat="1" ht="12" customHeight="1" x14ac:dyDescent="0.25">
      <c r="A7" s="25" t="s">
        <v>52</v>
      </c>
      <c r="B7" s="53" t="s">
        <v>53</v>
      </c>
      <c r="C7" s="53"/>
      <c r="D7" s="53"/>
      <c r="H7" s="6" t="s">
        <v>9</v>
      </c>
      <c r="I7" s="22"/>
      <c r="J7" s="6"/>
    </row>
    <row r="8" spans="1:10" s="1" customFormat="1" ht="12" customHeight="1" x14ac:dyDescent="0.25">
      <c r="A8" s="23"/>
      <c r="B8" s="3"/>
      <c r="C8" s="3"/>
      <c r="H8" s="3"/>
      <c r="I8" s="3"/>
      <c r="J8" s="3"/>
    </row>
    <row r="9" spans="1:10" s="1" customFormat="1" ht="12" customHeight="1" x14ac:dyDescent="0.25">
      <c r="A9" s="25" t="s">
        <v>54</v>
      </c>
      <c r="B9" s="53" t="s">
        <v>55</v>
      </c>
      <c r="C9" s="53"/>
      <c r="D9" s="53"/>
      <c r="H9" s="6" t="s">
        <v>10</v>
      </c>
      <c r="I9" s="7"/>
      <c r="J9" s="6"/>
    </row>
    <row r="10" spans="1:10" ht="16.5" customHeight="1" thickBot="1" x14ac:dyDescent="0.3">
      <c r="A10" s="54" t="s">
        <v>0</v>
      </c>
      <c r="B10" s="54"/>
      <c r="C10" s="54"/>
      <c r="D10" s="54"/>
      <c r="E10" s="54"/>
      <c r="F10" s="54"/>
      <c r="G10" s="54"/>
      <c r="H10" s="54"/>
      <c r="I10" s="54"/>
      <c r="J10" s="54"/>
    </row>
    <row r="11" spans="1:10" ht="18.75" customHeight="1" x14ac:dyDescent="0.25">
      <c r="A11" s="56" t="s">
        <v>4</v>
      </c>
      <c r="B11" s="60" t="s">
        <v>5</v>
      </c>
      <c r="C11" s="60"/>
      <c r="D11" s="61" t="s">
        <v>6</v>
      </c>
      <c r="E11" s="62"/>
      <c r="F11" s="62"/>
      <c r="G11" s="63"/>
      <c r="H11" s="55" t="s">
        <v>7</v>
      </c>
      <c r="I11" s="55"/>
      <c r="J11" s="58" t="s">
        <v>8</v>
      </c>
    </row>
    <row r="12" spans="1:10" ht="18.75" customHeight="1" x14ac:dyDescent="0.25">
      <c r="A12" s="57"/>
      <c r="B12" s="5" t="s">
        <v>1</v>
      </c>
      <c r="C12" s="5" t="s">
        <v>2</v>
      </c>
      <c r="D12" s="5" t="s">
        <v>1</v>
      </c>
      <c r="E12" s="5" t="s">
        <v>2</v>
      </c>
      <c r="F12" s="5" t="s">
        <v>3</v>
      </c>
      <c r="G12" s="5" t="s">
        <v>51</v>
      </c>
      <c r="H12" s="5" t="s">
        <v>1</v>
      </c>
      <c r="I12" s="5" t="s">
        <v>2</v>
      </c>
      <c r="J12" s="59"/>
    </row>
    <row r="13" spans="1:10" ht="18.75" customHeight="1" x14ac:dyDescent="0.25">
      <c r="A13" s="26" t="s">
        <v>56</v>
      </c>
      <c r="B13" s="2">
        <v>0.20799999999999999</v>
      </c>
      <c r="C13" s="2">
        <v>0.20799999999999999</v>
      </c>
      <c r="D13" s="2"/>
      <c r="E13" s="2"/>
      <c r="F13" s="2"/>
      <c r="G13" s="2"/>
      <c r="H13" s="2">
        <f>B13</f>
        <v>0.20799999999999999</v>
      </c>
      <c r="I13" s="2">
        <f>C13</f>
        <v>0.20799999999999999</v>
      </c>
      <c r="J13" s="4">
        <f>SUM(H13:I13)</f>
        <v>0.41599999999999998</v>
      </c>
    </row>
    <row r="14" spans="1:10" ht="18.75" customHeight="1" x14ac:dyDescent="0.25">
      <c r="A14" s="26" t="s">
        <v>113</v>
      </c>
      <c r="B14" s="2">
        <v>7.5</v>
      </c>
      <c r="C14" s="2">
        <v>7.5</v>
      </c>
      <c r="D14" s="2"/>
      <c r="E14" s="2"/>
      <c r="F14" s="2"/>
      <c r="G14" s="2"/>
      <c r="H14" s="2">
        <f>H13-F14-D14+B14</f>
        <v>7.7080000000000002</v>
      </c>
      <c r="I14" s="2">
        <f>I13-E14+C14</f>
        <v>7.7080000000000002</v>
      </c>
      <c r="J14" s="4">
        <f>SUM(H14:I14)</f>
        <v>15.416</v>
      </c>
    </row>
    <row r="15" spans="1:10" ht="18.75" customHeight="1" x14ac:dyDescent="0.25">
      <c r="A15" s="26" t="s">
        <v>57</v>
      </c>
      <c r="B15" s="2"/>
      <c r="C15" s="2"/>
      <c r="D15" s="2"/>
      <c r="E15" s="2"/>
      <c r="F15" s="2">
        <v>1</v>
      </c>
      <c r="G15" s="2"/>
      <c r="H15" s="2">
        <f t="shared" ref="H15:H16" si="0">H14-F15-D15+B15</f>
        <v>6.7080000000000002</v>
      </c>
      <c r="I15" s="2">
        <f t="shared" ref="I15:I16" si="1">I14-E15+C15</f>
        <v>7.7080000000000002</v>
      </c>
      <c r="J15" s="4">
        <f t="shared" ref="J15:J16" si="2">SUM(H15:I15)</f>
        <v>14.416</v>
      </c>
    </row>
    <row r="16" spans="1:10" ht="18.75" customHeight="1" x14ac:dyDescent="0.25">
      <c r="A16" s="26" t="s">
        <v>58</v>
      </c>
      <c r="B16" s="2"/>
      <c r="C16" s="2"/>
      <c r="D16" s="2"/>
      <c r="E16" s="2"/>
      <c r="F16" s="2">
        <v>2</v>
      </c>
      <c r="G16" s="2"/>
      <c r="H16" s="2">
        <f t="shared" si="0"/>
        <v>4.7080000000000002</v>
      </c>
      <c r="I16" s="2">
        <f t="shared" si="1"/>
        <v>7.7080000000000002</v>
      </c>
      <c r="J16" s="4">
        <f t="shared" si="2"/>
        <v>12.416</v>
      </c>
    </row>
    <row r="17" spans="1:10" ht="18.75" customHeight="1" x14ac:dyDescent="0.25">
      <c r="A17" s="26" t="s">
        <v>114</v>
      </c>
      <c r="B17" s="2">
        <v>1.25</v>
      </c>
      <c r="C17" s="2">
        <v>1.25</v>
      </c>
      <c r="D17" s="2"/>
      <c r="E17" s="2"/>
      <c r="F17" s="2"/>
      <c r="G17" s="2"/>
      <c r="H17" s="2">
        <f t="shared" ref="H17:H21" si="3">H16-F17-D17+B17</f>
        <v>5.9580000000000002</v>
      </c>
      <c r="I17" s="2">
        <f t="shared" ref="I17:I21" si="4">I16-E17+C17</f>
        <v>8.9580000000000002</v>
      </c>
      <c r="J17" s="4">
        <f t="shared" ref="J17:J21" si="5">SUM(H17:I17)</f>
        <v>14.916</v>
      </c>
    </row>
    <row r="18" spans="1:10" ht="18.75" customHeight="1" x14ac:dyDescent="0.25">
      <c r="A18" s="26" t="s">
        <v>59</v>
      </c>
      <c r="B18" s="2"/>
      <c r="C18" s="2"/>
      <c r="D18" s="2"/>
      <c r="E18" s="2"/>
      <c r="F18" s="2">
        <v>1</v>
      </c>
      <c r="G18" s="2"/>
      <c r="H18" s="2">
        <f t="shared" si="3"/>
        <v>4.9580000000000002</v>
      </c>
      <c r="I18" s="2">
        <f t="shared" si="4"/>
        <v>8.9580000000000002</v>
      </c>
      <c r="J18" s="4">
        <f t="shared" si="5"/>
        <v>13.916</v>
      </c>
    </row>
    <row r="19" spans="1:10" ht="18.75" customHeight="1" x14ac:dyDescent="0.25">
      <c r="A19" s="26" t="s">
        <v>115</v>
      </c>
      <c r="B19" s="2">
        <v>1.25</v>
      </c>
      <c r="C19" s="2">
        <v>1.25</v>
      </c>
      <c r="D19" s="2"/>
      <c r="E19" s="2"/>
      <c r="F19" s="2"/>
      <c r="G19" s="2"/>
      <c r="H19" s="2">
        <f t="shared" si="3"/>
        <v>6.2080000000000002</v>
      </c>
      <c r="I19" s="2">
        <f t="shared" si="4"/>
        <v>10.208</v>
      </c>
      <c r="J19" s="4">
        <f t="shared" si="5"/>
        <v>16.416</v>
      </c>
    </row>
    <row r="20" spans="1:10" ht="18.75" customHeight="1" x14ac:dyDescent="0.25">
      <c r="A20" s="26" t="s">
        <v>60</v>
      </c>
      <c r="B20" s="2"/>
      <c r="C20" s="2"/>
      <c r="D20" s="2"/>
      <c r="E20" s="2">
        <v>2</v>
      </c>
      <c r="F20" s="2"/>
      <c r="G20" s="2"/>
      <c r="H20" s="2">
        <f t="shared" si="3"/>
        <v>6.2080000000000002</v>
      </c>
      <c r="I20" s="2">
        <f t="shared" si="4"/>
        <v>8.2080000000000002</v>
      </c>
      <c r="J20" s="4">
        <f t="shared" si="5"/>
        <v>14.416</v>
      </c>
    </row>
    <row r="21" spans="1:10" ht="18.75" customHeight="1" x14ac:dyDescent="0.25">
      <c r="A21" s="26" t="s">
        <v>116</v>
      </c>
      <c r="B21" s="2">
        <v>1.25</v>
      </c>
      <c r="C21" s="2">
        <v>1.25</v>
      </c>
      <c r="D21" s="2"/>
      <c r="E21" s="2"/>
      <c r="F21" s="2"/>
      <c r="G21" s="2"/>
      <c r="H21" s="2">
        <f t="shared" si="3"/>
        <v>7.4580000000000002</v>
      </c>
      <c r="I21" s="2">
        <f t="shared" si="4"/>
        <v>9.4580000000000002</v>
      </c>
      <c r="J21" s="4">
        <f t="shared" si="5"/>
        <v>16.916</v>
      </c>
    </row>
    <row r="22" spans="1:10" ht="18.75" customHeight="1" x14ac:dyDescent="0.25">
      <c r="A22" s="26" t="s">
        <v>118</v>
      </c>
      <c r="B22" s="2"/>
      <c r="C22" s="2"/>
      <c r="D22" s="2"/>
      <c r="E22" s="2"/>
      <c r="F22" s="2">
        <v>1</v>
      </c>
      <c r="G22" s="2"/>
      <c r="H22" s="2">
        <f t="shared" ref="H22:H85" si="6">H21-F22-D22+B22</f>
        <v>6.4580000000000002</v>
      </c>
      <c r="I22" s="2">
        <f t="shared" ref="I22:I85" si="7">I21-E22+C22</f>
        <v>9.4580000000000002</v>
      </c>
      <c r="J22" s="4">
        <f t="shared" ref="J22:J85" si="8">SUM(H22:I22)</f>
        <v>15.916</v>
      </c>
    </row>
    <row r="23" spans="1:10" ht="18.75" customHeight="1" x14ac:dyDescent="0.25">
      <c r="A23" s="26" t="s">
        <v>61</v>
      </c>
      <c r="B23" s="2">
        <v>15</v>
      </c>
      <c r="C23" s="2">
        <v>15</v>
      </c>
      <c r="D23" s="2"/>
      <c r="E23" s="2"/>
      <c r="F23" s="2"/>
      <c r="G23" s="2"/>
      <c r="H23" s="2">
        <f t="shared" si="6"/>
        <v>21.457999999999998</v>
      </c>
      <c r="I23" s="2">
        <f t="shared" si="7"/>
        <v>24.457999999999998</v>
      </c>
      <c r="J23" s="4">
        <f t="shared" si="8"/>
        <v>45.915999999999997</v>
      </c>
    </row>
    <row r="24" spans="1:10" ht="18.75" customHeight="1" x14ac:dyDescent="0.25">
      <c r="A24" s="26" t="s">
        <v>62</v>
      </c>
      <c r="B24" s="2"/>
      <c r="C24" s="2"/>
      <c r="D24" s="2"/>
      <c r="E24" s="2"/>
      <c r="F24" s="2">
        <v>2</v>
      </c>
      <c r="G24" s="2"/>
      <c r="H24" s="2">
        <f t="shared" si="6"/>
        <v>19.457999999999998</v>
      </c>
      <c r="I24" s="2">
        <f t="shared" si="7"/>
        <v>24.457999999999998</v>
      </c>
      <c r="J24" s="4">
        <f t="shared" si="8"/>
        <v>43.915999999999997</v>
      </c>
    </row>
    <row r="25" spans="1:10" ht="18.75" customHeight="1" x14ac:dyDescent="0.25">
      <c r="A25" s="26" t="s">
        <v>63</v>
      </c>
      <c r="B25" s="2"/>
      <c r="C25" s="2"/>
      <c r="D25" s="2">
        <v>10</v>
      </c>
      <c r="E25" s="2"/>
      <c r="F25" s="2"/>
      <c r="G25" s="2"/>
      <c r="H25" s="2">
        <f t="shared" si="6"/>
        <v>9.4579999999999984</v>
      </c>
      <c r="I25" s="2">
        <f t="shared" si="7"/>
        <v>24.457999999999998</v>
      </c>
      <c r="J25" s="4">
        <f t="shared" si="8"/>
        <v>33.915999999999997</v>
      </c>
    </row>
    <row r="26" spans="1:10" ht="18.75" customHeight="1" x14ac:dyDescent="0.25">
      <c r="A26" s="26" t="s">
        <v>64</v>
      </c>
      <c r="B26" s="2"/>
      <c r="C26" s="2"/>
      <c r="D26" s="2"/>
      <c r="E26" s="2"/>
      <c r="F26" s="2">
        <v>3</v>
      </c>
      <c r="G26" s="2"/>
      <c r="H26" s="2">
        <f t="shared" si="6"/>
        <v>6.4579999999999984</v>
      </c>
      <c r="I26" s="2">
        <f t="shared" si="7"/>
        <v>24.457999999999998</v>
      </c>
      <c r="J26" s="4">
        <f t="shared" si="8"/>
        <v>30.915999999999997</v>
      </c>
    </row>
    <row r="27" spans="1:10" ht="18.75" customHeight="1" x14ac:dyDescent="0.25">
      <c r="A27" s="26" t="s">
        <v>66</v>
      </c>
      <c r="B27" s="2"/>
      <c r="C27" s="2"/>
      <c r="D27" s="2"/>
      <c r="E27" s="2"/>
      <c r="F27" s="2">
        <v>1</v>
      </c>
      <c r="G27" s="2"/>
      <c r="H27" s="2">
        <f t="shared" si="6"/>
        <v>5.4579999999999984</v>
      </c>
      <c r="I27" s="2">
        <f t="shared" si="7"/>
        <v>24.457999999999998</v>
      </c>
      <c r="J27" s="4">
        <f t="shared" si="8"/>
        <v>29.915999999999997</v>
      </c>
    </row>
    <row r="28" spans="1:10" ht="18.75" customHeight="1" x14ac:dyDescent="0.25">
      <c r="A28" s="26" t="s">
        <v>65</v>
      </c>
      <c r="B28" s="2"/>
      <c r="C28" s="2"/>
      <c r="D28" s="2"/>
      <c r="E28" s="2"/>
      <c r="F28" s="2">
        <v>1</v>
      </c>
      <c r="G28" s="2"/>
      <c r="H28" s="2">
        <f t="shared" si="6"/>
        <v>4.4579999999999984</v>
      </c>
      <c r="I28" s="2">
        <f t="shared" si="7"/>
        <v>24.457999999999998</v>
      </c>
      <c r="J28" s="4">
        <f t="shared" si="8"/>
        <v>28.915999999999997</v>
      </c>
    </row>
    <row r="29" spans="1:10" ht="18.75" customHeight="1" x14ac:dyDescent="0.25">
      <c r="A29" s="26" t="s">
        <v>67</v>
      </c>
      <c r="B29" s="2">
        <f>1.25*7</f>
        <v>8.75</v>
      </c>
      <c r="C29" s="2">
        <v>8.75</v>
      </c>
      <c r="D29" s="2"/>
      <c r="E29" s="2"/>
      <c r="F29" s="2"/>
      <c r="G29" s="2"/>
      <c r="H29" s="2">
        <f t="shared" si="6"/>
        <v>13.207999999999998</v>
      </c>
      <c r="I29" s="2">
        <f t="shared" si="7"/>
        <v>33.207999999999998</v>
      </c>
      <c r="J29" s="4">
        <f t="shared" si="8"/>
        <v>46.415999999999997</v>
      </c>
    </row>
    <row r="30" spans="1:10" ht="18.75" customHeight="1" x14ac:dyDescent="0.25">
      <c r="A30" s="26" t="s">
        <v>68</v>
      </c>
      <c r="B30" s="2"/>
      <c r="C30" s="2"/>
      <c r="D30" s="2"/>
      <c r="E30" s="2"/>
      <c r="F30" s="2">
        <v>1</v>
      </c>
      <c r="G30" s="2"/>
      <c r="H30" s="2">
        <f t="shared" si="6"/>
        <v>12.207999999999998</v>
      </c>
      <c r="I30" s="2">
        <f t="shared" si="7"/>
        <v>33.207999999999998</v>
      </c>
      <c r="J30" s="4">
        <f t="shared" si="8"/>
        <v>45.415999999999997</v>
      </c>
    </row>
    <row r="31" spans="1:10" ht="18.75" customHeight="1" x14ac:dyDescent="0.25">
      <c r="A31" s="26" t="s">
        <v>69</v>
      </c>
      <c r="B31" s="2">
        <v>1.25</v>
      </c>
      <c r="C31" s="2">
        <v>1.25</v>
      </c>
      <c r="D31" s="2"/>
      <c r="E31" s="2"/>
      <c r="F31" s="2"/>
      <c r="G31" s="2"/>
      <c r="H31" s="2">
        <f t="shared" si="6"/>
        <v>13.457999999999998</v>
      </c>
      <c r="I31" s="2">
        <f t="shared" si="7"/>
        <v>34.457999999999998</v>
      </c>
      <c r="J31" s="4">
        <f t="shared" si="8"/>
        <v>47.915999999999997</v>
      </c>
    </row>
    <row r="32" spans="1:10" ht="18.75" customHeight="1" x14ac:dyDescent="0.25">
      <c r="A32" s="26" t="s">
        <v>70</v>
      </c>
      <c r="B32" s="2"/>
      <c r="C32" s="2"/>
      <c r="D32" s="2"/>
      <c r="E32" s="2">
        <v>1</v>
      </c>
      <c r="F32" s="2"/>
      <c r="G32" s="2"/>
      <c r="H32" s="2">
        <f t="shared" si="6"/>
        <v>13.457999999999998</v>
      </c>
      <c r="I32" s="2">
        <f t="shared" si="7"/>
        <v>33.457999999999998</v>
      </c>
      <c r="J32" s="4">
        <f t="shared" si="8"/>
        <v>46.915999999999997</v>
      </c>
    </row>
    <row r="33" spans="1:10" ht="18.75" customHeight="1" x14ac:dyDescent="0.25">
      <c r="A33" s="26" t="s">
        <v>71</v>
      </c>
      <c r="B33" s="2"/>
      <c r="C33" s="2"/>
      <c r="D33" s="2"/>
      <c r="E33" s="2">
        <v>2</v>
      </c>
      <c r="F33" s="2"/>
      <c r="G33" s="2"/>
      <c r="H33" s="2">
        <f t="shared" si="6"/>
        <v>13.457999999999998</v>
      </c>
      <c r="I33" s="2">
        <f t="shared" si="7"/>
        <v>31.457999999999998</v>
      </c>
      <c r="J33" s="4">
        <f t="shared" si="8"/>
        <v>44.915999999999997</v>
      </c>
    </row>
    <row r="34" spans="1:10" ht="18.75" customHeight="1" x14ac:dyDescent="0.25">
      <c r="A34" s="26" t="s">
        <v>76</v>
      </c>
      <c r="B34" s="2">
        <v>5</v>
      </c>
      <c r="C34" s="2">
        <v>5</v>
      </c>
      <c r="D34" s="2"/>
      <c r="E34" s="2"/>
      <c r="F34" s="2"/>
      <c r="G34" s="2"/>
      <c r="H34" s="2">
        <f t="shared" si="6"/>
        <v>18.457999999999998</v>
      </c>
      <c r="I34" s="2">
        <f t="shared" si="7"/>
        <v>36.457999999999998</v>
      </c>
      <c r="J34" s="4">
        <f t="shared" si="8"/>
        <v>54.915999999999997</v>
      </c>
    </row>
    <row r="35" spans="1:10" ht="18.75" customHeight="1" x14ac:dyDescent="0.25">
      <c r="A35" s="26" t="s">
        <v>72</v>
      </c>
      <c r="B35" s="2"/>
      <c r="C35" s="2"/>
      <c r="D35" s="2">
        <v>15</v>
      </c>
      <c r="E35" s="2">
        <v>14</v>
      </c>
      <c r="F35" s="2"/>
      <c r="G35" s="2"/>
      <c r="H35" s="2">
        <f t="shared" si="6"/>
        <v>3.4579999999999984</v>
      </c>
      <c r="I35" s="2">
        <f t="shared" si="7"/>
        <v>22.457999999999998</v>
      </c>
      <c r="J35" s="4">
        <f t="shared" si="8"/>
        <v>25.915999999999997</v>
      </c>
    </row>
    <row r="36" spans="1:10" ht="18.75" customHeight="1" x14ac:dyDescent="0.25">
      <c r="A36" s="26" t="s">
        <v>73</v>
      </c>
      <c r="B36" s="2"/>
      <c r="C36" s="2"/>
      <c r="D36" s="2"/>
      <c r="E36" s="2"/>
      <c r="F36" s="2"/>
      <c r="G36" s="2">
        <v>1</v>
      </c>
      <c r="H36" s="2">
        <f t="shared" si="6"/>
        <v>3.4579999999999984</v>
      </c>
      <c r="I36" s="2">
        <f t="shared" si="7"/>
        <v>22.457999999999998</v>
      </c>
      <c r="J36" s="4">
        <f t="shared" si="8"/>
        <v>25.915999999999997</v>
      </c>
    </row>
    <row r="37" spans="1:10" ht="18.75" customHeight="1" x14ac:dyDescent="0.25">
      <c r="A37" s="26" t="s">
        <v>74</v>
      </c>
      <c r="B37" s="2"/>
      <c r="C37" s="2"/>
      <c r="D37" s="2"/>
      <c r="E37" s="2"/>
      <c r="F37" s="2"/>
      <c r="G37" s="2">
        <v>1</v>
      </c>
      <c r="H37" s="2">
        <f t="shared" si="6"/>
        <v>3.4579999999999984</v>
      </c>
      <c r="I37" s="2">
        <f t="shared" si="7"/>
        <v>22.457999999999998</v>
      </c>
      <c r="J37" s="4">
        <f t="shared" si="8"/>
        <v>25.915999999999997</v>
      </c>
    </row>
    <row r="38" spans="1:10" ht="18.75" customHeight="1" x14ac:dyDescent="0.25">
      <c r="A38" s="26" t="s">
        <v>75</v>
      </c>
      <c r="B38" s="2"/>
      <c r="C38" s="2"/>
      <c r="D38" s="2"/>
      <c r="E38" s="2"/>
      <c r="F38" s="2">
        <v>2</v>
      </c>
      <c r="G38" s="2"/>
      <c r="H38" s="2">
        <f t="shared" si="6"/>
        <v>1.4579999999999984</v>
      </c>
      <c r="I38" s="2">
        <f t="shared" si="7"/>
        <v>22.457999999999998</v>
      </c>
      <c r="J38" s="4">
        <f t="shared" si="8"/>
        <v>23.915999999999997</v>
      </c>
    </row>
    <row r="39" spans="1:10" ht="18.75" customHeight="1" x14ac:dyDescent="0.25">
      <c r="A39" s="27" t="s">
        <v>77</v>
      </c>
      <c r="B39" s="2"/>
      <c r="C39" s="2"/>
      <c r="D39" s="2"/>
      <c r="E39" s="2"/>
      <c r="F39" s="2"/>
      <c r="G39" s="2">
        <v>1</v>
      </c>
      <c r="H39" s="2">
        <f t="shared" si="6"/>
        <v>1.4579999999999984</v>
      </c>
      <c r="I39" s="2">
        <f t="shared" si="7"/>
        <v>22.457999999999998</v>
      </c>
      <c r="J39" s="4">
        <f t="shared" si="8"/>
        <v>23.915999999999997</v>
      </c>
    </row>
    <row r="40" spans="1:10" ht="18.75" customHeight="1" x14ac:dyDescent="0.25">
      <c r="A40" s="33" t="s">
        <v>78</v>
      </c>
      <c r="B40" s="2"/>
      <c r="C40" s="2"/>
      <c r="D40" s="2"/>
      <c r="E40" s="2"/>
      <c r="F40" s="2"/>
      <c r="G40" s="2">
        <v>4</v>
      </c>
      <c r="H40" s="2">
        <f t="shared" si="6"/>
        <v>1.4579999999999984</v>
      </c>
      <c r="I40" s="2">
        <f t="shared" si="7"/>
        <v>22.457999999999998</v>
      </c>
      <c r="J40" s="4">
        <f t="shared" si="8"/>
        <v>23.915999999999997</v>
      </c>
    </row>
    <row r="41" spans="1:10" ht="18.75" customHeight="1" x14ac:dyDescent="0.25">
      <c r="A41" s="26" t="s">
        <v>12</v>
      </c>
      <c r="B41" s="2">
        <v>2.5</v>
      </c>
      <c r="C41" s="2">
        <v>2.5</v>
      </c>
      <c r="D41" s="2"/>
      <c r="E41" s="2"/>
      <c r="F41" s="2"/>
      <c r="G41" s="2"/>
      <c r="H41" s="2">
        <f t="shared" si="6"/>
        <v>3.9579999999999984</v>
      </c>
      <c r="I41" s="2">
        <f t="shared" si="7"/>
        <v>24.957999999999998</v>
      </c>
      <c r="J41" s="4">
        <f t="shared" si="8"/>
        <v>28.915999999999997</v>
      </c>
    </row>
    <row r="42" spans="1:10" ht="18.75" customHeight="1" x14ac:dyDescent="0.25">
      <c r="A42" s="26" t="s">
        <v>11</v>
      </c>
      <c r="B42" s="2"/>
      <c r="C42" s="2"/>
      <c r="D42" s="2"/>
      <c r="E42" s="2"/>
      <c r="F42" s="2">
        <v>1</v>
      </c>
      <c r="G42" s="2"/>
      <c r="H42" s="2">
        <f t="shared" si="6"/>
        <v>2.9579999999999984</v>
      </c>
      <c r="I42" s="2">
        <f t="shared" si="7"/>
        <v>24.957999999999998</v>
      </c>
      <c r="J42" s="4">
        <f t="shared" si="8"/>
        <v>27.915999999999997</v>
      </c>
    </row>
    <row r="43" spans="1:10" ht="18.75" customHeight="1" x14ac:dyDescent="0.25">
      <c r="A43" s="26" t="s">
        <v>16</v>
      </c>
      <c r="B43" s="2"/>
      <c r="C43" s="2"/>
      <c r="D43" s="2"/>
      <c r="E43" s="2">
        <v>1</v>
      </c>
      <c r="F43" s="2"/>
      <c r="G43" s="2"/>
      <c r="H43" s="2">
        <f t="shared" si="6"/>
        <v>2.9579999999999984</v>
      </c>
      <c r="I43" s="2">
        <f t="shared" si="7"/>
        <v>23.957999999999998</v>
      </c>
      <c r="J43" s="4">
        <f t="shared" si="8"/>
        <v>26.915999999999997</v>
      </c>
    </row>
    <row r="44" spans="1:10" ht="18.75" customHeight="1" x14ac:dyDescent="0.25">
      <c r="A44" s="26" t="s">
        <v>13</v>
      </c>
      <c r="B44" s="37">
        <v>3.75</v>
      </c>
      <c r="C44" s="37">
        <v>3.75</v>
      </c>
      <c r="D44" s="2"/>
      <c r="E44" s="2"/>
      <c r="F44" s="2"/>
      <c r="G44" s="2"/>
      <c r="H44" s="2">
        <f t="shared" si="6"/>
        <v>6.7079999999999984</v>
      </c>
      <c r="I44" s="2">
        <f t="shared" si="7"/>
        <v>27.707999999999998</v>
      </c>
      <c r="J44" s="4">
        <f t="shared" si="8"/>
        <v>34.415999999999997</v>
      </c>
    </row>
    <row r="45" spans="1:10" ht="18.75" customHeight="1" x14ac:dyDescent="0.25">
      <c r="A45" s="26" t="s">
        <v>14</v>
      </c>
      <c r="B45" s="38"/>
      <c r="C45" s="2"/>
      <c r="D45" s="2"/>
      <c r="E45" s="2"/>
      <c r="F45" s="2">
        <v>1</v>
      </c>
      <c r="G45" s="2"/>
      <c r="H45" s="2">
        <f t="shared" si="6"/>
        <v>5.7079999999999984</v>
      </c>
      <c r="I45" s="2">
        <f t="shared" si="7"/>
        <v>27.707999999999998</v>
      </c>
      <c r="J45" s="4">
        <f t="shared" si="8"/>
        <v>33.415999999999997</v>
      </c>
    </row>
    <row r="46" spans="1:10" ht="18.75" customHeight="1" x14ac:dyDescent="0.25">
      <c r="A46" s="26" t="s">
        <v>15</v>
      </c>
      <c r="B46" s="2"/>
      <c r="C46" s="2"/>
      <c r="D46" s="2"/>
      <c r="E46" s="2"/>
      <c r="F46" s="2"/>
      <c r="G46" s="2">
        <v>1</v>
      </c>
      <c r="H46" s="2">
        <f t="shared" si="6"/>
        <v>5.7079999999999984</v>
      </c>
      <c r="I46" s="2">
        <f t="shared" si="7"/>
        <v>27.707999999999998</v>
      </c>
      <c r="J46" s="4">
        <f t="shared" si="8"/>
        <v>33.415999999999997</v>
      </c>
    </row>
    <row r="47" spans="1:10" ht="18.75" customHeight="1" x14ac:dyDescent="0.25">
      <c r="A47" s="26" t="s">
        <v>17</v>
      </c>
      <c r="B47" s="2"/>
      <c r="C47" s="2"/>
      <c r="D47" s="2"/>
      <c r="E47" s="2"/>
      <c r="F47" s="2"/>
      <c r="G47" s="2">
        <v>1</v>
      </c>
      <c r="H47" s="2">
        <f t="shared" si="6"/>
        <v>5.7079999999999984</v>
      </c>
      <c r="I47" s="2">
        <f t="shared" si="7"/>
        <v>27.707999999999998</v>
      </c>
      <c r="J47" s="4">
        <f t="shared" si="8"/>
        <v>33.415999999999997</v>
      </c>
    </row>
    <row r="48" spans="1:10" ht="18.75" customHeight="1" x14ac:dyDescent="0.25">
      <c r="A48" s="26" t="s">
        <v>18</v>
      </c>
      <c r="B48" s="2"/>
      <c r="C48" s="2"/>
      <c r="D48" s="2"/>
      <c r="E48" s="2">
        <v>2</v>
      </c>
      <c r="F48" s="2"/>
      <c r="G48" s="2"/>
      <c r="H48" s="2">
        <f t="shared" si="6"/>
        <v>5.7079999999999984</v>
      </c>
      <c r="I48" s="2">
        <f t="shared" si="7"/>
        <v>25.707999999999998</v>
      </c>
      <c r="J48" s="4">
        <f t="shared" si="8"/>
        <v>31.415999999999997</v>
      </c>
    </row>
    <row r="49" spans="1:10" ht="18.75" customHeight="1" x14ac:dyDescent="0.25">
      <c r="A49" s="26" t="s">
        <v>19</v>
      </c>
      <c r="B49" s="2">
        <v>1.25</v>
      </c>
      <c r="C49" s="2">
        <v>1.25</v>
      </c>
      <c r="D49" s="2"/>
      <c r="E49" s="2"/>
      <c r="F49" s="2"/>
      <c r="G49" s="2"/>
      <c r="H49" s="2">
        <f t="shared" si="6"/>
        <v>6.9579999999999984</v>
      </c>
      <c r="I49" s="2">
        <f t="shared" si="7"/>
        <v>26.957999999999998</v>
      </c>
      <c r="J49" s="4">
        <f t="shared" si="8"/>
        <v>33.915999999999997</v>
      </c>
    </row>
    <row r="50" spans="1:10" ht="18.75" customHeight="1" x14ac:dyDescent="0.25">
      <c r="A50" s="26" t="s">
        <v>108</v>
      </c>
      <c r="B50" s="2"/>
      <c r="C50" s="2"/>
      <c r="D50" s="2"/>
      <c r="E50" s="2"/>
      <c r="F50" s="2">
        <v>1</v>
      </c>
      <c r="G50" s="2"/>
      <c r="H50" s="2">
        <f t="shared" si="6"/>
        <v>5.9579999999999984</v>
      </c>
      <c r="I50" s="2">
        <f t="shared" si="7"/>
        <v>26.957999999999998</v>
      </c>
      <c r="J50" s="4">
        <f t="shared" si="8"/>
        <v>32.915999999999997</v>
      </c>
    </row>
    <row r="51" spans="1:10" ht="18.75" customHeight="1" x14ac:dyDescent="0.25">
      <c r="A51" s="26" t="s">
        <v>20</v>
      </c>
      <c r="B51" s="2">
        <v>1.25</v>
      </c>
      <c r="C51" s="2">
        <v>1.25</v>
      </c>
      <c r="D51" s="2"/>
      <c r="E51" s="2"/>
      <c r="F51" s="2"/>
      <c r="G51" s="2"/>
      <c r="H51" s="2">
        <f t="shared" si="6"/>
        <v>7.2079999999999984</v>
      </c>
      <c r="I51" s="2">
        <f t="shared" si="7"/>
        <v>28.207999999999998</v>
      </c>
      <c r="J51" s="4">
        <f t="shared" si="8"/>
        <v>35.415999999999997</v>
      </c>
    </row>
    <row r="52" spans="1:10" ht="18.75" customHeight="1" x14ac:dyDescent="0.25">
      <c r="A52" s="26" t="s">
        <v>21</v>
      </c>
      <c r="B52" s="2"/>
      <c r="C52" s="2"/>
      <c r="D52" s="2"/>
      <c r="E52" s="2"/>
      <c r="F52" s="2">
        <v>1</v>
      </c>
      <c r="G52" s="2"/>
      <c r="H52" s="2">
        <f t="shared" si="6"/>
        <v>6.2079999999999984</v>
      </c>
      <c r="I52" s="2">
        <f t="shared" si="7"/>
        <v>28.207999999999998</v>
      </c>
      <c r="J52" s="4">
        <f t="shared" si="8"/>
        <v>34.415999999999997</v>
      </c>
    </row>
    <row r="53" spans="1:10" ht="18.75" customHeight="1" x14ac:dyDescent="0.25">
      <c r="A53" s="26" t="s">
        <v>22</v>
      </c>
      <c r="B53" s="2">
        <v>1.25</v>
      </c>
      <c r="C53" s="2">
        <v>1.25</v>
      </c>
      <c r="D53" s="2"/>
      <c r="E53" s="2"/>
      <c r="F53" s="2"/>
      <c r="G53" s="2"/>
      <c r="H53" s="2">
        <f t="shared" si="6"/>
        <v>7.4579999999999984</v>
      </c>
      <c r="I53" s="2">
        <f t="shared" si="7"/>
        <v>29.457999999999998</v>
      </c>
      <c r="J53" s="4">
        <f t="shared" si="8"/>
        <v>36.915999999999997</v>
      </c>
    </row>
    <row r="54" spans="1:10" ht="18.75" customHeight="1" x14ac:dyDescent="0.25">
      <c r="A54" s="26" t="s">
        <v>24</v>
      </c>
      <c r="B54" s="2"/>
      <c r="C54" s="2"/>
      <c r="D54" s="2"/>
      <c r="E54" s="2"/>
      <c r="F54" s="2">
        <v>1</v>
      </c>
      <c r="G54" s="2"/>
      <c r="H54" s="2">
        <f t="shared" si="6"/>
        <v>6.4579999999999984</v>
      </c>
      <c r="I54" s="2">
        <f t="shared" si="7"/>
        <v>29.457999999999998</v>
      </c>
      <c r="J54" s="4">
        <f t="shared" si="8"/>
        <v>35.915999999999997</v>
      </c>
    </row>
    <row r="55" spans="1:10" ht="18.75" customHeight="1" x14ac:dyDescent="0.25">
      <c r="A55" s="26" t="s">
        <v>23</v>
      </c>
      <c r="B55" s="2"/>
      <c r="C55" s="2"/>
      <c r="D55" s="2">
        <v>6</v>
      </c>
      <c r="E55" s="2">
        <v>23</v>
      </c>
      <c r="F55" s="2"/>
      <c r="G55" s="2"/>
      <c r="H55" s="2">
        <f t="shared" si="6"/>
        <v>0.45799999999999841</v>
      </c>
      <c r="I55" s="2">
        <f t="shared" si="7"/>
        <v>6.4579999999999984</v>
      </c>
      <c r="J55" s="4">
        <f t="shared" si="8"/>
        <v>6.9159999999999968</v>
      </c>
    </row>
    <row r="56" spans="1:10" ht="18.75" customHeight="1" x14ac:dyDescent="0.25">
      <c r="A56" s="26" t="s">
        <v>25</v>
      </c>
      <c r="B56" s="2">
        <v>3.75</v>
      </c>
      <c r="C56" s="2">
        <v>3.75</v>
      </c>
      <c r="D56" s="2"/>
      <c r="E56" s="2"/>
      <c r="F56" s="2"/>
      <c r="G56" s="2"/>
      <c r="H56" s="2">
        <f t="shared" si="6"/>
        <v>4.2079999999999984</v>
      </c>
      <c r="I56" s="2">
        <f t="shared" si="7"/>
        <v>10.207999999999998</v>
      </c>
      <c r="J56" s="4">
        <f t="shared" si="8"/>
        <v>14.415999999999997</v>
      </c>
    </row>
    <row r="57" spans="1:10" ht="18.75" customHeight="1" x14ac:dyDescent="0.25">
      <c r="A57" s="26" t="s">
        <v>48</v>
      </c>
      <c r="B57" s="2"/>
      <c r="C57" s="2"/>
      <c r="D57" s="2"/>
      <c r="E57" s="2">
        <v>1</v>
      </c>
      <c r="F57" s="2"/>
      <c r="G57" s="2"/>
      <c r="H57" s="2">
        <f t="shared" si="6"/>
        <v>4.2079999999999984</v>
      </c>
      <c r="I57" s="2">
        <f t="shared" si="7"/>
        <v>9.2079999999999984</v>
      </c>
      <c r="J57" s="4">
        <f t="shared" si="8"/>
        <v>13.415999999999997</v>
      </c>
    </row>
    <row r="58" spans="1:10" ht="18.75" customHeight="1" x14ac:dyDescent="0.25">
      <c r="A58" s="26" t="s">
        <v>49</v>
      </c>
      <c r="B58" s="2"/>
      <c r="C58" s="2"/>
      <c r="D58" s="2">
        <v>1</v>
      </c>
      <c r="E58" s="2"/>
      <c r="F58" s="2"/>
      <c r="G58" s="2"/>
      <c r="H58" s="2">
        <f t="shared" si="6"/>
        <v>3.2079999999999984</v>
      </c>
      <c r="I58" s="2">
        <f t="shared" si="7"/>
        <v>9.2079999999999984</v>
      </c>
      <c r="J58" s="4">
        <f t="shared" si="8"/>
        <v>12.415999999999997</v>
      </c>
    </row>
    <row r="59" spans="1:10" ht="18.75" customHeight="1" x14ac:dyDescent="0.25">
      <c r="A59" s="28" t="s">
        <v>50</v>
      </c>
      <c r="B59" s="39">
        <v>1.25</v>
      </c>
      <c r="C59" s="39">
        <v>1.25</v>
      </c>
      <c r="D59" s="40"/>
      <c r="E59" s="40"/>
      <c r="F59" s="40"/>
      <c r="G59" s="40"/>
      <c r="H59" s="2">
        <f t="shared" si="6"/>
        <v>4.4579999999999984</v>
      </c>
      <c r="I59" s="2">
        <f t="shared" si="7"/>
        <v>10.457999999999998</v>
      </c>
      <c r="J59" s="4">
        <f t="shared" si="8"/>
        <v>14.915999999999997</v>
      </c>
    </row>
    <row r="60" spans="1:10" ht="15.75" x14ac:dyDescent="0.25">
      <c r="A60" s="29" t="s">
        <v>79</v>
      </c>
      <c r="B60" s="41">
        <v>2.5</v>
      </c>
      <c r="C60" s="41">
        <v>2.5</v>
      </c>
      <c r="D60" s="41"/>
      <c r="E60" s="41"/>
      <c r="F60" s="41"/>
      <c r="G60" s="42"/>
      <c r="H60" s="2">
        <f t="shared" si="6"/>
        <v>6.9579999999999984</v>
      </c>
      <c r="I60" s="2">
        <f t="shared" si="7"/>
        <v>12.957999999999998</v>
      </c>
      <c r="J60" s="4">
        <f t="shared" si="8"/>
        <v>19.915999999999997</v>
      </c>
    </row>
    <row r="61" spans="1:10" ht="15.75" x14ac:dyDescent="0.25">
      <c r="A61" s="29" t="s">
        <v>80</v>
      </c>
      <c r="B61" s="41"/>
      <c r="C61" s="41"/>
      <c r="D61" s="41"/>
      <c r="E61" s="41">
        <v>1</v>
      </c>
      <c r="F61" s="41"/>
      <c r="G61" s="42"/>
      <c r="H61" s="2">
        <f t="shared" si="6"/>
        <v>6.9579999999999984</v>
      </c>
      <c r="I61" s="2">
        <f t="shared" si="7"/>
        <v>11.957999999999998</v>
      </c>
      <c r="J61" s="4">
        <f t="shared" si="8"/>
        <v>18.915999999999997</v>
      </c>
    </row>
    <row r="62" spans="1:10" ht="15.75" x14ac:dyDescent="0.25">
      <c r="A62" s="30" t="s">
        <v>81</v>
      </c>
      <c r="B62" s="51">
        <v>1.25</v>
      </c>
      <c r="C62" s="51">
        <v>1.25</v>
      </c>
      <c r="D62" s="43"/>
      <c r="E62" s="43"/>
      <c r="F62" s="43"/>
      <c r="G62" s="42"/>
      <c r="H62" s="2">
        <f t="shared" si="6"/>
        <v>8.2079999999999984</v>
      </c>
      <c r="I62" s="2">
        <f t="shared" si="7"/>
        <v>13.207999999999998</v>
      </c>
      <c r="J62" s="4">
        <f t="shared" si="8"/>
        <v>21.415999999999997</v>
      </c>
    </row>
    <row r="63" spans="1:10" ht="15.75" x14ac:dyDescent="0.25">
      <c r="A63" s="29" t="s">
        <v>82</v>
      </c>
      <c r="B63" s="43"/>
      <c r="C63" s="43"/>
      <c r="D63" s="43"/>
      <c r="E63" s="43"/>
      <c r="F63" s="42">
        <v>1</v>
      </c>
      <c r="G63" s="42"/>
      <c r="H63" s="2">
        <f t="shared" si="6"/>
        <v>7.2079999999999984</v>
      </c>
      <c r="I63" s="2">
        <f t="shared" si="7"/>
        <v>13.207999999999998</v>
      </c>
      <c r="J63" s="4">
        <f t="shared" si="8"/>
        <v>20.415999999999997</v>
      </c>
    </row>
    <row r="64" spans="1:10" ht="15.75" x14ac:dyDescent="0.25">
      <c r="A64" s="30" t="s">
        <v>119</v>
      </c>
      <c r="B64" s="51">
        <v>1.25</v>
      </c>
      <c r="C64" s="51">
        <v>1.25</v>
      </c>
      <c r="D64" s="43"/>
      <c r="E64" s="43"/>
      <c r="F64" s="43"/>
      <c r="G64" s="42"/>
      <c r="H64" s="2">
        <f t="shared" si="6"/>
        <v>8.4579999999999984</v>
      </c>
      <c r="I64" s="2">
        <f t="shared" si="7"/>
        <v>14.457999999999998</v>
      </c>
      <c r="J64" s="4">
        <f t="shared" si="8"/>
        <v>22.915999999999997</v>
      </c>
    </row>
    <row r="65" spans="1:10" ht="15.75" x14ac:dyDescent="0.25">
      <c r="A65" s="29" t="s">
        <v>109</v>
      </c>
      <c r="B65" s="43"/>
      <c r="C65" s="43"/>
      <c r="D65" s="43"/>
      <c r="E65" s="43"/>
      <c r="F65" s="42">
        <v>1</v>
      </c>
      <c r="G65" s="42"/>
      <c r="H65" s="2">
        <f t="shared" si="6"/>
        <v>7.4579999999999984</v>
      </c>
      <c r="I65" s="2">
        <f t="shared" si="7"/>
        <v>14.457999999999998</v>
      </c>
      <c r="J65" s="4">
        <f t="shared" si="8"/>
        <v>21.915999999999997</v>
      </c>
    </row>
    <row r="66" spans="1:10" ht="15.75" x14ac:dyDescent="0.25">
      <c r="A66" s="29" t="s">
        <v>83</v>
      </c>
      <c r="B66" s="43"/>
      <c r="C66" s="43"/>
      <c r="D66" s="43"/>
      <c r="E66" s="43"/>
      <c r="F66" s="42">
        <v>1</v>
      </c>
      <c r="G66" s="42"/>
      <c r="H66" s="2">
        <f t="shared" si="6"/>
        <v>6.4579999999999984</v>
      </c>
      <c r="I66" s="2">
        <f t="shared" si="7"/>
        <v>14.457999999999998</v>
      </c>
      <c r="J66" s="4">
        <f t="shared" si="8"/>
        <v>20.915999999999997</v>
      </c>
    </row>
    <row r="67" spans="1:10" ht="15.75" x14ac:dyDescent="0.25">
      <c r="A67" s="30" t="s">
        <v>84</v>
      </c>
      <c r="B67" s="39">
        <v>1.25</v>
      </c>
      <c r="C67" s="39">
        <v>1.25</v>
      </c>
      <c r="D67" s="35"/>
      <c r="E67" s="35"/>
      <c r="F67" s="35"/>
      <c r="G67" s="36"/>
      <c r="H67" s="2">
        <f t="shared" si="6"/>
        <v>7.7079999999999984</v>
      </c>
      <c r="I67" s="2">
        <f t="shared" si="7"/>
        <v>15.707999999999998</v>
      </c>
      <c r="J67" s="4">
        <f t="shared" si="8"/>
        <v>23.415999999999997</v>
      </c>
    </row>
    <row r="68" spans="1:10" ht="15.75" x14ac:dyDescent="0.25">
      <c r="A68" s="29" t="s">
        <v>85</v>
      </c>
      <c r="B68" s="34"/>
      <c r="C68" s="34"/>
      <c r="D68" s="35"/>
      <c r="E68" s="35"/>
      <c r="F68" s="42">
        <v>1</v>
      </c>
      <c r="G68" s="36"/>
      <c r="H68" s="2">
        <f t="shared" si="6"/>
        <v>6.7079999999999984</v>
      </c>
      <c r="I68" s="2">
        <f t="shared" si="7"/>
        <v>15.707999999999998</v>
      </c>
      <c r="J68" s="4">
        <f t="shared" si="8"/>
        <v>22.415999999999997</v>
      </c>
    </row>
    <row r="69" spans="1:10" ht="15.75" x14ac:dyDescent="0.25">
      <c r="A69" s="30" t="s">
        <v>86</v>
      </c>
      <c r="B69" s="39">
        <v>1.25</v>
      </c>
      <c r="C69" s="39">
        <v>1.25</v>
      </c>
      <c r="D69" s="35"/>
      <c r="E69" s="35"/>
      <c r="F69" s="35"/>
      <c r="G69" s="36"/>
      <c r="H69" s="2">
        <f t="shared" si="6"/>
        <v>7.9579999999999984</v>
      </c>
      <c r="I69" s="2">
        <f t="shared" si="7"/>
        <v>16.957999999999998</v>
      </c>
      <c r="J69" s="4">
        <f t="shared" si="8"/>
        <v>24.915999999999997</v>
      </c>
    </row>
    <row r="70" spans="1:10" ht="15.75" x14ac:dyDescent="0.25">
      <c r="A70" s="29" t="s">
        <v>87</v>
      </c>
      <c r="B70" s="34"/>
      <c r="C70" s="34"/>
      <c r="D70" s="35"/>
      <c r="E70" s="35"/>
      <c r="F70" s="42">
        <v>1</v>
      </c>
      <c r="G70" s="36"/>
      <c r="H70" s="2">
        <f t="shared" si="6"/>
        <v>6.9579999999999984</v>
      </c>
      <c r="I70" s="2">
        <f t="shared" si="7"/>
        <v>16.957999999999998</v>
      </c>
      <c r="J70" s="4">
        <f t="shared" si="8"/>
        <v>23.915999999999997</v>
      </c>
    </row>
    <row r="71" spans="1:10" ht="15.75" x14ac:dyDescent="0.25">
      <c r="A71" s="29" t="s">
        <v>88</v>
      </c>
      <c r="B71" s="34"/>
      <c r="C71" s="34"/>
      <c r="D71" s="35"/>
      <c r="E71" s="35"/>
      <c r="F71" s="35"/>
      <c r="G71" s="42">
        <v>1</v>
      </c>
      <c r="H71" s="2">
        <f t="shared" si="6"/>
        <v>6.9579999999999984</v>
      </c>
      <c r="I71" s="2">
        <f t="shared" si="7"/>
        <v>16.957999999999998</v>
      </c>
      <c r="J71" s="4">
        <f t="shared" si="8"/>
        <v>23.915999999999997</v>
      </c>
    </row>
    <row r="72" spans="1:10" ht="15.75" x14ac:dyDescent="0.25">
      <c r="A72" s="29" t="s">
        <v>89</v>
      </c>
      <c r="B72" s="34"/>
      <c r="C72" s="34"/>
      <c r="D72" s="35"/>
      <c r="E72" s="35"/>
      <c r="F72" s="35"/>
      <c r="G72" s="42">
        <v>1</v>
      </c>
      <c r="H72" s="2">
        <f t="shared" si="6"/>
        <v>6.9579999999999984</v>
      </c>
      <c r="I72" s="2">
        <f t="shared" si="7"/>
        <v>16.957999999999998</v>
      </c>
      <c r="J72" s="4">
        <f t="shared" si="8"/>
        <v>23.915999999999997</v>
      </c>
    </row>
    <row r="73" spans="1:10" ht="15.75" x14ac:dyDescent="0.25">
      <c r="A73" s="30" t="s">
        <v>90</v>
      </c>
      <c r="B73" s="42">
        <v>2.5</v>
      </c>
      <c r="C73" s="42">
        <v>2.5</v>
      </c>
      <c r="D73" s="42"/>
      <c r="E73" s="42"/>
      <c r="F73" s="42"/>
      <c r="G73" s="42"/>
      <c r="H73" s="2">
        <f t="shared" si="6"/>
        <v>9.4579999999999984</v>
      </c>
      <c r="I73" s="2">
        <f t="shared" si="7"/>
        <v>19.457999999999998</v>
      </c>
      <c r="J73" s="4">
        <f t="shared" si="8"/>
        <v>28.915999999999997</v>
      </c>
    </row>
    <row r="74" spans="1:10" ht="15.75" x14ac:dyDescent="0.25">
      <c r="A74" s="44" t="s">
        <v>91</v>
      </c>
      <c r="B74" s="42"/>
      <c r="C74" s="42"/>
      <c r="D74" s="42">
        <v>6</v>
      </c>
      <c r="E74" s="42">
        <v>9</v>
      </c>
      <c r="F74" s="42"/>
      <c r="G74" s="42"/>
      <c r="H74" s="2">
        <f t="shared" si="6"/>
        <v>3.4579999999999984</v>
      </c>
      <c r="I74" s="2">
        <f t="shared" si="7"/>
        <v>10.457999999999998</v>
      </c>
      <c r="J74" s="4">
        <f t="shared" si="8"/>
        <v>13.915999999999997</v>
      </c>
    </row>
    <row r="75" spans="1:10" ht="15.75" x14ac:dyDescent="0.25">
      <c r="A75" s="30" t="s">
        <v>95</v>
      </c>
      <c r="B75" s="42">
        <v>5</v>
      </c>
      <c r="C75" s="42">
        <v>5</v>
      </c>
      <c r="D75" s="42"/>
      <c r="E75" s="42"/>
      <c r="F75" s="42"/>
      <c r="G75" s="42"/>
      <c r="H75" s="2">
        <f t="shared" si="6"/>
        <v>8.4579999999999984</v>
      </c>
      <c r="I75" s="2">
        <f t="shared" si="7"/>
        <v>15.457999999999998</v>
      </c>
      <c r="J75" s="4">
        <f t="shared" si="8"/>
        <v>23.915999999999997</v>
      </c>
    </row>
    <row r="76" spans="1:10" ht="15.75" x14ac:dyDescent="0.25">
      <c r="A76" s="30" t="s">
        <v>96</v>
      </c>
      <c r="B76" s="42">
        <v>6.25</v>
      </c>
      <c r="C76" s="42">
        <v>6.25</v>
      </c>
      <c r="D76" s="42"/>
      <c r="E76" s="42"/>
      <c r="F76" s="42"/>
      <c r="G76" s="42"/>
      <c r="H76" s="2">
        <f t="shared" si="6"/>
        <v>14.707999999999998</v>
      </c>
      <c r="I76" s="2">
        <f t="shared" si="7"/>
        <v>21.707999999999998</v>
      </c>
      <c r="J76" s="4">
        <f t="shared" si="8"/>
        <v>36.415999999999997</v>
      </c>
    </row>
    <row r="77" spans="1:10" ht="15.75" x14ac:dyDescent="0.25">
      <c r="A77" s="30" t="s">
        <v>97</v>
      </c>
      <c r="B77" s="42"/>
      <c r="C77" s="42"/>
      <c r="D77" s="42"/>
      <c r="E77" s="42"/>
      <c r="F77" s="42">
        <v>2</v>
      </c>
      <c r="G77" s="42"/>
      <c r="H77" s="2">
        <f t="shared" si="6"/>
        <v>12.707999999999998</v>
      </c>
      <c r="I77" s="2">
        <f t="shared" si="7"/>
        <v>21.707999999999998</v>
      </c>
      <c r="J77" s="4">
        <f t="shared" si="8"/>
        <v>34.415999999999997</v>
      </c>
    </row>
    <row r="78" spans="1:10" ht="15.75" x14ac:dyDescent="0.25">
      <c r="A78" s="30" t="s">
        <v>99</v>
      </c>
      <c r="B78" s="42"/>
      <c r="C78" s="42"/>
      <c r="D78" s="42"/>
      <c r="E78" s="42">
        <v>1</v>
      </c>
      <c r="F78" s="42"/>
      <c r="G78" s="42"/>
      <c r="H78" s="2">
        <f t="shared" si="6"/>
        <v>12.707999999999998</v>
      </c>
      <c r="I78" s="2">
        <f t="shared" si="7"/>
        <v>20.707999999999998</v>
      </c>
      <c r="J78" s="4">
        <f t="shared" si="8"/>
        <v>33.415999999999997</v>
      </c>
    </row>
    <row r="79" spans="1:10" ht="15.75" x14ac:dyDescent="0.25">
      <c r="A79" s="30" t="s">
        <v>100</v>
      </c>
      <c r="B79" s="42"/>
      <c r="C79" s="42"/>
      <c r="D79" s="42"/>
      <c r="E79" s="42"/>
      <c r="F79" s="42"/>
      <c r="G79" s="42">
        <v>1</v>
      </c>
      <c r="H79" s="2">
        <f t="shared" si="6"/>
        <v>12.707999999999998</v>
      </c>
      <c r="I79" s="2">
        <f t="shared" si="7"/>
        <v>20.707999999999998</v>
      </c>
      <c r="J79" s="4">
        <f t="shared" si="8"/>
        <v>33.415999999999997</v>
      </c>
    </row>
    <row r="80" spans="1:10" ht="15.75" x14ac:dyDescent="0.25">
      <c r="A80" s="30" t="s">
        <v>98</v>
      </c>
      <c r="B80" s="42">
        <v>2.5</v>
      </c>
      <c r="C80" s="42">
        <v>2.5</v>
      </c>
      <c r="D80" s="42"/>
      <c r="E80" s="42"/>
      <c r="F80" s="42"/>
      <c r="G80" s="42"/>
      <c r="H80" s="2">
        <f t="shared" si="6"/>
        <v>15.207999999999998</v>
      </c>
      <c r="I80" s="2">
        <f t="shared" si="7"/>
        <v>23.207999999999998</v>
      </c>
      <c r="J80" s="4">
        <f t="shared" si="8"/>
        <v>38.415999999999997</v>
      </c>
    </row>
    <row r="81" spans="1:10" ht="15.75" x14ac:dyDescent="0.25">
      <c r="A81" s="30" t="s">
        <v>101</v>
      </c>
      <c r="B81" s="42"/>
      <c r="C81" s="42"/>
      <c r="D81" s="42">
        <v>11</v>
      </c>
      <c r="E81" s="42"/>
      <c r="F81" s="42"/>
      <c r="G81" s="42"/>
      <c r="H81" s="2">
        <f t="shared" si="6"/>
        <v>4.2079999999999984</v>
      </c>
      <c r="I81" s="2">
        <f t="shared" si="7"/>
        <v>23.207999999999998</v>
      </c>
      <c r="J81" s="4">
        <f t="shared" si="8"/>
        <v>27.415999999999997</v>
      </c>
    </row>
    <row r="82" spans="1:10" ht="15.75" x14ac:dyDescent="0.25">
      <c r="A82" s="30" t="s">
        <v>103</v>
      </c>
      <c r="B82" s="42"/>
      <c r="C82" s="42"/>
      <c r="D82" s="42"/>
      <c r="E82" s="42">
        <v>1</v>
      </c>
      <c r="F82" s="42"/>
      <c r="G82" s="42"/>
      <c r="H82" s="2">
        <f t="shared" si="6"/>
        <v>4.2079999999999984</v>
      </c>
      <c r="I82" s="2">
        <f t="shared" si="7"/>
        <v>22.207999999999998</v>
      </c>
      <c r="J82" s="4">
        <f t="shared" si="8"/>
        <v>26.415999999999997</v>
      </c>
    </row>
    <row r="83" spans="1:10" ht="15.75" x14ac:dyDescent="0.25">
      <c r="A83" s="30" t="s">
        <v>104</v>
      </c>
      <c r="B83" s="42">
        <v>1.25</v>
      </c>
      <c r="C83" s="42">
        <v>1.25</v>
      </c>
      <c r="D83" s="42"/>
      <c r="E83" s="42"/>
      <c r="F83" s="42"/>
      <c r="G83" s="42"/>
      <c r="H83" s="2">
        <f t="shared" si="6"/>
        <v>5.4579999999999984</v>
      </c>
      <c r="I83" s="2">
        <f t="shared" si="7"/>
        <v>23.457999999999998</v>
      </c>
      <c r="J83" s="4">
        <f t="shared" si="8"/>
        <v>28.915999999999997</v>
      </c>
    </row>
    <row r="84" spans="1:10" ht="15.75" x14ac:dyDescent="0.25">
      <c r="A84" s="30" t="s">
        <v>105</v>
      </c>
      <c r="B84" s="42"/>
      <c r="C84" s="42"/>
      <c r="D84" s="42"/>
      <c r="E84" s="42"/>
      <c r="F84" s="42"/>
      <c r="G84" s="42">
        <v>1</v>
      </c>
      <c r="H84" s="2">
        <f t="shared" si="6"/>
        <v>5.4579999999999984</v>
      </c>
      <c r="I84" s="2">
        <f t="shared" si="7"/>
        <v>23.457999999999998</v>
      </c>
      <c r="J84" s="4">
        <f t="shared" si="8"/>
        <v>28.915999999999997</v>
      </c>
    </row>
    <row r="85" spans="1:10" ht="15.75" x14ac:dyDescent="0.25">
      <c r="A85" s="30" t="s">
        <v>106</v>
      </c>
      <c r="B85" s="42">
        <v>1.25</v>
      </c>
      <c r="C85" s="42">
        <v>1.25</v>
      </c>
      <c r="D85" s="42"/>
      <c r="E85" s="42"/>
      <c r="F85" s="42"/>
      <c r="G85" s="42"/>
      <c r="H85" s="2">
        <f t="shared" si="6"/>
        <v>6.7079999999999984</v>
      </c>
      <c r="I85" s="2">
        <f t="shared" si="7"/>
        <v>24.707999999999998</v>
      </c>
      <c r="J85" s="4">
        <f t="shared" si="8"/>
        <v>31.415999999999997</v>
      </c>
    </row>
    <row r="86" spans="1:10" ht="15.75" x14ac:dyDescent="0.25">
      <c r="A86" s="30" t="s">
        <v>107</v>
      </c>
      <c r="B86" s="42"/>
      <c r="C86" s="42"/>
      <c r="D86" s="42"/>
      <c r="E86" s="42"/>
      <c r="F86" s="42">
        <v>2</v>
      </c>
      <c r="G86" s="42"/>
      <c r="H86" s="2">
        <f t="shared" ref="H86:H91" si="9">H85-F86-D86+B86</f>
        <v>4.7079999999999984</v>
      </c>
      <c r="I86" s="2">
        <f t="shared" ref="I86:I91" si="10">I85-E86+C86</f>
        <v>24.707999999999998</v>
      </c>
      <c r="J86" s="4">
        <f t="shared" ref="J86:J91" si="11">SUM(H86:I86)</f>
        <v>29.415999999999997</v>
      </c>
    </row>
    <row r="87" spans="1:10" ht="15.75" x14ac:dyDescent="0.25">
      <c r="A87" s="30" t="s">
        <v>110</v>
      </c>
      <c r="B87" s="42">
        <v>3.75</v>
      </c>
      <c r="C87" s="42">
        <v>3.75</v>
      </c>
      <c r="D87" s="42"/>
      <c r="E87" s="42"/>
      <c r="F87" s="42"/>
      <c r="G87" s="42"/>
      <c r="H87" s="2">
        <f t="shared" si="9"/>
        <v>8.4579999999999984</v>
      </c>
      <c r="I87" s="2">
        <f t="shared" si="10"/>
        <v>28.457999999999998</v>
      </c>
      <c r="J87" s="4">
        <f t="shared" si="11"/>
        <v>36.915999999999997</v>
      </c>
    </row>
    <row r="88" spans="1:10" ht="15.75" x14ac:dyDescent="0.25">
      <c r="A88" s="30" t="s">
        <v>120</v>
      </c>
      <c r="B88" s="42"/>
      <c r="C88" s="42"/>
      <c r="D88" s="42"/>
      <c r="E88" s="42"/>
      <c r="F88" s="42">
        <v>1</v>
      </c>
      <c r="G88" s="42"/>
      <c r="H88" s="2">
        <f t="shared" si="9"/>
        <v>7.4579999999999984</v>
      </c>
      <c r="I88" s="2">
        <f t="shared" si="10"/>
        <v>28.457999999999998</v>
      </c>
      <c r="J88" s="4">
        <f t="shared" si="11"/>
        <v>35.915999999999997</v>
      </c>
    </row>
    <row r="89" spans="1:10" ht="15.75" x14ac:dyDescent="0.25">
      <c r="A89" s="30" t="s">
        <v>111</v>
      </c>
      <c r="B89" s="42"/>
      <c r="C89" s="42"/>
      <c r="D89" s="42"/>
      <c r="E89" s="42"/>
      <c r="F89" s="42"/>
      <c r="G89" s="46">
        <v>1</v>
      </c>
      <c r="H89" s="2">
        <f t="shared" si="9"/>
        <v>7.4579999999999984</v>
      </c>
      <c r="I89" s="2">
        <f t="shared" si="10"/>
        <v>28.457999999999998</v>
      </c>
      <c r="J89" s="4">
        <f t="shared" si="11"/>
        <v>35.915999999999997</v>
      </c>
    </row>
    <row r="90" spans="1:10" ht="15.75" x14ac:dyDescent="0.25">
      <c r="A90" s="30" t="s">
        <v>112</v>
      </c>
      <c r="B90" s="42"/>
      <c r="C90" s="42"/>
      <c r="D90" s="42"/>
      <c r="E90" s="42">
        <v>1</v>
      </c>
      <c r="F90" s="42"/>
      <c r="G90" s="42"/>
      <c r="H90" s="2">
        <f t="shared" si="9"/>
        <v>7.4579999999999984</v>
      </c>
      <c r="I90" s="2">
        <f t="shared" si="10"/>
        <v>27.457999999999998</v>
      </c>
      <c r="J90" s="4">
        <f t="shared" si="11"/>
        <v>34.915999999999997</v>
      </c>
    </row>
    <row r="91" spans="1:10" ht="15.75" x14ac:dyDescent="0.25">
      <c r="A91" s="30" t="s">
        <v>117</v>
      </c>
      <c r="B91" s="42">
        <v>7.5</v>
      </c>
      <c r="C91" s="42">
        <v>7.5</v>
      </c>
      <c r="D91" s="42"/>
      <c r="E91" s="42"/>
      <c r="F91" s="42"/>
      <c r="G91" s="42"/>
      <c r="H91" s="2">
        <f t="shared" si="9"/>
        <v>14.957999999999998</v>
      </c>
      <c r="I91" s="2">
        <f t="shared" si="10"/>
        <v>34.957999999999998</v>
      </c>
      <c r="J91" s="4">
        <f t="shared" si="11"/>
        <v>49.915999999999997</v>
      </c>
    </row>
    <row r="92" spans="1:10" ht="15.75" x14ac:dyDescent="0.25">
      <c r="A92" s="30" t="s">
        <v>121</v>
      </c>
      <c r="B92" s="42"/>
      <c r="C92" s="42"/>
      <c r="D92" s="42"/>
      <c r="E92" s="42"/>
      <c r="F92" s="52">
        <v>1</v>
      </c>
      <c r="G92" s="42"/>
      <c r="H92" s="2">
        <f t="shared" ref="H92" si="12">H91-F92-D92+B92</f>
        <v>13.957999999999998</v>
      </c>
      <c r="I92" s="2">
        <f t="shared" ref="I92" si="13">I91-E92+C92</f>
        <v>34.957999999999998</v>
      </c>
      <c r="J92" s="4">
        <f t="shared" ref="J92" si="14">SUM(H92:I92)</f>
        <v>48.915999999999997</v>
      </c>
    </row>
    <row r="93" spans="1:10" ht="15.75" x14ac:dyDescent="0.25">
      <c r="A93" s="30" t="s">
        <v>122</v>
      </c>
      <c r="B93" s="42">
        <v>1.25</v>
      </c>
      <c r="C93" s="42">
        <v>1.25</v>
      </c>
      <c r="D93" s="42"/>
      <c r="E93" s="42"/>
      <c r="F93" s="42"/>
      <c r="G93" s="42"/>
      <c r="H93" s="2">
        <f t="shared" ref="H93:H94" si="15">H92-F93-D93+B93</f>
        <v>15.207999999999998</v>
      </c>
      <c r="I93" s="2">
        <f t="shared" ref="I93:I94" si="16">I92-E93+C93</f>
        <v>36.207999999999998</v>
      </c>
      <c r="J93" s="4">
        <f t="shared" ref="J93:J94" si="17">SUM(H93:I93)</f>
        <v>51.415999999999997</v>
      </c>
    </row>
    <row r="94" spans="1:10" ht="15.75" x14ac:dyDescent="0.25">
      <c r="A94" s="30" t="s">
        <v>123</v>
      </c>
      <c r="B94" s="42"/>
      <c r="C94" s="42"/>
      <c r="D94" s="42"/>
      <c r="E94" s="42">
        <v>1</v>
      </c>
      <c r="F94" s="42"/>
      <c r="G94" s="42"/>
      <c r="H94" s="2">
        <f t="shared" si="15"/>
        <v>15.207999999999998</v>
      </c>
      <c r="I94" s="2">
        <f t="shared" si="16"/>
        <v>35.207999999999998</v>
      </c>
      <c r="J94" s="4">
        <f t="shared" si="17"/>
        <v>50.415999999999997</v>
      </c>
    </row>
    <row r="95" spans="1:10" ht="15.75" x14ac:dyDescent="0.25">
      <c r="A95" s="30" t="s">
        <v>124</v>
      </c>
      <c r="B95" s="42"/>
      <c r="C95" s="42"/>
      <c r="D95" s="42"/>
      <c r="E95" s="42"/>
      <c r="F95" s="42"/>
      <c r="G95" s="46">
        <v>1</v>
      </c>
      <c r="H95" s="2">
        <f t="shared" ref="H95:H96" si="18">H94-F95-D95+B95</f>
        <v>15.207999999999998</v>
      </c>
      <c r="I95" s="2">
        <f t="shared" ref="I95:I96" si="19">I94-E95+C95</f>
        <v>35.207999999999998</v>
      </c>
      <c r="J95" s="4">
        <f t="shared" ref="J95:J96" si="20">SUM(H95:I95)</f>
        <v>50.415999999999997</v>
      </c>
    </row>
    <row r="96" spans="1:10" ht="15.75" x14ac:dyDescent="0.25">
      <c r="A96" s="30" t="s">
        <v>125</v>
      </c>
      <c r="B96" s="42"/>
      <c r="C96" s="42"/>
      <c r="D96" s="42"/>
      <c r="E96" s="42">
        <v>1</v>
      </c>
      <c r="F96" s="42"/>
      <c r="G96" s="42"/>
      <c r="H96" s="2">
        <f t="shared" si="18"/>
        <v>15.207999999999998</v>
      </c>
      <c r="I96" s="2">
        <f t="shared" si="19"/>
        <v>34.207999999999998</v>
      </c>
      <c r="J96" s="4">
        <f t="shared" si="20"/>
        <v>49.415999999999997</v>
      </c>
    </row>
    <row r="97" spans="1:10" ht="15.75" x14ac:dyDescent="0.25">
      <c r="A97" s="47"/>
      <c r="B97" s="48"/>
      <c r="C97" s="48"/>
      <c r="D97" s="48"/>
      <c r="E97" s="48"/>
      <c r="F97" s="48"/>
      <c r="G97" s="48"/>
      <c r="H97" s="50"/>
      <c r="I97" s="50"/>
      <c r="J97" s="50"/>
    </row>
    <row r="98" spans="1:10" ht="15.75" x14ac:dyDescent="0.25">
      <c r="A98" s="47"/>
      <c r="B98" s="48"/>
      <c r="C98" s="48"/>
      <c r="D98" s="48"/>
      <c r="E98" s="48"/>
      <c r="F98" s="48"/>
      <c r="G98" s="48"/>
      <c r="H98" s="49"/>
      <c r="I98" s="49"/>
      <c r="J98" s="49"/>
    </row>
    <row r="99" spans="1:10" s="1" customFormat="1" x14ac:dyDescent="0.25">
      <c r="G99" s="1" t="s">
        <v>92</v>
      </c>
    </row>
    <row r="100" spans="1:10" s="1" customFormat="1" x14ac:dyDescent="0.25"/>
    <row r="101" spans="1:10" s="1" customFormat="1" x14ac:dyDescent="0.25">
      <c r="G101" s="45" t="s">
        <v>93</v>
      </c>
    </row>
    <row r="102" spans="1:10" s="1" customFormat="1" x14ac:dyDescent="0.25">
      <c r="G102" s="1" t="s">
        <v>94</v>
      </c>
    </row>
    <row r="103" spans="1:10" s="1" customFormat="1" x14ac:dyDescent="0.25">
      <c r="G103" s="1" t="s">
        <v>102</v>
      </c>
    </row>
    <row r="104" spans="1:10" x14ac:dyDescent="0.25">
      <c r="D104" s="31"/>
      <c r="E104" s="31"/>
      <c r="F104" s="31"/>
      <c r="G104" s="32"/>
    </row>
    <row r="105" spans="1:10" x14ac:dyDescent="0.25">
      <c r="D105" s="31"/>
      <c r="E105" s="31"/>
      <c r="F105" s="31"/>
      <c r="G105" s="32"/>
    </row>
    <row r="106" spans="1:10" x14ac:dyDescent="0.25">
      <c r="D106" s="31"/>
      <c r="E106" s="31"/>
      <c r="F106" s="31"/>
      <c r="G106" s="32"/>
    </row>
    <row r="107" spans="1:10" x14ac:dyDescent="0.25">
      <c r="D107" s="31"/>
      <c r="E107" s="31"/>
      <c r="F107" s="31"/>
      <c r="G107" s="32"/>
    </row>
    <row r="108" spans="1:10" x14ac:dyDescent="0.25">
      <c r="D108" s="31"/>
      <c r="E108" s="31"/>
      <c r="F108" s="31"/>
      <c r="G108" s="32"/>
    </row>
    <row r="109" spans="1:10" x14ac:dyDescent="0.25">
      <c r="D109" s="31"/>
      <c r="E109" s="31"/>
      <c r="F109" s="31"/>
      <c r="G109" s="32"/>
    </row>
    <row r="110" spans="1:10" x14ac:dyDescent="0.25">
      <c r="D110" s="31"/>
      <c r="E110" s="31"/>
      <c r="F110" s="31"/>
      <c r="G110" s="32"/>
    </row>
    <row r="111" spans="1:10" x14ac:dyDescent="0.25">
      <c r="D111" s="31"/>
      <c r="E111" s="31"/>
      <c r="F111" s="31"/>
      <c r="G111" s="32"/>
    </row>
    <row r="112" spans="1:10" x14ac:dyDescent="0.25">
      <c r="D112" s="31"/>
      <c r="E112" s="31"/>
      <c r="F112" s="31"/>
      <c r="G112" s="32"/>
    </row>
    <row r="113" spans="4:7" x14ac:dyDescent="0.25">
      <c r="D113" s="31"/>
      <c r="E113" s="31"/>
      <c r="F113" s="31"/>
      <c r="G113" s="32"/>
    </row>
    <row r="114" spans="4:7" x14ac:dyDescent="0.25">
      <c r="D114" s="31"/>
      <c r="E114" s="31"/>
      <c r="F114" s="31"/>
      <c r="G114" s="32"/>
    </row>
    <row r="115" spans="4:7" x14ac:dyDescent="0.25">
      <c r="D115" s="31"/>
      <c r="E115" s="31"/>
      <c r="F115" s="31"/>
      <c r="G115" s="32"/>
    </row>
    <row r="116" spans="4:7" x14ac:dyDescent="0.25">
      <c r="D116" s="31"/>
      <c r="E116" s="31"/>
      <c r="F116" s="31"/>
      <c r="G116" s="32"/>
    </row>
    <row r="117" spans="4:7" x14ac:dyDescent="0.25">
      <c r="D117" s="31"/>
      <c r="E117" s="31"/>
      <c r="F117" s="31"/>
      <c r="G117" s="32"/>
    </row>
    <row r="118" spans="4:7" x14ac:dyDescent="0.25">
      <c r="D118" s="31"/>
      <c r="E118" s="31"/>
      <c r="F118" s="31"/>
      <c r="G118" s="32"/>
    </row>
    <row r="119" spans="4:7" x14ac:dyDescent="0.25">
      <c r="D119" s="31"/>
      <c r="E119" s="31"/>
      <c r="F119" s="31"/>
      <c r="G119" s="32"/>
    </row>
    <row r="120" spans="4:7" x14ac:dyDescent="0.25">
      <c r="D120" s="31"/>
      <c r="E120" s="31"/>
      <c r="F120" s="31"/>
      <c r="G120" s="32"/>
    </row>
    <row r="121" spans="4:7" x14ac:dyDescent="0.25">
      <c r="D121" s="31"/>
      <c r="E121" s="31"/>
      <c r="F121" s="31"/>
      <c r="G121" s="32"/>
    </row>
    <row r="122" spans="4:7" x14ac:dyDescent="0.25">
      <c r="D122" s="31"/>
      <c r="E122" s="31"/>
      <c r="F122" s="31"/>
      <c r="G122" s="32"/>
    </row>
    <row r="123" spans="4:7" x14ac:dyDescent="0.25">
      <c r="D123" s="31"/>
      <c r="E123" s="31"/>
      <c r="F123" s="31"/>
      <c r="G123" s="32"/>
    </row>
    <row r="124" spans="4:7" x14ac:dyDescent="0.25">
      <c r="D124" s="31"/>
      <c r="E124" s="31"/>
      <c r="F124" s="31"/>
      <c r="G124" s="32"/>
    </row>
    <row r="125" spans="4:7" x14ac:dyDescent="0.25">
      <c r="D125" s="31"/>
      <c r="E125" s="31"/>
      <c r="F125" s="31"/>
      <c r="G125" s="32"/>
    </row>
    <row r="126" spans="4:7" x14ac:dyDescent="0.25">
      <c r="D126" s="31"/>
      <c r="E126" s="31"/>
      <c r="F126" s="31"/>
      <c r="G126" s="32"/>
    </row>
    <row r="127" spans="4:7" x14ac:dyDescent="0.25">
      <c r="D127" s="31"/>
      <c r="E127" s="31"/>
      <c r="F127" s="31"/>
      <c r="G127" s="32"/>
    </row>
    <row r="128" spans="4:7" x14ac:dyDescent="0.25">
      <c r="D128" s="31"/>
      <c r="E128" s="31"/>
      <c r="F128" s="31"/>
      <c r="G128" s="32"/>
    </row>
    <row r="129" spans="4:7" x14ac:dyDescent="0.25">
      <c r="D129" s="31"/>
      <c r="E129" s="31"/>
      <c r="F129" s="31"/>
      <c r="G129" s="32"/>
    </row>
    <row r="130" spans="4:7" x14ac:dyDescent="0.25">
      <c r="D130" s="31"/>
      <c r="E130" s="31"/>
      <c r="F130" s="31"/>
      <c r="G130" s="32"/>
    </row>
    <row r="131" spans="4:7" x14ac:dyDescent="0.25">
      <c r="D131" s="31"/>
      <c r="E131" s="31"/>
      <c r="F131" s="31"/>
      <c r="G131" s="32"/>
    </row>
    <row r="132" spans="4:7" x14ac:dyDescent="0.25">
      <c r="D132" s="31"/>
      <c r="E132" s="31"/>
      <c r="F132" s="31"/>
      <c r="G132" s="32"/>
    </row>
    <row r="133" spans="4:7" x14ac:dyDescent="0.25">
      <c r="D133" s="31"/>
      <c r="E133" s="31"/>
      <c r="F133" s="31"/>
      <c r="G133" s="32"/>
    </row>
    <row r="134" spans="4:7" x14ac:dyDescent="0.25">
      <c r="D134" s="31"/>
      <c r="E134" s="31"/>
      <c r="F134" s="31"/>
      <c r="G134" s="32"/>
    </row>
    <row r="135" spans="4:7" x14ac:dyDescent="0.25">
      <c r="D135" s="31"/>
      <c r="E135" s="31"/>
      <c r="F135" s="31"/>
      <c r="G135" s="32"/>
    </row>
    <row r="136" spans="4:7" x14ac:dyDescent="0.25">
      <c r="D136" s="31"/>
      <c r="E136" s="31"/>
      <c r="F136" s="31"/>
      <c r="G136" s="32"/>
    </row>
    <row r="137" spans="4:7" x14ac:dyDescent="0.25">
      <c r="D137" s="31"/>
      <c r="E137" s="31"/>
      <c r="F137" s="31"/>
      <c r="G137" s="32"/>
    </row>
    <row r="138" spans="4:7" x14ac:dyDescent="0.25">
      <c r="D138" s="31"/>
      <c r="E138" s="31"/>
      <c r="F138" s="31"/>
      <c r="G138" s="32"/>
    </row>
    <row r="139" spans="4:7" x14ac:dyDescent="0.25">
      <c r="D139" s="31"/>
      <c r="E139" s="31"/>
      <c r="F139" s="31"/>
      <c r="G139" s="32"/>
    </row>
    <row r="140" spans="4:7" x14ac:dyDescent="0.25">
      <c r="D140" s="31"/>
      <c r="E140" s="31"/>
      <c r="F140" s="31"/>
      <c r="G140" s="32"/>
    </row>
    <row r="141" spans="4:7" x14ac:dyDescent="0.25">
      <c r="D141" s="31"/>
      <c r="E141" s="31"/>
      <c r="F141" s="31"/>
      <c r="G141" s="32"/>
    </row>
    <row r="142" spans="4:7" x14ac:dyDescent="0.25">
      <c r="D142" s="31"/>
      <c r="E142" s="31"/>
      <c r="F142" s="31"/>
      <c r="G142" s="32"/>
    </row>
    <row r="143" spans="4:7" x14ac:dyDescent="0.25">
      <c r="D143" s="31"/>
      <c r="E143" s="31"/>
      <c r="F143" s="31"/>
      <c r="G143" s="32"/>
    </row>
    <row r="144" spans="4:7" x14ac:dyDescent="0.25">
      <c r="D144" s="31"/>
      <c r="E144" s="31"/>
      <c r="F144" s="31"/>
      <c r="G144" s="32"/>
    </row>
    <row r="145" spans="4:7" x14ac:dyDescent="0.25">
      <c r="D145" s="31"/>
      <c r="E145" s="31"/>
      <c r="F145" s="31"/>
      <c r="G145" s="32"/>
    </row>
    <row r="146" spans="4:7" x14ac:dyDescent="0.25">
      <c r="D146" s="31"/>
      <c r="E146" s="31"/>
      <c r="F146" s="31"/>
      <c r="G146" s="32"/>
    </row>
    <row r="147" spans="4:7" x14ac:dyDescent="0.25">
      <c r="D147" s="31"/>
      <c r="E147" s="31"/>
      <c r="F147" s="31"/>
      <c r="G147" s="32"/>
    </row>
    <row r="148" spans="4:7" x14ac:dyDescent="0.25">
      <c r="D148" s="31"/>
      <c r="E148" s="31"/>
      <c r="F148" s="31"/>
      <c r="G148" s="32"/>
    </row>
  </sheetData>
  <mergeCells count="12">
    <mergeCell ref="A2:J2"/>
    <mergeCell ref="A3:J3"/>
    <mergeCell ref="A4:J4"/>
    <mergeCell ref="A5:J5"/>
    <mergeCell ref="B7:D7"/>
    <mergeCell ref="B9:D9"/>
    <mergeCell ref="A10:J10"/>
    <mergeCell ref="H11:I11"/>
    <mergeCell ref="A11:A12"/>
    <mergeCell ref="J11:J12"/>
    <mergeCell ref="B11:C11"/>
    <mergeCell ref="D11:G11"/>
  </mergeCells>
  <phoneticPr fontId="4" type="noConversion"/>
  <printOptions horizontalCentered="1"/>
  <pageMargins left="0.51181102362204722" right="0.51181102362204722" top="0.51181102362204722" bottom="0.51181102362204722" header="0.31496062992125984" footer="0.31496062992125984"/>
  <pageSetup paperSize="9" scale="67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DC26F-DE1F-423F-B87B-B1B06403CCD2}">
  <dimension ref="A1:M19"/>
  <sheetViews>
    <sheetView view="pageBreakPreview" topLeftCell="A7" zoomScale="108" zoomScaleNormal="100" zoomScaleSheetLayoutView="108" workbookViewId="0">
      <selection activeCell="B15" sqref="B15"/>
    </sheetView>
  </sheetViews>
  <sheetFormatPr defaultRowHeight="15" x14ac:dyDescent="0.25"/>
  <cols>
    <col min="1" max="1" width="20.85546875" customWidth="1"/>
    <col min="2" max="2" width="22.7109375" customWidth="1"/>
    <col min="8" max="8" width="5.85546875" customWidth="1"/>
    <col min="10" max="10" width="5.42578125" customWidth="1"/>
    <col min="12" max="12" width="6.7109375" customWidth="1"/>
  </cols>
  <sheetData>
    <row r="1" spans="1:13" s="1" customFormat="1" ht="52.5" customHeight="1" x14ac:dyDescent="0.25">
      <c r="D1" s="9"/>
      <c r="E1" s="10"/>
      <c r="I1" s="8"/>
    </row>
    <row r="2" spans="1:13" s="1" customFormat="1" ht="10.5" customHeight="1" x14ac:dyDescent="0.25">
      <c r="A2" s="64" t="s">
        <v>26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</row>
    <row r="3" spans="1:13" s="1" customFormat="1" ht="15.95" customHeight="1" x14ac:dyDescent="0.25">
      <c r="A3" s="64" t="s">
        <v>27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</row>
    <row r="4" spans="1:13" s="1" customFormat="1" ht="15.95" customHeight="1" x14ac:dyDescent="0.25">
      <c r="A4" s="64" t="s">
        <v>28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</row>
    <row r="5" spans="1:13" s="1" customFormat="1" ht="15.95" customHeight="1" x14ac:dyDescent="0.25">
      <c r="A5" s="64" t="s">
        <v>29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</row>
    <row r="6" spans="1:13" s="1" customFormat="1" ht="8.25" customHeight="1" x14ac:dyDescent="0.25">
      <c r="D6" s="8"/>
      <c r="I6" s="8"/>
    </row>
    <row r="7" spans="1:13" s="1" customFormat="1" ht="8.25" customHeight="1" x14ac:dyDescent="0.25">
      <c r="D7" s="8"/>
      <c r="I7" s="8"/>
    </row>
    <row r="8" spans="1:13" s="1" customFormat="1" ht="12" customHeight="1" x14ac:dyDescent="0.25">
      <c r="A8" s="11" t="s">
        <v>44</v>
      </c>
      <c r="B8" s="11"/>
      <c r="C8" s="11"/>
      <c r="D8" s="65" t="s">
        <v>30</v>
      </c>
      <c r="E8" s="65"/>
      <c r="F8" s="65"/>
      <c r="G8" s="65"/>
      <c r="H8" s="65"/>
      <c r="J8" s="65" t="s">
        <v>31</v>
      </c>
      <c r="K8" s="65"/>
      <c r="L8" s="65"/>
      <c r="M8" s="11"/>
    </row>
    <row r="9" spans="1:13" s="1" customFormat="1" ht="17.45" customHeight="1" x14ac:dyDescent="0.25">
      <c r="C9" s="12"/>
      <c r="D9" s="65" t="s">
        <v>46</v>
      </c>
      <c r="E9" s="65"/>
      <c r="F9" s="65"/>
      <c r="G9" s="65"/>
      <c r="H9" s="65"/>
      <c r="J9" s="66" t="s">
        <v>32</v>
      </c>
      <c r="K9" s="66"/>
      <c r="L9" s="66"/>
      <c r="M9" s="12"/>
    </row>
    <row r="10" spans="1:13" s="1" customFormat="1" ht="12" customHeight="1" x14ac:dyDescent="0.25">
      <c r="A10" s="11" t="s">
        <v>45</v>
      </c>
      <c r="B10" s="11"/>
      <c r="C10" s="11"/>
      <c r="D10" s="13"/>
      <c r="E10" s="12"/>
      <c r="F10" s="12"/>
      <c r="J10" s="65" t="s">
        <v>33</v>
      </c>
      <c r="K10" s="65"/>
      <c r="L10" s="65"/>
      <c r="M10" s="11"/>
    </row>
    <row r="11" spans="1:13" ht="16.5" customHeight="1" thickBot="1" x14ac:dyDescent="0.3">
      <c r="A11" s="67" t="s">
        <v>34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</row>
    <row r="12" spans="1:13" s="14" customFormat="1" ht="18.75" customHeight="1" x14ac:dyDescent="0.2">
      <c r="A12" s="68" t="s">
        <v>35</v>
      </c>
      <c r="B12" s="71" t="s">
        <v>4</v>
      </c>
      <c r="C12" s="74" t="s">
        <v>36</v>
      </c>
      <c r="D12" s="75"/>
      <c r="E12" s="74" t="s">
        <v>37</v>
      </c>
      <c r="F12" s="75"/>
      <c r="G12" s="74" t="s">
        <v>38</v>
      </c>
      <c r="H12" s="75"/>
      <c r="I12" s="74" t="s">
        <v>39</v>
      </c>
      <c r="J12" s="75"/>
      <c r="K12" s="74" t="s">
        <v>40</v>
      </c>
      <c r="L12" s="75"/>
      <c r="M12" s="80" t="s">
        <v>8</v>
      </c>
    </row>
    <row r="13" spans="1:13" s="14" customFormat="1" ht="18.75" customHeight="1" x14ac:dyDescent="0.2">
      <c r="A13" s="69"/>
      <c r="B13" s="72"/>
      <c r="C13" s="76"/>
      <c r="D13" s="77"/>
      <c r="E13" s="76"/>
      <c r="F13" s="77"/>
      <c r="G13" s="76"/>
      <c r="H13" s="77"/>
      <c r="I13" s="76"/>
      <c r="J13" s="77"/>
      <c r="K13" s="76"/>
      <c r="L13" s="77"/>
      <c r="M13" s="81"/>
    </row>
    <row r="14" spans="1:13" s="14" customFormat="1" ht="24" customHeight="1" x14ac:dyDescent="0.2">
      <c r="A14" s="70"/>
      <c r="B14" s="73"/>
      <c r="C14" s="78"/>
      <c r="D14" s="79"/>
      <c r="E14" s="78"/>
      <c r="F14" s="79"/>
      <c r="G14" s="78"/>
      <c r="H14" s="79"/>
      <c r="I14" s="78"/>
      <c r="J14" s="79"/>
      <c r="K14" s="78"/>
      <c r="L14" s="79"/>
      <c r="M14" s="82"/>
    </row>
    <row r="15" spans="1:13" s="14" customFormat="1" ht="36" customHeight="1" x14ac:dyDescent="0.2">
      <c r="A15" s="15" t="s">
        <v>41</v>
      </c>
      <c r="B15" s="16" t="s">
        <v>42</v>
      </c>
      <c r="C15" s="83" t="s">
        <v>43</v>
      </c>
      <c r="D15" s="84"/>
      <c r="E15" s="83"/>
      <c r="F15" s="84"/>
      <c r="G15" s="83">
        <v>5</v>
      </c>
      <c r="H15" s="85"/>
      <c r="I15" s="83">
        <v>0</v>
      </c>
      <c r="J15" s="85"/>
      <c r="K15" s="83">
        <v>5</v>
      </c>
      <c r="L15" s="85"/>
      <c r="M15" s="17">
        <v>5</v>
      </c>
    </row>
    <row r="16" spans="1:13" s="20" customFormat="1" ht="39" customHeight="1" x14ac:dyDescent="0.2">
      <c r="A16" s="15"/>
      <c r="B16" s="18" t="s">
        <v>47</v>
      </c>
      <c r="C16" s="83" t="s">
        <v>43</v>
      </c>
      <c r="D16" s="84"/>
      <c r="E16" s="83"/>
      <c r="F16" s="84"/>
      <c r="G16" s="83">
        <v>5</v>
      </c>
      <c r="H16" s="85"/>
      <c r="I16" s="83">
        <v>1</v>
      </c>
      <c r="J16" s="85"/>
      <c r="K16" s="83">
        <v>4</v>
      </c>
      <c r="L16" s="85"/>
      <c r="M16" s="19">
        <v>4</v>
      </c>
    </row>
    <row r="17" spans="1:13" s="1" customFormat="1" ht="75.75" customHeight="1" x14ac:dyDescent="0.25">
      <c r="A17" s="21"/>
      <c r="B17" s="21"/>
      <c r="D17" s="8"/>
      <c r="M17" s="21"/>
    </row>
    <row r="18" spans="1:13" s="1" customFormat="1" x14ac:dyDescent="0.25">
      <c r="D18" s="8"/>
    </row>
    <row r="19" spans="1:13" s="1" customFormat="1" x14ac:dyDescent="0.25">
      <c r="D19" s="8"/>
    </row>
  </sheetData>
  <mergeCells count="28">
    <mergeCell ref="C16:D16"/>
    <mergeCell ref="E16:F16"/>
    <mergeCell ref="G16:H16"/>
    <mergeCell ref="I16:J16"/>
    <mergeCell ref="K16:L16"/>
    <mergeCell ref="C15:D15"/>
    <mergeCell ref="E15:F15"/>
    <mergeCell ref="G15:H15"/>
    <mergeCell ref="I15:J15"/>
    <mergeCell ref="K15:L15"/>
    <mergeCell ref="D9:H9"/>
    <mergeCell ref="J9:L9"/>
    <mergeCell ref="J10:L10"/>
    <mergeCell ref="A11:M11"/>
    <mergeCell ref="A12:A14"/>
    <mergeCell ref="B12:B14"/>
    <mergeCell ref="C12:D14"/>
    <mergeCell ref="E12:F14"/>
    <mergeCell ref="G12:H14"/>
    <mergeCell ref="I12:J14"/>
    <mergeCell ref="K12:L14"/>
    <mergeCell ref="M12:M14"/>
    <mergeCell ref="A2:M2"/>
    <mergeCell ref="A3:M3"/>
    <mergeCell ref="A4:M4"/>
    <mergeCell ref="A5:M5"/>
    <mergeCell ref="D8:H8"/>
    <mergeCell ref="J8:L8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Leave Card (NE)</vt:lpstr>
      <vt:lpstr>ELECTION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2025-09-30T07:11:28Z</cp:lastPrinted>
  <dcterms:created xsi:type="dcterms:W3CDTF">2021-10-07T06:10:16Z</dcterms:created>
  <dcterms:modified xsi:type="dcterms:W3CDTF">2025-09-30T07:21:11Z</dcterms:modified>
</cp:coreProperties>
</file>