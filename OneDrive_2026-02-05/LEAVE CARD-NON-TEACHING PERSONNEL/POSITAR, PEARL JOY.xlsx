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682781C-5934-457B-B4A1-FC2F0150ED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Other types of leave" sheetId="9" r:id="rId2"/>
  </sheets>
  <definedNames>
    <definedName name="_xlnm.Print_Area" localSheetId="0">'Leave Card (NE)'!$A$1:$J$72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6" l="1"/>
  <c r="H65" i="6" s="1"/>
  <c r="I64" i="6"/>
  <c r="I65" i="6" s="1"/>
  <c r="J64" i="6"/>
  <c r="J65" i="6" l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H14" i="6"/>
  <c r="H15" i="6" s="1"/>
  <c r="H16" i="6" s="1"/>
  <c r="H17" i="6" s="1"/>
  <c r="H18" i="6" s="1"/>
  <c r="J18" i="6" l="1"/>
  <c r="H19" i="6"/>
  <c r="J17" i="6"/>
  <c r="J16" i="6"/>
  <c r="J14" i="6"/>
  <c r="J15" i="6"/>
  <c r="H20" i="6" l="1"/>
  <c r="J19" i="6"/>
  <c r="J20" i="6" l="1"/>
  <c r="H21" i="6"/>
  <c r="J21" i="6" l="1"/>
  <c r="H22" i="6"/>
  <c r="J22" i="6" l="1"/>
  <c r="H23" i="6"/>
  <c r="J23" i="6" l="1"/>
  <c r="H24" i="6"/>
  <c r="J24" i="6" l="1"/>
  <c r="H25" i="6"/>
  <c r="J25" i="6" l="1"/>
  <c r="H26" i="6"/>
  <c r="J26" i="6" l="1"/>
  <c r="H27" i="6"/>
  <c r="J27" i="6" l="1"/>
  <c r="H28" i="6"/>
  <c r="J28" i="6" l="1"/>
  <c r="H29" i="6"/>
  <c r="J29" i="6" l="1"/>
  <c r="H30" i="6"/>
  <c r="J30" i="6" l="1"/>
  <c r="H31" i="6"/>
  <c r="J31" i="6" l="1"/>
  <c r="H32" i="6"/>
  <c r="J32" i="6" l="1"/>
  <c r="H33" i="6"/>
  <c r="J33" i="6" l="1"/>
  <c r="H34" i="6"/>
  <c r="H35" i="6" l="1"/>
  <c r="J34" i="6"/>
  <c r="J35" i="6" l="1"/>
  <c r="H36" i="6"/>
  <c r="H37" i="6" l="1"/>
  <c r="J36" i="6"/>
  <c r="H38" i="6" l="1"/>
  <c r="J37" i="6"/>
  <c r="J38" i="6" l="1"/>
  <c r="H39" i="6"/>
  <c r="J39" i="6" l="1"/>
  <c r="H40" i="6"/>
  <c r="J40" i="6" l="1"/>
  <c r="H41" i="6"/>
  <c r="J41" i="6" l="1"/>
  <c r="H42" i="6"/>
  <c r="J42" i="6" l="1"/>
  <c r="H43" i="6"/>
  <c r="J43" i="6" l="1"/>
  <c r="H44" i="6"/>
  <c r="J44" i="6" l="1"/>
  <c r="H45" i="6"/>
  <c r="J45" i="6" l="1"/>
  <c r="H46" i="6"/>
  <c r="J46" i="6" l="1"/>
  <c r="H47" i="6"/>
  <c r="J47" i="6" l="1"/>
  <c r="H48" i="6"/>
  <c r="J48" i="6" l="1"/>
  <c r="H49" i="6"/>
  <c r="J49" i="6" l="1"/>
  <c r="H50" i="6"/>
  <c r="J50" i="6" l="1"/>
  <c r="H51" i="6"/>
  <c r="J51" i="6" l="1"/>
  <c r="H52" i="6"/>
  <c r="H53" i="6" l="1"/>
  <c r="J52" i="6"/>
  <c r="J53" i="6" l="1"/>
  <c r="H54" i="6"/>
  <c r="J54" i="6" l="1"/>
  <c r="H55" i="6"/>
  <c r="J55" i="6" l="1"/>
  <c r="H56" i="6"/>
  <c r="J56" i="6" l="1"/>
  <c r="H57" i="6"/>
  <c r="J57" i="6" l="1"/>
  <c r="H58" i="6"/>
  <c r="J58" i="6" l="1"/>
  <c r="H59" i="6"/>
  <c r="J59" i="6" l="1"/>
  <c r="H60" i="6"/>
  <c r="J60" i="6" l="1"/>
  <c r="H61" i="6"/>
  <c r="J61" i="6" l="1"/>
  <c r="H62" i="6"/>
  <c r="J62" i="6" l="1"/>
  <c r="H63" i="6"/>
  <c r="J63" i="6" s="1"/>
</calcChain>
</file>

<file path=xl/sharedStrings.xml><?xml version="1.0" encoding="utf-8"?>
<sst xmlns="http://schemas.openxmlformats.org/spreadsheetml/2006/main" count="105" uniqueCount="95">
  <si>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</si>
  <si>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</si>
  <si>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</si>
  <si>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</si>
  <si>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</si>
  <si>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</si>
  <si>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</si>
  <si>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</si>
  <si>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</si>
  <si>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</si>
  <si>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</si>
  <si>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</si>
  <si>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</si>
  <si>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</si>
  <si>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</si>
  <si>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</si>
  <si>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</si>
  <si>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</si>
  <si>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</si>
  <si>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</si>
  <si>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</si>
  <si>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</si>
  <si>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</si>
  <si>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</si>
  <si>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</si>
  <si>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</si>
  <si>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</si>
  <si>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</si>
  <si>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</si>
  <si>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</si>
  <si>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</si>
  <si>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</si>
  <si>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</si>
  <si>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</si>
  <si>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</si>
  <si>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</si>
  <si>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</si>
  <si>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</si>
  <si>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</si>
  <si>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</si>
  <si>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SPECIAL PRIVILEGE LEAVE</t>
  </si>
  <si>
    <t>DATE OF ORIGINAL APPOINTMENT: MARCH 15, 2022</t>
  </si>
  <si>
    <t>ADD: 3/15/2022 - 3/31/2022</t>
  </si>
  <si>
    <t>LESS: 11/09/2022</t>
  </si>
  <si>
    <t>LESS: 01/04/2023</t>
  </si>
  <si>
    <t>LESS: 02/23/2023</t>
  </si>
  <si>
    <t>LESS: MONETIZATION 2023</t>
  </si>
  <si>
    <t>LESS: 10/16/2023</t>
  </si>
  <si>
    <t>LESS: 10/20/2023</t>
  </si>
  <si>
    <t>ADD: 09/01/2023-9/30/2023</t>
  </si>
  <si>
    <t>ADD: 10/01/2023-11/30/2023</t>
  </si>
  <si>
    <t>LESS: 12/13/2023</t>
  </si>
  <si>
    <t>LESS: 12/21/2023</t>
  </si>
  <si>
    <t>LESS: 12/27-29/2023</t>
  </si>
  <si>
    <t>ADD: 12/01/2023-12/31/2023</t>
  </si>
  <si>
    <t>LESS: 01/12/2024</t>
  </si>
  <si>
    <t>ADD: 01/01/2024-01/31/2024</t>
  </si>
  <si>
    <t>LESS: 02/14/2024</t>
  </si>
  <si>
    <t>LESS: 02/12/2024</t>
  </si>
  <si>
    <t>ADD: 02/01-29/2024</t>
  </si>
  <si>
    <t>LESS: 03/07/2024</t>
  </si>
  <si>
    <t>ADD: MARCH-APRIL 30, 2024</t>
  </si>
  <si>
    <t>LESS: 05/30/2024</t>
  </si>
  <si>
    <t>ADD: MAY-JULY 31, 2024</t>
  </si>
  <si>
    <t>LESS: FL 2023</t>
  </si>
  <si>
    <t xml:space="preserve">              HRMO</t>
  </si>
  <si>
    <t>ADD: 08/1/2024-10/31/2024</t>
  </si>
  <si>
    <t>LESS: 11/18/2024</t>
  </si>
  <si>
    <t>ADD: 11/1-30/2024</t>
  </si>
  <si>
    <t>LESS: 11/27/2024</t>
  </si>
  <si>
    <t>LESS: 12/5/2024</t>
  </si>
  <si>
    <t>LESS: 12/12/2024</t>
  </si>
  <si>
    <t>LESS: 12/19/2024</t>
  </si>
  <si>
    <t>LESS: 12/27/2024</t>
  </si>
  <si>
    <t>ADD: 12/1-31/2024</t>
  </si>
  <si>
    <t>LESS: MANDATORY FL 2024</t>
  </si>
  <si>
    <t>ADD: 1/1-31/2025</t>
  </si>
  <si>
    <t>LESS: 01/30/2025</t>
  </si>
  <si>
    <t>ADD: 02/1/2025-04/30/2025</t>
  </si>
  <si>
    <t>LESS: 05/20/2025</t>
  </si>
  <si>
    <t>ADD: 4/01/2022 - 10/31/2022</t>
  </si>
  <si>
    <t>ADD: 11/1/2022-12/31/2022</t>
  </si>
  <si>
    <t>ADD: 01/1-31/2023</t>
  </si>
  <si>
    <t>ADD: 02/01/2023 - 08/31/2023</t>
  </si>
  <si>
    <t>LESS: 05/27/2025</t>
  </si>
  <si>
    <t>LESS: FL 2022</t>
  </si>
  <si>
    <t>ADD: 05/1/2025-06/30/2025</t>
  </si>
  <si>
    <t>LESS: MONETIZATION 2025</t>
  </si>
  <si>
    <t>LESS: MONETIZATION 2024 (23 DAYS)</t>
  </si>
  <si>
    <t>LESS: 07/24/2025</t>
  </si>
  <si>
    <t>LESS: 07/30/2025</t>
  </si>
  <si>
    <t>ADD: 07/1-31/2025</t>
  </si>
  <si>
    <t>LESS: 08/13/2025</t>
  </si>
  <si>
    <t>ADD: 08/1/2025-09/30/2025</t>
  </si>
  <si>
    <t>LESS: 10/13/2025 PM-UNDERTIME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</si>
</sst>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/>
    </xf>
    <xf numFmtId="0" fontId="6" fillId="1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293077</xdr:colOff>
      <xdr:row>0</xdr:row>
      <xdr:rowOff>64111</xdr:rowOff>
    </xdr:from>
    <xdr:to>
      <xdr:col>4</xdr:col>
      <xdr:colOff>174014</xdr:colOff>
      <xdr:row>0</xdr:row>
      <xdr:rowOff>659422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2885" y="64111"/>
          <a:ext cx="650264" cy="59531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POSITAR, PEARL JOY D.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140433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740144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GMNHS - MAIN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8</xdr:col>
      <xdr:colOff>18319</xdr:colOff>
      <xdr:row>7</xdr:row>
      <xdr:rowOff>48846</xdr:rowOff>
    </xdr:from>
    <xdr:to>
      <xdr:col>9</xdr:col>
      <xdr:colOff>372453</xdr:colOff>
      <xdr:row>8</xdr:row>
      <xdr:rowOff>146539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465C55-5CFC-45B3-9047-E7F5E483357E}"/>
            </a:ext>
          </a:extLst>
        </xdr:cNvPr>
        <xdr:cNvSpPr txBox="1"/>
      </xdr:nvSpPr>
      <xdr:spPr>
        <a:xfrm>
          <a:off x="7998559" y="1709615"/>
          <a:ext cx="1697404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 - MAIN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52" zoomScale="104" zoomScaleNormal="100" zoomScaleSheetLayoutView="104" workbookViewId="0">
      <selection activeCell="A64" sqref="A64:XFD64"/>
    </sheetView>
  </sheetViews>
  <sheetFormatPr defaultRowHeight="15" x14ac:dyDescent="0.25"/>
  <cols>
    <col min="1" max="1" width="37.42578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6" t="s">
        <v>11</v>
      </c>
      <c r="B2" s="66"/>
      <c r="C2" s="66"/>
      <c r="D2" s="66"/>
      <c r="E2" s="66"/>
      <c r="F2" s="66"/>
      <c r="G2" s="66"/>
      <c r="H2" s="66"/>
      <c r="I2" s="66"/>
      <c r="J2" s="66"/>
    </row>
    <row r="3" spans="1:10" s="1" customFormat="1" ht="15.95" customHeight="1" x14ac:dyDescent="0.25">
      <c r="A3" s="66" t="s">
        <v>12</v>
      </c>
      <c r="B3" s="66"/>
      <c r="C3" s="66"/>
      <c r="D3" s="66"/>
      <c r="E3" s="66"/>
      <c r="F3" s="66"/>
      <c r="G3" s="66"/>
      <c r="H3" s="66"/>
      <c r="I3" s="66"/>
      <c r="J3" s="66"/>
    </row>
    <row r="4" spans="1:10" s="1" customFormat="1" ht="15.95" customHeight="1" x14ac:dyDescent="0.25">
      <c r="A4" s="66" t="s">
        <v>13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s="1" customFormat="1" ht="15.95" customHeight="1" x14ac:dyDescent="0.25">
      <c r="A5" s="66" t="s">
        <v>14</v>
      </c>
      <c r="B5" s="66"/>
      <c r="C5" s="66"/>
      <c r="D5" s="66"/>
      <c r="E5" s="66"/>
      <c r="F5" s="66"/>
      <c r="G5" s="66"/>
      <c r="H5" s="66"/>
      <c r="I5" s="66"/>
      <c r="J5" s="66"/>
    </row>
    <row r="6" spans="1:10" s="1" customFormat="1" ht="8.25" customHeight="1" x14ac:dyDescent="0.25"/>
    <row r="7" spans="1:10" s="1" customFormat="1" ht="12" customHeight="1" x14ac:dyDescent="0.25">
      <c r="A7" s="1" t="s">
        <v>33</v>
      </c>
      <c r="B7" s="65" t="s">
        <v>35</v>
      </c>
      <c r="C7" s="65"/>
      <c r="D7" s="65"/>
      <c r="H7" s="3" t="s">
        <v>9</v>
      </c>
      <c r="I7" s="35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34</v>
      </c>
      <c r="B9" s="65" t="s">
        <v>36</v>
      </c>
      <c r="C9" s="65"/>
      <c r="D9" s="65"/>
      <c r="H9" s="3" t="s">
        <v>10</v>
      </c>
      <c r="I9" s="4"/>
      <c r="J9" s="3"/>
    </row>
    <row r="10" spans="1:10" ht="16.5" customHeight="1" thickBot="1" x14ac:dyDescent="0.3">
      <c r="A10" s="51" t="s">
        <v>0</v>
      </c>
      <c r="B10" s="51"/>
      <c r="C10" s="51"/>
      <c r="D10" s="51"/>
      <c r="E10" s="51"/>
      <c r="F10" s="51"/>
      <c r="G10" s="51"/>
      <c r="H10" s="51"/>
      <c r="I10" s="51"/>
      <c r="J10" s="51"/>
    </row>
    <row r="11" spans="1:10" s="6" customFormat="1" ht="18.75" customHeight="1" x14ac:dyDescent="0.2">
      <c r="A11" s="55" t="s">
        <v>4</v>
      </c>
      <c r="B11" s="59" t="s">
        <v>5</v>
      </c>
      <c r="C11" s="60"/>
      <c r="D11" s="61" t="s">
        <v>6</v>
      </c>
      <c r="E11" s="62"/>
      <c r="F11" s="62"/>
      <c r="G11" s="33"/>
      <c r="H11" s="63" t="s">
        <v>7</v>
      </c>
      <c r="I11" s="64"/>
      <c r="J11" s="57" t="s">
        <v>8</v>
      </c>
    </row>
    <row r="12" spans="1:10" s="6" customFormat="1" ht="51" customHeight="1" x14ac:dyDescent="0.2">
      <c r="A12" s="56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4" t="s">
        <v>40</v>
      </c>
      <c r="H12" s="14" t="s">
        <v>1</v>
      </c>
      <c r="I12" s="17" t="s">
        <v>2</v>
      </c>
      <c r="J12" s="58"/>
    </row>
    <row r="13" spans="1:10" s="6" customFormat="1" ht="18.75" customHeight="1" x14ac:dyDescent="0.2">
      <c r="A13" s="52" t="s">
        <v>41</v>
      </c>
      <c r="B13" s="53"/>
      <c r="C13" s="53"/>
      <c r="D13" s="53"/>
      <c r="E13" s="53"/>
      <c r="F13" s="53"/>
      <c r="G13" s="53"/>
      <c r="H13" s="53"/>
      <c r="I13" s="53"/>
      <c r="J13" s="54"/>
    </row>
    <row r="14" spans="1:10" s="6" customFormat="1" ht="15.95" customHeight="1" x14ac:dyDescent="0.2">
      <c r="A14" s="8" t="s">
        <v>42</v>
      </c>
      <c r="B14" s="13">
        <v>0.70799999999999996</v>
      </c>
      <c r="C14" s="13">
        <v>0.70799999999999996</v>
      </c>
      <c r="D14" s="36"/>
      <c r="E14" s="36"/>
      <c r="F14" s="36"/>
      <c r="G14" s="36"/>
      <c r="H14" s="13">
        <f>B14</f>
        <v>0.70799999999999996</v>
      </c>
      <c r="I14" s="13">
        <f>C14</f>
        <v>0.70799999999999996</v>
      </c>
      <c r="J14" s="48">
        <f t="shared" ref="J14:J15" si="0">H14+I14</f>
        <v>1.4159999999999999</v>
      </c>
    </row>
    <row r="15" spans="1:10" s="5" customFormat="1" ht="15.95" customHeight="1" x14ac:dyDescent="0.2">
      <c r="A15" s="10" t="s">
        <v>80</v>
      </c>
      <c r="B15" s="36">
        <v>8.75</v>
      </c>
      <c r="C15" s="36">
        <v>8.75</v>
      </c>
      <c r="D15" s="36"/>
      <c r="E15" s="36"/>
      <c r="F15" s="36"/>
      <c r="G15" s="36"/>
      <c r="H15" s="13">
        <f>H14-F15-D15+B15</f>
        <v>9.4580000000000002</v>
      </c>
      <c r="I15" s="13">
        <f>I14-E15+C15</f>
        <v>9.4580000000000002</v>
      </c>
      <c r="J15" s="48">
        <f t="shared" si="0"/>
        <v>18.916</v>
      </c>
    </row>
    <row r="16" spans="1:10" s="5" customFormat="1" ht="15.95" customHeight="1" x14ac:dyDescent="0.2">
      <c r="A16" s="10" t="s">
        <v>43</v>
      </c>
      <c r="B16" s="36"/>
      <c r="C16" s="36"/>
      <c r="D16" s="36"/>
      <c r="E16" s="36"/>
      <c r="F16" s="36"/>
      <c r="G16" s="36">
        <v>2</v>
      </c>
      <c r="H16" s="13">
        <f t="shared" ref="H16" si="1">H15-F16-D16+B16</f>
        <v>9.4580000000000002</v>
      </c>
      <c r="I16" s="13">
        <f t="shared" ref="I16" si="2">I15-E16+C16</f>
        <v>9.4580000000000002</v>
      </c>
      <c r="J16" s="48">
        <f t="shared" ref="J16" si="3">H16+I16</f>
        <v>18.916</v>
      </c>
    </row>
    <row r="17" spans="1:10" s="5" customFormat="1" ht="15.95" customHeight="1" x14ac:dyDescent="0.2">
      <c r="A17" s="10" t="s">
        <v>81</v>
      </c>
      <c r="B17" s="36">
        <v>2.5</v>
      </c>
      <c r="C17" s="36">
        <v>2.5</v>
      </c>
      <c r="D17" s="36"/>
      <c r="E17" s="36"/>
      <c r="F17" s="36"/>
      <c r="G17" s="36"/>
      <c r="H17" s="13">
        <f t="shared" ref="H17" si="4">H16-F17-D17+B17</f>
        <v>11.958</v>
      </c>
      <c r="I17" s="13">
        <f t="shared" ref="I17" si="5">I16-E17+C17</f>
        <v>11.958</v>
      </c>
      <c r="J17" s="48">
        <f t="shared" ref="J17" si="6">H17+I17</f>
        <v>23.916</v>
      </c>
    </row>
    <row r="18" spans="1:10" s="5" customFormat="1" ht="15.95" customHeight="1" x14ac:dyDescent="0.2">
      <c r="A18" s="10" t="s">
        <v>85</v>
      </c>
      <c r="B18" s="36"/>
      <c r="C18" s="36"/>
      <c r="D18" s="36"/>
      <c r="E18" s="36"/>
      <c r="F18" s="36">
        <v>5</v>
      </c>
      <c r="G18" s="36"/>
      <c r="H18" s="13">
        <f t="shared" ref="H18:H35" si="7">H17-F18-D18+B18</f>
        <v>6.9580000000000002</v>
      </c>
      <c r="I18" s="13">
        <f t="shared" ref="I18:I35" si="8">I17-E18+C18</f>
        <v>11.958</v>
      </c>
      <c r="J18" s="48">
        <f t="shared" ref="J18:J35" si="9">H18+I18</f>
        <v>18.916</v>
      </c>
    </row>
    <row r="19" spans="1:10" s="5" customFormat="1" ht="15.95" customHeight="1" x14ac:dyDescent="0.2">
      <c r="A19" s="10" t="s">
        <v>44</v>
      </c>
      <c r="B19" s="36"/>
      <c r="C19" s="36"/>
      <c r="D19" s="36"/>
      <c r="E19" s="36"/>
      <c r="F19" s="36"/>
      <c r="G19" s="36">
        <v>1</v>
      </c>
      <c r="H19" s="13">
        <f t="shared" si="7"/>
        <v>6.9580000000000002</v>
      </c>
      <c r="I19" s="13">
        <f t="shared" si="8"/>
        <v>11.958</v>
      </c>
      <c r="J19" s="48">
        <f t="shared" si="9"/>
        <v>18.916</v>
      </c>
    </row>
    <row r="20" spans="1:10" s="5" customFormat="1" ht="15.95" customHeight="1" x14ac:dyDescent="0.2">
      <c r="A20" s="10" t="s">
        <v>82</v>
      </c>
      <c r="B20" s="36">
        <v>1.25</v>
      </c>
      <c r="C20" s="36">
        <v>1.25</v>
      </c>
      <c r="D20" s="36"/>
      <c r="E20" s="36"/>
      <c r="F20" s="36"/>
      <c r="G20" s="36"/>
      <c r="H20" s="13">
        <f t="shared" si="7"/>
        <v>8.2080000000000002</v>
      </c>
      <c r="I20" s="13">
        <f t="shared" si="8"/>
        <v>13.208</v>
      </c>
      <c r="J20" s="48">
        <f t="shared" si="9"/>
        <v>21.416</v>
      </c>
    </row>
    <row r="21" spans="1:10" s="5" customFormat="1" ht="15.95" customHeight="1" x14ac:dyDescent="0.2">
      <c r="A21" s="10" t="s">
        <v>45</v>
      </c>
      <c r="B21" s="36"/>
      <c r="C21" s="36"/>
      <c r="D21" s="36"/>
      <c r="E21" s="36"/>
      <c r="F21" s="36"/>
      <c r="G21" s="36">
        <v>1</v>
      </c>
      <c r="H21" s="13">
        <f t="shared" si="7"/>
        <v>8.2080000000000002</v>
      </c>
      <c r="I21" s="13">
        <f t="shared" si="8"/>
        <v>13.208</v>
      </c>
      <c r="J21" s="48">
        <f t="shared" si="9"/>
        <v>21.416</v>
      </c>
    </row>
    <row r="22" spans="1:10" s="5" customFormat="1" ht="15.95" customHeight="1" x14ac:dyDescent="0.2">
      <c r="A22" s="10" t="s">
        <v>83</v>
      </c>
      <c r="B22" s="36">
        <v>8.75</v>
      </c>
      <c r="C22" s="36">
        <v>8.75</v>
      </c>
      <c r="D22" s="36"/>
      <c r="E22" s="36"/>
      <c r="F22" s="36"/>
      <c r="G22" s="36"/>
      <c r="H22" s="13">
        <f t="shared" si="7"/>
        <v>16.957999999999998</v>
      </c>
      <c r="I22" s="13">
        <f t="shared" si="8"/>
        <v>21.957999999999998</v>
      </c>
      <c r="J22" s="48">
        <f t="shared" si="9"/>
        <v>38.915999999999997</v>
      </c>
    </row>
    <row r="23" spans="1:10" ht="22.5" customHeight="1" x14ac:dyDescent="0.25">
      <c r="A23" s="8" t="s">
        <v>46</v>
      </c>
      <c r="B23" s="36"/>
      <c r="C23" s="36"/>
      <c r="D23" s="13">
        <v>11</v>
      </c>
      <c r="E23" s="13">
        <v>16</v>
      </c>
      <c r="F23" s="37"/>
      <c r="G23" s="37"/>
      <c r="H23" s="13">
        <f t="shared" si="7"/>
        <v>5.9579999999999984</v>
      </c>
      <c r="I23" s="13">
        <f t="shared" si="8"/>
        <v>5.9579999999999984</v>
      </c>
      <c r="J23" s="48">
        <f t="shared" si="9"/>
        <v>11.915999999999997</v>
      </c>
    </row>
    <row r="24" spans="1:10" ht="15.95" customHeight="1" x14ac:dyDescent="0.25">
      <c r="A24" s="8" t="s">
        <v>49</v>
      </c>
      <c r="B24" s="8">
        <v>1.25</v>
      </c>
      <c r="C24" s="8">
        <v>1.25</v>
      </c>
      <c r="D24" s="32"/>
      <c r="E24" s="32"/>
      <c r="F24" s="32"/>
      <c r="G24" s="32"/>
      <c r="H24" s="13">
        <f t="shared" si="7"/>
        <v>7.2079999999999984</v>
      </c>
      <c r="I24" s="13">
        <f t="shared" si="8"/>
        <v>7.2079999999999984</v>
      </c>
      <c r="J24" s="48">
        <f t="shared" si="9"/>
        <v>14.415999999999997</v>
      </c>
    </row>
    <row r="25" spans="1:10" ht="15.95" customHeight="1" x14ac:dyDescent="0.25">
      <c r="A25" s="8" t="s">
        <v>47</v>
      </c>
      <c r="B25" s="8"/>
      <c r="C25" s="8"/>
      <c r="D25" s="32"/>
      <c r="E25" s="32"/>
      <c r="F25" s="32">
        <v>1</v>
      </c>
      <c r="G25" s="32"/>
      <c r="H25" s="13">
        <f t="shared" si="7"/>
        <v>6.2079999999999984</v>
      </c>
      <c r="I25" s="13">
        <f t="shared" si="8"/>
        <v>7.2079999999999984</v>
      </c>
      <c r="J25" s="48">
        <f t="shared" si="9"/>
        <v>13.415999999999997</v>
      </c>
    </row>
    <row r="26" spans="1:10" ht="15.95" customHeight="1" x14ac:dyDescent="0.25">
      <c r="A26" s="8" t="s">
        <v>48</v>
      </c>
      <c r="B26" s="8"/>
      <c r="C26" s="8"/>
      <c r="D26" s="32"/>
      <c r="E26" s="32"/>
      <c r="F26" s="32">
        <v>1</v>
      </c>
      <c r="G26" s="32"/>
      <c r="H26" s="13">
        <f t="shared" si="7"/>
        <v>5.2079999999999984</v>
      </c>
      <c r="I26" s="13">
        <f t="shared" si="8"/>
        <v>7.2079999999999984</v>
      </c>
      <c r="J26" s="48">
        <f t="shared" si="9"/>
        <v>12.415999999999997</v>
      </c>
    </row>
    <row r="27" spans="1:10" ht="15.95" customHeight="1" x14ac:dyDescent="0.25">
      <c r="A27" s="38" t="s">
        <v>50</v>
      </c>
      <c r="B27" s="38">
        <v>2.5</v>
      </c>
      <c r="C27" s="38">
        <v>2.5</v>
      </c>
      <c r="D27" s="39"/>
      <c r="E27" s="39"/>
      <c r="F27" s="39"/>
      <c r="G27" s="39"/>
      <c r="H27" s="13">
        <f t="shared" si="7"/>
        <v>7.7079999999999984</v>
      </c>
      <c r="I27" s="13">
        <f t="shared" si="8"/>
        <v>9.7079999999999984</v>
      </c>
      <c r="J27" s="48">
        <f t="shared" si="9"/>
        <v>17.415999999999997</v>
      </c>
    </row>
    <row r="28" spans="1:10" ht="18.95" customHeight="1" x14ac:dyDescent="0.25">
      <c r="A28" s="32" t="s">
        <v>51</v>
      </c>
      <c r="B28" s="40"/>
      <c r="C28" s="40"/>
      <c r="D28" s="40"/>
      <c r="E28" s="40"/>
      <c r="F28" s="32">
        <v>1</v>
      </c>
      <c r="G28" s="40"/>
      <c r="H28" s="13">
        <f t="shared" si="7"/>
        <v>6.7079999999999984</v>
      </c>
      <c r="I28" s="13">
        <f t="shared" si="8"/>
        <v>9.7079999999999984</v>
      </c>
      <c r="J28" s="48">
        <f t="shared" si="9"/>
        <v>16.415999999999997</v>
      </c>
    </row>
    <row r="29" spans="1:10" ht="18.95" customHeight="1" x14ac:dyDescent="0.25">
      <c r="A29" s="32" t="s">
        <v>52</v>
      </c>
      <c r="B29" s="40"/>
      <c r="C29" s="40"/>
      <c r="D29" s="40"/>
      <c r="E29" s="40"/>
      <c r="F29" s="32">
        <v>1</v>
      </c>
      <c r="G29" s="40"/>
      <c r="H29" s="13">
        <f t="shared" si="7"/>
        <v>5.7079999999999984</v>
      </c>
      <c r="I29" s="13">
        <f t="shared" si="8"/>
        <v>9.7079999999999984</v>
      </c>
      <c r="J29" s="48">
        <f t="shared" si="9"/>
        <v>15.415999999999997</v>
      </c>
    </row>
    <row r="30" spans="1:10" ht="18.95" customHeight="1" x14ac:dyDescent="0.25">
      <c r="A30" s="32" t="s">
        <v>53</v>
      </c>
      <c r="B30" s="40"/>
      <c r="C30" s="40"/>
      <c r="D30" s="40"/>
      <c r="E30" s="40"/>
      <c r="F30" s="32"/>
      <c r="G30" s="32">
        <v>3</v>
      </c>
      <c r="H30" s="13">
        <f t="shared" si="7"/>
        <v>5.7079999999999984</v>
      </c>
      <c r="I30" s="13">
        <f t="shared" si="8"/>
        <v>9.7079999999999984</v>
      </c>
      <c r="J30" s="48">
        <f t="shared" si="9"/>
        <v>15.415999999999997</v>
      </c>
    </row>
    <row r="31" spans="1:10" ht="18.95" customHeight="1" x14ac:dyDescent="0.25">
      <c r="A31" s="32" t="s">
        <v>54</v>
      </c>
      <c r="B31" s="32">
        <v>1.25</v>
      </c>
      <c r="C31" s="32">
        <v>1.25</v>
      </c>
      <c r="D31" s="40"/>
      <c r="E31" s="40"/>
      <c r="F31" s="32"/>
      <c r="G31" s="40"/>
      <c r="H31" s="13">
        <f t="shared" si="7"/>
        <v>6.9579999999999984</v>
      </c>
      <c r="I31" s="13">
        <f t="shared" si="8"/>
        <v>10.957999999999998</v>
      </c>
      <c r="J31" s="48">
        <f t="shared" si="9"/>
        <v>17.915999999999997</v>
      </c>
    </row>
    <row r="32" spans="1:10" ht="18.95" customHeight="1" x14ac:dyDescent="0.25">
      <c r="A32" s="32" t="s">
        <v>64</v>
      </c>
      <c r="B32" s="32"/>
      <c r="C32" s="32"/>
      <c r="D32" s="40"/>
      <c r="E32" s="40"/>
      <c r="F32" s="32">
        <v>1</v>
      </c>
      <c r="G32" s="40"/>
      <c r="H32" s="13">
        <f t="shared" si="7"/>
        <v>5.9579999999999984</v>
      </c>
      <c r="I32" s="13">
        <f t="shared" si="8"/>
        <v>10.957999999999998</v>
      </c>
      <c r="J32" s="48">
        <f t="shared" si="9"/>
        <v>16.915999999999997</v>
      </c>
    </row>
    <row r="33" spans="1:10" ht="18.95" customHeight="1" x14ac:dyDescent="0.25">
      <c r="A33" s="32" t="s">
        <v>55</v>
      </c>
      <c r="B33" s="32"/>
      <c r="C33" s="32"/>
      <c r="D33" s="40"/>
      <c r="E33" s="40"/>
      <c r="F33" s="46">
        <v>1</v>
      </c>
      <c r="G33" s="47"/>
      <c r="H33" s="13">
        <f t="shared" si="7"/>
        <v>4.9579999999999984</v>
      </c>
      <c r="I33" s="13">
        <f t="shared" si="8"/>
        <v>10.957999999999998</v>
      </c>
      <c r="J33" s="48">
        <f t="shared" si="9"/>
        <v>15.915999999999997</v>
      </c>
    </row>
    <row r="34" spans="1:10" ht="18.95" customHeight="1" x14ac:dyDescent="0.25">
      <c r="A34" s="32" t="s">
        <v>56</v>
      </c>
      <c r="B34" s="32">
        <v>1.25</v>
      </c>
      <c r="C34" s="32">
        <v>1.25</v>
      </c>
      <c r="D34" s="40"/>
      <c r="E34" s="40"/>
      <c r="F34" s="46"/>
      <c r="G34" s="47"/>
      <c r="H34" s="13">
        <f t="shared" si="7"/>
        <v>6.2079999999999984</v>
      </c>
      <c r="I34" s="13">
        <f t="shared" si="8"/>
        <v>12.207999999999998</v>
      </c>
      <c r="J34" s="48">
        <f t="shared" si="9"/>
        <v>18.415999999999997</v>
      </c>
    </row>
    <row r="35" spans="1:10" ht="18.95" customHeight="1" x14ac:dyDescent="0.25">
      <c r="A35" s="32" t="s">
        <v>57</v>
      </c>
      <c r="B35" s="32"/>
      <c r="C35" s="32"/>
      <c r="D35" s="40"/>
      <c r="E35" s="40"/>
      <c r="F35" s="46">
        <v>1</v>
      </c>
      <c r="G35" s="47"/>
      <c r="H35" s="13">
        <f t="shared" si="7"/>
        <v>5.2079999999999984</v>
      </c>
      <c r="I35" s="13">
        <f t="shared" si="8"/>
        <v>12.207999999999998</v>
      </c>
      <c r="J35" s="48">
        <f t="shared" si="9"/>
        <v>17.415999999999997</v>
      </c>
    </row>
    <row r="36" spans="1:10" ht="18.95" customHeight="1" x14ac:dyDescent="0.25">
      <c r="A36" s="32" t="s">
        <v>58</v>
      </c>
      <c r="B36" s="32"/>
      <c r="C36" s="32"/>
      <c r="D36" s="40"/>
      <c r="E36" s="32">
        <v>1</v>
      </c>
      <c r="F36" s="46"/>
      <c r="G36" s="47"/>
      <c r="H36" s="13">
        <f t="shared" ref="H36:H57" si="10">H35-F36-D36+B36</f>
        <v>5.2079999999999984</v>
      </c>
      <c r="I36" s="13">
        <f t="shared" ref="I36:I57" si="11">I35-E36+C36</f>
        <v>11.207999999999998</v>
      </c>
      <c r="J36" s="48">
        <f t="shared" ref="J36:J57" si="12">H36+I36</f>
        <v>16.415999999999997</v>
      </c>
    </row>
    <row r="37" spans="1:10" ht="18.95" customHeight="1" x14ac:dyDescent="0.25">
      <c r="A37" s="32" t="s">
        <v>59</v>
      </c>
      <c r="B37" s="32">
        <v>1.25</v>
      </c>
      <c r="C37" s="32">
        <v>1.25</v>
      </c>
      <c r="D37" s="40"/>
      <c r="E37" s="32"/>
      <c r="F37" s="46"/>
      <c r="G37" s="47"/>
      <c r="H37" s="13">
        <f t="shared" si="10"/>
        <v>6.4579999999999984</v>
      </c>
      <c r="I37" s="13">
        <f t="shared" si="11"/>
        <v>12.457999999999998</v>
      </c>
      <c r="J37" s="48">
        <f t="shared" si="12"/>
        <v>18.915999999999997</v>
      </c>
    </row>
    <row r="38" spans="1:10" ht="18.95" customHeight="1" x14ac:dyDescent="0.25">
      <c r="A38" s="32" t="s">
        <v>60</v>
      </c>
      <c r="B38" s="32"/>
      <c r="C38" s="32"/>
      <c r="D38" s="40"/>
      <c r="E38" s="32">
        <v>1</v>
      </c>
      <c r="F38" s="46"/>
      <c r="G38" s="47"/>
      <c r="H38" s="13">
        <f t="shared" si="10"/>
        <v>6.4579999999999984</v>
      </c>
      <c r="I38" s="13">
        <f t="shared" si="11"/>
        <v>11.457999999999998</v>
      </c>
      <c r="J38" s="48">
        <f t="shared" si="12"/>
        <v>17.915999999999997</v>
      </c>
    </row>
    <row r="39" spans="1:10" ht="18.95" customHeight="1" x14ac:dyDescent="0.25">
      <c r="A39" s="32" t="s">
        <v>61</v>
      </c>
      <c r="B39" s="32">
        <v>2.5</v>
      </c>
      <c r="C39" s="32">
        <v>2.5</v>
      </c>
      <c r="D39" s="40"/>
      <c r="E39" s="40"/>
      <c r="F39" s="46"/>
      <c r="G39" s="47"/>
      <c r="H39" s="13">
        <f t="shared" si="10"/>
        <v>8.9579999999999984</v>
      </c>
      <c r="I39" s="13">
        <f t="shared" si="11"/>
        <v>13.957999999999998</v>
      </c>
      <c r="J39" s="48">
        <f t="shared" si="12"/>
        <v>22.915999999999997</v>
      </c>
    </row>
    <row r="40" spans="1:10" ht="18.95" customHeight="1" x14ac:dyDescent="0.25">
      <c r="A40" s="32" t="s">
        <v>62</v>
      </c>
      <c r="B40" s="32"/>
      <c r="C40" s="32"/>
      <c r="D40" s="40"/>
      <c r="E40" s="40"/>
      <c r="F40" s="46">
        <v>1</v>
      </c>
      <c r="G40" s="47"/>
      <c r="H40" s="13">
        <f t="shared" si="10"/>
        <v>7.9579999999999984</v>
      </c>
      <c r="I40" s="13">
        <f t="shared" si="11"/>
        <v>13.957999999999998</v>
      </c>
      <c r="J40" s="48">
        <f t="shared" si="12"/>
        <v>21.915999999999997</v>
      </c>
    </row>
    <row r="41" spans="1:10" ht="18.95" customHeight="1" x14ac:dyDescent="0.25">
      <c r="A41" s="46" t="s">
        <v>63</v>
      </c>
      <c r="B41" s="46">
        <v>3.75</v>
      </c>
      <c r="C41" s="46">
        <v>3.75</v>
      </c>
      <c r="D41" s="47"/>
      <c r="E41" s="47"/>
      <c r="F41" s="47"/>
      <c r="G41" s="47"/>
      <c r="H41" s="13">
        <f t="shared" si="10"/>
        <v>11.707999999999998</v>
      </c>
      <c r="I41" s="13">
        <f t="shared" si="11"/>
        <v>17.707999999999998</v>
      </c>
      <c r="J41" s="48">
        <f t="shared" si="12"/>
        <v>29.415999999999997</v>
      </c>
    </row>
    <row r="42" spans="1:10" ht="18.95" customHeight="1" x14ac:dyDescent="0.25">
      <c r="A42" s="46" t="s">
        <v>88</v>
      </c>
      <c r="B42" s="47"/>
      <c r="C42" s="47"/>
      <c r="D42" s="46">
        <v>6.7080000000000002</v>
      </c>
      <c r="E42" s="46">
        <v>16.292000000000002</v>
      </c>
      <c r="F42" s="47"/>
      <c r="G42" s="47"/>
      <c r="H42" s="13">
        <f t="shared" si="10"/>
        <v>4.9999999999999982</v>
      </c>
      <c r="I42" s="13">
        <f t="shared" si="11"/>
        <v>1.4159999999999968</v>
      </c>
      <c r="J42" s="48">
        <f t="shared" si="12"/>
        <v>6.415999999999995</v>
      </c>
    </row>
    <row r="43" spans="1:10" ht="18.95" customHeight="1" x14ac:dyDescent="0.25">
      <c r="A43" s="46" t="s">
        <v>66</v>
      </c>
      <c r="B43" s="46">
        <v>3.75</v>
      </c>
      <c r="C43" s="46">
        <v>3.75</v>
      </c>
      <c r="D43" s="46"/>
      <c r="E43" s="46"/>
      <c r="F43" s="46"/>
      <c r="G43" s="47"/>
      <c r="H43" s="13">
        <f t="shared" si="10"/>
        <v>8.7499999999999982</v>
      </c>
      <c r="I43" s="13">
        <f t="shared" si="11"/>
        <v>5.1659999999999968</v>
      </c>
      <c r="J43" s="48">
        <f t="shared" si="12"/>
        <v>13.915999999999995</v>
      </c>
    </row>
    <row r="44" spans="1:10" ht="18.95" customHeight="1" x14ac:dyDescent="0.25">
      <c r="A44" s="46" t="s">
        <v>67</v>
      </c>
      <c r="B44" s="46"/>
      <c r="C44" s="46"/>
      <c r="D44" s="46"/>
      <c r="E44" s="46">
        <v>1</v>
      </c>
      <c r="F44" s="46"/>
      <c r="G44" s="47"/>
      <c r="H44" s="13">
        <f t="shared" si="10"/>
        <v>8.7499999999999982</v>
      </c>
      <c r="I44" s="13">
        <f t="shared" si="11"/>
        <v>4.1659999999999968</v>
      </c>
      <c r="J44" s="48">
        <f t="shared" si="12"/>
        <v>12.915999999999995</v>
      </c>
    </row>
    <row r="45" spans="1:10" ht="18.95" customHeight="1" x14ac:dyDescent="0.25">
      <c r="A45" s="46" t="s">
        <v>68</v>
      </c>
      <c r="B45" s="46">
        <v>1.25</v>
      </c>
      <c r="C45" s="46">
        <v>1.25</v>
      </c>
      <c r="D45" s="46"/>
      <c r="E45" s="46"/>
      <c r="F45" s="46"/>
      <c r="G45" s="47"/>
      <c r="H45" s="13">
        <f t="shared" si="10"/>
        <v>9.9999999999999982</v>
      </c>
      <c r="I45" s="13">
        <f t="shared" si="11"/>
        <v>5.4159999999999968</v>
      </c>
      <c r="J45" s="48">
        <f t="shared" si="12"/>
        <v>15.415999999999995</v>
      </c>
    </row>
    <row r="46" spans="1:10" ht="18.95" customHeight="1" x14ac:dyDescent="0.25">
      <c r="A46" s="46" t="s">
        <v>69</v>
      </c>
      <c r="B46" s="47"/>
      <c r="C46" s="47"/>
      <c r="D46" s="46"/>
      <c r="E46" s="46">
        <v>1</v>
      </c>
      <c r="F46" s="47"/>
      <c r="G46" s="47"/>
      <c r="H46" s="13">
        <f t="shared" si="10"/>
        <v>9.9999999999999982</v>
      </c>
      <c r="I46" s="13">
        <f t="shared" si="11"/>
        <v>4.4159999999999968</v>
      </c>
      <c r="J46" s="48">
        <f t="shared" si="12"/>
        <v>14.415999999999995</v>
      </c>
    </row>
    <row r="47" spans="1:10" ht="18.95" customHeight="1" x14ac:dyDescent="0.25">
      <c r="A47" s="46" t="s">
        <v>70</v>
      </c>
      <c r="B47" s="47"/>
      <c r="C47" s="47"/>
      <c r="D47" s="46"/>
      <c r="E47" s="46"/>
      <c r="F47" s="46">
        <v>1</v>
      </c>
      <c r="G47" s="47"/>
      <c r="H47" s="13">
        <f t="shared" si="10"/>
        <v>8.9999999999999982</v>
      </c>
      <c r="I47" s="13">
        <f t="shared" si="11"/>
        <v>4.4159999999999968</v>
      </c>
      <c r="J47" s="48">
        <f t="shared" si="12"/>
        <v>13.415999999999995</v>
      </c>
    </row>
    <row r="48" spans="1:10" ht="18.95" customHeight="1" x14ac:dyDescent="0.25">
      <c r="A48" s="46" t="s">
        <v>71</v>
      </c>
      <c r="B48" s="47"/>
      <c r="C48" s="47"/>
      <c r="D48" s="46"/>
      <c r="E48" s="46"/>
      <c r="F48" s="46"/>
      <c r="G48" s="46">
        <v>1</v>
      </c>
      <c r="H48" s="13">
        <f t="shared" si="10"/>
        <v>8.9999999999999982</v>
      </c>
      <c r="I48" s="13">
        <f t="shared" si="11"/>
        <v>4.4159999999999968</v>
      </c>
      <c r="J48" s="48">
        <f t="shared" si="12"/>
        <v>13.415999999999995</v>
      </c>
    </row>
    <row r="49" spans="1:10" ht="18.95" customHeight="1" x14ac:dyDescent="0.25">
      <c r="A49" s="46" t="s">
        <v>72</v>
      </c>
      <c r="B49" s="47"/>
      <c r="C49" s="47"/>
      <c r="D49" s="46"/>
      <c r="E49" s="46"/>
      <c r="F49" s="46"/>
      <c r="G49" s="46">
        <v>1</v>
      </c>
      <c r="H49" s="13">
        <f t="shared" si="10"/>
        <v>8.9999999999999982</v>
      </c>
      <c r="I49" s="13">
        <f t="shared" si="11"/>
        <v>4.4159999999999968</v>
      </c>
      <c r="J49" s="48">
        <f t="shared" si="12"/>
        <v>13.415999999999995</v>
      </c>
    </row>
    <row r="50" spans="1:10" ht="18.95" customHeight="1" x14ac:dyDescent="0.25">
      <c r="A50" s="46" t="s">
        <v>73</v>
      </c>
      <c r="B50" s="47"/>
      <c r="C50" s="47"/>
      <c r="D50" s="46"/>
      <c r="E50" s="46"/>
      <c r="F50" s="46"/>
      <c r="G50" s="46">
        <v>1</v>
      </c>
      <c r="H50" s="13">
        <f t="shared" si="10"/>
        <v>8.9999999999999982</v>
      </c>
      <c r="I50" s="13">
        <f t="shared" si="11"/>
        <v>4.4159999999999968</v>
      </c>
      <c r="J50" s="48">
        <f t="shared" si="12"/>
        <v>13.415999999999995</v>
      </c>
    </row>
    <row r="51" spans="1:10" ht="18.95" customHeight="1" x14ac:dyDescent="0.25">
      <c r="A51" s="46" t="s">
        <v>74</v>
      </c>
      <c r="B51" s="46">
        <v>1.25</v>
      </c>
      <c r="C51" s="46">
        <v>1.25</v>
      </c>
      <c r="D51" s="46"/>
      <c r="E51" s="46"/>
      <c r="F51" s="46"/>
      <c r="G51" s="46"/>
      <c r="H51" s="13">
        <f t="shared" si="10"/>
        <v>10.249999999999998</v>
      </c>
      <c r="I51" s="13">
        <f t="shared" si="11"/>
        <v>5.6659999999999968</v>
      </c>
      <c r="J51" s="48">
        <f t="shared" si="12"/>
        <v>15.915999999999995</v>
      </c>
    </row>
    <row r="52" spans="1:10" ht="18.95" customHeight="1" x14ac:dyDescent="0.25">
      <c r="A52" s="46" t="s">
        <v>75</v>
      </c>
      <c r="B52" s="46"/>
      <c r="C52" s="46"/>
      <c r="D52" s="46"/>
      <c r="E52" s="46"/>
      <c r="F52" s="46">
        <v>1</v>
      </c>
      <c r="G52" s="46"/>
      <c r="H52" s="13">
        <f t="shared" si="10"/>
        <v>9.2499999999999982</v>
      </c>
      <c r="I52" s="13">
        <f t="shared" si="11"/>
        <v>5.6659999999999968</v>
      </c>
      <c r="J52" s="48">
        <f t="shared" si="12"/>
        <v>14.915999999999995</v>
      </c>
    </row>
    <row r="53" spans="1:10" ht="18.95" customHeight="1" x14ac:dyDescent="0.25">
      <c r="A53" s="46" t="s">
        <v>76</v>
      </c>
      <c r="B53" s="46">
        <v>1.25</v>
      </c>
      <c r="C53" s="46">
        <v>1.25</v>
      </c>
      <c r="D53" s="46"/>
      <c r="E53" s="46"/>
      <c r="F53" s="46"/>
      <c r="G53" s="46"/>
      <c r="H53" s="13">
        <f t="shared" si="10"/>
        <v>10.499999999999998</v>
      </c>
      <c r="I53" s="13">
        <f t="shared" si="11"/>
        <v>6.9159999999999968</v>
      </c>
      <c r="J53" s="48">
        <f t="shared" si="12"/>
        <v>17.415999999999997</v>
      </c>
    </row>
    <row r="54" spans="1:10" ht="18.95" customHeight="1" x14ac:dyDescent="0.25">
      <c r="A54" s="46" t="s">
        <v>77</v>
      </c>
      <c r="B54" s="46"/>
      <c r="C54" s="46"/>
      <c r="D54" s="46"/>
      <c r="E54" s="46">
        <v>1</v>
      </c>
      <c r="F54" s="46"/>
      <c r="G54" s="46"/>
      <c r="H54" s="13">
        <f t="shared" si="10"/>
        <v>10.499999999999998</v>
      </c>
      <c r="I54" s="13">
        <f t="shared" si="11"/>
        <v>5.9159999999999968</v>
      </c>
      <c r="J54" s="48">
        <f t="shared" si="12"/>
        <v>16.415999999999997</v>
      </c>
    </row>
    <row r="55" spans="1:10" ht="18.95" customHeight="1" x14ac:dyDescent="0.25">
      <c r="A55" s="46" t="s">
        <v>78</v>
      </c>
      <c r="B55" s="46">
        <v>3.75</v>
      </c>
      <c r="C55" s="46">
        <v>3.75</v>
      </c>
      <c r="D55" s="46"/>
      <c r="E55" s="46"/>
      <c r="F55" s="46"/>
      <c r="G55" s="46"/>
      <c r="H55" s="13">
        <f t="shared" si="10"/>
        <v>14.249999999999998</v>
      </c>
      <c r="I55" s="13">
        <f t="shared" si="11"/>
        <v>9.6659999999999968</v>
      </c>
      <c r="J55" s="48">
        <f t="shared" si="12"/>
        <v>23.915999999999997</v>
      </c>
    </row>
    <row r="56" spans="1:10" ht="18.95" customHeight="1" x14ac:dyDescent="0.25">
      <c r="A56" s="46" t="s">
        <v>79</v>
      </c>
      <c r="B56" s="46"/>
      <c r="C56" s="46"/>
      <c r="D56" s="46"/>
      <c r="E56" s="46"/>
      <c r="F56" s="50">
        <v>1</v>
      </c>
      <c r="G56" s="46"/>
      <c r="H56" s="13">
        <f t="shared" si="10"/>
        <v>13.249999999999998</v>
      </c>
      <c r="I56" s="13">
        <f t="shared" si="11"/>
        <v>9.6659999999999968</v>
      </c>
      <c r="J56" s="48">
        <f t="shared" si="12"/>
        <v>22.915999999999997</v>
      </c>
    </row>
    <row r="57" spans="1:10" ht="18.95" customHeight="1" x14ac:dyDescent="0.25">
      <c r="A57" s="46" t="s">
        <v>84</v>
      </c>
      <c r="B57" s="46"/>
      <c r="C57" s="46"/>
      <c r="D57" s="46"/>
      <c r="E57" s="46">
        <v>1</v>
      </c>
      <c r="F57" s="46"/>
      <c r="G57" s="46"/>
      <c r="H57" s="13">
        <f t="shared" si="10"/>
        <v>13.249999999999998</v>
      </c>
      <c r="I57" s="13">
        <f t="shared" si="11"/>
        <v>8.6659999999999968</v>
      </c>
      <c r="J57" s="48">
        <f t="shared" si="12"/>
        <v>21.915999999999997</v>
      </c>
    </row>
    <row r="58" spans="1:10" ht="18.95" customHeight="1" x14ac:dyDescent="0.25">
      <c r="A58" s="46" t="s">
        <v>86</v>
      </c>
      <c r="B58" s="46">
        <v>2.5</v>
      </c>
      <c r="C58" s="46">
        <v>2.5</v>
      </c>
      <c r="D58" s="46"/>
      <c r="E58" s="46"/>
      <c r="F58" s="46"/>
      <c r="G58" s="46"/>
      <c r="H58" s="13">
        <f t="shared" ref="H58" si="13">H57-F58-D58+B58</f>
        <v>15.749999999999998</v>
      </c>
      <c r="I58" s="13">
        <f t="shared" ref="I58" si="14">I57-E58+C58</f>
        <v>11.165999999999997</v>
      </c>
      <c r="J58" s="48">
        <f t="shared" ref="J58" si="15">H58+I58</f>
        <v>26.915999999999997</v>
      </c>
    </row>
    <row r="59" spans="1:10" ht="18.95" customHeight="1" x14ac:dyDescent="0.25">
      <c r="A59" s="46" t="s">
        <v>87</v>
      </c>
      <c r="B59" s="46"/>
      <c r="C59" s="46"/>
      <c r="D59" s="46">
        <v>10</v>
      </c>
      <c r="E59" s="46"/>
      <c r="F59" s="46"/>
      <c r="G59" s="46"/>
      <c r="H59" s="13">
        <f t="shared" ref="H59" si="16">H58-F59-D59+B59</f>
        <v>5.7499999999999982</v>
      </c>
      <c r="I59" s="13">
        <f t="shared" ref="I59" si="17">I58-E59+C59</f>
        <v>11.165999999999997</v>
      </c>
      <c r="J59" s="48">
        <f t="shared" ref="J59" si="18">H59+I59</f>
        <v>16.915999999999997</v>
      </c>
    </row>
    <row r="60" spans="1:10" ht="18.95" customHeight="1" x14ac:dyDescent="0.25">
      <c r="A60" s="46" t="s">
        <v>89</v>
      </c>
      <c r="B60" s="46"/>
      <c r="C60" s="46"/>
      <c r="D60" s="46"/>
      <c r="E60" s="46">
        <v>1</v>
      </c>
      <c r="F60" s="46"/>
      <c r="G60" s="46"/>
      <c r="H60" s="13">
        <f t="shared" ref="H60" si="19">H59-F60-D60+B60</f>
        <v>5.7499999999999982</v>
      </c>
      <c r="I60" s="13">
        <f t="shared" ref="I60" si="20">I59-E60+C60</f>
        <v>10.165999999999997</v>
      </c>
      <c r="J60" s="48">
        <f t="shared" ref="J60" si="21">H60+I60</f>
        <v>15.915999999999995</v>
      </c>
    </row>
    <row r="61" spans="1:10" ht="18.95" customHeight="1" x14ac:dyDescent="0.25">
      <c r="A61" s="46" t="s">
        <v>90</v>
      </c>
      <c r="B61" s="46"/>
      <c r="C61" s="46"/>
      <c r="D61" s="46"/>
      <c r="E61" s="46"/>
      <c r="F61" s="50">
        <v>1</v>
      </c>
      <c r="G61" s="46"/>
      <c r="H61" s="13">
        <f t="shared" ref="H61" si="22">H60-F61-D61+B61</f>
        <v>4.7499999999999982</v>
      </c>
      <c r="I61" s="13">
        <f t="shared" ref="I61" si="23">I60-E61+C61</f>
        <v>10.165999999999997</v>
      </c>
      <c r="J61" s="48">
        <f t="shared" ref="J61" si="24">H61+I61</f>
        <v>14.915999999999995</v>
      </c>
    </row>
    <row r="62" spans="1:10" ht="18.95" customHeight="1" x14ac:dyDescent="0.25">
      <c r="A62" s="46" t="s">
        <v>91</v>
      </c>
      <c r="B62" s="46">
        <v>1.25</v>
      </c>
      <c r="C62" s="46">
        <v>1.25</v>
      </c>
      <c r="D62" s="46"/>
      <c r="E62" s="46"/>
      <c r="F62" s="46"/>
      <c r="G62" s="46"/>
      <c r="H62" s="13">
        <f t="shared" ref="H62:H63" si="25">H61-F62-D62+B62</f>
        <v>5.9999999999999982</v>
      </c>
      <c r="I62" s="13">
        <f t="shared" ref="I62:I63" si="26">I61-E62+C62</f>
        <v>11.415999999999997</v>
      </c>
      <c r="J62" s="48">
        <f t="shared" ref="J62:J63" si="27">H62+I62</f>
        <v>17.415999999999997</v>
      </c>
    </row>
    <row r="63" spans="1:10" ht="18.95" customHeight="1" x14ac:dyDescent="0.25">
      <c r="A63" s="46" t="s">
        <v>92</v>
      </c>
      <c r="B63" s="46"/>
      <c r="C63" s="46"/>
      <c r="D63" s="46"/>
      <c r="E63" s="46">
        <v>1</v>
      </c>
      <c r="F63" s="46"/>
      <c r="G63" s="46"/>
      <c r="H63" s="13">
        <f t="shared" si="25"/>
        <v>5.9999999999999982</v>
      </c>
      <c r="I63" s="13">
        <f t="shared" si="26"/>
        <v>10.415999999999997</v>
      </c>
      <c r="J63" s="48">
        <f t="shared" si="27"/>
        <v>16.415999999999997</v>
      </c>
    </row>
    <row r="64" spans="1:10" ht="18.95" customHeight="1" x14ac:dyDescent="0.25">
      <c r="A64" s="46" t="s">
        <v>93</v>
      </c>
      <c r="B64" s="46">
        <v>2.5</v>
      </c>
      <c r="C64" s="46">
        <v>2.5</v>
      </c>
      <c r="D64" s="46"/>
      <c r="E64" s="46"/>
      <c r="F64" s="46"/>
      <c r="G64" s="46"/>
      <c r="H64" s="13">
        <f t="shared" ref="H64:H65" si="28">H63-F64-D64+B64</f>
        <v>8.4999999999999982</v>
      </c>
      <c r="I64" s="13">
        <f t="shared" ref="I64:I65" si="29">I63-E64+C64</f>
        <v>12.915999999999997</v>
      </c>
      <c r="J64" s="48">
        <f t="shared" ref="J64:J65" si="30">H64+I64</f>
        <v>21.415999999999997</v>
      </c>
    </row>
    <row r="65" spans="1:10" ht="18.95" customHeight="1" x14ac:dyDescent="0.25">
      <c r="A65" s="46" t="s">
        <v>94</v>
      </c>
      <c r="B65" s="46"/>
      <c r="C65" s="46"/>
      <c r="D65" s="46">
        <v>0.5</v>
      </c>
      <c r="E65" s="46"/>
      <c r="F65" s="46"/>
      <c r="G65" s="46"/>
      <c r="H65" s="13">
        <f t="shared" si="28"/>
        <v>7.9999999999999982</v>
      </c>
      <c r="I65" s="13">
        <f t="shared" si="29"/>
        <v>12.915999999999997</v>
      </c>
      <c r="J65" s="48">
        <f t="shared" si="30"/>
        <v>20.915999999999997</v>
      </c>
    </row>
    <row r="66" spans="1:10" ht="18.95" customHeight="1" x14ac:dyDescent="0.25">
      <c r="A66" s="71"/>
      <c r="B66" s="71"/>
      <c r="C66" s="71"/>
      <c r="D66" s="71"/>
      <c r="E66" s="71"/>
      <c r="F66" s="71"/>
      <c r="G66" s="71"/>
      <c r="H66" s="72"/>
      <c r="I66" s="72"/>
      <c r="J66" s="73"/>
    </row>
    <row r="67" spans="1:10" ht="18.95" customHeight="1" x14ac:dyDescent="0.25">
      <c r="A67" s="41"/>
      <c r="B67" s="42"/>
      <c r="C67" s="42"/>
      <c r="D67" s="42"/>
      <c r="E67" s="42"/>
      <c r="F67" s="42"/>
      <c r="G67" s="42"/>
      <c r="H67" s="43"/>
      <c r="I67" s="43"/>
      <c r="J67" s="44"/>
    </row>
    <row r="68" spans="1:10" s="1" customFormat="1" x14ac:dyDescent="0.25">
      <c r="G68" s="1" t="s">
        <v>37</v>
      </c>
    </row>
    <row r="69" spans="1:10" s="1" customFormat="1" x14ac:dyDescent="0.25"/>
    <row r="70" spans="1:10" s="1" customFormat="1" x14ac:dyDescent="0.25">
      <c r="H70" s="49" t="s">
        <v>38</v>
      </c>
    </row>
    <row r="71" spans="1:10" s="1" customFormat="1" x14ac:dyDescent="0.25">
      <c r="H71" s="45" t="s">
        <v>39</v>
      </c>
    </row>
    <row r="72" spans="1:10" s="1" customFormat="1" x14ac:dyDescent="0.25">
      <c r="H72" s="45" t="s">
        <v>65</v>
      </c>
    </row>
  </sheetData>
  <mergeCells count="13">
    <mergeCell ref="B7:D7"/>
    <mergeCell ref="B9:D9"/>
    <mergeCell ref="A2:J2"/>
    <mergeCell ref="A3:J3"/>
    <mergeCell ref="A4:J4"/>
    <mergeCell ref="A5:J5"/>
    <mergeCell ref="A10:J10"/>
    <mergeCell ref="A13:J13"/>
    <mergeCell ref="A11:A12"/>
    <mergeCell ref="J11:J12"/>
    <mergeCell ref="B11:C11"/>
    <mergeCell ref="D11:F11"/>
    <mergeCell ref="H11:I11"/>
  </mergeCells>
  <phoneticPr fontId="5" type="noConversion"/>
  <printOptions horizontalCentered="1"/>
  <pageMargins left="0.5" right="0.5" top="0.5" bottom="0.5" header="0.31496062992126" footer="0.31496062992126"/>
  <pageSetup paperSize="9" scale="6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view="pageBreakPreview" zoomScale="98" zoomScaleNormal="100" zoomScaleSheetLayoutView="98" workbookViewId="0">
      <selection activeCell="O8" sqref="O8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66" t="s">
        <v>11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s="1" customFormat="1" ht="15.95" customHeight="1" x14ac:dyDescent="0.25">
      <c r="A3" s="66" t="s">
        <v>12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s="1" customFormat="1" ht="15.95" customHeight="1" x14ac:dyDescent="0.25">
      <c r="A4" s="66" t="s">
        <v>13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s="1" customFormat="1" ht="15.95" customHeight="1" x14ac:dyDescent="0.25">
      <c r="A5" s="66" t="s">
        <v>14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15</v>
      </c>
      <c r="B8" s="22"/>
      <c r="C8" s="67" t="s">
        <v>16</v>
      </c>
      <c r="D8" s="67"/>
      <c r="E8" s="67"/>
      <c r="F8" s="67"/>
      <c r="G8" s="67"/>
      <c r="I8" s="67" t="s">
        <v>17</v>
      </c>
      <c r="J8" s="67"/>
      <c r="K8" s="67"/>
      <c r="L8" s="22"/>
    </row>
    <row r="9" spans="1:12" s="1" customFormat="1" ht="12" customHeight="1" x14ac:dyDescent="0.25">
      <c r="B9" s="23"/>
      <c r="C9" s="67" t="s">
        <v>18</v>
      </c>
      <c r="D9" s="67"/>
      <c r="E9" s="67"/>
      <c r="F9" s="67"/>
      <c r="G9" s="67"/>
      <c r="I9" s="68" t="s">
        <v>19</v>
      </c>
      <c r="J9" s="68"/>
      <c r="K9" s="68"/>
      <c r="L9" s="23"/>
    </row>
    <row r="10" spans="1:12" s="1" customFormat="1" ht="12" customHeight="1" x14ac:dyDescent="0.25">
      <c r="A10" s="22" t="s">
        <v>20</v>
      </c>
      <c r="B10" s="22"/>
      <c r="C10" s="24"/>
      <c r="D10" s="23"/>
      <c r="E10" s="23"/>
      <c r="I10" s="67" t="s">
        <v>21</v>
      </c>
      <c r="J10" s="67"/>
      <c r="K10" s="67"/>
      <c r="L10" s="22"/>
    </row>
    <row r="11" spans="1:12" ht="16.5" customHeight="1" thickBot="1" x14ac:dyDescent="0.3">
      <c r="A11" s="69" t="s">
        <v>22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</row>
    <row r="12" spans="1:12" s="28" customFormat="1" ht="48" x14ac:dyDescent="0.2">
      <c r="A12" s="25" t="s">
        <v>4</v>
      </c>
      <c r="B12" s="26" t="s">
        <v>23</v>
      </c>
      <c r="C12" s="26" t="s">
        <v>24</v>
      </c>
      <c r="D12" s="26" t="s">
        <v>25</v>
      </c>
      <c r="E12" s="26" t="s">
        <v>26</v>
      </c>
      <c r="F12" s="26" t="s">
        <v>27</v>
      </c>
      <c r="G12" s="26" t="s">
        <v>28</v>
      </c>
      <c r="H12" s="26" t="s">
        <v>29</v>
      </c>
      <c r="I12" s="26" t="s">
        <v>30</v>
      </c>
      <c r="J12" s="26" t="s">
        <v>31</v>
      </c>
      <c r="K12" s="26" t="s">
        <v>32</v>
      </c>
      <c r="L12" s="27" t="s">
        <v>8</v>
      </c>
    </row>
    <row r="13" spans="1:12" s="28" customFormat="1" x14ac:dyDescent="0.2">
      <c r="A13" s="12"/>
      <c r="B13" s="8"/>
      <c r="C13" s="10"/>
      <c r="D13" s="10"/>
      <c r="E13" s="8"/>
      <c r="F13" s="8"/>
      <c r="G13" s="8"/>
      <c r="H13" s="10"/>
      <c r="I13" s="8"/>
      <c r="J13" s="8"/>
      <c r="K13" s="8"/>
      <c r="L13" s="11"/>
    </row>
    <row r="14" spans="1:12" s="28" customFormat="1" x14ac:dyDescent="0.2">
      <c r="A14" s="12"/>
      <c r="B14" s="8"/>
      <c r="C14" s="10"/>
      <c r="D14" s="10"/>
      <c r="E14" s="8"/>
      <c r="F14" s="8"/>
      <c r="G14" s="8"/>
      <c r="H14" s="10"/>
      <c r="I14" s="8"/>
      <c r="J14" s="8"/>
      <c r="K14" s="8"/>
      <c r="L14" s="11"/>
    </row>
    <row r="15" spans="1:12" s="29" customFormat="1" x14ac:dyDescent="0.2">
      <c r="A15" s="30"/>
      <c r="B15" s="8"/>
      <c r="C15" s="10"/>
      <c r="D15" s="10"/>
      <c r="E15" s="8"/>
      <c r="F15" s="8"/>
      <c r="G15" s="8"/>
      <c r="H15" s="10"/>
      <c r="I15" s="8"/>
      <c r="J15" s="8"/>
      <c r="K15" s="8"/>
      <c r="L15" s="11"/>
    </row>
    <row r="16" spans="1:12" s="29" customFormat="1" x14ac:dyDescent="0.2">
      <c r="A16" s="31"/>
      <c r="B16" s="8"/>
      <c r="C16" s="10"/>
      <c r="D16" s="10"/>
      <c r="E16" s="8"/>
      <c r="F16" s="8"/>
      <c r="G16" s="8"/>
      <c r="H16" s="10"/>
      <c r="I16" s="8"/>
      <c r="J16" s="8"/>
      <c r="K16" s="8"/>
      <c r="L16" s="11"/>
    </row>
    <row r="17" spans="1:12" s="29" customFormat="1" x14ac:dyDescent="0.2">
      <c r="A17" s="10"/>
      <c r="B17" s="8"/>
      <c r="C17" s="10"/>
      <c r="D17" s="10"/>
      <c r="E17" s="8"/>
      <c r="F17" s="8"/>
      <c r="G17" s="8"/>
      <c r="H17" s="10"/>
      <c r="I17" s="8"/>
      <c r="J17" s="8"/>
      <c r="K17" s="8"/>
      <c r="L17" s="11"/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2025-10-24T02:41:31Z</cp:lastPrinted>
  <dcterms:created xsi:type="dcterms:W3CDTF">2021-10-07T06:10:16Z</dcterms:created>
  <dcterms:modified xsi:type="dcterms:W3CDTF">2025-10-24T02:42:43Z</dcterms:modified>
</cp:coreProperties>
</file>