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NON-TEACHING PERSONNEL\"/>
    </mc:Choice>
  </mc:AlternateContent>
  <xr:revisionPtr revIDLastSave="0" documentId="13_ncr:1_{0E241B92-7D7F-44C3-861D-04D8326E7BD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RRECTED" sheetId="9" r:id="rId1"/>
    <sheet name="CTO" sheetId="8" r:id="rId2"/>
    <sheet name="ELECTION" sheetId="7" r:id="rId3"/>
    <sheet name="Leave Card (NE)" sheetId="6" r:id="rId4"/>
  </sheets>
  <definedNames>
    <definedName name="_xlnm.Print_Area" localSheetId="0">CORRECTED!$A$1:$J$28</definedName>
    <definedName name="_xlnm.Print_Area" localSheetId="3">'Leave Card (NE)'!$A$1:$J$91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9" i="9" l="1"/>
  <c r="J19" i="9" s="1"/>
  <c r="I19" i="9"/>
  <c r="I20" i="9" s="1"/>
  <c r="I13" i="9"/>
  <c r="I14" i="9" s="1"/>
  <c r="I15" i="9" s="1"/>
  <c r="I16" i="9" s="1"/>
  <c r="I17" i="9" s="1"/>
  <c r="I18" i="9" s="1"/>
  <c r="H13" i="9"/>
  <c r="H82" i="6"/>
  <c r="J82" i="6" s="1"/>
  <c r="I82" i="6"/>
  <c r="I83" i="6" s="1"/>
  <c r="I84" i="6" s="1"/>
  <c r="B14" i="6"/>
  <c r="I13" i="6"/>
  <c r="I14" i="6" s="1"/>
  <c r="I15" i="6" s="1"/>
  <c r="I16" i="6" s="1"/>
  <c r="I17" i="6" s="1"/>
  <c r="I18" i="6" s="1"/>
  <c r="I19" i="6" s="1"/>
  <c r="I20" i="6" s="1"/>
  <c r="I21" i="6" s="1"/>
  <c r="I22" i="6" s="1"/>
  <c r="I23" i="6" s="1"/>
  <c r="I24" i="6" s="1"/>
  <c r="I25" i="6" s="1"/>
  <c r="I26" i="6" s="1"/>
  <c r="I27" i="6" s="1"/>
  <c r="I28" i="6" s="1"/>
  <c r="I29" i="6" s="1"/>
  <c r="I30" i="6" s="1"/>
  <c r="I31" i="6" s="1"/>
  <c r="I32" i="6" s="1"/>
  <c r="I33" i="6" s="1"/>
  <c r="I34" i="6" s="1"/>
  <c r="I35" i="6" s="1"/>
  <c r="I36" i="6" s="1"/>
  <c r="I37" i="6" s="1"/>
  <c r="I38" i="6" s="1"/>
  <c r="I39" i="6" s="1"/>
  <c r="I40" i="6" s="1"/>
  <c r="I41" i="6" s="1"/>
  <c r="I42" i="6" s="1"/>
  <c r="I43" i="6" s="1"/>
  <c r="I44" i="6" s="1"/>
  <c r="I45" i="6" s="1"/>
  <c r="I46" i="6" s="1"/>
  <c r="I47" i="6" s="1"/>
  <c r="I48" i="6" s="1"/>
  <c r="I49" i="6" s="1"/>
  <c r="I50" i="6" s="1"/>
  <c r="I51" i="6" s="1"/>
  <c r="I52" i="6" s="1"/>
  <c r="I53" i="6" s="1"/>
  <c r="I54" i="6" s="1"/>
  <c r="I55" i="6" s="1"/>
  <c r="I56" i="6" s="1"/>
  <c r="I57" i="6" s="1"/>
  <c r="I58" i="6" s="1"/>
  <c r="I59" i="6" s="1"/>
  <c r="I60" i="6" s="1"/>
  <c r="I61" i="6" s="1"/>
  <c r="I62" i="6" s="1"/>
  <c r="I63" i="6" s="1"/>
  <c r="I64" i="6" s="1"/>
  <c r="I65" i="6" s="1"/>
  <c r="I66" i="6" s="1"/>
  <c r="I67" i="6" s="1"/>
  <c r="I68" i="6" s="1"/>
  <c r="I69" i="6" s="1"/>
  <c r="I70" i="6" s="1"/>
  <c r="I71" i="6" s="1"/>
  <c r="I72" i="6" s="1"/>
  <c r="I73" i="6" s="1"/>
  <c r="I74" i="6" s="1"/>
  <c r="I75" i="6" s="1"/>
  <c r="I76" i="6" s="1"/>
  <c r="I77" i="6" s="1"/>
  <c r="I78" i="6" s="1"/>
  <c r="I79" i="6" s="1"/>
  <c r="I80" i="6" s="1"/>
  <c r="I81" i="6" s="1"/>
  <c r="H13" i="6"/>
  <c r="H20" i="9" l="1"/>
  <c r="J20" i="9" s="1"/>
  <c r="H14" i="9"/>
  <c r="H15" i="9" s="1"/>
  <c r="H16" i="9" s="1"/>
  <c r="J13" i="9"/>
  <c r="H83" i="6"/>
  <c r="H14" i="6"/>
  <c r="H15" i="6" s="1"/>
  <c r="H16" i="6" s="1"/>
  <c r="B46" i="6"/>
  <c r="J16" i="9" l="1"/>
  <c r="H17" i="9"/>
  <c r="J14" i="9"/>
  <c r="J15" i="9"/>
  <c r="J83" i="6"/>
  <c r="H84" i="6"/>
  <c r="J84" i="6" s="1"/>
  <c r="H17" i="6"/>
  <c r="J16" i="6"/>
  <c r="J14" i="6"/>
  <c r="J15" i="6"/>
  <c r="J17" i="9" l="1"/>
  <c r="H18" i="9"/>
  <c r="J18" i="9" s="1"/>
  <c r="H18" i="6"/>
  <c r="J17" i="6"/>
  <c r="J13" i="6"/>
  <c r="H19" i="6" l="1"/>
  <c r="J18" i="6"/>
  <c r="J19" i="6" l="1"/>
  <c r="H20" i="6"/>
  <c r="J20" i="6" l="1"/>
  <c r="H21" i="6"/>
  <c r="H22" i="6" l="1"/>
  <c r="J21" i="6"/>
  <c r="H23" i="6" l="1"/>
  <c r="J22" i="6"/>
  <c r="J23" i="6" l="1"/>
  <c r="H24" i="6"/>
  <c r="H25" i="6" l="1"/>
  <c r="J24" i="6"/>
  <c r="H26" i="6" l="1"/>
  <c r="J25" i="6"/>
  <c r="H27" i="6" l="1"/>
  <c r="J26" i="6"/>
  <c r="J27" i="6" l="1"/>
  <c r="H28" i="6"/>
  <c r="J28" i="6" l="1"/>
  <c r="H29" i="6"/>
  <c r="J29" i="6" l="1"/>
  <c r="H30" i="6"/>
  <c r="H31" i="6" l="1"/>
  <c r="J30" i="6"/>
  <c r="J31" i="6" l="1"/>
  <c r="H32" i="6"/>
  <c r="H33" i="6" l="1"/>
  <c r="J32" i="6"/>
  <c r="J33" i="6" l="1"/>
  <c r="H34" i="6"/>
  <c r="H35" i="6" l="1"/>
  <c r="J34" i="6"/>
  <c r="J35" i="6" l="1"/>
  <c r="H36" i="6"/>
  <c r="H37" i="6" l="1"/>
  <c r="J36" i="6"/>
  <c r="H38" i="6" l="1"/>
  <c r="J37" i="6"/>
  <c r="H39" i="6" l="1"/>
  <c r="J38" i="6"/>
  <c r="J39" i="6" l="1"/>
  <c r="H40" i="6"/>
  <c r="H41" i="6" l="1"/>
  <c r="J40" i="6"/>
  <c r="H42" i="6" l="1"/>
  <c r="J41" i="6"/>
  <c r="H43" i="6" l="1"/>
  <c r="J42" i="6"/>
  <c r="J43" i="6" l="1"/>
  <c r="H44" i="6"/>
  <c r="J44" i="6" l="1"/>
  <c r="H45" i="6"/>
  <c r="J45" i="6" l="1"/>
  <c r="H46" i="6"/>
  <c r="J46" i="6" l="1"/>
  <c r="H47" i="6"/>
  <c r="J47" i="6" l="1"/>
  <c r="H48" i="6"/>
  <c r="H49" i="6" l="1"/>
  <c r="J48" i="6"/>
  <c r="J49" i="6" l="1"/>
  <c r="H50" i="6"/>
  <c r="H51" i="6" l="1"/>
  <c r="J50" i="6"/>
  <c r="J51" i="6" l="1"/>
  <c r="H52" i="6"/>
  <c r="J52" i="6" l="1"/>
  <c r="H53" i="6"/>
  <c r="H54" i="6" l="1"/>
  <c r="J53" i="6"/>
  <c r="H55" i="6" l="1"/>
  <c r="J54" i="6"/>
  <c r="H56" i="6" l="1"/>
  <c r="J55" i="6"/>
  <c r="H57" i="6" l="1"/>
  <c r="J56" i="6"/>
  <c r="J57" i="6" l="1"/>
  <c r="H58" i="6"/>
  <c r="H59" i="6" l="1"/>
  <c r="J58" i="6"/>
  <c r="H60" i="6" l="1"/>
  <c r="J59" i="6"/>
  <c r="J60" i="6" l="1"/>
  <c r="H61" i="6"/>
  <c r="H62" i="6" l="1"/>
  <c r="J61" i="6"/>
  <c r="H63" i="6" l="1"/>
  <c r="J62" i="6"/>
  <c r="J63" i="6" l="1"/>
  <c r="H64" i="6"/>
  <c r="H65" i="6" l="1"/>
  <c r="J64" i="6"/>
  <c r="J65" i="6" l="1"/>
  <c r="H66" i="6"/>
  <c r="H67" i="6" l="1"/>
  <c r="J66" i="6"/>
  <c r="H68" i="6" l="1"/>
  <c r="J67" i="6"/>
  <c r="J68" i="6" l="1"/>
  <c r="H69" i="6"/>
  <c r="J69" i="6" l="1"/>
  <c r="H70" i="6"/>
  <c r="H71" i="6" l="1"/>
  <c r="J70" i="6"/>
  <c r="H72" i="6" l="1"/>
  <c r="J71" i="6"/>
  <c r="J72" i="6" l="1"/>
  <c r="H73" i="6"/>
  <c r="H74" i="6" l="1"/>
  <c r="J73" i="6"/>
  <c r="J74" i="6" l="1"/>
  <c r="H75" i="6"/>
  <c r="H76" i="6" l="1"/>
  <c r="J75" i="6"/>
  <c r="H77" i="6" l="1"/>
  <c r="J76" i="6"/>
  <c r="J77" i="6" l="1"/>
  <c r="H78" i="6"/>
  <c r="J78" i="6" l="1"/>
  <c r="H79" i="6"/>
  <c r="J79" i="6" l="1"/>
  <c r="H80" i="6"/>
  <c r="J80" i="6" l="1"/>
  <c r="H81" i="6"/>
  <c r="J81" i="6" s="1"/>
</calcChain>
</file>

<file path=xl/sharedStrings.xml><?xml version="1.0" encoding="utf-8"?>
<sst xmlns="http://schemas.openxmlformats.org/spreadsheetml/2006/main" count="206" uniqueCount="144">
  <si>
    <t>SERVICE LEAVE CARD</t>
  </si>
  <si>
    <t>VACATION</t>
  </si>
  <si>
    <t>SICK</t>
  </si>
  <si>
    <t>FORCED</t>
  </si>
  <si>
    <t>PERIOD COVERED</t>
  </si>
  <si>
    <t>LEAVE EARNED</t>
  </si>
  <si>
    <t>LEAVE SPENT</t>
  </si>
  <si>
    <t>BALANCE</t>
  </si>
  <si>
    <t>TOTAL</t>
  </si>
  <si>
    <t>EMP. NO  :</t>
  </si>
  <si>
    <t>STATION   :</t>
  </si>
  <si>
    <t>DATE FILED/RECEIVED</t>
  </si>
  <si>
    <t>LESS: 01/18/22</t>
  </si>
  <si>
    <t>LESS: 01/21/22</t>
  </si>
  <si>
    <t>ADD: 01/01/22 - 05/31/22</t>
  </si>
  <si>
    <t>LESS: 06/07 &amp; 08/ 22</t>
  </si>
  <si>
    <t>ADD: 06/01/22 - 06/30/22</t>
  </si>
  <si>
    <t>LESS: 07/11/22</t>
  </si>
  <si>
    <t>ADD: 07/01/22 - 07/31/22</t>
  </si>
  <si>
    <t>ADD: 08/01/22 - 08/31/22</t>
  </si>
  <si>
    <t>LESS: MONETIZATION 2022</t>
  </si>
  <si>
    <t>ADD: 09/01/22 - 09/30/22</t>
  </si>
  <si>
    <t>LESS: 10/21/22</t>
  </si>
  <si>
    <t>LESS: 11/2/22</t>
  </si>
  <si>
    <t>ADD: 10/01/22 - 10/31/22</t>
  </si>
  <si>
    <t>LESS: 11/29/22</t>
  </si>
  <si>
    <t>ADD: 11/01/22 - 12/31/22</t>
  </si>
  <si>
    <t>LESS: 12/29/22 (am)</t>
  </si>
  <si>
    <t>LESS: 01/18/23</t>
  </si>
  <si>
    <t>ADD: DISAPPROVED FL</t>
  </si>
  <si>
    <t>LESS: 01/23/23</t>
  </si>
  <si>
    <t>LESS: 01/31/23</t>
  </si>
  <si>
    <t>ADD: 01/01/23 - 01/31/23</t>
  </si>
  <si>
    <t>LESS: 02/06/23</t>
  </si>
  <si>
    <t>LESS: 05/31/2023</t>
  </si>
  <si>
    <t>LESS: 06/05/23 (AM)</t>
  </si>
  <si>
    <t>LESS: 06/09/23</t>
  </si>
  <si>
    <t>SPECIAL LEAVE</t>
  </si>
  <si>
    <t>Republic of the Philippines</t>
  </si>
  <si>
    <t>Department of Education</t>
  </si>
  <si>
    <t>REGION VI-WESTERN VISAYAS</t>
  </si>
  <si>
    <t>SCHOOLS DIVISION OF SIPALAY CITY</t>
  </si>
  <si>
    <t>Name: _____________________________</t>
  </si>
  <si>
    <t>DISTRICT: ___________________________</t>
  </si>
  <si>
    <t>POSITION: __________________________</t>
  </si>
  <si>
    <t>SCHOOL/OFFICE:_____________________</t>
  </si>
  <si>
    <t>ADD: 03/27/2019 - 03/31/2019</t>
  </si>
  <si>
    <t>ADD: 04/01/2019 - 12/31/2019</t>
  </si>
  <si>
    <t>LESS: 09/06/2019</t>
  </si>
  <si>
    <t>ADD: 01/01/2020 - 12/31/2020</t>
  </si>
  <si>
    <t>LESS: MONETIZATION 2020</t>
  </si>
  <si>
    <t>LESS: FL 2020</t>
  </si>
  <si>
    <t>ADD: 01/01/2021 - 12/31/2021</t>
  </si>
  <si>
    <t>LESS: MONETIZATION 2021</t>
  </si>
  <si>
    <t>LESS: 11/02/2021</t>
  </si>
  <si>
    <t>LESS: FL 2021</t>
  </si>
  <si>
    <t>ADD: 02/01/2023-05/31/2023</t>
  </si>
  <si>
    <t>ADD: 06/01/2023-08/31/2023</t>
  </si>
  <si>
    <t>LESS: MONETIZATION 2023</t>
  </si>
  <si>
    <t>Certified Correct:</t>
  </si>
  <si>
    <t>MA. LUISA B. CATIGAN</t>
  </si>
  <si>
    <t>Administrative Officer IV</t>
  </si>
  <si>
    <t>HRMO</t>
  </si>
  <si>
    <t>ADD: 09/01/2023-09/30/2023</t>
  </si>
  <si>
    <t>LESS: 11/03/2023</t>
  </si>
  <si>
    <t>ADD: 10/01/2023-11/30/2023</t>
  </si>
  <si>
    <t>LESS: 12/28-29/2023</t>
  </si>
  <si>
    <t>ADD: 12/01/2023-12/31/2023</t>
  </si>
  <si>
    <t>DISTRICT                : _______________________</t>
  </si>
  <si>
    <t>EMPLOYEE NO    : __________</t>
  </si>
  <si>
    <t>SCHOOL/OFFICE : OSDS</t>
  </si>
  <si>
    <t>STATION CODE    : __________</t>
  </si>
  <si>
    <t>DIVISION CODE   : __________</t>
  </si>
  <si>
    <t>SPECIAL ORDER FOR ELECTION (NATONAL/BARANGAY AND SK ELECTION)</t>
  </si>
  <si>
    <t>No. of Days Granted</t>
  </si>
  <si>
    <t>No. of Days Used</t>
  </si>
  <si>
    <t>Balance</t>
  </si>
  <si>
    <t>MAY 09, 2022, NATIONAL AND LOCAL ELECTION</t>
  </si>
  <si>
    <t>NAME          :  SOLOMON, QUEEN ANN A.</t>
  </si>
  <si>
    <t>POSITION   : ADAS III</t>
  </si>
  <si>
    <t>LESS: 01/02/2024</t>
  </si>
  <si>
    <t>LESS: 01/15/2024</t>
  </si>
  <si>
    <t>LESS: 01/18/2024</t>
  </si>
  <si>
    <t>ADD:(DISAPPROVED FL- 12/28/2023)</t>
  </si>
  <si>
    <t>ADD: 01/01-31/2024</t>
  </si>
  <si>
    <t>ADD: 02/01/2024-02/29/2024</t>
  </si>
  <si>
    <t>LESS: 02/12/2024</t>
  </si>
  <si>
    <t>LESS: 02/21/2024</t>
  </si>
  <si>
    <t>ADD: 03/01-31/2024</t>
  </si>
  <si>
    <t>LESS: 03/14/2024</t>
  </si>
  <si>
    <t>LESS: 05/27/2024</t>
  </si>
  <si>
    <t>ADD: 04/1-30/2024-05/31/2024</t>
  </si>
  <si>
    <t>LESS: 06/6/2024</t>
  </si>
  <si>
    <t>LESS: 06/11/2024</t>
  </si>
  <si>
    <t>COMPENSATORY TIME OFF (CTO)</t>
  </si>
  <si>
    <t>Special Order No. and Date Issued</t>
  </si>
  <si>
    <t>NOTE:  Valid for one (1) year only</t>
  </si>
  <si>
    <t>ADD: 01/18/2023</t>
  </si>
  <si>
    <t>SO # 001, S. 2023 126TH ANNIVERSARY MARTYDOM OF JOSE P . RIZAL</t>
  </si>
  <si>
    <t>ADD: 06/1-30/2024</t>
  </si>
  <si>
    <t>LESS: 07/9/2024 (UNDERTIME: PM)</t>
  </si>
  <si>
    <t>LESS: 07/10/2024</t>
  </si>
  <si>
    <t>ADD:10/17/2023</t>
  </si>
  <si>
    <t>SO # 159, S. 2023 125TH PHIL. IND. DAY</t>
  </si>
  <si>
    <t>ADD: JULY 1-31, 2024</t>
  </si>
  <si>
    <t>LESS: MONETIZATION 2024</t>
  </si>
  <si>
    <t>LESS: FL 2019</t>
  </si>
  <si>
    <t>ADD: 08/1-31/2024</t>
  </si>
  <si>
    <t>LESS: 09/02/2024</t>
  </si>
  <si>
    <t>ADD: 09/1-30/2024</t>
  </si>
  <si>
    <t>LESS: 10/31/2024</t>
  </si>
  <si>
    <t>LESS: 11/4/2024</t>
  </si>
  <si>
    <t>LESS: 10/22/2024</t>
  </si>
  <si>
    <t>LESS: 10/29/2024</t>
  </si>
  <si>
    <t>ADD: 10/1-31/2024</t>
  </si>
  <si>
    <t>LESS: 11/22/2024 (PM)</t>
  </si>
  <si>
    <t>ADD:06/26/2024</t>
  </si>
  <si>
    <t>SO # 024, S. 2024 126TH PHIL. IND. DAY</t>
  </si>
  <si>
    <t>ADD: 11/1-30/2024</t>
  </si>
  <si>
    <t>LESS: 12/24/2024</t>
  </si>
  <si>
    <t>LESS: 12/26-27/2024</t>
  </si>
  <si>
    <t>ADD: 03/21/2025</t>
  </si>
  <si>
    <t>SO # 010, S. 2025  DECEMBER 20, 2024 OVERTIME</t>
  </si>
  <si>
    <t>LESS: 06/19/2025</t>
  </si>
  <si>
    <t>S.O. # 024, S. 2024. 126TH PHIL IND. DAY</t>
  </si>
  <si>
    <t>LESS: 06/26/2025</t>
  </si>
  <si>
    <t xml:space="preserve">SO # 010, S. 2024 </t>
  </si>
  <si>
    <t xml:space="preserve">SPECIAL ORDER NO. </t>
  </si>
  <si>
    <t>RELEASED DATE</t>
  </si>
  <si>
    <t>OCT. 30, 2023 BRGY &amp; SK ELECTION</t>
  </si>
  <si>
    <t>ELECTION</t>
  </si>
  <si>
    <t>04/30/2024</t>
  </si>
  <si>
    <t xml:space="preserve">SO # 051, S. 2022, </t>
  </si>
  <si>
    <t>LESS: 08/14/2025</t>
  </si>
  <si>
    <t>DATE FILED: 08/7/2025</t>
  </si>
  <si>
    <t>ADD: 07/14-31/2025</t>
  </si>
  <si>
    <t>ADD: 08/1/2025-09/30/2025</t>
  </si>
  <si>
    <t>LESS: 10/13/2025</t>
  </si>
  <si>
    <t>NEGROS ISLAND REGION</t>
  </si>
  <si>
    <t>LESS: 10/27/2025</t>
  </si>
  <si>
    <t>ADD: 10/1-31/2025</t>
  </si>
  <si>
    <t>LESS: 11/3/2025</t>
  </si>
  <si>
    <t>ADD: 11/1-30/2025</t>
  </si>
  <si>
    <t>LESS: 12/4/2025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</si>
</sst>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u/>
      <sz val="11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0000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3" fillId="0" borderId="0"/>
    <xf numFmtId="0" fontId="13" fillId="0" borderId="0"/>
  </cellStyleXfs>
  <cellXfs count="141">
    <xf numFmtId="0" fontId="0" fillId="0" borderId="0" xfId="0"/>
    <xf numFmtId="0" fontId="0" fillId="2" borderId="0" xfId="0" applyFill="1"/>
    <xf numFmtId="0" fontId="1" fillId="2" borderId="0" xfId="0" applyFont="1" applyFill="1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" fillId="2" borderId="4" xfId="0" applyFont="1" applyFill="1" applyBorder="1" applyAlignment="1">
      <alignment vertical="center"/>
    </xf>
    <xf numFmtId="0" fontId="4" fillId="0" borderId="0" xfId="0" applyFont="1"/>
    <xf numFmtId="0" fontId="1" fillId="2" borderId="4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164" fontId="0" fillId="2" borderId="2" xfId="0" applyNumberFormat="1" applyFill="1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64" fontId="0" fillId="2" borderId="13" xfId="0" applyNumberForma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4" fontId="0" fillId="2" borderId="13" xfId="0" applyNumberFormat="1" applyFill="1" applyBorder="1" applyAlignment="1">
      <alignment horizontal="center" vertical="center" wrapText="1"/>
    </xf>
    <xf numFmtId="164" fontId="1" fillId="2" borderId="13" xfId="0" applyNumberFormat="1" applyFont="1" applyFill="1" applyBorder="1" applyAlignment="1">
      <alignment horizontal="center" vertical="center" wrapText="1"/>
    </xf>
    <xf numFmtId="164" fontId="0" fillId="2" borderId="1" xfId="0" applyNumberFormat="1" applyFill="1" applyBorder="1" applyAlignment="1">
      <alignment horizontal="center"/>
    </xf>
    <xf numFmtId="164" fontId="0" fillId="2" borderId="13" xfId="0" applyNumberFormat="1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center" vertical="center"/>
    </xf>
    <xf numFmtId="0" fontId="5" fillId="2" borderId="0" xfId="0" applyFont="1" applyFill="1" applyAlignment="1">
      <alignment horizontal="center" wrapText="1"/>
    </xf>
    <xf numFmtId="0" fontId="0" fillId="2" borderId="0" xfId="0" applyFill="1" applyAlignment="1">
      <alignment horizontal="center"/>
    </xf>
    <xf numFmtId="0" fontId="5" fillId="2" borderId="0" xfId="0" applyFont="1" applyFill="1" applyAlignment="1">
      <alignment vertical="center"/>
    </xf>
    <xf numFmtId="0" fontId="5" fillId="2" borderId="0" xfId="0" applyFont="1" applyFill="1"/>
    <xf numFmtId="0" fontId="5" fillId="2" borderId="0" xfId="0" applyFont="1" applyFill="1" applyAlignment="1">
      <alignment horizontal="center"/>
    </xf>
    <xf numFmtId="0" fontId="9" fillId="0" borderId="0" xfId="0" applyFont="1"/>
    <xf numFmtId="0" fontId="0" fillId="2" borderId="7" xfId="0" applyFill="1" applyBorder="1" applyAlignment="1">
      <alignment horizontal="center" vertical="center" wrapText="1"/>
    </xf>
    <xf numFmtId="0" fontId="0" fillId="2" borderId="24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0" fillId="2" borderId="24" xfId="0" applyFill="1" applyBorder="1" applyAlignment="1">
      <alignment horizontal="center" vertical="center" wrapText="1"/>
    </xf>
    <xf numFmtId="0" fontId="10" fillId="0" borderId="0" xfId="0" applyFont="1"/>
    <xf numFmtId="0" fontId="10" fillId="2" borderId="0" xfId="0" applyFont="1" applyFill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164" fontId="0" fillId="9" borderId="1" xfId="0" applyNumberFormat="1" applyFill="1" applyBorder="1" applyAlignment="1">
      <alignment horizontal="center"/>
    </xf>
    <xf numFmtId="164" fontId="0" fillId="10" borderId="1" xfId="0" applyNumberFormat="1" applyFill="1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/>
    </xf>
    <xf numFmtId="164" fontId="0" fillId="2" borderId="0" xfId="0" applyNumberFormat="1" applyFill="1" applyAlignment="1">
      <alignment horizontal="center" vertical="center"/>
    </xf>
    <xf numFmtId="0" fontId="13" fillId="2" borderId="0" xfId="1" applyFill="1"/>
    <xf numFmtId="0" fontId="1" fillId="2" borderId="0" xfId="1" applyFont="1" applyFill="1" applyAlignment="1">
      <alignment vertical="center"/>
    </xf>
    <xf numFmtId="0" fontId="1" fillId="2" borderId="4" xfId="1" applyFont="1" applyFill="1" applyBorder="1" applyAlignment="1">
      <alignment horizontal="center" vertical="center"/>
    </xf>
    <xf numFmtId="0" fontId="1" fillId="2" borderId="0" xfId="1" applyFont="1" applyFill="1"/>
    <xf numFmtId="0" fontId="1" fillId="2" borderId="4" xfId="1" applyFont="1" applyFill="1" applyBorder="1" applyAlignment="1">
      <alignment vertical="center"/>
    </xf>
    <xf numFmtId="0" fontId="13" fillId="12" borderId="1" xfId="1" applyFill="1" applyBorder="1" applyAlignment="1">
      <alignment horizontal="center" vertical="center" wrapText="1"/>
    </xf>
    <xf numFmtId="0" fontId="13" fillId="0" borderId="0" xfId="1" applyAlignment="1">
      <alignment vertical="center"/>
    </xf>
    <xf numFmtId="0" fontId="8" fillId="2" borderId="0" xfId="1" applyFont="1" applyFill="1" applyAlignment="1">
      <alignment horizontal="center" vertical="center" wrapText="1"/>
    </xf>
    <xf numFmtId="0" fontId="13" fillId="2" borderId="0" xfId="1" applyFill="1" applyAlignment="1">
      <alignment horizontal="center" vertical="center" wrapText="1"/>
    </xf>
    <xf numFmtId="0" fontId="13" fillId="2" borderId="0" xfId="1" applyFill="1" applyAlignment="1">
      <alignment horizontal="center"/>
    </xf>
    <xf numFmtId="0" fontId="13" fillId="0" borderId="0" xfId="1"/>
    <xf numFmtId="0" fontId="14" fillId="0" borderId="0" xfId="1" applyFont="1" applyAlignment="1">
      <alignment vertical="center"/>
    </xf>
    <xf numFmtId="0" fontId="1" fillId="0" borderId="0" xfId="1" applyFont="1" applyAlignment="1">
      <alignment vertical="center"/>
    </xf>
    <xf numFmtId="0" fontId="0" fillId="0" borderId="7" xfId="1" applyFont="1" applyBorder="1" applyAlignment="1">
      <alignment horizontal="center" vertical="center" wrapText="1"/>
    </xf>
    <xf numFmtId="0" fontId="13" fillId="0" borderId="2" xfId="1" applyBorder="1" applyAlignment="1">
      <alignment horizontal="center" vertical="center" wrapText="1"/>
    </xf>
    <xf numFmtId="0" fontId="0" fillId="0" borderId="1" xfId="1" applyFont="1" applyBorder="1" applyAlignment="1">
      <alignment horizontal="center" vertical="center" wrapText="1"/>
    </xf>
    <xf numFmtId="0" fontId="15" fillId="2" borderId="0" xfId="0" applyFont="1" applyFill="1" applyAlignment="1">
      <alignment vertical="center"/>
    </xf>
    <xf numFmtId="0" fontId="16" fillId="0" borderId="0" xfId="0" applyFont="1" applyAlignment="1">
      <alignment horizontal="center" vertical="center"/>
    </xf>
    <xf numFmtId="0" fontId="13" fillId="0" borderId="1" xfId="1" applyBorder="1" applyAlignment="1">
      <alignment horizontal="center" vertical="center" wrapText="1"/>
    </xf>
    <xf numFmtId="0" fontId="0" fillId="2" borderId="7" xfId="2" applyFont="1" applyFill="1" applyBorder="1" applyAlignment="1">
      <alignment horizontal="center" vertical="center" wrapText="1"/>
    </xf>
    <xf numFmtId="0" fontId="13" fillId="12" borderId="2" xfId="2" applyFill="1" applyBorder="1" applyAlignment="1">
      <alignment horizontal="center" vertical="center" wrapText="1"/>
    </xf>
    <xf numFmtId="0" fontId="10" fillId="0" borderId="0" xfId="2" applyFont="1"/>
    <xf numFmtId="0" fontId="5" fillId="2" borderId="0" xfId="0" applyFont="1" applyFill="1" applyAlignment="1">
      <alignment horizontal="left" vertical="center"/>
    </xf>
    <xf numFmtId="14" fontId="0" fillId="2" borderId="24" xfId="0" applyNumberFormat="1" applyFill="1" applyBorder="1" applyAlignment="1">
      <alignment horizontal="center" vertical="center" wrapText="1"/>
    </xf>
    <xf numFmtId="14" fontId="0" fillId="2" borderId="24" xfId="0" applyNumberForma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64" fontId="0" fillId="2" borderId="24" xfId="0" applyNumberFormat="1" applyFill="1" applyBorder="1" applyAlignment="1">
      <alignment horizontal="center" vertical="center"/>
    </xf>
    <xf numFmtId="164" fontId="0" fillId="2" borderId="3" xfId="0" applyNumberFormat="1" applyFill="1" applyBorder="1" applyAlignment="1">
      <alignment horizontal="center" vertical="center"/>
    </xf>
    <xf numFmtId="0" fontId="1" fillId="2" borderId="35" xfId="0" applyFont="1" applyFill="1" applyBorder="1" applyAlignment="1">
      <alignment horizontal="center" vertical="center"/>
    </xf>
    <xf numFmtId="0" fontId="11" fillId="2" borderId="35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0" fillId="2" borderId="0" xfId="0" applyFill="1" applyAlignment="1">
      <alignment horizontal="left" vertical="center"/>
    </xf>
    <xf numFmtId="0" fontId="2" fillId="2" borderId="17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  <xf numFmtId="0" fontId="1" fillId="6" borderId="31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4" borderId="14" xfId="0" applyFont="1" applyFill="1" applyBorder="1" applyAlignment="1">
      <alignment horizontal="center" vertical="center"/>
    </xf>
    <xf numFmtId="0" fontId="1" fillId="4" borderId="15" xfId="0" applyFont="1" applyFill="1" applyBorder="1" applyAlignment="1">
      <alignment horizontal="center" vertical="center"/>
    </xf>
    <xf numFmtId="0" fontId="1" fillId="4" borderId="16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6" borderId="9" xfId="0" applyFont="1" applyFill="1" applyBorder="1" applyAlignment="1">
      <alignment horizontal="center" vertical="center"/>
    </xf>
    <xf numFmtId="0" fontId="1" fillId="6" borderId="36" xfId="0" applyFont="1" applyFill="1" applyBorder="1" applyAlignment="1">
      <alignment horizontal="center" vertical="center"/>
    </xf>
    <xf numFmtId="0" fontId="13" fillId="0" borderId="0" xfId="1" applyAlignment="1">
      <alignment horizontal="center" vertical="center"/>
    </xf>
    <xf numFmtId="0" fontId="8" fillId="0" borderId="11" xfId="1" applyFont="1" applyBorder="1" applyAlignment="1">
      <alignment horizontal="center" vertical="center" wrapText="1"/>
    </xf>
    <xf numFmtId="0" fontId="8" fillId="0" borderId="25" xfId="1" applyFont="1" applyBorder="1" applyAlignment="1">
      <alignment horizontal="center" vertical="center" wrapText="1"/>
    </xf>
    <xf numFmtId="0" fontId="8" fillId="0" borderId="26" xfId="1" applyFont="1" applyBorder="1" applyAlignment="1">
      <alignment horizontal="center" vertical="center" wrapText="1"/>
    </xf>
    <xf numFmtId="0" fontId="10" fillId="2" borderId="0" xfId="1" applyFont="1" applyFill="1" applyAlignment="1">
      <alignment horizontal="center" vertical="center"/>
    </xf>
    <xf numFmtId="0" fontId="1" fillId="0" borderId="0" xfId="1" applyFont="1" applyAlignment="1">
      <alignment horizontal="center" vertical="center"/>
    </xf>
    <xf numFmtId="0" fontId="8" fillId="2" borderId="11" xfId="2" applyFont="1" applyFill="1" applyBorder="1" applyAlignment="1">
      <alignment horizontal="center" vertical="center" wrapText="1"/>
    </xf>
    <xf numFmtId="0" fontId="8" fillId="2" borderId="25" xfId="2" applyFont="1" applyFill="1" applyBorder="1" applyAlignment="1">
      <alignment horizontal="center" vertical="center" wrapText="1"/>
    </xf>
    <xf numFmtId="0" fontId="8" fillId="2" borderId="26" xfId="2" applyFont="1" applyFill="1" applyBorder="1" applyAlignment="1">
      <alignment horizontal="center" vertical="center" wrapText="1"/>
    </xf>
    <xf numFmtId="0" fontId="13" fillId="0" borderId="0" xfId="1" applyAlignment="1">
      <alignment horizontal="center"/>
    </xf>
    <xf numFmtId="0" fontId="13" fillId="2" borderId="0" xfId="1" applyFill="1" applyAlignment="1">
      <alignment horizontal="center" vertical="center"/>
    </xf>
    <xf numFmtId="0" fontId="2" fillId="2" borderId="17" xfId="1" applyFont="1" applyFill="1" applyBorder="1" applyAlignment="1">
      <alignment horizontal="center" vertical="center"/>
    </xf>
    <xf numFmtId="0" fontId="7" fillId="7" borderId="6" xfId="1" applyFont="1" applyFill="1" applyBorder="1" applyAlignment="1">
      <alignment horizontal="center" vertical="center"/>
    </xf>
    <xf numFmtId="0" fontId="7" fillId="7" borderId="7" xfId="1" applyFont="1" applyFill="1" applyBorder="1" applyAlignment="1">
      <alignment horizontal="center" vertical="center"/>
    </xf>
    <xf numFmtId="0" fontId="7" fillId="11" borderId="14" xfId="1" applyFont="1" applyFill="1" applyBorder="1" applyAlignment="1">
      <alignment horizontal="center" vertical="center"/>
    </xf>
    <xf numFmtId="0" fontId="7" fillId="11" borderId="15" xfId="1" applyFont="1" applyFill="1" applyBorder="1" applyAlignment="1">
      <alignment horizontal="center" vertical="center"/>
    </xf>
    <xf numFmtId="0" fontId="7" fillId="7" borderId="9" xfId="1" applyFont="1" applyFill="1" applyBorder="1" applyAlignment="1">
      <alignment horizontal="center" vertical="center"/>
    </xf>
    <xf numFmtId="0" fontId="7" fillId="7" borderId="3" xfId="1" applyFont="1" applyFill="1" applyBorder="1" applyAlignment="1">
      <alignment horizontal="center" vertical="center"/>
    </xf>
    <xf numFmtId="0" fontId="8" fillId="8" borderId="11" xfId="1" applyFont="1" applyFill="1" applyBorder="1" applyAlignment="1">
      <alignment horizontal="center" vertical="center" wrapText="1"/>
    </xf>
    <xf numFmtId="0" fontId="8" fillId="8" borderId="25" xfId="1" applyFont="1" applyFill="1" applyBorder="1" applyAlignment="1">
      <alignment horizontal="center" vertical="center" wrapText="1"/>
    </xf>
    <xf numFmtId="0" fontId="8" fillId="8" borderId="26" xfId="1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8" fillId="2" borderId="25" xfId="0" applyFont="1" applyFill="1" applyBorder="1" applyAlignment="1">
      <alignment horizontal="center" vertical="center" wrapText="1"/>
    </xf>
    <xf numFmtId="0" fontId="8" fillId="2" borderId="26" xfId="0" applyFont="1" applyFill="1" applyBorder="1" applyAlignment="1">
      <alignment horizontal="center" vertical="center" wrapText="1"/>
    </xf>
    <xf numFmtId="0" fontId="8" fillId="2" borderId="22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23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/>
    </xf>
    <xf numFmtId="0" fontId="6" fillId="2" borderId="17" xfId="0" applyFont="1" applyFill="1" applyBorder="1" applyAlignment="1">
      <alignment horizontal="center" vertical="center"/>
    </xf>
    <xf numFmtId="0" fontId="7" fillId="7" borderId="6" xfId="0" applyFont="1" applyFill="1" applyBorder="1" applyAlignment="1">
      <alignment horizontal="center" vertical="center" wrapText="1"/>
    </xf>
    <xf numFmtId="0" fontId="7" fillId="7" borderId="10" xfId="0" applyFont="1" applyFill="1" applyBorder="1" applyAlignment="1">
      <alignment horizontal="center" vertical="center" wrapText="1"/>
    </xf>
    <xf numFmtId="0" fontId="7" fillId="7" borderId="31" xfId="0" applyFont="1" applyFill="1" applyBorder="1" applyAlignment="1">
      <alignment horizontal="center" vertical="center" wrapText="1"/>
    </xf>
    <xf numFmtId="0" fontId="7" fillId="7" borderId="6" xfId="0" applyFont="1" applyFill="1" applyBorder="1" applyAlignment="1">
      <alignment horizontal="center" vertical="center"/>
    </xf>
    <xf numFmtId="0" fontId="7" fillId="7" borderId="10" xfId="0" applyFont="1" applyFill="1" applyBorder="1" applyAlignment="1">
      <alignment horizontal="center" vertical="center"/>
    </xf>
    <xf numFmtId="0" fontId="7" fillId="7" borderId="31" xfId="0" applyFont="1" applyFill="1" applyBorder="1" applyAlignment="1">
      <alignment horizontal="center" vertical="center"/>
    </xf>
    <xf numFmtId="0" fontId="8" fillId="8" borderId="18" xfId="0" applyFont="1" applyFill="1" applyBorder="1" applyAlignment="1">
      <alignment horizontal="center" vertical="center" wrapText="1"/>
    </xf>
    <xf numFmtId="0" fontId="8" fillId="8" borderId="19" xfId="0" applyFont="1" applyFill="1" applyBorder="1" applyAlignment="1">
      <alignment horizontal="center" vertical="center" wrapText="1"/>
    </xf>
    <xf numFmtId="0" fontId="8" fillId="8" borderId="20" xfId="0" applyFont="1" applyFill="1" applyBorder="1" applyAlignment="1">
      <alignment horizontal="center" vertical="center" wrapText="1"/>
    </xf>
    <xf numFmtId="0" fontId="8" fillId="8" borderId="21" xfId="0" applyFont="1" applyFill="1" applyBorder="1" applyAlignment="1">
      <alignment horizontal="center" vertical="center" wrapText="1"/>
    </xf>
    <xf numFmtId="0" fontId="8" fillId="8" borderId="32" xfId="0" applyFont="1" applyFill="1" applyBorder="1" applyAlignment="1">
      <alignment horizontal="center" vertical="center" wrapText="1"/>
    </xf>
    <xf numFmtId="0" fontId="8" fillId="8" borderId="33" xfId="0" applyFont="1" applyFill="1" applyBorder="1" applyAlignment="1">
      <alignment horizontal="center" vertical="center" wrapText="1"/>
    </xf>
    <xf numFmtId="0" fontId="8" fillId="8" borderId="28" xfId="0" applyFont="1" applyFill="1" applyBorder="1" applyAlignment="1">
      <alignment horizontal="center" vertical="center" wrapText="1"/>
    </xf>
    <xf numFmtId="0" fontId="8" fillId="8" borderId="29" xfId="0" applyFont="1" applyFill="1" applyBorder="1" applyAlignment="1">
      <alignment horizontal="center" vertical="center" wrapText="1"/>
    </xf>
    <xf numFmtId="0" fontId="8" fillId="8" borderId="34" xfId="0" applyFont="1" applyFill="1" applyBorder="1" applyAlignment="1">
      <alignment horizontal="center" vertical="center" wrapText="1"/>
    </xf>
    <xf numFmtId="0" fontId="7" fillId="7" borderId="28" xfId="0" applyFont="1" applyFill="1" applyBorder="1" applyAlignment="1">
      <alignment horizontal="center" vertical="center"/>
    </xf>
    <xf numFmtId="0" fontId="7" fillId="7" borderId="29" xfId="0" applyFont="1" applyFill="1" applyBorder="1" applyAlignment="1">
      <alignment horizontal="center" vertical="center"/>
    </xf>
    <xf numFmtId="0" fontId="7" fillId="7" borderId="30" xfId="0" applyFont="1" applyFill="1" applyBorder="1" applyAlignment="1">
      <alignment horizontal="center" vertical="center"/>
    </xf>
    <xf numFmtId="0" fontId="8" fillId="8" borderId="27" xfId="0" applyFont="1" applyFill="1" applyBorder="1" applyAlignment="1">
      <alignment horizontal="center" vertical="center" wrapText="1"/>
    </xf>
    <xf numFmtId="0" fontId="8" fillId="8" borderId="0" xfId="0" applyFont="1" applyFill="1" applyAlignment="1">
      <alignment horizontal="center" vertical="center" wrapText="1"/>
    </xf>
    <xf numFmtId="0" fontId="8" fillId="8" borderId="17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</cellXfs>
  <cellStyles count="3">
    <cellStyle name="Normal" xfId="0" builtinId="0"/>
    <cellStyle name="Normal 2" xfId="1" xr:uid="{8DBB1E47-3365-4330-A117-EFC546099BB6}"/>
    <cellStyle name="Normal 2 2" xfId="2" xr:uid="{BEBA8452-139F-4E13-BA32-57AE50296DE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219076</xdr:colOff>
      <xdr:row>0</xdr:row>
      <xdr:rowOff>82550</xdr:rowOff>
    </xdr:from>
    <xdr:to>
      <xdr:col>4</xdr:col>
      <xdr:colOff>270005</xdr:colOff>
      <xdr:row>0</xdr:row>
      <xdr:rowOff>612775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276C368-160F-4F9B-B141-C7913D47D071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1" y="82550"/>
          <a:ext cx="822454" cy="530225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0</xdr:col>
      <xdr:colOff>2582741</xdr:colOff>
      <xdr:row>6</xdr:row>
      <xdr:rowOff>116010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20B1A6D-A10A-4362-B2D9-CC7739B01E82}"/>
            </a:ext>
          </a:extLst>
        </xdr:cNvPr>
        <xdr:cNvSpPr txBox="1"/>
      </xdr:nvSpPr>
      <xdr:spPr>
        <a:xfrm>
          <a:off x="573942" y="1371111"/>
          <a:ext cx="1951649" cy="2498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ARNOLD, GLENORA G.</a:t>
          </a:r>
        </a:p>
      </xdr:txBody>
    </xdr:sp>
    <xdr:clientData/>
  </xdr:twoCellAnchor>
  <xdr:twoCellAnchor>
    <xdr:from>
      <xdr:col>0</xdr:col>
      <xdr:colOff>616683</xdr:colOff>
      <xdr:row>7</xdr:row>
      <xdr:rowOff>61057</xdr:rowOff>
    </xdr:from>
    <xdr:to>
      <xdr:col>0</xdr:col>
      <xdr:colOff>2625482</xdr:colOff>
      <xdr:row>9</xdr:row>
      <xdr:rowOff>6105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1AE924F-DC5B-451B-8C7A-C483E294CBCB}"/>
            </a:ext>
          </a:extLst>
        </xdr:cNvPr>
        <xdr:cNvSpPr txBox="1"/>
      </xdr:nvSpPr>
      <xdr:spPr>
        <a:xfrm>
          <a:off x="616683" y="1718407"/>
          <a:ext cx="1904024" cy="2498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GUIDANCE COUNSELOR I</a:t>
          </a:r>
        </a:p>
      </xdr:txBody>
    </xdr:sp>
    <xdr:clientData/>
  </xdr:twoCellAnchor>
  <xdr:twoCellAnchor>
    <xdr:from>
      <xdr:col>2</xdr:col>
      <xdr:colOff>415193</xdr:colOff>
      <xdr:row>7</xdr:row>
      <xdr:rowOff>42741</xdr:rowOff>
    </xdr:from>
    <xdr:to>
      <xdr:col>4</xdr:col>
      <xdr:colOff>604471</xdr:colOff>
      <xdr:row>8</xdr:row>
      <xdr:rowOff>140434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7BD7DC8-06FC-4F20-9B24-A84B1E5751B9}"/>
            </a:ext>
          </a:extLst>
        </xdr:cNvPr>
        <xdr:cNvSpPr txBox="1"/>
      </xdr:nvSpPr>
      <xdr:spPr>
        <a:xfrm>
          <a:off x="3710843" y="1700091"/>
          <a:ext cx="1732328" cy="2500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SDO SIPALAY CITY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272596</xdr:colOff>
      <xdr:row>0</xdr:row>
      <xdr:rowOff>29030</xdr:rowOff>
    </xdr:from>
    <xdr:ext cx="708251" cy="617309"/>
    <xdr:pic>
      <xdr:nvPicPr>
        <xdr:cNvPr id="2" name="Picture 1">
          <a:extLst>
            <a:ext uri="{FF2B5EF4-FFF2-40B4-BE49-F238E27FC236}">
              <a16:creationId xmlns:a16="http://schemas.microsoft.com/office/drawing/2014/main" id="{1DD899B9-B30B-4749-8771-F166D684C7B3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4946" y="29030"/>
          <a:ext cx="708251" cy="617309"/>
        </a:xfrm>
        <a:prstGeom prst="rect">
          <a:avLst/>
        </a:prstGeom>
        <a:noFill/>
      </xdr:spPr>
    </xdr:pic>
    <xdr:clientData/>
  </xdr:oneCellAnchor>
  <xdr:twoCellAnchor>
    <xdr:from>
      <xdr:col>0</xdr:col>
      <xdr:colOff>573942</xdr:colOff>
      <xdr:row>6</xdr:row>
      <xdr:rowOff>170961</xdr:rowOff>
    </xdr:from>
    <xdr:to>
      <xdr:col>1</xdr:col>
      <xdr:colOff>946150</xdr:colOff>
      <xdr:row>8</xdr:row>
      <xdr:rowOff>88900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6E36A18-85FE-42B2-BA31-00A86C9E71E8}"/>
            </a:ext>
          </a:extLst>
        </xdr:cNvPr>
        <xdr:cNvSpPr txBox="1"/>
      </xdr:nvSpPr>
      <xdr:spPr>
        <a:xfrm>
          <a:off x="573942" y="1313961"/>
          <a:ext cx="1772383" cy="29893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SOLOMON,</a:t>
          </a:r>
          <a:r>
            <a:rPr lang="en-US" sz="1100" baseline="0"/>
            <a:t> QUEEN ANN</a:t>
          </a:r>
          <a:endParaRPr lang="en-US" sz="1100"/>
        </a:p>
      </xdr:txBody>
    </xdr:sp>
    <xdr:clientData/>
  </xdr:twoCellAnchor>
  <xdr:twoCellAnchor>
    <xdr:from>
      <xdr:col>0</xdr:col>
      <xdr:colOff>654051</xdr:colOff>
      <xdr:row>9</xdr:row>
      <xdr:rowOff>19051</xdr:rowOff>
    </xdr:from>
    <xdr:to>
      <xdr:col>0</xdr:col>
      <xdr:colOff>1720850</xdr:colOff>
      <xdr:row>10</xdr:row>
      <xdr:rowOff>114301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26AD344-C5EA-4175-97C9-FD4C4C85796B}"/>
            </a:ext>
          </a:extLst>
        </xdr:cNvPr>
        <xdr:cNvSpPr txBox="1"/>
      </xdr:nvSpPr>
      <xdr:spPr>
        <a:xfrm>
          <a:off x="654051" y="1733551"/>
          <a:ext cx="923924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ADAS III</a:t>
          </a:r>
        </a:p>
      </xdr:txBody>
    </xdr:sp>
    <xdr:clientData/>
  </xdr:twoCellAnchor>
  <xdr:twoCellAnchor>
    <xdr:from>
      <xdr:col>3</xdr:col>
      <xdr:colOff>526823</xdr:colOff>
      <xdr:row>9</xdr:row>
      <xdr:rowOff>42410</xdr:rowOff>
    </xdr:from>
    <xdr:to>
      <xdr:col>5</xdr:col>
      <xdr:colOff>463323</xdr:colOff>
      <xdr:row>11</xdr:row>
      <xdr:rowOff>10714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155DC459-5508-4BA5-87CD-2E0065A8D41A}"/>
            </a:ext>
          </a:extLst>
        </xdr:cNvPr>
        <xdr:cNvSpPr txBox="1"/>
      </xdr:nvSpPr>
      <xdr:spPr>
        <a:xfrm>
          <a:off x="3479573" y="1756910"/>
          <a:ext cx="1412875" cy="34930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OSDS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76200</xdr:colOff>
      <xdr:row>0</xdr:row>
      <xdr:rowOff>47625</xdr:rowOff>
    </xdr:from>
    <xdr:to>
      <xdr:col>3</xdr:col>
      <xdr:colOff>757910</xdr:colOff>
      <xdr:row>4</xdr:row>
      <xdr:rowOff>3175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14FE897-A336-44D3-98C2-71BF7DC3F314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514725" y="47625"/>
          <a:ext cx="681710" cy="717550"/>
        </a:xfrm>
        <a:prstGeom prst="rect">
          <a:avLst/>
        </a:prstGeom>
        <a:noFill/>
      </xdr:spPr>
    </xdr:pic>
    <xdr:clientData/>
  </xdr:twoCellAnchor>
  <xdr:twoCellAnchor>
    <xdr:from>
      <xdr:col>3</xdr:col>
      <xdr:colOff>1228725</xdr:colOff>
      <xdr:row>23</xdr:row>
      <xdr:rowOff>85726</xdr:rowOff>
    </xdr:from>
    <xdr:to>
      <xdr:col>9</xdr:col>
      <xdr:colOff>342900</xdr:colOff>
      <xdr:row>28</xdr:row>
      <xdr:rowOff>142876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1818776-15AD-4382-8B09-B2FCBE52CF9C}"/>
            </a:ext>
          </a:extLst>
        </xdr:cNvPr>
        <xdr:cNvSpPr txBox="1"/>
      </xdr:nvSpPr>
      <xdr:spPr>
        <a:xfrm>
          <a:off x="4667250" y="5648326"/>
          <a:ext cx="2981325" cy="1009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11</xdr:row>
      <xdr:rowOff>9525</xdr:rowOff>
    </xdr:from>
    <xdr:to>
      <xdr:col>2</xdr:col>
      <xdr:colOff>19050</xdr:colOff>
      <xdr:row>11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EB764291-A83B-48B5-AC6B-B59012507C0D}"/>
            </a:ext>
          </a:extLst>
        </xdr:cNvPr>
        <xdr:cNvCxnSpPr/>
      </xdr:nvCxnSpPr>
      <xdr:spPr>
        <a:xfrm>
          <a:off x="742950" y="1771650"/>
          <a:ext cx="21050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742950</xdr:colOff>
      <xdr:row>12</xdr:row>
      <xdr:rowOff>196850</xdr:rowOff>
    </xdr:from>
    <xdr:to>
      <xdr:col>2</xdr:col>
      <xdr:colOff>19050</xdr:colOff>
      <xdr:row>12</xdr:row>
      <xdr:rowOff>196850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1E2FC33F-F6F1-414C-8326-B699691F6D17}"/>
            </a:ext>
          </a:extLst>
        </xdr:cNvPr>
        <xdr:cNvCxnSpPr/>
      </xdr:nvCxnSpPr>
      <xdr:spPr>
        <a:xfrm>
          <a:off x="742950" y="2482850"/>
          <a:ext cx="21050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219076</xdr:colOff>
      <xdr:row>0</xdr:row>
      <xdr:rowOff>82550</xdr:rowOff>
    </xdr:from>
    <xdr:to>
      <xdr:col>4</xdr:col>
      <xdr:colOff>270005</xdr:colOff>
      <xdr:row>0</xdr:row>
      <xdr:rowOff>612775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E583BF-7ACB-41D0-907A-09324B827369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92626" y="82550"/>
          <a:ext cx="863729" cy="530225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0</xdr:col>
      <xdr:colOff>2582741</xdr:colOff>
      <xdr:row>6</xdr:row>
      <xdr:rowOff>116010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9371CEF4-E741-4F60-8A1C-C6499772D040}"/>
            </a:ext>
          </a:extLst>
        </xdr:cNvPr>
        <xdr:cNvSpPr txBox="1"/>
      </xdr:nvSpPr>
      <xdr:spPr>
        <a:xfrm>
          <a:off x="573942" y="1377461"/>
          <a:ext cx="2008799" cy="2498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SOLOMON, QUEEN ANN</a:t>
          </a:r>
        </a:p>
      </xdr:txBody>
    </xdr:sp>
    <xdr:clientData/>
  </xdr:twoCellAnchor>
  <xdr:twoCellAnchor>
    <xdr:from>
      <xdr:col>0</xdr:col>
      <xdr:colOff>616683</xdr:colOff>
      <xdr:row>7</xdr:row>
      <xdr:rowOff>61057</xdr:rowOff>
    </xdr:from>
    <xdr:to>
      <xdr:col>0</xdr:col>
      <xdr:colOff>2625482</xdr:colOff>
      <xdr:row>9</xdr:row>
      <xdr:rowOff>6105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5A70479-8F24-4AA3-AED8-57A507EF15B9}"/>
            </a:ext>
          </a:extLst>
        </xdr:cNvPr>
        <xdr:cNvSpPr txBox="1"/>
      </xdr:nvSpPr>
      <xdr:spPr>
        <a:xfrm>
          <a:off x="616683" y="1724757"/>
          <a:ext cx="1996099" cy="2498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ADAS III</a:t>
          </a:r>
        </a:p>
      </xdr:txBody>
    </xdr:sp>
    <xdr:clientData/>
  </xdr:twoCellAnchor>
  <xdr:twoCellAnchor>
    <xdr:from>
      <xdr:col>2</xdr:col>
      <xdr:colOff>415193</xdr:colOff>
      <xdr:row>7</xdr:row>
      <xdr:rowOff>42741</xdr:rowOff>
    </xdr:from>
    <xdr:to>
      <xdr:col>4</xdr:col>
      <xdr:colOff>604471</xdr:colOff>
      <xdr:row>8</xdr:row>
      <xdr:rowOff>140434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89DB4E4-7505-4537-9757-E35F875220BD}"/>
            </a:ext>
          </a:extLst>
        </xdr:cNvPr>
        <xdr:cNvSpPr txBox="1"/>
      </xdr:nvSpPr>
      <xdr:spPr>
        <a:xfrm>
          <a:off x="3837843" y="1706441"/>
          <a:ext cx="1814878" cy="2500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SDO SIPALAY CITY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7CD9-46BF-48BE-B7F6-1919B0C75067}">
  <sheetPr>
    <pageSetUpPr fitToPage="1"/>
  </sheetPr>
  <dimension ref="A1:K28"/>
  <sheetViews>
    <sheetView tabSelected="1" view="pageBreakPreview" topLeftCell="A2" zoomScaleNormal="100" zoomScaleSheetLayoutView="100" workbookViewId="0">
      <selection activeCell="A19" sqref="A19:XFD19"/>
    </sheetView>
  </sheetViews>
  <sheetFormatPr defaultRowHeight="15" x14ac:dyDescent="0.25"/>
  <cols>
    <col min="1" max="1" width="37.85546875" customWidth="1"/>
    <col min="2" max="6" width="11.5703125" customWidth="1"/>
    <col min="7" max="7" width="12.5703125" customWidth="1"/>
    <col min="8" max="10" width="11.5703125" customWidth="1"/>
    <col min="11" max="11" width="26.42578125" style="6" customWidth="1"/>
  </cols>
  <sheetData>
    <row r="1" spans="1:11" s="1" customFormat="1" ht="52.5" customHeight="1" x14ac:dyDescent="0.25"/>
    <row r="2" spans="1:11" s="1" customFormat="1" ht="10.5" customHeight="1" x14ac:dyDescent="0.25">
      <c r="A2" s="75" t="s">
        <v>38</v>
      </c>
      <c r="B2" s="75"/>
      <c r="C2" s="75"/>
      <c r="D2" s="75"/>
      <c r="E2" s="75"/>
      <c r="F2" s="75"/>
      <c r="G2" s="75"/>
      <c r="H2" s="75"/>
      <c r="I2" s="75"/>
      <c r="J2" s="75"/>
    </row>
    <row r="3" spans="1:11" s="1" customFormat="1" ht="15.95" customHeight="1" x14ac:dyDescent="0.25">
      <c r="A3" s="75" t="s">
        <v>39</v>
      </c>
      <c r="B3" s="75"/>
      <c r="C3" s="75"/>
      <c r="D3" s="75"/>
      <c r="E3" s="75"/>
      <c r="F3" s="75"/>
      <c r="G3" s="75"/>
      <c r="H3" s="75"/>
      <c r="I3" s="75"/>
      <c r="J3" s="75"/>
    </row>
    <row r="4" spans="1:11" s="1" customFormat="1" ht="15.95" customHeight="1" x14ac:dyDescent="0.25">
      <c r="A4" s="75" t="s">
        <v>138</v>
      </c>
      <c r="B4" s="75"/>
      <c r="C4" s="75"/>
      <c r="D4" s="75"/>
      <c r="E4" s="75"/>
      <c r="F4" s="75"/>
      <c r="G4" s="75"/>
      <c r="H4" s="75"/>
      <c r="I4" s="75"/>
      <c r="J4" s="75"/>
    </row>
    <row r="5" spans="1:11" s="1" customFormat="1" ht="15.95" customHeight="1" x14ac:dyDescent="0.25">
      <c r="A5" s="75" t="s">
        <v>41</v>
      </c>
      <c r="B5" s="75"/>
      <c r="C5" s="75"/>
      <c r="D5" s="75"/>
      <c r="E5" s="75"/>
      <c r="F5" s="75"/>
      <c r="G5" s="75"/>
      <c r="H5" s="75"/>
      <c r="I5" s="75"/>
      <c r="J5" s="75"/>
    </row>
    <row r="6" spans="1:11" s="1" customFormat="1" ht="8.25" customHeight="1" x14ac:dyDescent="0.25"/>
    <row r="7" spans="1:11" s="1" customFormat="1" ht="12" customHeight="1" x14ac:dyDescent="0.25">
      <c r="A7" s="1" t="s">
        <v>42</v>
      </c>
      <c r="B7" s="74" t="s">
        <v>43</v>
      </c>
      <c r="C7" s="74"/>
      <c r="D7" s="74"/>
      <c r="H7" s="4" t="s">
        <v>9</v>
      </c>
      <c r="I7" s="7"/>
      <c r="J7" s="4"/>
    </row>
    <row r="8" spans="1:11" s="1" customFormat="1" ht="12" customHeight="1" x14ac:dyDescent="0.25">
      <c r="B8" s="2"/>
      <c r="C8" s="2"/>
      <c r="H8" s="2"/>
      <c r="I8" s="2"/>
      <c r="J8" s="2"/>
    </row>
    <row r="9" spans="1:11" s="1" customFormat="1" ht="12" customHeight="1" x14ac:dyDescent="0.25">
      <c r="A9" s="1" t="s">
        <v>44</v>
      </c>
      <c r="B9" s="74" t="s">
        <v>45</v>
      </c>
      <c r="C9" s="74"/>
      <c r="D9" s="74"/>
      <c r="H9" s="4" t="s">
        <v>10</v>
      </c>
      <c r="I9" s="5"/>
      <c r="J9" s="4"/>
    </row>
    <row r="10" spans="1:11" ht="16.5" customHeight="1" thickBot="1" x14ac:dyDescent="0.3">
      <c r="A10" s="78" t="s">
        <v>0</v>
      </c>
      <c r="B10" s="78"/>
      <c r="C10" s="78"/>
      <c r="D10" s="78"/>
      <c r="E10" s="78"/>
      <c r="F10" s="78"/>
      <c r="G10" s="78"/>
      <c r="H10" s="78"/>
      <c r="I10" s="78"/>
      <c r="J10" s="78"/>
      <c r="K10"/>
    </row>
    <row r="11" spans="1:11" ht="18.75" customHeight="1" x14ac:dyDescent="0.25">
      <c r="A11" s="79" t="s">
        <v>4</v>
      </c>
      <c r="B11" s="81" t="s">
        <v>5</v>
      </c>
      <c r="C11" s="81"/>
      <c r="D11" s="82" t="s">
        <v>6</v>
      </c>
      <c r="E11" s="83"/>
      <c r="F11" s="83"/>
      <c r="G11" s="84"/>
      <c r="H11" s="85" t="s">
        <v>7</v>
      </c>
      <c r="I11" s="85"/>
      <c r="J11" s="86" t="s">
        <v>8</v>
      </c>
      <c r="K11" s="76" t="s">
        <v>11</v>
      </c>
    </row>
    <row r="12" spans="1:11" ht="18.75" customHeight="1" thickBot="1" x14ac:dyDescent="0.3">
      <c r="A12" s="80"/>
      <c r="B12" s="72" t="s">
        <v>1</v>
      </c>
      <c r="C12" s="72" t="s">
        <v>2</v>
      </c>
      <c r="D12" s="72" t="s">
        <v>1</v>
      </c>
      <c r="E12" s="72" t="s">
        <v>2</v>
      </c>
      <c r="F12" s="72" t="s">
        <v>3</v>
      </c>
      <c r="G12" s="73" t="s">
        <v>37</v>
      </c>
      <c r="H12" s="72" t="s">
        <v>1</v>
      </c>
      <c r="I12" s="72" t="s">
        <v>2</v>
      </c>
      <c r="J12" s="87"/>
      <c r="K12" s="76"/>
    </row>
    <row r="13" spans="1:11" ht="18.75" customHeight="1" x14ac:dyDescent="0.25">
      <c r="A13" s="69" t="s">
        <v>135</v>
      </c>
      <c r="B13" s="70">
        <v>0.75</v>
      </c>
      <c r="C13" s="70">
        <v>0.75</v>
      </c>
      <c r="D13" s="70"/>
      <c r="E13" s="70"/>
      <c r="F13" s="70"/>
      <c r="G13" s="70"/>
      <c r="H13" s="70">
        <f>B13</f>
        <v>0.75</v>
      </c>
      <c r="I13" s="70">
        <f>C13</f>
        <v>0.75</v>
      </c>
      <c r="J13" s="71">
        <f>SUM(H13:I13)</f>
        <v>1.5</v>
      </c>
    </row>
    <row r="14" spans="1:11" ht="18.75" customHeight="1" x14ac:dyDescent="0.25">
      <c r="A14" s="8" t="s">
        <v>136</v>
      </c>
      <c r="B14" s="9">
        <v>2.5</v>
      </c>
      <c r="C14" s="9">
        <v>2.5</v>
      </c>
      <c r="D14" s="9"/>
      <c r="E14" s="9"/>
      <c r="F14" s="9"/>
      <c r="G14" s="9"/>
      <c r="H14" s="9">
        <f>H13-F14-D14+B14</f>
        <v>3.25</v>
      </c>
      <c r="I14" s="9">
        <f>I13-E14+C14</f>
        <v>3.25</v>
      </c>
      <c r="J14" s="10">
        <f t="shared" ref="J14:J15" si="0">SUM(H14:I14)</f>
        <v>6.5</v>
      </c>
    </row>
    <row r="15" spans="1:11" ht="18.75" customHeight="1" x14ac:dyDescent="0.25">
      <c r="A15" s="8" t="s">
        <v>137</v>
      </c>
      <c r="B15" s="9"/>
      <c r="C15" s="9"/>
      <c r="D15" s="9"/>
      <c r="E15" s="9">
        <v>1</v>
      </c>
      <c r="F15" s="9"/>
      <c r="G15" s="9"/>
      <c r="H15" s="9">
        <f t="shared" ref="H15" si="1">H14-F15-D15+B15</f>
        <v>3.25</v>
      </c>
      <c r="I15" s="9">
        <f t="shared" ref="I15" si="2">I14-E15+C15</f>
        <v>2.25</v>
      </c>
      <c r="J15" s="10">
        <f t="shared" si="0"/>
        <v>5.5</v>
      </c>
    </row>
    <row r="16" spans="1:11" x14ac:dyDescent="0.25">
      <c r="A16" s="15" t="s">
        <v>139</v>
      </c>
      <c r="B16" s="22"/>
      <c r="C16" s="22"/>
      <c r="D16" s="22"/>
      <c r="E16" s="22">
        <v>1</v>
      </c>
      <c r="F16" s="22"/>
      <c r="G16" s="22"/>
      <c r="H16" s="9">
        <f t="shared" ref="H16" si="3">H15-F16-D16+B16</f>
        <v>3.25</v>
      </c>
      <c r="I16" s="9">
        <f t="shared" ref="I16" si="4">I15-E16+C16</f>
        <v>1.25</v>
      </c>
      <c r="J16" s="10">
        <f t="shared" ref="J16" si="5">SUM(H16:I16)</f>
        <v>4.5</v>
      </c>
    </row>
    <row r="17" spans="1:11" x14ac:dyDescent="0.25">
      <c r="A17" s="15" t="s">
        <v>140</v>
      </c>
      <c r="B17" s="22">
        <v>1.25</v>
      </c>
      <c r="C17" s="22">
        <v>1.25</v>
      </c>
      <c r="D17" s="22"/>
      <c r="E17" s="22"/>
      <c r="F17" s="22"/>
      <c r="G17" s="22"/>
      <c r="H17" s="9">
        <f t="shared" ref="H17:H18" si="6">H16-F17-D17+B17</f>
        <v>4.5</v>
      </c>
      <c r="I17" s="9">
        <f t="shared" ref="I17:I18" si="7">I16-E17+C17</f>
        <v>2.5</v>
      </c>
      <c r="J17" s="10">
        <f t="shared" ref="J17:J18" si="8">SUM(H17:I17)</f>
        <v>7</v>
      </c>
    </row>
    <row r="18" spans="1:11" x14ac:dyDescent="0.25">
      <c r="A18" s="15" t="s">
        <v>141</v>
      </c>
      <c r="B18" s="22"/>
      <c r="C18" s="22"/>
      <c r="D18" s="22"/>
      <c r="E18" s="22">
        <v>1</v>
      </c>
      <c r="F18" s="22"/>
      <c r="G18" s="22"/>
      <c r="H18" s="9">
        <f t="shared" si="6"/>
        <v>4.5</v>
      </c>
      <c r="I18" s="9">
        <f t="shared" si="7"/>
        <v>1.5</v>
      </c>
      <c r="J18" s="10">
        <f t="shared" si="8"/>
        <v>6</v>
      </c>
    </row>
    <row r="19" spans="1:11" x14ac:dyDescent="0.25">
      <c r="A19" s="15" t="s">
        <v>142</v>
      </c>
      <c r="B19" s="22">
        <v>1.25</v>
      </c>
      <c r="C19" s="22">
        <v>1.25</v>
      </c>
      <c r="D19" s="22"/>
      <c r="E19" s="22"/>
      <c r="F19" s="22"/>
      <c r="G19" s="22"/>
      <c r="H19" s="9">
        <f t="shared" ref="H19:H20" si="9">H18-F19-D19+B19</f>
        <v>5.75</v>
      </c>
      <c r="I19" s="9">
        <f t="shared" ref="I19:I20" si="10">I18-E19+C19</f>
        <v>2.75</v>
      </c>
      <c r="J19" s="10">
        <f t="shared" ref="J19:J20" si="11">SUM(H19:I19)</f>
        <v>8.5</v>
      </c>
    </row>
    <row r="20" spans="1:11" x14ac:dyDescent="0.25">
      <c r="A20" s="15" t="s">
        <v>143</v>
      </c>
      <c r="B20" s="22"/>
      <c r="C20" s="22"/>
      <c r="D20" s="22"/>
      <c r="E20" s="22">
        <v>1</v>
      </c>
      <c r="F20" s="22"/>
      <c r="G20" s="22"/>
      <c r="H20" s="9">
        <f t="shared" si="9"/>
        <v>5.75</v>
      </c>
      <c r="I20" s="9">
        <f t="shared" si="10"/>
        <v>1.75</v>
      </c>
      <c r="J20" s="10">
        <f t="shared" si="11"/>
        <v>7.5</v>
      </c>
    </row>
    <row r="21" spans="1:11" x14ac:dyDescent="0.25">
      <c r="A21" s="15"/>
      <c r="B21" s="22"/>
      <c r="C21" s="22"/>
      <c r="D21" s="22"/>
      <c r="E21" s="22"/>
      <c r="F21" s="22"/>
      <c r="G21" s="22"/>
      <c r="H21" s="9"/>
      <c r="I21" s="9"/>
      <c r="J21" s="9"/>
    </row>
    <row r="22" spans="1:11" x14ac:dyDescent="0.25">
      <c r="A22" s="41"/>
      <c r="B22" s="42"/>
      <c r="C22" s="42"/>
      <c r="D22" s="42"/>
      <c r="E22" s="42"/>
      <c r="F22" s="42"/>
      <c r="G22" s="42"/>
      <c r="H22" s="43"/>
      <c r="I22" s="43"/>
      <c r="J22" s="43"/>
    </row>
    <row r="23" spans="1:11" x14ac:dyDescent="0.25">
      <c r="A23" s="41"/>
      <c r="B23" s="42"/>
      <c r="C23" s="42"/>
      <c r="D23" s="42"/>
      <c r="E23" s="42"/>
      <c r="F23" s="42"/>
      <c r="G23" s="42"/>
      <c r="H23" s="43"/>
      <c r="I23" s="43"/>
      <c r="J23" s="43"/>
    </row>
    <row r="24" spans="1:11" s="23" customFormat="1" ht="15" customHeight="1" x14ac:dyDescent="0.25">
      <c r="F24" s="77" t="s">
        <v>59</v>
      </c>
      <c r="G24" s="77"/>
    </row>
    <row r="25" spans="1:11" s="23" customFormat="1" ht="15" customHeight="1" x14ac:dyDescent="0.25"/>
    <row r="26" spans="1:11" s="23" customFormat="1" ht="15" customHeight="1" x14ac:dyDescent="0.25">
      <c r="F26" s="60"/>
      <c r="G26" s="61" t="s">
        <v>60</v>
      </c>
    </row>
    <row r="27" spans="1:11" s="23" customFormat="1" ht="15" customHeight="1" x14ac:dyDescent="0.25">
      <c r="G27" s="24" t="s">
        <v>61</v>
      </c>
    </row>
    <row r="28" spans="1:11" ht="15" customHeight="1" x14ac:dyDescent="0.25">
      <c r="B28" s="1"/>
      <c r="C28" s="1"/>
      <c r="D28" s="1"/>
      <c r="E28" s="1"/>
      <c r="F28" s="1"/>
      <c r="G28" s="24" t="s">
        <v>62</v>
      </c>
      <c r="H28" s="1"/>
      <c r="I28" s="1"/>
      <c r="J28" s="1"/>
      <c r="K28" s="1"/>
    </row>
  </sheetData>
  <mergeCells count="14">
    <mergeCell ref="K11:K12"/>
    <mergeCell ref="F24:G24"/>
    <mergeCell ref="A10:J10"/>
    <mergeCell ref="A11:A12"/>
    <mergeCell ref="B11:C11"/>
    <mergeCell ref="D11:G11"/>
    <mergeCell ref="H11:I11"/>
    <mergeCell ref="J11:J12"/>
    <mergeCell ref="B9:D9"/>
    <mergeCell ref="A2:J2"/>
    <mergeCell ref="A3:J3"/>
    <mergeCell ref="A4:J4"/>
    <mergeCell ref="A5:J5"/>
    <mergeCell ref="B7:D7"/>
  </mergeCells>
  <printOptions horizontalCentered="1"/>
  <pageMargins left="0.25" right="0.25" top="0.75" bottom="0.75" header="0.3" footer="0.3"/>
  <pageSetup paperSize="9" scale="69" fitToHeight="0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2DC33-1C22-43AF-9D1C-E1AB33A281E6}">
  <sheetPr>
    <pageSetUpPr fitToPage="1"/>
  </sheetPr>
  <dimension ref="A1:L30"/>
  <sheetViews>
    <sheetView view="pageBreakPreview" topLeftCell="A10" zoomScaleNormal="100" zoomScaleSheetLayoutView="100" workbookViewId="0">
      <selection activeCell="H21" sqref="H21:I21"/>
    </sheetView>
  </sheetViews>
  <sheetFormatPr defaultRowHeight="15" x14ac:dyDescent="0.25"/>
  <cols>
    <col min="1" max="1" width="23.7109375" style="54" customWidth="1"/>
    <col min="2" max="2" width="11.42578125" style="54" customWidth="1"/>
    <col min="3" max="4" width="9.140625" style="54"/>
    <col min="5" max="5" width="13" style="54" customWidth="1"/>
    <col min="6" max="12" width="9.140625" style="54"/>
  </cols>
  <sheetData>
    <row r="1" spans="1:12" x14ac:dyDescent="0.25">
      <c r="A1" s="44"/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</row>
    <row r="2" spans="1:12" x14ac:dyDescent="0.25">
      <c r="A2" s="44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</row>
    <row r="3" spans="1:12" x14ac:dyDescent="0.25">
      <c r="A3" s="44"/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</row>
    <row r="4" spans="1:12" x14ac:dyDescent="0.25">
      <c r="A4" s="98" t="s">
        <v>38</v>
      </c>
      <c r="B4" s="98"/>
      <c r="C4" s="98"/>
      <c r="D4" s="98"/>
      <c r="E4" s="98"/>
      <c r="F4" s="98"/>
      <c r="G4" s="98"/>
      <c r="H4" s="98"/>
      <c r="I4" s="98"/>
      <c r="J4" s="98"/>
      <c r="K4" s="98"/>
      <c r="L4" s="98"/>
    </row>
    <row r="5" spans="1:12" x14ac:dyDescent="0.25">
      <c r="A5" s="98" t="s">
        <v>39</v>
      </c>
      <c r="B5" s="98"/>
      <c r="C5" s="98"/>
      <c r="D5" s="98"/>
      <c r="E5" s="98"/>
      <c r="F5" s="98"/>
      <c r="G5" s="98"/>
      <c r="H5" s="98"/>
      <c r="I5" s="98"/>
      <c r="J5" s="98"/>
      <c r="K5" s="98"/>
      <c r="L5" s="98"/>
    </row>
    <row r="6" spans="1:12" x14ac:dyDescent="0.25">
      <c r="A6" s="98" t="s">
        <v>40</v>
      </c>
      <c r="B6" s="98"/>
      <c r="C6" s="98"/>
      <c r="D6" s="98"/>
      <c r="E6" s="98"/>
      <c r="F6" s="98"/>
      <c r="G6" s="98"/>
      <c r="H6" s="98"/>
      <c r="I6" s="98"/>
      <c r="J6" s="98"/>
      <c r="K6" s="98"/>
      <c r="L6" s="98"/>
    </row>
    <row r="7" spans="1:12" x14ac:dyDescent="0.25">
      <c r="A7" s="98" t="s">
        <v>41</v>
      </c>
      <c r="B7" s="98"/>
      <c r="C7" s="98"/>
      <c r="D7" s="98"/>
      <c r="E7" s="98"/>
      <c r="F7" s="98"/>
      <c r="G7" s="98"/>
      <c r="H7" s="98"/>
      <c r="I7" s="98"/>
      <c r="J7" s="98"/>
      <c r="K7" s="98"/>
      <c r="L7" s="98"/>
    </row>
    <row r="8" spans="1:12" x14ac:dyDescent="0.25">
      <c r="A8" s="44"/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</row>
    <row r="9" spans="1:12" x14ac:dyDescent="0.25">
      <c r="A9" s="44" t="s">
        <v>42</v>
      </c>
      <c r="B9" s="44"/>
      <c r="C9" s="45" t="s">
        <v>43</v>
      </c>
      <c r="D9" s="45"/>
      <c r="E9" s="44"/>
      <c r="F9" s="44"/>
      <c r="G9" s="45" t="s">
        <v>9</v>
      </c>
      <c r="H9" s="46"/>
      <c r="I9" s="44"/>
      <c r="J9" s="44"/>
      <c r="K9" s="44"/>
      <c r="L9" s="44"/>
    </row>
    <row r="10" spans="1:12" x14ac:dyDescent="0.25">
      <c r="A10" s="44"/>
      <c r="B10" s="44"/>
      <c r="C10" s="47"/>
      <c r="D10" s="44"/>
      <c r="E10" s="44"/>
      <c r="F10" s="44"/>
      <c r="G10" s="47"/>
      <c r="H10" s="47"/>
      <c r="I10" s="44"/>
      <c r="J10" s="44"/>
      <c r="K10" s="44"/>
      <c r="L10" s="44"/>
    </row>
    <row r="11" spans="1:12" x14ac:dyDescent="0.25">
      <c r="A11" s="44" t="s">
        <v>44</v>
      </c>
      <c r="B11" s="44"/>
      <c r="C11" s="45" t="s">
        <v>45</v>
      </c>
      <c r="D11" s="45"/>
      <c r="E11" s="44"/>
      <c r="F11" s="44"/>
      <c r="G11" s="45" t="s">
        <v>10</v>
      </c>
      <c r="H11" s="48"/>
      <c r="I11" s="44"/>
      <c r="J11" s="44"/>
      <c r="K11" s="44"/>
      <c r="L11" s="44"/>
    </row>
    <row r="12" spans="1:12" ht="21.75" thickBot="1" x14ac:dyDescent="0.3">
      <c r="A12" s="99" t="s">
        <v>94</v>
      </c>
      <c r="B12" s="99"/>
      <c r="C12" s="99"/>
      <c r="D12" s="99"/>
      <c r="E12" s="99"/>
      <c r="F12" s="99"/>
      <c r="G12" s="99"/>
      <c r="H12" s="99"/>
      <c r="I12" s="99"/>
      <c r="J12" s="99"/>
      <c r="K12" s="99"/>
      <c r="L12" s="99"/>
    </row>
    <row r="13" spans="1:12" x14ac:dyDescent="0.25">
      <c r="A13" s="100" t="s">
        <v>4</v>
      </c>
      <c r="B13" s="102" t="s">
        <v>5</v>
      </c>
      <c r="C13" s="103"/>
      <c r="D13" s="103"/>
      <c r="E13" s="103"/>
      <c r="F13" s="103"/>
      <c r="G13" s="103"/>
      <c r="H13" s="103"/>
      <c r="I13" s="103"/>
      <c r="J13" s="103"/>
      <c r="K13" s="103"/>
      <c r="L13" s="104" t="s">
        <v>8</v>
      </c>
    </row>
    <row r="14" spans="1:12" x14ac:dyDescent="0.25">
      <c r="A14" s="101"/>
      <c r="B14" s="106" t="s">
        <v>95</v>
      </c>
      <c r="C14" s="107"/>
      <c r="D14" s="107"/>
      <c r="E14" s="108"/>
      <c r="F14" s="106" t="s">
        <v>74</v>
      </c>
      <c r="G14" s="108"/>
      <c r="H14" s="106" t="s">
        <v>75</v>
      </c>
      <c r="I14" s="108"/>
      <c r="J14" s="106" t="s">
        <v>76</v>
      </c>
      <c r="K14" s="108"/>
      <c r="L14" s="105"/>
    </row>
    <row r="15" spans="1:12" ht="26.1" customHeight="1" x14ac:dyDescent="0.25">
      <c r="A15" s="57" t="s">
        <v>97</v>
      </c>
      <c r="B15" s="89" t="s">
        <v>98</v>
      </c>
      <c r="C15" s="90"/>
      <c r="D15" s="90"/>
      <c r="E15" s="91"/>
      <c r="F15" s="89">
        <v>1</v>
      </c>
      <c r="G15" s="91"/>
      <c r="H15" s="89">
        <v>0</v>
      </c>
      <c r="I15" s="91"/>
      <c r="J15" s="89">
        <v>1</v>
      </c>
      <c r="K15" s="91"/>
      <c r="L15" s="58">
        <v>1</v>
      </c>
    </row>
    <row r="16" spans="1:12" ht="30" customHeight="1" x14ac:dyDescent="0.25">
      <c r="A16" s="59" t="s">
        <v>80</v>
      </c>
      <c r="B16" s="89" t="s">
        <v>98</v>
      </c>
      <c r="C16" s="90"/>
      <c r="D16" s="90"/>
      <c r="E16" s="91"/>
      <c r="F16" s="89"/>
      <c r="G16" s="91"/>
      <c r="H16" s="89">
        <v>1</v>
      </c>
      <c r="I16" s="91"/>
      <c r="J16" s="89">
        <v>0</v>
      </c>
      <c r="K16" s="91"/>
      <c r="L16" s="49">
        <v>0</v>
      </c>
    </row>
    <row r="17" spans="1:12" ht="29.25" customHeight="1" x14ac:dyDescent="0.25">
      <c r="A17" s="57" t="s">
        <v>102</v>
      </c>
      <c r="B17" s="89" t="s">
        <v>103</v>
      </c>
      <c r="C17" s="90"/>
      <c r="D17" s="90"/>
      <c r="E17" s="91"/>
      <c r="F17" s="89">
        <v>1</v>
      </c>
      <c r="G17" s="91"/>
      <c r="H17" s="89">
        <v>0</v>
      </c>
      <c r="I17" s="91"/>
      <c r="J17" s="89">
        <v>1</v>
      </c>
      <c r="K17" s="91"/>
      <c r="L17" s="58">
        <v>1</v>
      </c>
    </row>
    <row r="18" spans="1:12" ht="26.1" customHeight="1" x14ac:dyDescent="0.25">
      <c r="A18" s="57" t="s">
        <v>101</v>
      </c>
      <c r="B18" s="89" t="s">
        <v>103</v>
      </c>
      <c r="C18" s="90"/>
      <c r="D18" s="90"/>
      <c r="E18" s="91"/>
      <c r="F18" s="89"/>
      <c r="G18" s="91"/>
      <c r="H18" s="89">
        <v>1</v>
      </c>
      <c r="I18" s="91"/>
      <c r="J18" s="89">
        <v>0</v>
      </c>
      <c r="K18" s="91"/>
      <c r="L18" s="49">
        <v>0</v>
      </c>
    </row>
    <row r="19" spans="1:12" ht="29.25" customHeight="1" x14ac:dyDescent="0.25">
      <c r="A19" s="57" t="s">
        <v>121</v>
      </c>
      <c r="B19" s="89" t="s">
        <v>122</v>
      </c>
      <c r="C19" s="90"/>
      <c r="D19" s="90"/>
      <c r="E19" s="91"/>
      <c r="F19" s="89">
        <v>1.5</v>
      </c>
      <c r="G19" s="91"/>
      <c r="H19" s="89">
        <v>0</v>
      </c>
      <c r="I19" s="91"/>
      <c r="J19" s="89">
        <v>1.5</v>
      </c>
      <c r="K19" s="91"/>
      <c r="L19" s="58">
        <v>1.5</v>
      </c>
    </row>
    <row r="20" spans="1:12" ht="26.1" customHeight="1" x14ac:dyDescent="0.25">
      <c r="A20" s="57" t="s">
        <v>123</v>
      </c>
      <c r="B20" s="89" t="s">
        <v>122</v>
      </c>
      <c r="C20" s="90"/>
      <c r="D20" s="90"/>
      <c r="E20" s="91"/>
      <c r="F20" s="89"/>
      <c r="G20" s="91"/>
      <c r="H20" s="89">
        <v>0.5</v>
      </c>
      <c r="I20" s="91"/>
      <c r="J20" s="89">
        <v>1</v>
      </c>
      <c r="K20" s="91"/>
      <c r="L20" s="62">
        <v>1</v>
      </c>
    </row>
    <row r="21" spans="1:12" ht="23.25" customHeight="1" x14ac:dyDescent="0.25">
      <c r="A21" s="57" t="s">
        <v>116</v>
      </c>
      <c r="B21" s="89" t="s">
        <v>117</v>
      </c>
      <c r="C21" s="90"/>
      <c r="D21" s="90"/>
      <c r="E21" s="91"/>
      <c r="F21" s="89">
        <v>1</v>
      </c>
      <c r="G21" s="91"/>
      <c r="H21" s="89">
        <v>0</v>
      </c>
      <c r="I21" s="91"/>
      <c r="J21" s="89">
        <v>1</v>
      </c>
      <c r="K21" s="91"/>
      <c r="L21" s="58">
        <v>1</v>
      </c>
    </row>
    <row r="22" spans="1:12" s="65" customFormat="1" ht="25.5" customHeight="1" x14ac:dyDescent="0.2">
      <c r="A22" s="63" t="s">
        <v>125</v>
      </c>
      <c r="B22" s="94" t="s">
        <v>124</v>
      </c>
      <c r="C22" s="95"/>
      <c r="D22" s="95"/>
      <c r="E22" s="96"/>
      <c r="F22" s="94"/>
      <c r="G22" s="96"/>
      <c r="H22" s="94">
        <v>1</v>
      </c>
      <c r="I22" s="96"/>
      <c r="J22" s="94">
        <v>0</v>
      </c>
      <c r="K22" s="96"/>
      <c r="L22" s="64">
        <v>0</v>
      </c>
    </row>
    <row r="23" spans="1:12" ht="26.1" customHeight="1" x14ac:dyDescent="0.25">
      <c r="A23" s="57"/>
      <c r="B23" s="89"/>
      <c r="C23" s="90"/>
      <c r="D23" s="90"/>
      <c r="E23" s="91"/>
      <c r="F23" s="89"/>
      <c r="G23" s="91"/>
      <c r="H23" s="89"/>
      <c r="I23" s="91"/>
      <c r="J23" s="89"/>
      <c r="K23" s="91"/>
      <c r="L23" s="62"/>
    </row>
    <row r="24" spans="1:12" x14ac:dyDescent="0.25">
      <c r="A24" s="50" t="s">
        <v>96</v>
      </c>
      <c r="B24" s="51"/>
      <c r="C24" s="51"/>
      <c r="D24" s="51"/>
      <c r="E24" s="51"/>
      <c r="F24" s="51"/>
      <c r="G24" s="51"/>
      <c r="H24" s="51"/>
      <c r="I24" s="51"/>
      <c r="J24" s="51"/>
      <c r="K24" s="51"/>
      <c r="L24" s="52"/>
    </row>
    <row r="25" spans="1:12" ht="4.5" customHeight="1" x14ac:dyDescent="0.25">
      <c r="A25" s="92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</row>
    <row r="26" spans="1:12" x14ac:dyDescent="0.25">
      <c r="A26" s="44"/>
      <c r="B26" s="44"/>
      <c r="C26" s="53"/>
      <c r="D26" s="44"/>
      <c r="E26" s="44"/>
      <c r="F26" s="44"/>
      <c r="G26" s="44"/>
      <c r="H26" s="44"/>
      <c r="I26" s="44" t="s">
        <v>59</v>
      </c>
      <c r="J26" s="44"/>
      <c r="K26" s="44"/>
      <c r="L26" s="44"/>
    </row>
    <row r="27" spans="1:12" ht="12.75" customHeight="1" x14ac:dyDescent="0.25">
      <c r="A27" s="44"/>
      <c r="B27" s="44"/>
      <c r="C27" s="53"/>
      <c r="D27" s="44"/>
      <c r="E27" s="44"/>
      <c r="F27" s="44"/>
      <c r="G27" s="44"/>
      <c r="H27" s="44"/>
      <c r="I27" s="44"/>
      <c r="J27" s="44"/>
      <c r="K27" s="44"/>
      <c r="L27" s="44"/>
    </row>
    <row r="28" spans="1:12" x14ac:dyDescent="0.25">
      <c r="A28" s="93"/>
      <c r="B28" s="93"/>
      <c r="I28" s="55" t="s">
        <v>60</v>
      </c>
      <c r="J28" s="56"/>
    </row>
    <row r="29" spans="1:12" x14ac:dyDescent="0.25">
      <c r="A29" s="97"/>
      <c r="B29" s="97"/>
      <c r="I29" s="54" t="s">
        <v>61</v>
      </c>
    </row>
    <row r="30" spans="1:12" x14ac:dyDescent="0.25">
      <c r="A30" s="88"/>
      <c r="B30" s="88"/>
      <c r="I30" s="88" t="s">
        <v>62</v>
      </c>
      <c r="J30" s="88"/>
    </row>
  </sheetData>
  <mergeCells count="53">
    <mergeCell ref="A13:A14"/>
    <mergeCell ref="B13:K13"/>
    <mergeCell ref="L13:L14"/>
    <mergeCell ref="B14:E14"/>
    <mergeCell ref="F14:G14"/>
    <mergeCell ref="H14:I14"/>
    <mergeCell ref="J14:K14"/>
    <mergeCell ref="A4:L4"/>
    <mergeCell ref="A5:L5"/>
    <mergeCell ref="A6:L6"/>
    <mergeCell ref="A7:L7"/>
    <mergeCell ref="A12:L12"/>
    <mergeCell ref="B15:E15"/>
    <mergeCell ref="F15:G15"/>
    <mergeCell ref="H15:I15"/>
    <mergeCell ref="J15:K15"/>
    <mergeCell ref="B16:E16"/>
    <mergeCell ref="F16:G16"/>
    <mergeCell ref="H16:I16"/>
    <mergeCell ref="J16:K16"/>
    <mergeCell ref="B21:E21"/>
    <mergeCell ref="F21:G21"/>
    <mergeCell ref="H21:I21"/>
    <mergeCell ref="J21:K21"/>
    <mergeCell ref="B23:E23"/>
    <mergeCell ref="F23:G23"/>
    <mergeCell ref="H23:I23"/>
    <mergeCell ref="J23:K23"/>
    <mergeCell ref="H22:I22"/>
    <mergeCell ref="J22:K22"/>
    <mergeCell ref="B17:E17"/>
    <mergeCell ref="F17:G17"/>
    <mergeCell ref="H17:I17"/>
    <mergeCell ref="J17:K17"/>
    <mergeCell ref="B19:E19"/>
    <mergeCell ref="F19:G19"/>
    <mergeCell ref="H19:I19"/>
    <mergeCell ref="A30:B30"/>
    <mergeCell ref="I30:J30"/>
    <mergeCell ref="B18:E18"/>
    <mergeCell ref="F18:G18"/>
    <mergeCell ref="H18:I18"/>
    <mergeCell ref="J18:K18"/>
    <mergeCell ref="A25:L25"/>
    <mergeCell ref="A28:B28"/>
    <mergeCell ref="J19:K19"/>
    <mergeCell ref="B20:E20"/>
    <mergeCell ref="F20:G20"/>
    <mergeCell ref="H20:I20"/>
    <mergeCell ref="J20:K20"/>
    <mergeCell ref="B22:E22"/>
    <mergeCell ref="F22:G22"/>
    <mergeCell ref="A29:B29"/>
  </mergeCells>
  <pageMargins left="0.7" right="0.7" top="0.75" bottom="0.75" header="0.3" footer="0.3"/>
  <pageSetup paperSize="9" scale="67" fitToHeight="0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25"/>
  <sheetViews>
    <sheetView topLeftCell="A12" workbookViewId="0">
      <selection activeCell="L33" sqref="L33"/>
    </sheetView>
  </sheetViews>
  <sheetFormatPr defaultRowHeight="15" x14ac:dyDescent="0.25"/>
  <cols>
    <col min="1" max="1" width="19.5703125" customWidth="1"/>
    <col min="2" max="2" width="22.85546875" customWidth="1"/>
    <col min="4" max="4" width="19" customWidth="1"/>
    <col min="6" max="6" width="6.140625" customWidth="1"/>
    <col min="7" max="7" width="8" customWidth="1"/>
    <col min="8" max="8" width="6.5703125" customWidth="1"/>
    <col min="10" max="10" width="5.7109375" customWidth="1"/>
    <col min="11" max="11" width="0" hidden="1" customWidth="1"/>
  </cols>
  <sheetData>
    <row r="1" spans="1:13" x14ac:dyDescent="0.25">
      <c r="A1" s="1"/>
      <c r="B1" s="1"/>
      <c r="C1" s="1"/>
      <c r="D1" s="25"/>
      <c r="E1" s="1"/>
      <c r="F1" s="1"/>
      <c r="G1" s="26"/>
      <c r="H1" s="1"/>
      <c r="I1" s="1"/>
      <c r="J1" s="1"/>
      <c r="K1" s="1"/>
      <c r="L1" s="1"/>
      <c r="M1" s="1"/>
    </row>
    <row r="2" spans="1:13" x14ac:dyDescent="0.25">
      <c r="A2" s="1"/>
      <c r="B2" s="1"/>
      <c r="C2" s="1"/>
      <c r="D2" s="25"/>
      <c r="E2" s="1"/>
      <c r="F2" s="1"/>
      <c r="G2" s="26"/>
      <c r="H2" s="1"/>
      <c r="I2" s="1"/>
      <c r="J2" s="1"/>
      <c r="K2" s="1"/>
      <c r="L2" s="1"/>
      <c r="M2" s="1"/>
    </row>
    <row r="3" spans="1:13" x14ac:dyDescent="0.25">
      <c r="A3" s="1"/>
      <c r="B3" s="1"/>
      <c r="C3" s="1"/>
      <c r="D3" s="25"/>
      <c r="E3" s="1"/>
      <c r="F3" s="1"/>
      <c r="G3" s="26"/>
      <c r="H3" s="1"/>
      <c r="I3" s="1"/>
      <c r="J3" s="1"/>
      <c r="K3" s="1"/>
      <c r="L3" s="1"/>
      <c r="M3" s="1"/>
    </row>
    <row r="4" spans="1:13" x14ac:dyDescent="0.25">
      <c r="A4" s="1"/>
      <c r="B4" s="1"/>
      <c r="C4" s="1"/>
      <c r="D4" s="25"/>
      <c r="E4" s="1"/>
      <c r="F4" s="1"/>
      <c r="G4" s="26"/>
      <c r="H4" s="1"/>
      <c r="I4" s="1"/>
      <c r="J4" s="1"/>
      <c r="K4" s="1"/>
      <c r="L4" s="1"/>
      <c r="M4" s="1"/>
    </row>
    <row r="5" spans="1:13" x14ac:dyDescent="0.25">
      <c r="A5" s="75" t="s">
        <v>38</v>
      </c>
      <c r="B5" s="75"/>
      <c r="C5" s="75"/>
      <c r="D5" s="75"/>
      <c r="E5" s="75"/>
      <c r="F5" s="75"/>
      <c r="G5" s="75"/>
      <c r="H5" s="75"/>
      <c r="I5" s="75"/>
      <c r="J5" s="75"/>
      <c r="K5" s="75"/>
      <c r="L5" s="1"/>
      <c r="M5" s="1"/>
    </row>
    <row r="6" spans="1:13" x14ac:dyDescent="0.25">
      <c r="A6" s="75" t="s">
        <v>39</v>
      </c>
      <c r="B6" s="75"/>
      <c r="C6" s="75"/>
      <c r="D6" s="75"/>
      <c r="E6" s="75"/>
      <c r="F6" s="75"/>
      <c r="G6" s="75"/>
      <c r="H6" s="75"/>
      <c r="I6" s="75"/>
      <c r="J6" s="75"/>
      <c r="K6" s="75"/>
      <c r="L6" s="1"/>
      <c r="M6" s="1"/>
    </row>
    <row r="7" spans="1:13" x14ac:dyDescent="0.25">
      <c r="A7" s="75" t="s">
        <v>40</v>
      </c>
      <c r="B7" s="75"/>
      <c r="C7" s="75"/>
      <c r="D7" s="75"/>
      <c r="E7" s="75"/>
      <c r="F7" s="75"/>
      <c r="G7" s="75"/>
      <c r="H7" s="75"/>
      <c r="I7" s="75"/>
      <c r="J7" s="75"/>
      <c r="K7" s="75"/>
      <c r="L7" s="1"/>
      <c r="M7" s="1"/>
    </row>
    <row r="8" spans="1:13" x14ac:dyDescent="0.25">
      <c r="A8" s="75" t="s">
        <v>41</v>
      </c>
      <c r="B8" s="75"/>
      <c r="C8" s="75"/>
      <c r="D8" s="75"/>
      <c r="E8" s="75"/>
      <c r="F8" s="75"/>
      <c r="G8" s="75"/>
      <c r="H8" s="75"/>
      <c r="I8" s="75"/>
      <c r="J8" s="75"/>
      <c r="K8" s="75"/>
      <c r="L8" s="1"/>
      <c r="M8" s="1"/>
    </row>
    <row r="9" spans="1:13" x14ac:dyDescent="0.25">
      <c r="A9" s="1"/>
      <c r="B9" s="1"/>
      <c r="C9" s="1"/>
      <c r="D9" s="26"/>
      <c r="E9" s="1"/>
      <c r="F9" s="1"/>
      <c r="G9" s="26"/>
      <c r="H9" s="1"/>
      <c r="I9" s="1"/>
      <c r="J9" s="1"/>
      <c r="K9" s="1"/>
      <c r="L9" s="1"/>
      <c r="M9" s="1"/>
    </row>
    <row r="10" spans="1:13" x14ac:dyDescent="0.25">
      <c r="A10" s="1"/>
      <c r="B10" s="1"/>
      <c r="C10" s="1"/>
      <c r="D10" s="26"/>
      <c r="E10" s="1"/>
      <c r="F10" s="1"/>
      <c r="G10" s="26"/>
      <c r="H10" s="1"/>
      <c r="I10" s="1"/>
      <c r="J10" s="1"/>
      <c r="K10" s="1"/>
      <c r="L10" s="1"/>
      <c r="M10" s="1"/>
    </row>
    <row r="11" spans="1:13" x14ac:dyDescent="0.25">
      <c r="A11" s="27" t="s">
        <v>78</v>
      </c>
      <c r="B11" s="27"/>
      <c r="C11" s="27"/>
      <c r="D11" s="115" t="s">
        <v>68</v>
      </c>
      <c r="E11" s="115"/>
      <c r="F11" s="115"/>
      <c r="G11" s="1"/>
      <c r="H11" s="115" t="s">
        <v>69</v>
      </c>
      <c r="I11" s="115"/>
      <c r="J11" s="115"/>
      <c r="K11" s="27"/>
      <c r="L11" s="1"/>
      <c r="M11" s="1"/>
    </row>
    <row r="12" spans="1:13" x14ac:dyDescent="0.25">
      <c r="A12" s="1"/>
      <c r="B12" s="1"/>
      <c r="C12" s="28"/>
      <c r="D12" s="115" t="s">
        <v>70</v>
      </c>
      <c r="E12" s="115"/>
      <c r="F12" s="115"/>
      <c r="G12" s="1"/>
      <c r="H12" s="116" t="s">
        <v>71</v>
      </c>
      <c r="I12" s="116"/>
      <c r="J12" s="116"/>
      <c r="K12" s="28"/>
      <c r="L12" s="1"/>
      <c r="M12" s="1"/>
    </row>
    <row r="13" spans="1:13" ht="17.25" customHeight="1" x14ac:dyDescent="0.25">
      <c r="A13" s="27" t="s">
        <v>79</v>
      </c>
      <c r="B13" s="27"/>
      <c r="C13" s="27"/>
      <c r="D13" s="29"/>
      <c r="E13" s="1"/>
      <c r="F13" s="1"/>
      <c r="G13" s="1"/>
      <c r="H13" s="115" t="s">
        <v>72</v>
      </c>
      <c r="I13" s="115"/>
      <c r="J13" s="115"/>
      <c r="K13" s="27"/>
      <c r="L13" s="1"/>
      <c r="M13" s="1"/>
    </row>
    <row r="14" spans="1:13" ht="17.25" customHeight="1" x14ac:dyDescent="0.25">
      <c r="A14" s="27"/>
      <c r="B14" s="27"/>
      <c r="C14" s="27"/>
      <c r="D14" s="29"/>
      <c r="E14" s="1"/>
      <c r="F14" s="1"/>
      <c r="G14" s="1"/>
      <c r="H14" s="66"/>
      <c r="I14" s="66"/>
      <c r="J14" s="66"/>
      <c r="K14" s="27"/>
      <c r="L14" s="1"/>
      <c r="M14" s="1"/>
    </row>
    <row r="15" spans="1:13" ht="21.75" thickBot="1" x14ac:dyDescent="0.3">
      <c r="A15" s="117" t="s">
        <v>73</v>
      </c>
      <c r="B15" s="117"/>
      <c r="C15" s="117"/>
      <c r="D15" s="117"/>
      <c r="E15" s="117"/>
      <c r="F15" s="117"/>
      <c r="G15" s="117"/>
      <c r="H15" s="117"/>
      <c r="I15" s="117"/>
      <c r="J15" s="117"/>
      <c r="K15" s="117"/>
    </row>
    <row r="16" spans="1:13" ht="15" customHeight="1" x14ac:dyDescent="0.25">
      <c r="A16" s="118" t="s">
        <v>127</v>
      </c>
      <c r="B16" s="121" t="s">
        <v>128</v>
      </c>
      <c r="C16" s="124" t="s">
        <v>130</v>
      </c>
      <c r="D16" s="136"/>
      <c r="E16" s="124" t="s">
        <v>74</v>
      </c>
      <c r="F16" s="125"/>
      <c r="G16" s="124" t="s">
        <v>75</v>
      </c>
      <c r="H16" s="125"/>
      <c r="I16" s="124" t="s">
        <v>76</v>
      </c>
      <c r="J16" s="130"/>
      <c r="K16" s="133" t="s">
        <v>8</v>
      </c>
      <c r="L16" s="30"/>
      <c r="M16" s="30"/>
    </row>
    <row r="17" spans="1:13" x14ac:dyDescent="0.25">
      <c r="A17" s="119"/>
      <c r="B17" s="122"/>
      <c r="C17" s="126"/>
      <c r="D17" s="137"/>
      <c r="E17" s="126"/>
      <c r="F17" s="127"/>
      <c r="G17" s="126"/>
      <c r="H17" s="127"/>
      <c r="I17" s="126"/>
      <c r="J17" s="131"/>
      <c r="K17" s="134"/>
      <c r="L17" s="30"/>
      <c r="M17" s="30"/>
    </row>
    <row r="18" spans="1:13" ht="15.75" thickBot="1" x14ac:dyDescent="0.3">
      <c r="A18" s="120"/>
      <c r="B18" s="123"/>
      <c r="C18" s="128"/>
      <c r="D18" s="138"/>
      <c r="E18" s="128"/>
      <c r="F18" s="129"/>
      <c r="G18" s="128"/>
      <c r="H18" s="129"/>
      <c r="I18" s="128"/>
      <c r="J18" s="132"/>
      <c r="K18" s="135"/>
      <c r="L18" s="30"/>
      <c r="M18" s="30"/>
    </row>
    <row r="19" spans="1:13" ht="36.75" customHeight="1" x14ac:dyDescent="0.25">
      <c r="A19" s="31" t="s">
        <v>132</v>
      </c>
      <c r="B19" s="68">
        <v>44809</v>
      </c>
      <c r="C19" s="112" t="s">
        <v>77</v>
      </c>
      <c r="D19" s="113"/>
      <c r="E19" s="112">
        <v>5</v>
      </c>
      <c r="F19" s="114"/>
      <c r="G19" s="112">
        <v>0</v>
      </c>
      <c r="H19" s="114"/>
      <c r="I19" s="112">
        <v>5</v>
      </c>
      <c r="J19" s="114"/>
      <c r="K19" s="33">
        <v>5</v>
      </c>
      <c r="L19" s="30"/>
      <c r="M19" s="30"/>
    </row>
    <row r="20" spans="1:13" ht="33.75" customHeight="1" x14ac:dyDescent="0.25">
      <c r="A20" s="31"/>
      <c r="B20" s="34" t="s">
        <v>90</v>
      </c>
      <c r="C20" s="109" t="s">
        <v>77</v>
      </c>
      <c r="D20" s="110"/>
      <c r="E20" s="109"/>
      <c r="F20" s="111"/>
      <c r="G20" s="109">
        <v>1</v>
      </c>
      <c r="H20" s="111"/>
      <c r="I20" s="109">
        <v>4</v>
      </c>
      <c r="J20" s="111"/>
      <c r="K20" s="40">
        <v>4</v>
      </c>
      <c r="L20" s="35"/>
      <c r="M20" s="35"/>
    </row>
    <row r="21" spans="1:13" ht="36.75" customHeight="1" x14ac:dyDescent="0.25">
      <c r="A21" s="31" t="s">
        <v>126</v>
      </c>
      <c r="B21" s="32" t="s">
        <v>131</v>
      </c>
      <c r="C21" s="109" t="s">
        <v>129</v>
      </c>
      <c r="D21" s="110"/>
      <c r="E21" s="109">
        <v>5</v>
      </c>
      <c r="F21" s="111"/>
      <c r="G21" s="109">
        <v>0</v>
      </c>
      <c r="H21" s="111"/>
      <c r="I21" s="109">
        <v>5</v>
      </c>
      <c r="J21" s="111"/>
      <c r="K21" s="33">
        <v>5</v>
      </c>
      <c r="L21" s="30"/>
      <c r="M21" s="30"/>
    </row>
    <row r="22" spans="1:13" ht="33.75" customHeight="1" x14ac:dyDescent="0.25">
      <c r="A22" s="31"/>
      <c r="B22" s="67" t="s">
        <v>133</v>
      </c>
      <c r="C22" s="109" t="s">
        <v>129</v>
      </c>
      <c r="D22" s="110"/>
      <c r="E22" s="109"/>
      <c r="F22" s="111"/>
      <c r="G22" s="109">
        <v>1</v>
      </c>
      <c r="H22" s="111"/>
      <c r="I22" s="109">
        <v>4</v>
      </c>
      <c r="J22" s="111"/>
      <c r="K22" s="40">
        <v>4</v>
      </c>
      <c r="L22" s="35" t="s">
        <v>134</v>
      </c>
      <c r="M22" s="35"/>
    </row>
    <row r="23" spans="1:13" x14ac:dyDescent="0.25">
      <c r="A23" s="36"/>
      <c r="B23" s="36"/>
      <c r="C23" s="1"/>
      <c r="D23" s="26"/>
      <c r="E23" s="1"/>
      <c r="F23" s="1"/>
      <c r="G23" s="1"/>
      <c r="H23" s="1"/>
      <c r="I23" s="1"/>
      <c r="J23" s="1"/>
      <c r="K23" s="36"/>
      <c r="L23" s="1"/>
      <c r="M23" s="1"/>
    </row>
    <row r="24" spans="1:13" x14ac:dyDescent="0.25">
      <c r="A24" s="1"/>
      <c r="B24" s="1"/>
      <c r="C24" s="1"/>
      <c r="D24" s="26"/>
      <c r="E24" s="1"/>
      <c r="F24" s="1"/>
      <c r="G24" s="1"/>
      <c r="H24" s="1"/>
      <c r="I24" s="1"/>
      <c r="J24" s="1"/>
      <c r="K24" s="1"/>
      <c r="L24" s="1"/>
      <c r="M24" s="1"/>
    </row>
    <row r="25" spans="1:13" x14ac:dyDescent="0.25">
      <c r="A25" s="1"/>
      <c r="B25" s="1"/>
      <c r="C25" s="1"/>
      <c r="D25" s="26"/>
      <c r="E25" s="1"/>
      <c r="F25" s="1"/>
      <c r="G25" s="1"/>
      <c r="H25" s="1"/>
      <c r="I25" s="1"/>
      <c r="J25" s="1"/>
      <c r="K25" s="1"/>
      <c r="L25" s="1"/>
      <c r="M25" s="1"/>
    </row>
  </sheetData>
  <mergeCells count="33">
    <mergeCell ref="A5:K5"/>
    <mergeCell ref="A6:K6"/>
    <mergeCell ref="A7:K7"/>
    <mergeCell ref="A8:K8"/>
    <mergeCell ref="D11:F11"/>
    <mergeCell ref="H11:J11"/>
    <mergeCell ref="D12:F12"/>
    <mergeCell ref="H12:J12"/>
    <mergeCell ref="H13:J13"/>
    <mergeCell ref="A15:K15"/>
    <mergeCell ref="A16:A18"/>
    <mergeCell ref="B16:B18"/>
    <mergeCell ref="E16:F18"/>
    <mergeCell ref="G16:H18"/>
    <mergeCell ref="I16:J18"/>
    <mergeCell ref="K16:K18"/>
    <mergeCell ref="C16:D18"/>
    <mergeCell ref="C20:D20"/>
    <mergeCell ref="E20:F20"/>
    <mergeCell ref="G20:H20"/>
    <mergeCell ref="I20:J20"/>
    <mergeCell ref="C19:D19"/>
    <mergeCell ref="E19:F19"/>
    <mergeCell ref="G19:H19"/>
    <mergeCell ref="I19:J19"/>
    <mergeCell ref="C22:D22"/>
    <mergeCell ref="E22:F22"/>
    <mergeCell ref="G22:H22"/>
    <mergeCell ref="I22:J22"/>
    <mergeCell ref="C21:D21"/>
    <mergeCell ref="E21:F21"/>
    <mergeCell ref="G21:H21"/>
    <mergeCell ref="I21:J21"/>
  </mergeCells>
  <phoneticPr fontId="12" type="noConversion"/>
  <pageMargins left="0.70866141732283472" right="0.70866141732283472" top="0.55118110236220474" bottom="0.55118110236220474" header="0.31496062992125984" footer="0.31496062992125984"/>
  <pageSetup paperSize="9" scale="98" fitToHeight="0" orientation="landscape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91"/>
  <sheetViews>
    <sheetView view="pageBreakPreview" topLeftCell="A41" zoomScaleNormal="100" zoomScaleSheetLayoutView="100" workbookViewId="0">
      <selection activeCell="G85" sqref="G85"/>
    </sheetView>
  </sheetViews>
  <sheetFormatPr defaultRowHeight="15" x14ac:dyDescent="0.25"/>
  <cols>
    <col min="1" max="1" width="37.85546875" customWidth="1"/>
    <col min="2" max="6" width="11.5703125" customWidth="1"/>
    <col min="7" max="7" width="12.5703125" customWidth="1"/>
    <col min="8" max="10" width="11.5703125" customWidth="1"/>
    <col min="11" max="11" width="26.42578125" style="6" customWidth="1"/>
  </cols>
  <sheetData>
    <row r="1" spans="1:11" s="1" customFormat="1" ht="52.5" customHeight="1" x14ac:dyDescent="0.25"/>
    <row r="2" spans="1:11" s="1" customFormat="1" ht="10.5" customHeight="1" x14ac:dyDescent="0.25">
      <c r="A2" s="75" t="s">
        <v>38</v>
      </c>
      <c r="B2" s="75"/>
      <c r="C2" s="75"/>
      <c r="D2" s="75"/>
      <c r="E2" s="75"/>
      <c r="F2" s="75"/>
      <c r="G2" s="75"/>
      <c r="H2" s="75"/>
      <c r="I2" s="75"/>
      <c r="J2" s="75"/>
    </row>
    <row r="3" spans="1:11" s="1" customFormat="1" ht="15.95" customHeight="1" x14ac:dyDescent="0.25">
      <c r="A3" s="75" t="s">
        <v>39</v>
      </c>
      <c r="B3" s="75"/>
      <c r="C3" s="75"/>
      <c r="D3" s="75"/>
      <c r="E3" s="75"/>
      <c r="F3" s="75"/>
      <c r="G3" s="75"/>
      <c r="H3" s="75"/>
      <c r="I3" s="75"/>
      <c r="J3" s="75"/>
    </row>
    <row r="4" spans="1:11" s="1" customFormat="1" ht="15.95" customHeight="1" x14ac:dyDescent="0.25">
      <c r="A4" s="75" t="s">
        <v>40</v>
      </c>
      <c r="B4" s="75"/>
      <c r="C4" s="75"/>
      <c r="D4" s="75"/>
      <c r="E4" s="75"/>
      <c r="F4" s="75"/>
      <c r="G4" s="75"/>
      <c r="H4" s="75"/>
      <c r="I4" s="75"/>
      <c r="J4" s="75"/>
    </row>
    <row r="5" spans="1:11" s="1" customFormat="1" ht="15.95" customHeight="1" x14ac:dyDescent="0.25">
      <c r="A5" s="75" t="s">
        <v>41</v>
      </c>
      <c r="B5" s="75"/>
      <c r="C5" s="75"/>
      <c r="D5" s="75"/>
      <c r="E5" s="75"/>
      <c r="F5" s="75"/>
      <c r="G5" s="75"/>
      <c r="H5" s="75"/>
      <c r="I5" s="75"/>
      <c r="J5" s="75"/>
    </row>
    <row r="6" spans="1:11" s="1" customFormat="1" ht="8.25" customHeight="1" x14ac:dyDescent="0.25"/>
    <row r="7" spans="1:11" s="1" customFormat="1" ht="12" customHeight="1" x14ac:dyDescent="0.25">
      <c r="A7" s="1" t="s">
        <v>42</v>
      </c>
      <c r="B7" s="74" t="s">
        <v>43</v>
      </c>
      <c r="C7" s="74"/>
      <c r="D7" s="74"/>
      <c r="H7" s="4" t="s">
        <v>9</v>
      </c>
      <c r="I7" s="7"/>
      <c r="J7" s="4"/>
    </row>
    <row r="8" spans="1:11" s="1" customFormat="1" ht="12" customHeight="1" x14ac:dyDescent="0.25">
      <c r="B8" s="2"/>
      <c r="C8" s="2"/>
      <c r="H8" s="2"/>
      <c r="I8" s="2"/>
      <c r="J8" s="2"/>
    </row>
    <row r="9" spans="1:11" s="1" customFormat="1" ht="12" customHeight="1" x14ac:dyDescent="0.25">
      <c r="A9" s="1" t="s">
        <v>44</v>
      </c>
      <c r="B9" s="74" t="s">
        <v>45</v>
      </c>
      <c r="C9" s="74"/>
      <c r="D9" s="74"/>
      <c r="H9" s="4" t="s">
        <v>10</v>
      </c>
      <c r="I9" s="5"/>
      <c r="J9" s="4"/>
    </row>
    <row r="10" spans="1:11" ht="16.5" customHeight="1" thickBot="1" x14ac:dyDescent="0.3">
      <c r="A10" s="78" t="s">
        <v>0</v>
      </c>
      <c r="B10" s="78"/>
      <c r="C10" s="78"/>
      <c r="D10" s="78"/>
      <c r="E10" s="78"/>
      <c r="F10" s="78"/>
      <c r="G10" s="78"/>
      <c r="H10" s="78"/>
      <c r="I10" s="78"/>
      <c r="J10" s="78"/>
      <c r="K10"/>
    </row>
    <row r="11" spans="1:11" ht="18.75" customHeight="1" x14ac:dyDescent="0.25">
      <c r="A11" s="79" t="s">
        <v>4</v>
      </c>
      <c r="B11" s="81" t="s">
        <v>5</v>
      </c>
      <c r="C11" s="81"/>
      <c r="D11" s="82" t="s">
        <v>6</v>
      </c>
      <c r="E11" s="83"/>
      <c r="F11" s="83"/>
      <c r="G11" s="84"/>
      <c r="H11" s="85" t="s">
        <v>7</v>
      </c>
      <c r="I11" s="85"/>
      <c r="J11" s="86" t="s">
        <v>8</v>
      </c>
      <c r="K11" s="76" t="s">
        <v>11</v>
      </c>
    </row>
    <row r="12" spans="1:11" ht="18.75" customHeight="1" x14ac:dyDescent="0.25">
      <c r="A12" s="139"/>
      <c r="B12" s="3" t="s">
        <v>1</v>
      </c>
      <c r="C12" s="3" t="s">
        <v>2</v>
      </c>
      <c r="D12" s="3" t="s">
        <v>1</v>
      </c>
      <c r="E12" s="3" t="s">
        <v>2</v>
      </c>
      <c r="F12" s="3" t="s">
        <v>3</v>
      </c>
      <c r="G12" s="37" t="s">
        <v>37</v>
      </c>
      <c r="H12" s="3" t="s">
        <v>1</v>
      </c>
      <c r="I12" s="3" t="s">
        <v>2</v>
      </c>
      <c r="J12" s="140"/>
      <c r="K12" s="76"/>
    </row>
    <row r="13" spans="1:11" ht="18.75" customHeight="1" x14ac:dyDescent="0.25">
      <c r="A13" s="8" t="s">
        <v>46</v>
      </c>
      <c r="B13" s="9">
        <v>0.20799999999999999</v>
      </c>
      <c r="C13" s="9">
        <v>0.20799999999999999</v>
      </c>
      <c r="D13" s="9"/>
      <c r="E13" s="9"/>
      <c r="F13" s="9"/>
      <c r="G13" s="9"/>
      <c r="H13" s="9">
        <f>B13</f>
        <v>0.20799999999999999</v>
      </c>
      <c r="I13" s="9">
        <f>C13</f>
        <v>0.20799999999999999</v>
      </c>
      <c r="J13" s="10">
        <f>SUM(H13:I13)</f>
        <v>0.41599999999999998</v>
      </c>
    </row>
    <row r="14" spans="1:11" ht="18.75" customHeight="1" x14ac:dyDescent="0.25">
      <c r="A14" s="8" t="s">
        <v>47</v>
      </c>
      <c r="B14" s="9">
        <f>9*1.25</f>
        <v>11.25</v>
      </c>
      <c r="C14" s="9">
        <v>11.25</v>
      </c>
      <c r="D14" s="9"/>
      <c r="E14" s="9"/>
      <c r="F14" s="9"/>
      <c r="G14" s="9"/>
      <c r="H14" s="9">
        <f>H13-F14-D14+B14</f>
        <v>11.458</v>
      </c>
      <c r="I14" s="9">
        <f>I13-E14+C14</f>
        <v>11.458</v>
      </c>
      <c r="J14" s="10">
        <f t="shared" ref="J14:J15" si="0">SUM(H14:I14)</f>
        <v>22.916</v>
      </c>
    </row>
    <row r="15" spans="1:11" ht="18.75" customHeight="1" x14ac:dyDescent="0.25">
      <c r="A15" s="8" t="s">
        <v>48</v>
      </c>
      <c r="B15" s="9"/>
      <c r="C15" s="9"/>
      <c r="D15" s="9"/>
      <c r="E15" s="9"/>
      <c r="F15" s="9">
        <v>1</v>
      </c>
      <c r="G15" s="9"/>
      <c r="H15" s="9">
        <f t="shared" ref="H15" si="1">H14-F15-D15+B15</f>
        <v>10.458</v>
      </c>
      <c r="I15" s="9">
        <f t="shared" ref="I15" si="2">I14-E15+C15</f>
        <v>11.458</v>
      </c>
      <c r="J15" s="10">
        <f t="shared" si="0"/>
        <v>21.916</v>
      </c>
    </row>
    <row r="16" spans="1:11" ht="18.75" customHeight="1" x14ac:dyDescent="0.25">
      <c r="A16" s="8" t="s">
        <v>106</v>
      </c>
      <c r="B16" s="9"/>
      <c r="C16" s="9"/>
      <c r="D16" s="9"/>
      <c r="E16" s="9"/>
      <c r="F16" s="9">
        <v>4</v>
      </c>
      <c r="G16" s="9"/>
      <c r="H16" s="9">
        <f t="shared" ref="H16:H27" si="3">H15-F16-D16+B16</f>
        <v>6.4580000000000002</v>
      </c>
      <c r="I16" s="9">
        <f t="shared" ref="I16:I27" si="4">I15-E16+C16</f>
        <v>11.458</v>
      </c>
      <c r="J16" s="10">
        <f t="shared" ref="J16:J27" si="5">SUM(H16:I16)</f>
        <v>17.916</v>
      </c>
    </row>
    <row r="17" spans="1:10" ht="18.75" customHeight="1" x14ac:dyDescent="0.25">
      <c r="A17" s="8" t="s">
        <v>49</v>
      </c>
      <c r="B17" s="9">
        <v>15</v>
      </c>
      <c r="C17" s="9">
        <v>15</v>
      </c>
      <c r="D17" s="9"/>
      <c r="E17" s="9"/>
      <c r="F17" s="9"/>
      <c r="G17" s="9"/>
      <c r="H17" s="9">
        <f t="shared" si="3"/>
        <v>21.457999999999998</v>
      </c>
      <c r="I17" s="9">
        <f t="shared" si="4"/>
        <v>26.457999999999998</v>
      </c>
      <c r="J17" s="10">
        <f t="shared" si="5"/>
        <v>47.915999999999997</v>
      </c>
    </row>
    <row r="18" spans="1:10" ht="18.75" customHeight="1" x14ac:dyDescent="0.25">
      <c r="A18" s="8" t="s">
        <v>50</v>
      </c>
      <c r="B18" s="9"/>
      <c r="C18" s="9"/>
      <c r="D18" s="9">
        <v>10</v>
      </c>
      <c r="E18" s="9"/>
      <c r="F18" s="9"/>
      <c r="G18" s="9"/>
      <c r="H18" s="9">
        <f t="shared" si="3"/>
        <v>11.457999999999998</v>
      </c>
      <c r="I18" s="9">
        <f t="shared" si="4"/>
        <v>26.457999999999998</v>
      </c>
      <c r="J18" s="10">
        <f t="shared" si="5"/>
        <v>37.915999999999997</v>
      </c>
    </row>
    <row r="19" spans="1:10" ht="18.75" customHeight="1" x14ac:dyDescent="0.25">
      <c r="A19" s="8" t="s">
        <v>51</v>
      </c>
      <c r="B19" s="9"/>
      <c r="C19" s="9"/>
      <c r="D19" s="9"/>
      <c r="E19" s="9"/>
      <c r="F19" s="9">
        <v>5</v>
      </c>
      <c r="G19" s="9"/>
      <c r="H19" s="9">
        <f t="shared" si="3"/>
        <v>6.4579999999999984</v>
      </c>
      <c r="I19" s="9">
        <f t="shared" si="4"/>
        <v>26.457999999999998</v>
      </c>
      <c r="J19" s="10">
        <f t="shared" si="5"/>
        <v>32.915999999999997</v>
      </c>
    </row>
    <row r="20" spans="1:10" ht="18.75" customHeight="1" x14ac:dyDescent="0.25">
      <c r="A20" s="8" t="s">
        <v>52</v>
      </c>
      <c r="B20" s="9">
        <v>15</v>
      </c>
      <c r="C20" s="9">
        <v>15</v>
      </c>
      <c r="D20" s="9"/>
      <c r="E20" s="9"/>
      <c r="F20" s="9"/>
      <c r="G20" s="9"/>
      <c r="H20" s="9">
        <f t="shared" si="3"/>
        <v>21.457999999999998</v>
      </c>
      <c r="I20" s="9">
        <f t="shared" si="4"/>
        <v>41.457999999999998</v>
      </c>
      <c r="J20" s="10">
        <f t="shared" si="5"/>
        <v>62.915999999999997</v>
      </c>
    </row>
    <row r="21" spans="1:10" ht="18.75" customHeight="1" x14ac:dyDescent="0.25">
      <c r="A21" s="8" t="s">
        <v>53</v>
      </c>
      <c r="B21" s="9"/>
      <c r="C21" s="9"/>
      <c r="D21" s="9">
        <v>11</v>
      </c>
      <c r="E21" s="9">
        <v>18</v>
      </c>
      <c r="F21" s="9"/>
      <c r="G21" s="9"/>
      <c r="H21" s="9">
        <f t="shared" si="3"/>
        <v>10.457999999999998</v>
      </c>
      <c r="I21" s="9">
        <f t="shared" si="4"/>
        <v>23.457999999999998</v>
      </c>
      <c r="J21" s="10">
        <f t="shared" si="5"/>
        <v>33.915999999999997</v>
      </c>
    </row>
    <row r="22" spans="1:10" ht="18.75" customHeight="1" x14ac:dyDescent="0.25">
      <c r="A22" s="8" t="s">
        <v>54</v>
      </c>
      <c r="B22" s="9"/>
      <c r="C22" s="9"/>
      <c r="D22" s="9"/>
      <c r="E22" s="9"/>
      <c r="F22" s="9"/>
      <c r="G22" s="9">
        <v>1</v>
      </c>
      <c r="H22" s="9">
        <f t="shared" si="3"/>
        <v>10.457999999999998</v>
      </c>
      <c r="I22" s="9">
        <f t="shared" si="4"/>
        <v>23.457999999999998</v>
      </c>
      <c r="J22" s="10">
        <f t="shared" si="5"/>
        <v>33.915999999999997</v>
      </c>
    </row>
    <row r="23" spans="1:10" ht="18.75" customHeight="1" x14ac:dyDescent="0.25">
      <c r="A23" s="8" t="s">
        <v>55</v>
      </c>
      <c r="B23" s="9"/>
      <c r="C23" s="9"/>
      <c r="D23" s="9"/>
      <c r="E23" s="9"/>
      <c r="F23" s="9">
        <v>5</v>
      </c>
      <c r="G23" s="9"/>
      <c r="H23" s="9">
        <f t="shared" si="3"/>
        <v>5.4579999999999984</v>
      </c>
      <c r="I23" s="9">
        <f t="shared" si="4"/>
        <v>23.457999999999998</v>
      </c>
      <c r="J23" s="10">
        <f t="shared" si="5"/>
        <v>28.915999999999997</v>
      </c>
    </row>
    <row r="24" spans="1:10" ht="18.75" customHeight="1" x14ac:dyDescent="0.25">
      <c r="A24" s="8" t="s">
        <v>12</v>
      </c>
      <c r="B24" s="9"/>
      <c r="C24" s="9"/>
      <c r="D24" s="9"/>
      <c r="E24" s="9"/>
      <c r="F24" s="9"/>
      <c r="G24" s="9">
        <v>1</v>
      </c>
      <c r="H24" s="9">
        <f t="shared" si="3"/>
        <v>5.4579999999999984</v>
      </c>
      <c r="I24" s="9">
        <f t="shared" si="4"/>
        <v>23.457999999999998</v>
      </c>
      <c r="J24" s="10">
        <f t="shared" si="5"/>
        <v>28.915999999999997</v>
      </c>
    </row>
    <row r="25" spans="1:10" ht="18.75" customHeight="1" x14ac:dyDescent="0.25">
      <c r="A25" s="11" t="s">
        <v>13</v>
      </c>
      <c r="B25" s="9"/>
      <c r="C25" s="9"/>
      <c r="D25" s="9"/>
      <c r="E25" s="9"/>
      <c r="F25" s="9">
        <v>1</v>
      </c>
      <c r="G25" s="9"/>
      <c r="H25" s="9">
        <f t="shared" si="3"/>
        <v>4.4579999999999984</v>
      </c>
      <c r="I25" s="9">
        <f t="shared" si="4"/>
        <v>23.457999999999998</v>
      </c>
      <c r="J25" s="10">
        <f t="shared" si="5"/>
        <v>27.915999999999997</v>
      </c>
    </row>
    <row r="26" spans="1:10" ht="18.75" customHeight="1" x14ac:dyDescent="0.25">
      <c r="A26" s="8" t="s">
        <v>14</v>
      </c>
      <c r="B26" s="9">
        <v>6.25</v>
      </c>
      <c r="C26" s="9">
        <v>6.25</v>
      </c>
      <c r="D26" s="9"/>
      <c r="E26" s="9"/>
      <c r="F26" s="9"/>
      <c r="G26" s="9"/>
      <c r="H26" s="9">
        <f t="shared" si="3"/>
        <v>10.707999999999998</v>
      </c>
      <c r="I26" s="9">
        <f t="shared" si="4"/>
        <v>29.707999999999998</v>
      </c>
      <c r="J26" s="10">
        <f t="shared" si="5"/>
        <v>40.415999999999997</v>
      </c>
    </row>
    <row r="27" spans="1:10" ht="18.75" customHeight="1" x14ac:dyDescent="0.25">
      <c r="A27" s="8" t="s">
        <v>15</v>
      </c>
      <c r="B27" s="17"/>
      <c r="C27" s="9"/>
      <c r="D27" s="9"/>
      <c r="E27" s="9"/>
      <c r="F27" s="9">
        <v>2</v>
      </c>
      <c r="G27" s="9"/>
      <c r="H27" s="9">
        <f t="shared" si="3"/>
        <v>8.7079999999999984</v>
      </c>
      <c r="I27" s="9">
        <f t="shared" si="4"/>
        <v>29.707999999999998</v>
      </c>
      <c r="J27" s="10">
        <f t="shared" si="5"/>
        <v>38.415999999999997</v>
      </c>
    </row>
    <row r="28" spans="1:10" ht="18.75" customHeight="1" x14ac:dyDescent="0.25">
      <c r="A28" s="8" t="s">
        <v>16</v>
      </c>
      <c r="B28" s="9">
        <v>1.25</v>
      </c>
      <c r="C28" s="9">
        <v>1.25</v>
      </c>
      <c r="D28" s="9"/>
      <c r="E28" s="9"/>
      <c r="F28" s="9"/>
      <c r="G28" s="9"/>
      <c r="H28" s="9">
        <f t="shared" ref="H28:H61" si="6">H27-F28-D28+B28</f>
        <v>9.9579999999999984</v>
      </c>
      <c r="I28" s="9">
        <f t="shared" ref="I28:I61" si="7">I27-E28+C28</f>
        <v>30.957999999999998</v>
      </c>
      <c r="J28" s="10">
        <f t="shared" ref="J28:J61" si="8">SUM(H28:I28)</f>
        <v>40.915999999999997</v>
      </c>
    </row>
    <row r="29" spans="1:10" ht="18.75" customHeight="1" x14ac:dyDescent="0.25">
      <c r="A29" s="11" t="s">
        <v>17</v>
      </c>
      <c r="B29" s="9"/>
      <c r="C29" s="9"/>
      <c r="D29" s="9"/>
      <c r="E29" s="9"/>
      <c r="F29" s="9">
        <v>1</v>
      </c>
      <c r="G29" s="9"/>
      <c r="H29" s="9">
        <f t="shared" si="6"/>
        <v>8.9579999999999984</v>
      </c>
      <c r="I29" s="9">
        <f t="shared" si="7"/>
        <v>30.957999999999998</v>
      </c>
      <c r="J29" s="10">
        <f t="shared" si="8"/>
        <v>39.915999999999997</v>
      </c>
    </row>
    <row r="30" spans="1:10" ht="18.75" customHeight="1" x14ac:dyDescent="0.25">
      <c r="A30" s="8" t="s">
        <v>18</v>
      </c>
      <c r="B30" s="9">
        <v>1.25</v>
      </c>
      <c r="C30" s="9">
        <v>1.25</v>
      </c>
      <c r="D30" s="9"/>
      <c r="E30" s="9"/>
      <c r="F30" s="9"/>
      <c r="G30" s="9"/>
      <c r="H30" s="9">
        <f t="shared" si="6"/>
        <v>10.207999999999998</v>
      </c>
      <c r="I30" s="9">
        <f t="shared" si="7"/>
        <v>32.207999999999998</v>
      </c>
      <c r="J30" s="10">
        <f t="shared" si="8"/>
        <v>42.415999999999997</v>
      </c>
    </row>
    <row r="31" spans="1:10" ht="18.75" customHeight="1" x14ac:dyDescent="0.25">
      <c r="A31" s="8" t="s">
        <v>19</v>
      </c>
      <c r="B31" s="9">
        <v>1.25</v>
      </c>
      <c r="C31" s="9">
        <v>1.25</v>
      </c>
      <c r="D31" s="9"/>
      <c r="E31" s="9"/>
      <c r="F31" s="9"/>
      <c r="G31" s="9"/>
      <c r="H31" s="9">
        <f t="shared" si="6"/>
        <v>11.457999999999998</v>
      </c>
      <c r="I31" s="9">
        <f t="shared" si="7"/>
        <v>33.457999999999998</v>
      </c>
      <c r="J31" s="10">
        <f t="shared" si="8"/>
        <v>44.915999999999997</v>
      </c>
    </row>
    <row r="32" spans="1:10" ht="18.75" customHeight="1" x14ac:dyDescent="0.25">
      <c r="A32" s="8" t="s">
        <v>20</v>
      </c>
      <c r="B32" s="9"/>
      <c r="C32" s="9"/>
      <c r="D32" s="9">
        <v>8</v>
      </c>
      <c r="E32" s="9">
        <v>21</v>
      </c>
      <c r="F32" s="9"/>
      <c r="G32" s="9"/>
      <c r="H32" s="9">
        <f t="shared" si="6"/>
        <v>3.4579999999999984</v>
      </c>
      <c r="I32" s="9">
        <f t="shared" si="7"/>
        <v>12.457999999999998</v>
      </c>
      <c r="J32" s="10">
        <f t="shared" si="8"/>
        <v>15.915999999999997</v>
      </c>
    </row>
    <row r="33" spans="1:10" ht="18.75" customHeight="1" x14ac:dyDescent="0.25">
      <c r="A33" s="8" t="s">
        <v>21</v>
      </c>
      <c r="B33" s="9">
        <v>1.25</v>
      </c>
      <c r="C33" s="9">
        <v>1.25</v>
      </c>
      <c r="D33" s="9"/>
      <c r="E33" s="9"/>
      <c r="F33" s="9"/>
      <c r="G33" s="9"/>
      <c r="H33" s="9">
        <f t="shared" si="6"/>
        <v>4.7079999999999984</v>
      </c>
      <c r="I33" s="9">
        <f t="shared" si="7"/>
        <v>13.707999999999998</v>
      </c>
      <c r="J33" s="10">
        <f t="shared" si="8"/>
        <v>18.415999999999997</v>
      </c>
    </row>
    <row r="34" spans="1:10" ht="18.75" customHeight="1" x14ac:dyDescent="0.25">
      <c r="A34" s="11" t="s">
        <v>22</v>
      </c>
      <c r="B34" s="9"/>
      <c r="C34" s="9"/>
      <c r="D34" s="9"/>
      <c r="E34" s="9">
        <v>0.5</v>
      </c>
      <c r="F34" s="9"/>
      <c r="G34" s="9"/>
      <c r="H34" s="9">
        <f t="shared" si="6"/>
        <v>4.7079999999999984</v>
      </c>
      <c r="I34" s="9">
        <f t="shared" si="7"/>
        <v>13.207999999999998</v>
      </c>
      <c r="J34" s="10">
        <f t="shared" si="8"/>
        <v>17.915999999999997</v>
      </c>
    </row>
    <row r="35" spans="1:10" ht="18.75" customHeight="1" x14ac:dyDescent="0.25">
      <c r="A35" s="11" t="s">
        <v>23</v>
      </c>
      <c r="B35" s="9"/>
      <c r="C35" s="9"/>
      <c r="D35" s="9"/>
      <c r="E35" s="9"/>
      <c r="F35" s="9"/>
      <c r="G35" s="9">
        <v>1</v>
      </c>
      <c r="H35" s="9">
        <f t="shared" si="6"/>
        <v>4.7079999999999984</v>
      </c>
      <c r="I35" s="9">
        <f t="shared" si="7"/>
        <v>13.207999999999998</v>
      </c>
      <c r="J35" s="10">
        <f t="shared" si="8"/>
        <v>17.915999999999997</v>
      </c>
    </row>
    <row r="36" spans="1:10" ht="18.75" customHeight="1" x14ac:dyDescent="0.25">
      <c r="A36" s="8" t="s">
        <v>24</v>
      </c>
      <c r="B36" s="9">
        <v>1.25</v>
      </c>
      <c r="C36" s="9">
        <v>1.25</v>
      </c>
      <c r="D36" s="9"/>
      <c r="E36" s="9"/>
      <c r="F36" s="9"/>
      <c r="G36" s="9"/>
      <c r="H36" s="9">
        <f t="shared" si="6"/>
        <v>5.9579999999999984</v>
      </c>
      <c r="I36" s="9">
        <f t="shared" si="7"/>
        <v>14.457999999999998</v>
      </c>
      <c r="J36" s="10">
        <f t="shared" si="8"/>
        <v>20.415999999999997</v>
      </c>
    </row>
    <row r="37" spans="1:10" ht="18.75" customHeight="1" x14ac:dyDescent="0.25">
      <c r="A37" s="11" t="s">
        <v>25</v>
      </c>
      <c r="B37" s="9"/>
      <c r="C37" s="9"/>
      <c r="D37" s="9"/>
      <c r="E37" s="9"/>
      <c r="F37" s="9">
        <v>0.5</v>
      </c>
      <c r="G37" s="9"/>
      <c r="H37" s="9">
        <f t="shared" si="6"/>
        <v>5.4579999999999984</v>
      </c>
      <c r="I37" s="9">
        <f t="shared" si="7"/>
        <v>14.457999999999998</v>
      </c>
      <c r="J37" s="10">
        <f t="shared" si="8"/>
        <v>19.915999999999997</v>
      </c>
    </row>
    <row r="38" spans="1:10" ht="18.75" customHeight="1" x14ac:dyDescent="0.25">
      <c r="A38" s="8" t="s">
        <v>26</v>
      </c>
      <c r="B38" s="9">
        <v>2.5</v>
      </c>
      <c r="C38" s="9">
        <v>2.5</v>
      </c>
      <c r="D38" s="9"/>
      <c r="E38" s="9"/>
      <c r="F38" s="9"/>
      <c r="G38" s="9"/>
      <c r="H38" s="9">
        <f t="shared" si="6"/>
        <v>7.9579999999999984</v>
      </c>
      <c r="I38" s="9">
        <f t="shared" si="7"/>
        <v>16.957999999999998</v>
      </c>
      <c r="J38" s="10">
        <f t="shared" si="8"/>
        <v>24.915999999999997</v>
      </c>
    </row>
    <row r="39" spans="1:10" ht="18.75" customHeight="1" x14ac:dyDescent="0.25">
      <c r="A39" s="11" t="s">
        <v>27</v>
      </c>
      <c r="B39" s="9"/>
      <c r="C39" s="9"/>
      <c r="D39" s="9"/>
      <c r="E39" s="9"/>
      <c r="F39" s="9">
        <v>0.5</v>
      </c>
      <c r="G39" s="9"/>
      <c r="H39" s="9">
        <f t="shared" si="6"/>
        <v>7.4579999999999984</v>
      </c>
      <c r="I39" s="9">
        <f t="shared" si="7"/>
        <v>16.957999999999998</v>
      </c>
      <c r="J39" s="10">
        <f t="shared" si="8"/>
        <v>24.415999999999997</v>
      </c>
    </row>
    <row r="40" spans="1:10" ht="18.75" customHeight="1" x14ac:dyDescent="0.25">
      <c r="A40" s="11" t="s">
        <v>28</v>
      </c>
      <c r="B40" s="9"/>
      <c r="C40" s="9"/>
      <c r="D40" s="9"/>
      <c r="E40" s="9"/>
      <c r="F40" s="9"/>
      <c r="G40" s="9">
        <v>1</v>
      </c>
      <c r="H40" s="9">
        <f t="shared" si="6"/>
        <v>7.4579999999999984</v>
      </c>
      <c r="I40" s="9">
        <f t="shared" si="7"/>
        <v>16.957999999999998</v>
      </c>
      <c r="J40" s="10">
        <f t="shared" si="8"/>
        <v>24.415999999999997</v>
      </c>
    </row>
    <row r="41" spans="1:10" ht="18.75" customHeight="1" x14ac:dyDescent="0.25">
      <c r="A41" s="12" t="s">
        <v>29</v>
      </c>
      <c r="B41" s="18">
        <v>0.5</v>
      </c>
      <c r="C41" s="19"/>
      <c r="D41" s="19"/>
      <c r="E41" s="19"/>
      <c r="F41" s="19"/>
      <c r="G41" s="19"/>
      <c r="H41" s="9">
        <f t="shared" si="6"/>
        <v>7.9579999999999984</v>
      </c>
      <c r="I41" s="9">
        <f t="shared" si="7"/>
        <v>16.957999999999998</v>
      </c>
      <c r="J41" s="10">
        <f t="shared" si="8"/>
        <v>24.915999999999997</v>
      </c>
    </row>
    <row r="42" spans="1:10" x14ac:dyDescent="0.25">
      <c r="A42" s="11" t="s">
        <v>30</v>
      </c>
      <c r="B42" s="20"/>
      <c r="C42" s="20"/>
      <c r="D42" s="20"/>
      <c r="E42" s="20"/>
      <c r="F42" s="9">
        <v>1</v>
      </c>
      <c r="G42" s="13"/>
      <c r="H42" s="9">
        <f t="shared" si="6"/>
        <v>6.9579999999999984</v>
      </c>
      <c r="I42" s="9">
        <f t="shared" si="7"/>
        <v>16.957999999999998</v>
      </c>
      <c r="J42" s="10">
        <f t="shared" si="8"/>
        <v>23.915999999999997</v>
      </c>
    </row>
    <row r="43" spans="1:10" x14ac:dyDescent="0.25">
      <c r="A43" s="11" t="s">
        <v>31</v>
      </c>
      <c r="B43" s="20"/>
      <c r="C43" s="20"/>
      <c r="D43" s="20"/>
      <c r="E43" s="20"/>
      <c r="F43" s="9">
        <v>1</v>
      </c>
      <c r="G43" s="13"/>
      <c r="H43" s="9">
        <f t="shared" si="6"/>
        <v>5.9579999999999984</v>
      </c>
      <c r="I43" s="9">
        <f t="shared" si="7"/>
        <v>16.957999999999998</v>
      </c>
      <c r="J43" s="10">
        <f t="shared" si="8"/>
        <v>22.915999999999997</v>
      </c>
    </row>
    <row r="44" spans="1:10" x14ac:dyDescent="0.25">
      <c r="A44" s="8" t="s">
        <v>32</v>
      </c>
      <c r="B44" s="9">
        <v>1.25</v>
      </c>
      <c r="C44" s="9">
        <v>1.25</v>
      </c>
      <c r="D44" s="20"/>
      <c r="E44" s="20"/>
      <c r="F44" s="20"/>
      <c r="G44" s="21"/>
      <c r="H44" s="9">
        <f t="shared" si="6"/>
        <v>7.2079999999999984</v>
      </c>
      <c r="I44" s="9">
        <f t="shared" si="7"/>
        <v>18.207999999999998</v>
      </c>
      <c r="J44" s="10">
        <f t="shared" si="8"/>
        <v>25.415999999999997</v>
      </c>
    </row>
    <row r="45" spans="1:10" x14ac:dyDescent="0.25">
      <c r="A45" s="11" t="s">
        <v>33</v>
      </c>
      <c r="B45" s="20"/>
      <c r="C45" s="20"/>
      <c r="D45" s="20"/>
      <c r="E45" s="20"/>
      <c r="F45" s="9">
        <v>0.5</v>
      </c>
      <c r="G45" s="13"/>
      <c r="H45" s="9">
        <f t="shared" si="6"/>
        <v>6.7079999999999984</v>
      </c>
      <c r="I45" s="9">
        <f t="shared" si="7"/>
        <v>18.207999999999998</v>
      </c>
      <c r="J45" s="10">
        <f t="shared" si="8"/>
        <v>24.915999999999997</v>
      </c>
    </row>
    <row r="46" spans="1:10" x14ac:dyDescent="0.25">
      <c r="A46" s="14" t="s">
        <v>56</v>
      </c>
      <c r="B46" s="16">
        <f>1.25*4</f>
        <v>5</v>
      </c>
      <c r="C46" s="16">
        <v>5</v>
      </c>
      <c r="D46" s="16"/>
      <c r="E46" s="16"/>
      <c r="F46" s="16"/>
      <c r="G46" s="16"/>
      <c r="H46" s="9">
        <f t="shared" si="6"/>
        <v>11.707999999999998</v>
      </c>
      <c r="I46" s="9">
        <f t="shared" si="7"/>
        <v>23.207999999999998</v>
      </c>
      <c r="J46" s="10">
        <f t="shared" si="8"/>
        <v>34.915999999999997</v>
      </c>
    </row>
    <row r="47" spans="1:10" x14ac:dyDescent="0.25">
      <c r="A47" s="14" t="s">
        <v>34</v>
      </c>
      <c r="B47" s="16"/>
      <c r="C47" s="16"/>
      <c r="D47" s="16"/>
      <c r="E47" s="16"/>
      <c r="F47" s="16"/>
      <c r="G47" s="16">
        <v>1</v>
      </c>
      <c r="H47" s="9">
        <f t="shared" si="6"/>
        <v>11.707999999999998</v>
      </c>
      <c r="I47" s="9">
        <f t="shared" si="7"/>
        <v>23.207999999999998</v>
      </c>
      <c r="J47" s="10">
        <f t="shared" si="8"/>
        <v>34.915999999999997</v>
      </c>
    </row>
    <row r="48" spans="1:10" x14ac:dyDescent="0.25">
      <c r="A48" s="14" t="s">
        <v>35</v>
      </c>
      <c r="B48" s="16"/>
      <c r="C48" s="16"/>
      <c r="D48" s="16"/>
      <c r="E48" s="16">
        <v>0.5</v>
      </c>
      <c r="F48" s="16"/>
      <c r="G48" s="16"/>
      <c r="H48" s="9">
        <f t="shared" si="6"/>
        <v>11.707999999999998</v>
      </c>
      <c r="I48" s="9">
        <f t="shared" si="7"/>
        <v>22.707999999999998</v>
      </c>
      <c r="J48" s="10">
        <f t="shared" si="8"/>
        <v>34.415999999999997</v>
      </c>
    </row>
    <row r="49" spans="1:10" x14ac:dyDescent="0.25">
      <c r="A49" s="15" t="s">
        <v>36</v>
      </c>
      <c r="B49" s="16"/>
      <c r="C49" s="16"/>
      <c r="D49" s="16"/>
      <c r="E49" s="16"/>
      <c r="F49" s="16">
        <v>0.5</v>
      </c>
      <c r="G49" s="16"/>
      <c r="H49" s="9">
        <f t="shared" si="6"/>
        <v>11.207999999999998</v>
      </c>
      <c r="I49" s="9">
        <f t="shared" si="7"/>
        <v>22.707999999999998</v>
      </c>
      <c r="J49" s="10">
        <f t="shared" si="8"/>
        <v>33.915999999999997</v>
      </c>
    </row>
    <row r="50" spans="1:10" x14ac:dyDescent="0.25">
      <c r="A50" s="14" t="s">
        <v>57</v>
      </c>
      <c r="B50" s="22">
        <v>3.75</v>
      </c>
      <c r="C50" s="22">
        <v>3.75</v>
      </c>
      <c r="D50" s="22"/>
      <c r="E50" s="22"/>
      <c r="F50" s="22"/>
      <c r="G50" s="22"/>
      <c r="H50" s="9">
        <f t="shared" si="6"/>
        <v>14.957999999999998</v>
      </c>
      <c r="I50" s="9">
        <f t="shared" si="7"/>
        <v>26.457999999999998</v>
      </c>
      <c r="J50" s="10">
        <f t="shared" si="8"/>
        <v>41.415999999999997</v>
      </c>
    </row>
    <row r="51" spans="1:10" x14ac:dyDescent="0.25">
      <c r="A51" s="15" t="s">
        <v>58</v>
      </c>
      <c r="B51" s="22"/>
      <c r="C51" s="22"/>
      <c r="D51" s="22">
        <v>6</v>
      </c>
      <c r="E51" s="22">
        <v>14</v>
      </c>
      <c r="F51" s="22"/>
      <c r="G51" s="22"/>
      <c r="H51" s="9">
        <f t="shared" si="6"/>
        <v>8.9579999999999984</v>
      </c>
      <c r="I51" s="9">
        <f t="shared" si="7"/>
        <v>12.457999999999998</v>
      </c>
      <c r="J51" s="10">
        <f t="shared" si="8"/>
        <v>21.415999999999997</v>
      </c>
    </row>
    <row r="52" spans="1:10" x14ac:dyDescent="0.25">
      <c r="A52" s="15" t="s">
        <v>63</v>
      </c>
      <c r="B52" s="22">
        <v>1.25</v>
      </c>
      <c r="C52" s="22">
        <v>1.25</v>
      </c>
      <c r="D52" s="22"/>
      <c r="E52" s="22"/>
      <c r="F52" s="22"/>
      <c r="G52" s="22"/>
      <c r="H52" s="9">
        <f t="shared" si="6"/>
        <v>10.207999999999998</v>
      </c>
      <c r="I52" s="9">
        <f t="shared" si="7"/>
        <v>13.707999999999998</v>
      </c>
      <c r="J52" s="10">
        <f t="shared" si="8"/>
        <v>23.915999999999997</v>
      </c>
    </row>
    <row r="53" spans="1:10" x14ac:dyDescent="0.25">
      <c r="A53" s="15" t="s">
        <v>64</v>
      </c>
      <c r="B53" s="22"/>
      <c r="C53" s="22"/>
      <c r="D53" s="22"/>
      <c r="E53" s="22"/>
      <c r="F53" s="22"/>
      <c r="G53" s="22">
        <v>1</v>
      </c>
      <c r="H53" s="9">
        <f t="shared" si="6"/>
        <v>10.207999999999998</v>
      </c>
      <c r="I53" s="9">
        <f t="shared" si="7"/>
        <v>13.707999999999998</v>
      </c>
      <c r="J53" s="10">
        <f t="shared" si="8"/>
        <v>23.915999999999997</v>
      </c>
    </row>
    <row r="54" spans="1:10" x14ac:dyDescent="0.25">
      <c r="A54" s="15" t="s">
        <v>65</v>
      </c>
      <c r="B54" s="22">
        <v>2.5</v>
      </c>
      <c r="C54" s="22">
        <v>2.5</v>
      </c>
      <c r="D54" s="22"/>
      <c r="E54" s="22"/>
      <c r="F54" s="22"/>
      <c r="G54" s="22"/>
      <c r="H54" s="9">
        <f t="shared" si="6"/>
        <v>12.707999999999998</v>
      </c>
      <c r="I54" s="9">
        <f t="shared" si="7"/>
        <v>16.207999999999998</v>
      </c>
      <c r="J54" s="10">
        <f t="shared" si="8"/>
        <v>28.915999999999997</v>
      </c>
    </row>
    <row r="55" spans="1:10" x14ac:dyDescent="0.25">
      <c r="A55" s="15" t="s">
        <v>66</v>
      </c>
      <c r="B55" s="22"/>
      <c r="C55" s="22"/>
      <c r="D55" s="22"/>
      <c r="E55" s="22"/>
      <c r="F55" s="22">
        <v>2</v>
      </c>
      <c r="G55" s="22"/>
      <c r="H55" s="9">
        <f t="shared" si="6"/>
        <v>10.707999999999998</v>
      </c>
      <c r="I55" s="9">
        <f t="shared" si="7"/>
        <v>16.207999999999998</v>
      </c>
      <c r="J55" s="10">
        <f t="shared" si="8"/>
        <v>26.915999999999997</v>
      </c>
    </row>
    <row r="56" spans="1:10" x14ac:dyDescent="0.25">
      <c r="A56" s="15" t="s">
        <v>67</v>
      </c>
      <c r="B56" s="22">
        <v>1.25</v>
      </c>
      <c r="C56" s="22">
        <v>1.25</v>
      </c>
      <c r="D56" s="22"/>
      <c r="E56" s="22"/>
      <c r="F56" s="22"/>
      <c r="G56" s="22"/>
      <c r="H56" s="9">
        <f t="shared" si="6"/>
        <v>11.957999999999998</v>
      </c>
      <c r="I56" s="9">
        <f t="shared" si="7"/>
        <v>17.457999999999998</v>
      </c>
      <c r="J56" s="10">
        <f t="shared" si="8"/>
        <v>29.415999999999997</v>
      </c>
    </row>
    <row r="57" spans="1:10" x14ac:dyDescent="0.25">
      <c r="A57" s="15" t="s">
        <v>81</v>
      </c>
      <c r="B57" s="22"/>
      <c r="C57" s="22"/>
      <c r="D57" s="22"/>
      <c r="E57" s="22"/>
      <c r="F57" s="38">
        <v>1</v>
      </c>
      <c r="G57" s="22"/>
      <c r="H57" s="9">
        <f t="shared" si="6"/>
        <v>10.957999999999998</v>
      </c>
      <c r="I57" s="9">
        <f t="shared" si="7"/>
        <v>17.457999999999998</v>
      </c>
      <c r="J57" s="10">
        <f t="shared" si="8"/>
        <v>28.415999999999997</v>
      </c>
    </row>
    <row r="58" spans="1:10" x14ac:dyDescent="0.25">
      <c r="A58" s="15" t="s">
        <v>82</v>
      </c>
      <c r="B58" s="22"/>
      <c r="C58" s="22"/>
      <c r="D58" s="22"/>
      <c r="E58" s="22"/>
      <c r="F58" s="22"/>
      <c r="G58" s="39">
        <v>1</v>
      </c>
      <c r="H58" s="9">
        <f t="shared" si="6"/>
        <v>10.957999999999998</v>
      </c>
      <c r="I58" s="9">
        <f t="shared" si="7"/>
        <v>17.457999999999998</v>
      </c>
      <c r="J58" s="10">
        <f t="shared" si="8"/>
        <v>28.415999999999997</v>
      </c>
    </row>
    <row r="59" spans="1:10" x14ac:dyDescent="0.25">
      <c r="A59" s="15" t="s">
        <v>83</v>
      </c>
      <c r="B59" s="22">
        <v>1</v>
      </c>
      <c r="C59" s="22"/>
      <c r="D59" s="22"/>
      <c r="E59" s="22"/>
      <c r="F59" s="22"/>
      <c r="G59" s="22"/>
      <c r="H59" s="9">
        <f t="shared" si="6"/>
        <v>11.957999999999998</v>
      </c>
      <c r="I59" s="9">
        <f t="shared" si="7"/>
        <v>17.457999999999998</v>
      </c>
      <c r="J59" s="10">
        <f t="shared" si="8"/>
        <v>29.415999999999997</v>
      </c>
    </row>
    <row r="60" spans="1:10" x14ac:dyDescent="0.25">
      <c r="A60" s="15" t="s">
        <v>84</v>
      </c>
      <c r="B60" s="22">
        <v>1.25</v>
      </c>
      <c r="C60" s="22">
        <v>1.25</v>
      </c>
      <c r="D60" s="22"/>
      <c r="E60" s="22"/>
      <c r="F60" s="22"/>
      <c r="G60" s="22"/>
      <c r="H60" s="9">
        <f t="shared" si="6"/>
        <v>13.207999999999998</v>
      </c>
      <c r="I60" s="9">
        <f t="shared" si="7"/>
        <v>18.707999999999998</v>
      </c>
      <c r="J60" s="10">
        <f t="shared" si="8"/>
        <v>31.915999999999997</v>
      </c>
    </row>
    <row r="61" spans="1:10" x14ac:dyDescent="0.25">
      <c r="A61" s="15" t="s">
        <v>85</v>
      </c>
      <c r="B61" s="22">
        <v>1.25</v>
      </c>
      <c r="C61" s="22">
        <v>1.25</v>
      </c>
      <c r="D61" s="22"/>
      <c r="E61" s="22"/>
      <c r="F61" s="22"/>
      <c r="G61" s="22"/>
      <c r="H61" s="9">
        <f t="shared" si="6"/>
        <v>14.457999999999998</v>
      </c>
      <c r="I61" s="9">
        <f t="shared" si="7"/>
        <v>19.957999999999998</v>
      </c>
      <c r="J61" s="10">
        <f t="shared" si="8"/>
        <v>34.415999999999997</v>
      </c>
    </row>
    <row r="62" spans="1:10" x14ac:dyDescent="0.25">
      <c r="A62" s="15" t="s">
        <v>86</v>
      </c>
      <c r="B62" s="22"/>
      <c r="C62" s="22"/>
      <c r="D62" s="22"/>
      <c r="E62" s="22"/>
      <c r="F62" s="38">
        <v>1</v>
      </c>
      <c r="G62" s="22"/>
      <c r="H62" s="9">
        <f t="shared" ref="H62:H71" si="9">H61-F62-D62+B62</f>
        <v>13.457999999999998</v>
      </c>
      <c r="I62" s="9">
        <f t="shared" ref="I62:I71" si="10">I61-E62+C62</f>
        <v>19.957999999999998</v>
      </c>
      <c r="J62" s="10">
        <f t="shared" ref="J62:J71" si="11">SUM(H62:I62)</f>
        <v>33.415999999999997</v>
      </c>
    </row>
    <row r="63" spans="1:10" x14ac:dyDescent="0.25">
      <c r="A63" s="15" t="s">
        <v>87</v>
      </c>
      <c r="B63" s="22"/>
      <c r="C63" s="22"/>
      <c r="D63" s="22"/>
      <c r="E63" s="22"/>
      <c r="F63" s="22"/>
      <c r="G63" s="39">
        <v>1</v>
      </c>
      <c r="H63" s="9">
        <f t="shared" si="9"/>
        <v>13.457999999999998</v>
      </c>
      <c r="I63" s="9">
        <f t="shared" si="10"/>
        <v>19.957999999999998</v>
      </c>
      <c r="J63" s="10">
        <f t="shared" si="11"/>
        <v>33.415999999999997</v>
      </c>
    </row>
    <row r="64" spans="1:10" x14ac:dyDescent="0.25">
      <c r="A64" s="15" t="s">
        <v>88</v>
      </c>
      <c r="B64" s="22">
        <v>1.25</v>
      </c>
      <c r="C64" s="22">
        <v>1.25</v>
      </c>
      <c r="D64" s="22"/>
      <c r="E64" s="22"/>
      <c r="F64" s="22"/>
      <c r="G64" s="22"/>
      <c r="H64" s="9">
        <f t="shared" si="9"/>
        <v>14.707999999999998</v>
      </c>
      <c r="I64" s="9">
        <f t="shared" si="10"/>
        <v>21.207999999999998</v>
      </c>
      <c r="J64" s="10">
        <f t="shared" si="11"/>
        <v>35.915999999999997</v>
      </c>
    </row>
    <row r="65" spans="1:10" x14ac:dyDescent="0.25">
      <c r="A65" s="15" t="s">
        <v>89</v>
      </c>
      <c r="B65" s="22"/>
      <c r="C65" s="22"/>
      <c r="D65" s="22"/>
      <c r="E65" s="22">
        <v>1</v>
      </c>
      <c r="F65" s="22"/>
      <c r="G65" s="22"/>
      <c r="H65" s="9">
        <f t="shared" si="9"/>
        <v>14.707999999999998</v>
      </c>
      <c r="I65" s="9">
        <f t="shared" si="10"/>
        <v>20.207999999999998</v>
      </c>
      <c r="J65" s="10">
        <f t="shared" si="11"/>
        <v>34.915999999999997</v>
      </c>
    </row>
    <row r="66" spans="1:10" x14ac:dyDescent="0.25">
      <c r="A66" s="15" t="s">
        <v>91</v>
      </c>
      <c r="B66" s="22">
        <v>2.5</v>
      </c>
      <c r="C66" s="22">
        <v>2.5</v>
      </c>
      <c r="D66" s="22"/>
      <c r="E66" s="22"/>
      <c r="F66" s="22"/>
      <c r="G66" s="22"/>
      <c r="H66" s="9">
        <f t="shared" si="9"/>
        <v>17.207999999999998</v>
      </c>
      <c r="I66" s="9">
        <f t="shared" si="10"/>
        <v>22.707999999999998</v>
      </c>
      <c r="J66" s="10">
        <f t="shared" si="11"/>
        <v>39.915999999999997</v>
      </c>
    </row>
    <row r="67" spans="1:10" x14ac:dyDescent="0.25">
      <c r="A67" s="15" t="s">
        <v>92</v>
      </c>
      <c r="B67" s="22"/>
      <c r="C67" s="22"/>
      <c r="D67" s="22"/>
      <c r="E67" s="22"/>
      <c r="F67" s="38">
        <v>1</v>
      </c>
      <c r="G67" s="22"/>
      <c r="H67" s="9">
        <f t="shared" si="9"/>
        <v>16.207999999999998</v>
      </c>
      <c r="I67" s="9">
        <f t="shared" si="10"/>
        <v>22.707999999999998</v>
      </c>
      <c r="J67" s="10">
        <f t="shared" si="11"/>
        <v>38.915999999999997</v>
      </c>
    </row>
    <row r="68" spans="1:10" x14ac:dyDescent="0.25">
      <c r="A68" s="15" t="s">
        <v>93</v>
      </c>
      <c r="B68" s="22"/>
      <c r="C68" s="22"/>
      <c r="D68" s="22"/>
      <c r="E68" s="22">
        <v>1</v>
      </c>
      <c r="F68" s="22"/>
      <c r="G68" s="22"/>
      <c r="H68" s="9">
        <f t="shared" si="9"/>
        <v>16.207999999999998</v>
      </c>
      <c r="I68" s="9">
        <f t="shared" si="10"/>
        <v>21.707999999999998</v>
      </c>
      <c r="J68" s="10">
        <f t="shared" si="11"/>
        <v>37.915999999999997</v>
      </c>
    </row>
    <row r="69" spans="1:10" x14ac:dyDescent="0.25">
      <c r="A69" s="15" t="s">
        <v>99</v>
      </c>
      <c r="B69" s="22">
        <v>1.25</v>
      </c>
      <c r="C69" s="22">
        <v>1.25</v>
      </c>
      <c r="D69" s="22"/>
      <c r="E69" s="22"/>
      <c r="F69" s="22"/>
      <c r="G69" s="22"/>
      <c r="H69" s="9">
        <f t="shared" si="9"/>
        <v>17.457999999999998</v>
      </c>
      <c r="I69" s="9">
        <f t="shared" si="10"/>
        <v>22.957999999999998</v>
      </c>
      <c r="J69" s="10">
        <f t="shared" si="11"/>
        <v>40.415999999999997</v>
      </c>
    </row>
    <row r="70" spans="1:10" x14ac:dyDescent="0.25">
      <c r="A70" s="15" t="s">
        <v>100</v>
      </c>
      <c r="B70" s="22"/>
      <c r="C70" s="22"/>
      <c r="D70" s="22">
        <v>0.5</v>
      </c>
      <c r="E70" s="22"/>
      <c r="F70" s="22"/>
      <c r="G70" s="22"/>
      <c r="H70" s="9">
        <f t="shared" si="9"/>
        <v>16.957999999999998</v>
      </c>
      <c r="I70" s="9">
        <f t="shared" si="10"/>
        <v>22.957999999999998</v>
      </c>
      <c r="J70" s="10">
        <f t="shared" si="11"/>
        <v>39.915999999999997</v>
      </c>
    </row>
    <row r="71" spans="1:10" x14ac:dyDescent="0.25">
      <c r="A71" s="15" t="s">
        <v>104</v>
      </c>
      <c r="B71" s="22">
        <v>1.25</v>
      </c>
      <c r="C71" s="22">
        <v>1.25</v>
      </c>
      <c r="D71" s="22"/>
      <c r="E71" s="22"/>
      <c r="F71" s="22"/>
      <c r="G71" s="22"/>
      <c r="H71" s="9">
        <f t="shared" si="9"/>
        <v>18.207999999999998</v>
      </c>
      <c r="I71" s="9">
        <f t="shared" si="10"/>
        <v>24.207999999999998</v>
      </c>
      <c r="J71" s="10">
        <f t="shared" si="11"/>
        <v>42.415999999999997</v>
      </c>
    </row>
    <row r="72" spans="1:10" x14ac:dyDescent="0.25">
      <c r="A72" s="15" t="s">
        <v>105</v>
      </c>
      <c r="B72" s="22"/>
      <c r="C72" s="22"/>
      <c r="D72" s="22">
        <v>10</v>
      </c>
      <c r="E72" s="22"/>
      <c r="F72" s="22"/>
      <c r="G72" s="22"/>
      <c r="H72" s="16">
        <f t="shared" ref="H72" si="12">H71-F72-D72+B72</f>
        <v>8.2079999999999984</v>
      </c>
      <c r="I72" s="16">
        <f t="shared" ref="I72" si="13">I71-E72+C72</f>
        <v>24.207999999999998</v>
      </c>
      <c r="J72" s="16">
        <f t="shared" ref="J72" si="14">SUM(H72:I72)</f>
        <v>32.415999999999997</v>
      </c>
    </row>
    <row r="73" spans="1:10" x14ac:dyDescent="0.25">
      <c r="A73" s="15" t="s">
        <v>107</v>
      </c>
      <c r="B73" s="22">
        <v>1.25</v>
      </c>
      <c r="C73" s="22">
        <v>1.25</v>
      </c>
      <c r="D73" s="22"/>
      <c r="E73" s="22"/>
      <c r="F73" s="22"/>
      <c r="G73" s="22"/>
      <c r="H73" s="16">
        <f t="shared" ref="H73:H74" si="15">H72-F73-D73+B73</f>
        <v>9.4579999999999984</v>
      </c>
      <c r="I73" s="16">
        <f t="shared" ref="I73:I74" si="16">I72-E73+C73</f>
        <v>25.457999999999998</v>
      </c>
      <c r="J73" s="16">
        <f t="shared" ref="J73:J74" si="17">SUM(H73:I73)</f>
        <v>34.915999999999997</v>
      </c>
    </row>
    <row r="74" spans="1:10" x14ac:dyDescent="0.25">
      <c r="A74" s="15" t="s">
        <v>108</v>
      </c>
      <c r="B74" s="22"/>
      <c r="C74" s="22"/>
      <c r="D74" s="22"/>
      <c r="E74" s="22">
        <v>1</v>
      </c>
      <c r="F74" s="22"/>
      <c r="G74" s="22"/>
      <c r="H74" s="16">
        <f t="shared" si="15"/>
        <v>9.4579999999999984</v>
      </c>
      <c r="I74" s="16">
        <f t="shared" si="16"/>
        <v>24.457999999999998</v>
      </c>
      <c r="J74" s="16">
        <f t="shared" si="17"/>
        <v>33.915999999999997</v>
      </c>
    </row>
    <row r="75" spans="1:10" x14ac:dyDescent="0.25">
      <c r="A75" s="15" t="s">
        <v>109</v>
      </c>
      <c r="B75" s="22">
        <v>1.25</v>
      </c>
      <c r="C75" s="22">
        <v>1.25</v>
      </c>
      <c r="D75" s="22"/>
      <c r="E75" s="22"/>
      <c r="F75" s="22"/>
      <c r="G75" s="22"/>
      <c r="H75" s="16">
        <f t="shared" ref="H75:H77" si="18">H74-F75-D75+B75</f>
        <v>10.707999999999998</v>
      </c>
      <c r="I75" s="16">
        <f t="shared" ref="I75:I77" si="19">I74-E75+C75</f>
        <v>25.707999999999998</v>
      </c>
      <c r="J75" s="16">
        <f t="shared" ref="J75:J77" si="20">SUM(H75:I75)</f>
        <v>36.415999999999997</v>
      </c>
    </row>
    <row r="76" spans="1:10" x14ac:dyDescent="0.25">
      <c r="A76" s="15" t="s">
        <v>110</v>
      </c>
      <c r="B76" s="22"/>
      <c r="C76" s="22"/>
      <c r="D76" s="22">
        <v>0.5</v>
      </c>
      <c r="E76" s="22"/>
      <c r="F76" s="22"/>
      <c r="G76" s="22"/>
      <c r="H76" s="16">
        <f t="shared" si="18"/>
        <v>10.207999999999998</v>
      </c>
      <c r="I76" s="16">
        <f t="shared" si="19"/>
        <v>25.707999999999998</v>
      </c>
      <c r="J76" s="16">
        <f t="shared" si="20"/>
        <v>35.915999999999997</v>
      </c>
    </row>
    <row r="77" spans="1:10" x14ac:dyDescent="0.25">
      <c r="A77" s="15" t="s">
        <v>111</v>
      </c>
      <c r="B77" s="22"/>
      <c r="C77" s="22"/>
      <c r="D77" s="22"/>
      <c r="E77" s="22"/>
      <c r="F77" s="22"/>
      <c r="G77" s="39">
        <v>1</v>
      </c>
      <c r="H77" s="16">
        <f t="shared" si="18"/>
        <v>10.207999999999998</v>
      </c>
      <c r="I77" s="16">
        <f t="shared" si="19"/>
        <v>25.707999999999998</v>
      </c>
      <c r="J77" s="16">
        <f t="shared" si="20"/>
        <v>35.915999999999997</v>
      </c>
    </row>
    <row r="78" spans="1:10" x14ac:dyDescent="0.25">
      <c r="A78" s="15" t="s">
        <v>112</v>
      </c>
      <c r="B78" s="22"/>
      <c r="C78" s="22"/>
      <c r="D78" s="22"/>
      <c r="E78" s="22">
        <v>1</v>
      </c>
      <c r="F78" s="22"/>
      <c r="G78" s="22"/>
      <c r="H78" s="16">
        <f t="shared" ref="H78" si="21">H77-F78-D78+B78</f>
        <v>10.207999999999998</v>
      </c>
      <c r="I78" s="16">
        <f t="shared" ref="I78" si="22">I77-E78+C78</f>
        <v>24.707999999999998</v>
      </c>
      <c r="J78" s="16">
        <f t="shared" ref="J78" si="23">SUM(H78:I78)</f>
        <v>34.915999999999997</v>
      </c>
    </row>
    <row r="79" spans="1:10" x14ac:dyDescent="0.25">
      <c r="A79" s="15" t="s">
        <v>113</v>
      </c>
      <c r="B79" s="22"/>
      <c r="C79" s="22"/>
      <c r="D79" s="22"/>
      <c r="E79" s="22">
        <v>1</v>
      </c>
      <c r="F79" s="22"/>
      <c r="G79" s="22"/>
      <c r="H79" s="16">
        <f t="shared" ref="H79" si="24">H78-F79-D79+B79</f>
        <v>10.207999999999998</v>
      </c>
      <c r="I79" s="16">
        <f t="shared" ref="I79" si="25">I78-E79+C79</f>
        <v>23.707999999999998</v>
      </c>
      <c r="J79" s="16">
        <f t="shared" ref="J79" si="26">SUM(H79:I79)</f>
        <v>33.915999999999997</v>
      </c>
    </row>
    <row r="80" spans="1:10" x14ac:dyDescent="0.25">
      <c r="A80" s="15" t="s">
        <v>114</v>
      </c>
      <c r="B80" s="22">
        <v>1.25</v>
      </c>
      <c r="C80" s="22">
        <v>1.25</v>
      </c>
      <c r="D80" s="22"/>
      <c r="E80" s="22"/>
      <c r="F80" s="22"/>
      <c r="G80" s="22"/>
      <c r="H80" s="16">
        <f t="shared" ref="H80:H81" si="27">H79-F80-D80+B80</f>
        <v>11.457999999999998</v>
      </c>
      <c r="I80" s="16">
        <f t="shared" ref="I80:I81" si="28">I79-E80+C80</f>
        <v>24.957999999999998</v>
      </c>
      <c r="J80" s="16">
        <f t="shared" ref="J80:J81" si="29">SUM(H80:I80)</f>
        <v>36.415999999999997</v>
      </c>
    </row>
    <row r="81" spans="1:11" x14ac:dyDescent="0.25">
      <c r="A81" s="15" t="s">
        <v>115</v>
      </c>
      <c r="B81" s="22"/>
      <c r="C81" s="22"/>
      <c r="D81" s="22">
        <v>0.5</v>
      </c>
      <c r="E81" s="22"/>
      <c r="F81" s="22"/>
      <c r="G81" s="22"/>
      <c r="H81" s="16">
        <f t="shared" si="27"/>
        <v>10.957999999999998</v>
      </c>
      <c r="I81" s="16">
        <f t="shared" si="28"/>
        <v>24.957999999999998</v>
      </c>
      <c r="J81" s="16">
        <f t="shared" si="29"/>
        <v>35.915999999999997</v>
      </c>
    </row>
    <row r="82" spans="1:11" x14ac:dyDescent="0.25">
      <c r="A82" s="15" t="s">
        <v>118</v>
      </c>
      <c r="B82" s="22">
        <v>1.25</v>
      </c>
      <c r="C82" s="22">
        <v>1.25</v>
      </c>
      <c r="D82" s="22"/>
      <c r="E82" s="22"/>
      <c r="F82" s="22"/>
      <c r="G82" s="22"/>
      <c r="H82" s="16">
        <f t="shared" ref="H82:H84" si="30">H81-F82-D82+B82</f>
        <v>12.207999999999998</v>
      </c>
      <c r="I82" s="16">
        <f t="shared" ref="I82:I84" si="31">I81-E82+C82</f>
        <v>26.207999999999998</v>
      </c>
      <c r="J82" s="16">
        <f t="shared" ref="J82:J84" si="32">SUM(H82:I82)</f>
        <v>38.415999999999997</v>
      </c>
    </row>
    <row r="83" spans="1:11" x14ac:dyDescent="0.25">
      <c r="A83" s="15" t="s">
        <v>119</v>
      </c>
      <c r="B83" s="22"/>
      <c r="C83" s="22"/>
      <c r="D83" s="22">
        <v>0.5</v>
      </c>
      <c r="E83" s="22"/>
      <c r="F83" s="22"/>
      <c r="G83" s="22"/>
      <c r="H83" s="16">
        <f t="shared" si="30"/>
        <v>11.707999999999998</v>
      </c>
      <c r="I83" s="16">
        <f t="shared" si="31"/>
        <v>26.207999999999998</v>
      </c>
      <c r="J83" s="16">
        <f t="shared" si="32"/>
        <v>37.915999999999997</v>
      </c>
    </row>
    <row r="84" spans="1:11" x14ac:dyDescent="0.25">
      <c r="A84" s="15" t="s">
        <v>120</v>
      </c>
      <c r="B84" s="22"/>
      <c r="C84" s="22"/>
      <c r="D84" s="22"/>
      <c r="E84" s="22"/>
      <c r="F84" s="38">
        <v>2</v>
      </c>
      <c r="G84" s="22"/>
      <c r="H84" s="16">
        <f t="shared" si="30"/>
        <v>9.7079999999999984</v>
      </c>
      <c r="I84" s="16">
        <f t="shared" si="31"/>
        <v>26.207999999999998</v>
      </c>
      <c r="J84" s="16">
        <f t="shared" si="32"/>
        <v>35.915999999999997</v>
      </c>
    </row>
    <row r="85" spans="1:11" x14ac:dyDescent="0.25">
      <c r="A85" s="15"/>
      <c r="B85" s="22"/>
      <c r="C85" s="22"/>
      <c r="D85" s="22"/>
      <c r="E85" s="22"/>
      <c r="F85" s="22"/>
      <c r="G85" s="22"/>
      <c r="H85" s="16"/>
      <c r="I85" s="16"/>
      <c r="J85" s="16"/>
    </row>
    <row r="86" spans="1:11" x14ac:dyDescent="0.25">
      <c r="A86" s="41"/>
      <c r="B86" s="42"/>
      <c r="C86" s="42"/>
      <c r="D86" s="42"/>
      <c r="E86" s="42"/>
      <c r="F86" s="42"/>
      <c r="G86" s="42"/>
      <c r="H86" s="43"/>
      <c r="I86" s="43"/>
      <c r="J86" s="43"/>
    </row>
    <row r="87" spans="1:11" s="23" customFormat="1" ht="15" customHeight="1" x14ac:dyDescent="0.25">
      <c r="F87" s="77" t="s">
        <v>59</v>
      </c>
      <c r="G87" s="77"/>
    </row>
    <row r="88" spans="1:11" s="23" customFormat="1" ht="15" customHeight="1" x14ac:dyDescent="0.25"/>
    <row r="89" spans="1:11" s="23" customFormat="1" ht="15" customHeight="1" x14ac:dyDescent="0.25">
      <c r="F89" s="60"/>
      <c r="G89" s="61" t="s">
        <v>60</v>
      </c>
    </row>
    <row r="90" spans="1:11" s="23" customFormat="1" ht="15" customHeight="1" x14ac:dyDescent="0.25">
      <c r="G90" s="24" t="s">
        <v>61</v>
      </c>
    </row>
    <row r="91" spans="1:11" ht="15" customHeight="1" x14ac:dyDescent="0.25">
      <c r="B91" s="1"/>
      <c r="C91" s="1"/>
      <c r="D91" s="1"/>
      <c r="E91" s="1"/>
      <c r="F91" s="1"/>
      <c r="G91" s="24" t="s">
        <v>62</v>
      </c>
      <c r="H91" s="1"/>
      <c r="I91" s="1"/>
      <c r="J91" s="1"/>
      <c r="K91" s="1"/>
    </row>
  </sheetData>
  <mergeCells count="14">
    <mergeCell ref="F87:G87"/>
    <mergeCell ref="K11:K12"/>
    <mergeCell ref="B9:D9"/>
    <mergeCell ref="A10:J10"/>
    <mergeCell ref="B11:C11"/>
    <mergeCell ref="D11:G11"/>
    <mergeCell ref="H11:I11"/>
    <mergeCell ref="A11:A12"/>
    <mergeCell ref="J11:J12"/>
    <mergeCell ref="A2:J2"/>
    <mergeCell ref="A3:J3"/>
    <mergeCell ref="A4:J4"/>
    <mergeCell ref="A5:J5"/>
    <mergeCell ref="B7:D7"/>
  </mergeCells>
  <printOptions horizontalCentered="1"/>
  <pageMargins left="0.25" right="0.25" top="0.75" bottom="0.75" header="0.3" footer="0.3"/>
  <pageSetup paperSize="9" scale="69" fitToHeight="0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CORRECTED</vt:lpstr>
      <vt:lpstr>CTO</vt:lpstr>
      <vt:lpstr>ELECTION</vt:lpstr>
      <vt:lpstr>Leave Card (NE)</vt:lpstr>
      <vt:lpstr>CORRECTED!Print_Area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2026-01-14T02:19:21Z</cp:lastPrinted>
  <dcterms:created xsi:type="dcterms:W3CDTF">2021-10-07T06:10:16Z</dcterms:created>
  <dcterms:modified xsi:type="dcterms:W3CDTF">2026-01-14T02:20:10Z</dcterms:modified>
</cp:coreProperties>
</file>