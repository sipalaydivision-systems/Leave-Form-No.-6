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E64662C-BEEF-49A3-A5E2-42FF32FEF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Sheet1" sheetId="5" r:id="rId3"/>
  </sheets>
  <definedNames>
    <definedName name="_xlnm.Print_Area" localSheetId="1">'Election &amp; NLC'!$A$1:$G$21</definedName>
    <definedName name="_xlnm.Print_Area" localSheetId="0">'Leave Card as TIC'!$A$1:$J$32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3" l="1"/>
  <c r="J23" i="3" s="1"/>
  <c r="I23" i="3"/>
  <c r="I24" i="3" s="1"/>
  <c r="I14" i="3"/>
  <c r="I15" i="3" s="1"/>
  <c r="I16" i="3" s="1"/>
  <c r="I17" i="3" s="1"/>
  <c r="I18" i="3" s="1"/>
  <c r="I19" i="3" s="1"/>
  <c r="I20" i="3" s="1"/>
  <c r="I21" i="3" s="1"/>
  <c r="I22" i="3" s="1"/>
  <c r="H14" i="3"/>
  <c r="H24" i="3" l="1"/>
  <c r="J24" i="3" s="1"/>
  <c r="H15" i="3"/>
  <c r="H16" i="3" s="1"/>
  <c r="H17" i="3" s="1"/>
  <c r="J14" i="3"/>
  <c r="J17" i="3" l="1"/>
  <c r="H18" i="3"/>
  <c r="J16" i="3"/>
  <c r="J15" i="3"/>
  <c r="J18" i="3" l="1"/>
  <c r="H19" i="3"/>
  <c r="H20" i="3" l="1"/>
  <c r="J19" i="3"/>
  <c r="J20" i="3" l="1"/>
  <c r="H21" i="3"/>
  <c r="J21" i="3" l="1"/>
  <c r="H22" i="3"/>
  <c r="J22" i="3" s="1"/>
</calcChain>
</file>

<file path=xl/sharedStrings.xml><?xml version="1.0" encoding="utf-8"?>
<sst xmlns="http://schemas.openxmlformats.org/spreadsheetml/2006/main" count="89" uniqueCount="69">
  <si>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</si>
  <si>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</si>
  <si>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</si>
  <si>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</si>
  <si>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</si>
  <si>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</si>
  <si>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</si>
  <si>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</si>
  <si>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</si>
  <si>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</si>
  <si>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</si>
  <si>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</si>
  <si>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</si>
  <si>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</si>
  <si>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</si>
  <si>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</si>
  <si>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</si>
  <si>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</si>
  <si>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</si>
  <si>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</si>
  <si>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</si>
  <si>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</si>
  <si>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</si>
  <si>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</si>
  <si>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</si>
  <si>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</si>
  <si>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</si>
  <si>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</si>
  <si>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</si>
  <si>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</si>
  <si>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</si>
  <si>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</si>
  <si>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</si>
  <si>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</si>
  <si>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</si>
  <si>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</si>
  <si>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</si>
  <si>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</si>
  <si>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</si>
  <si>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</si>
  <si>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</si>
  <si>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</si>
  <si>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</si>
  <si>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</si>
  <si>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029, S. 2024</t>
  </si>
  <si>
    <t>SEPT. 24, 2024</t>
  </si>
  <si>
    <t>NLC 2024</t>
  </si>
  <si>
    <r>
      <t>NAME          :</t>
    </r>
    <r>
      <rPr>
        <b/>
        <u/>
        <sz val="12"/>
        <color theme="1"/>
        <rFont val="Calibri"/>
        <family val="2"/>
        <scheme val="minor"/>
      </rPr>
      <t>CUENCO, JUNALYN</t>
    </r>
  </si>
  <si>
    <t>NAME         : CUENCO, JUNALYN A.</t>
  </si>
  <si>
    <t>SCHOOL/OFFICE : OMAS ES</t>
  </si>
  <si>
    <t>POSITION   : TEACHER III</t>
  </si>
  <si>
    <t>ADD: OCT. 17, 2023</t>
  </si>
  <si>
    <t>S.O. # 149, S. 2023. NATIONAL LEARNING CAMP 2023</t>
  </si>
  <si>
    <t>LESS: 06/21 &amp; 24/2024</t>
  </si>
  <si>
    <t xml:space="preserve">   </t>
  </si>
  <si>
    <t>S.O. # 149, S. 2023.</t>
  </si>
  <si>
    <t xml:space="preserve"> NATIONAL LEARNING CAMP 2023</t>
  </si>
  <si>
    <t>OCT. 17, 2023</t>
  </si>
  <si>
    <t>ADD: 08/1/2024-12/31/2024</t>
  </si>
  <si>
    <t>ADD: 01/1/2025-03/31/2025</t>
  </si>
  <si>
    <t>LESS: 04/28/2025</t>
  </si>
  <si>
    <t>28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</si>
  <si>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28 DAYS</t>
    </r>
    <r>
      <rPr>
        <sz val="11"/>
        <color theme="1"/>
        <rFont val="Calibri"/>
        <family val="2"/>
        <scheme val="minor"/>
      </rPr>
      <t xml:space="preserve">:                                     FORMULA: 30Y/69/2 </t>
    </r>
  </si>
  <si>
    <t>ADD: 04/1/2025-06/30/2025</t>
  </si>
  <si>
    <t>LESS: MONETIZATION 2025</t>
  </si>
  <si>
    <t>ADD: 07/1/2025-09/30/2025</t>
  </si>
  <si>
    <t>LESS: 10/15, 20, 21/2025</t>
  </si>
  <si>
    <t>ADD: 10/1/2025-11/30/2025</t>
  </si>
  <si>
    <t>LESS: 12/16/2025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</si>
</sst>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1" fillId="0" borderId="0"/>
  </cellStyleXfs>
  <cellXfs count="1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8" fillId="2" borderId="14" xfId="1" applyFill="1" applyBorder="1" applyAlignment="1">
      <alignment horizontal="center" vertical="center" wrapText="1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0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1" fillId="2" borderId="0" xfId="2" applyFill="1"/>
    <xf numFmtId="0" fontId="11" fillId="2" borderId="0" xfId="2" applyFill="1" applyAlignment="1">
      <alignment horizontal="center"/>
    </xf>
    <xf numFmtId="0" fontId="12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4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1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5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1" fillId="6" borderId="0" xfId="2" applyFill="1"/>
    <xf numFmtId="0" fontId="11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7" fillId="2" borderId="16" xfId="2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2" fillId="2" borderId="26" xfId="2" applyFont="1" applyFill="1" applyBorder="1" applyAlignment="1">
      <alignment horizontal="right" vertical="center" wrapText="1"/>
    </xf>
    <xf numFmtId="0" fontId="12" fillId="2" borderId="2" xfId="2" applyFont="1" applyFill="1" applyBorder="1" applyAlignment="1">
      <alignment horizontal="right" vertical="center" wrapText="1"/>
    </xf>
    <xf numFmtId="0" fontId="12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0" fillId="0" borderId="0" xfId="0" applyFont="1" applyFill="1"/>
    <xf numFmtId="0" fontId="0" fillId="0" borderId="0" xfId="0" applyFill="1"/>
  </cellXfs>
  <cellStyles count="3">
    <cellStyle name="Normal" xfId="0" builtinId="0"/>
    <cellStyle name="Normal 2" xfId="2" xr:uid="{29DC33C2-ED34-47D9-B6FD-D61DD017D699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CUENCO, JUNALYN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 (T-III)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OMAS IS</a:t>
          </a:r>
        </a:p>
      </xdr:txBody>
    </xdr:sp>
    <xdr:clientData/>
  </xdr:twoCellAnchor>
  <xdr:twoCellAnchor>
    <xdr:from>
      <xdr:col>5</xdr:col>
      <xdr:colOff>347452</xdr:colOff>
      <xdr:row>26</xdr:row>
      <xdr:rowOff>53914</xdr:rowOff>
    </xdr:from>
    <xdr:to>
      <xdr:col>9</xdr:col>
      <xdr:colOff>672043</xdr:colOff>
      <xdr:row>31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104970</xdr:rowOff>
    </xdr:from>
    <xdr:to>
      <xdr:col>5</xdr:col>
      <xdr:colOff>257175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9220C-C615-47B9-9C2B-FF08781E09A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5" y="104970"/>
          <a:ext cx="6361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58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F094E4-D720-4A7C-BC0C-96A3C11333B4}"/>
            </a:ext>
          </a:extLst>
        </xdr:cNvPr>
        <xdr:cNvSpPr txBox="1"/>
      </xdr:nvSpPr>
      <xdr:spPr>
        <a:xfrm>
          <a:off x="76200" y="4429125"/>
          <a:ext cx="3076575" cy="7400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0</xdr:rowOff>
    </xdr:from>
    <xdr:to>
      <xdr:col>1</xdr:col>
      <xdr:colOff>19050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30C5875-A244-4764-B6E6-5973CB49090C}"/>
            </a:ext>
          </a:extLst>
        </xdr:cNvPr>
        <xdr:cNvCxnSpPr/>
      </xdr:nvCxnSpPr>
      <xdr:spPr>
        <a:xfrm>
          <a:off x="742950" y="24765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30"/>
  <sheetViews>
    <sheetView tabSelected="1" view="pageBreakPreview" topLeftCell="A10" zoomScale="106" zoomScaleNormal="100" zoomScaleSheetLayoutView="106" workbookViewId="0">
      <selection activeCell="A23" sqref="A23:XFD23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1" customWidth="1"/>
    <col min="8" max="10" width="11.5703125" customWidth="1"/>
    <col min="11" max="11" width="26.42578125" style="28" customWidth="1"/>
  </cols>
  <sheetData>
    <row r="1" spans="1:11" s="1" customFormat="1" ht="52.5" customHeight="1" x14ac:dyDescent="0.25"/>
    <row r="2" spans="1:11" s="1" customFormat="1" ht="10.5" customHeight="1" x14ac:dyDescent="0.25">
      <c r="A2" s="68" t="s">
        <v>0</v>
      </c>
      <c r="B2" s="68"/>
      <c r="C2" s="68"/>
      <c r="D2" s="68"/>
      <c r="E2" s="68"/>
      <c r="F2" s="68"/>
      <c r="G2" s="68"/>
      <c r="H2" s="68"/>
      <c r="I2" s="68"/>
      <c r="J2" s="68"/>
    </row>
    <row r="3" spans="1:11" s="1" customFormat="1" ht="15.95" customHeight="1" x14ac:dyDescent="0.25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</row>
    <row r="4" spans="1:11" s="1" customFormat="1" ht="15.95" customHeight="1" x14ac:dyDescent="0.25">
      <c r="A4" s="68" t="s">
        <v>2</v>
      </c>
      <c r="B4" s="68"/>
      <c r="C4" s="68"/>
      <c r="D4" s="68"/>
      <c r="E4" s="68"/>
      <c r="F4" s="68"/>
      <c r="G4" s="68"/>
      <c r="H4" s="68"/>
      <c r="I4" s="68"/>
      <c r="J4" s="68"/>
    </row>
    <row r="5" spans="1:11" s="1" customFormat="1" ht="15.95" customHeight="1" x14ac:dyDescent="0.25">
      <c r="A5" s="68" t="s">
        <v>3</v>
      </c>
      <c r="B5" s="68"/>
      <c r="C5" s="68"/>
      <c r="D5" s="68"/>
      <c r="E5" s="68"/>
      <c r="F5" s="68"/>
      <c r="G5" s="68"/>
      <c r="H5" s="68"/>
      <c r="I5" s="68"/>
      <c r="J5" s="68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67" t="s">
        <v>18</v>
      </c>
      <c r="C7" s="67"/>
      <c r="D7" s="67"/>
      <c r="H7" s="5" t="s">
        <v>19</v>
      </c>
      <c r="I7" s="20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20</v>
      </c>
      <c r="B9" s="67" t="s">
        <v>21</v>
      </c>
      <c r="C9" s="67"/>
      <c r="D9" s="67"/>
      <c r="H9" s="5" t="s">
        <v>22</v>
      </c>
      <c r="I9" s="21"/>
      <c r="J9" s="5"/>
    </row>
    <row r="10" spans="1:11" ht="23.25" customHeight="1" thickBot="1" x14ac:dyDescent="0.3">
      <c r="A10" s="73" t="s">
        <v>23</v>
      </c>
      <c r="B10" s="73"/>
      <c r="C10" s="73"/>
      <c r="D10" s="73"/>
      <c r="E10" s="73"/>
      <c r="F10" s="73"/>
      <c r="G10" s="73"/>
      <c r="H10" s="73"/>
      <c r="I10" s="73"/>
      <c r="J10" s="73"/>
      <c r="K10"/>
    </row>
    <row r="11" spans="1:11" ht="18.75" customHeight="1" x14ac:dyDescent="0.25">
      <c r="A11" s="74" t="s">
        <v>9</v>
      </c>
      <c r="B11" s="76" t="s">
        <v>10</v>
      </c>
      <c r="C11" s="77"/>
      <c r="D11" s="78" t="s">
        <v>24</v>
      </c>
      <c r="E11" s="79"/>
      <c r="F11" s="79"/>
      <c r="G11" s="80"/>
      <c r="H11" s="81" t="s">
        <v>25</v>
      </c>
      <c r="I11" s="82"/>
      <c r="J11" s="83" t="s">
        <v>11</v>
      </c>
      <c r="K11" s="69" t="s">
        <v>26</v>
      </c>
    </row>
    <row r="12" spans="1:11" ht="15.75" thickBot="1" x14ac:dyDescent="0.3">
      <c r="A12" s="75"/>
      <c r="B12" s="22" t="s">
        <v>27</v>
      </c>
      <c r="C12" s="22" t="s">
        <v>28</v>
      </c>
      <c r="D12" s="22" t="s">
        <v>27</v>
      </c>
      <c r="E12" s="22" t="s">
        <v>28</v>
      </c>
      <c r="F12" s="22" t="s">
        <v>29</v>
      </c>
      <c r="G12" s="22" t="s">
        <v>30</v>
      </c>
      <c r="H12" s="22" t="s">
        <v>27</v>
      </c>
      <c r="I12" s="22" t="s">
        <v>28</v>
      </c>
      <c r="J12" s="84"/>
      <c r="K12" s="69"/>
    </row>
    <row r="13" spans="1:11" ht="15.75" thickBot="1" x14ac:dyDescent="0.3">
      <c r="A13" s="70" t="s">
        <v>43</v>
      </c>
      <c r="B13" s="71"/>
      <c r="C13" s="71"/>
      <c r="D13" s="71"/>
      <c r="E13" s="71"/>
      <c r="F13" s="71"/>
      <c r="G13" s="71"/>
      <c r="H13" s="71"/>
      <c r="I13" s="71"/>
      <c r="J13" s="72"/>
      <c r="K13" s="23"/>
    </row>
    <row r="14" spans="1:11" ht="36.75" customHeight="1" x14ac:dyDescent="0.25">
      <c r="A14" s="24" t="s">
        <v>62</v>
      </c>
      <c r="B14" s="33">
        <v>6.0860000000000003</v>
      </c>
      <c r="C14" s="34">
        <v>6.0860000000000003</v>
      </c>
      <c r="D14" s="34"/>
      <c r="E14" s="33"/>
      <c r="F14" s="33"/>
      <c r="G14" s="33"/>
      <c r="H14" s="26">
        <f>B14</f>
        <v>6.0860000000000003</v>
      </c>
      <c r="I14" s="26">
        <f>C14</f>
        <v>6.0860000000000003</v>
      </c>
      <c r="J14" s="27">
        <f>SUM(H14:I14)</f>
        <v>12.172000000000001</v>
      </c>
    </row>
    <row r="15" spans="1:11" ht="17.25" customHeight="1" x14ac:dyDescent="0.25">
      <c r="A15" s="24" t="s">
        <v>32</v>
      </c>
      <c r="B15" s="33">
        <v>0.125</v>
      </c>
      <c r="C15" s="34">
        <v>0.125</v>
      </c>
      <c r="D15" s="25"/>
      <c r="E15" s="17"/>
      <c r="F15" s="17"/>
      <c r="G15" s="17"/>
      <c r="H15" s="29">
        <f>H14-F15-D15+B15</f>
        <v>6.2110000000000003</v>
      </c>
      <c r="I15" s="29">
        <f>I14-E15+C15</f>
        <v>6.2110000000000003</v>
      </c>
      <c r="J15" s="30">
        <f>SUM(H15:I15)</f>
        <v>12.422000000000001</v>
      </c>
    </row>
    <row r="16" spans="1:11" ht="17.25" customHeight="1" x14ac:dyDescent="0.25">
      <c r="A16" s="24" t="s">
        <v>58</v>
      </c>
      <c r="B16" s="33">
        <v>6.25</v>
      </c>
      <c r="C16" s="34">
        <v>6.25</v>
      </c>
      <c r="D16" s="25"/>
      <c r="E16" s="17"/>
      <c r="F16" s="17"/>
      <c r="G16" s="17"/>
      <c r="H16" s="29">
        <f t="shared" ref="H16" si="0">H15-F16-D16+B16</f>
        <v>12.461</v>
      </c>
      <c r="I16" s="29">
        <f t="shared" ref="I16" si="1">I15-E16+C16</f>
        <v>12.461</v>
      </c>
      <c r="J16" s="30">
        <f t="shared" ref="J16" si="2">SUM(H16:I16)</f>
        <v>24.922000000000001</v>
      </c>
    </row>
    <row r="17" spans="1:11" ht="15.75" customHeight="1" x14ac:dyDescent="0.25">
      <c r="A17" s="24" t="s">
        <v>59</v>
      </c>
      <c r="B17" s="17">
        <v>3.75</v>
      </c>
      <c r="C17" s="25">
        <v>3.75</v>
      </c>
      <c r="D17" s="25"/>
      <c r="E17" s="17"/>
      <c r="F17" s="17"/>
      <c r="G17" s="17"/>
      <c r="H17" s="29">
        <f t="shared" ref="H17:H18" si="3">H16-F17-D17+B17</f>
        <v>16.210999999999999</v>
      </c>
      <c r="I17" s="29">
        <f t="shared" ref="I17:I18" si="4">I16-E17+C17</f>
        <v>16.210999999999999</v>
      </c>
      <c r="J17" s="30">
        <f t="shared" ref="J17:J18" si="5">SUM(H17:I17)</f>
        <v>32.421999999999997</v>
      </c>
    </row>
    <row r="18" spans="1:11" ht="15.75" customHeight="1" x14ac:dyDescent="0.25">
      <c r="A18" s="24" t="s">
        <v>60</v>
      </c>
      <c r="B18" s="17"/>
      <c r="C18" s="25"/>
      <c r="D18" s="25">
        <v>1</v>
      </c>
      <c r="E18" s="17"/>
      <c r="F18" s="65"/>
      <c r="G18" s="17"/>
      <c r="H18" s="29">
        <f t="shared" si="3"/>
        <v>15.210999999999999</v>
      </c>
      <c r="I18" s="29">
        <f t="shared" si="4"/>
        <v>16.210999999999999</v>
      </c>
      <c r="J18" s="30">
        <f t="shared" si="5"/>
        <v>31.421999999999997</v>
      </c>
    </row>
    <row r="19" spans="1:11" ht="15.75" customHeight="1" x14ac:dyDescent="0.25">
      <c r="A19" s="25" t="s">
        <v>63</v>
      </c>
      <c r="B19" s="17">
        <v>3.75</v>
      </c>
      <c r="C19" s="25">
        <v>3.75</v>
      </c>
      <c r="D19" s="25"/>
      <c r="E19" s="17"/>
      <c r="F19" s="65"/>
      <c r="G19" s="17"/>
      <c r="H19" s="29">
        <f t="shared" ref="H19" si="6">H18-F19-D19+B19</f>
        <v>18.960999999999999</v>
      </c>
      <c r="I19" s="29">
        <f t="shared" ref="I19" si="7">I18-E19+C19</f>
        <v>19.960999999999999</v>
      </c>
      <c r="J19" s="30">
        <f t="shared" ref="J19" si="8">SUM(H19:I19)</f>
        <v>38.921999999999997</v>
      </c>
    </row>
    <row r="20" spans="1:11" ht="15.75" customHeight="1" x14ac:dyDescent="0.25">
      <c r="A20" s="25" t="s">
        <v>64</v>
      </c>
      <c r="B20" s="17"/>
      <c r="C20" s="25"/>
      <c r="D20" s="25">
        <v>13</v>
      </c>
      <c r="E20" s="17"/>
      <c r="F20" s="65"/>
      <c r="G20" s="17"/>
      <c r="H20" s="29">
        <f t="shared" ref="H20" si="9">H19-F20-D20+B20</f>
        <v>5.9609999999999985</v>
      </c>
      <c r="I20" s="29">
        <f t="shared" ref="I20" si="10">I19-E20+C20</f>
        <v>19.960999999999999</v>
      </c>
      <c r="J20" s="30">
        <f t="shared" ref="J20" si="11">SUM(H20:I20)</f>
        <v>25.921999999999997</v>
      </c>
    </row>
    <row r="21" spans="1:11" ht="15.75" customHeight="1" x14ac:dyDescent="0.25">
      <c r="A21" s="25" t="s">
        <v>65</v>
      </c>
      <c r="B21" s="17">
        <v>3.75</v>
      </c>
      <c r="C21" s="25">
        <v>3.75</v>
      </c>
      <c r="D21" s="25"/>
      <c r="E21" s="17"/>
      <c r="F21" s="65"/>
      <c r="G21" s="17"/>
      <c r="H21" s="29">
        <f t="shared" ref="H21:H22" si="12">H20-F21-D21+B21</f>
        <v>9.7109999999999985</v>
      </c>
      <c r="I21" s="29">
        <f t="shared" ref="I21:I22" si="13">I20-E21+C21</f>
        <v>23.710999999999999</v>
      </c>
      <c r="J21" s="30">
        <f t="shared" ref="J21:J22" si="14">SUM(H21:I21)</f>
        <v>33.421999999999997</v>
      </c>
    </row>
    <row r="22" spans="1:11" ht="15.75" customHeight="1" x14ac:dyDescent="0.25">
      <c r="A22" s="25" t="s">
        <v>66</v>
      </c>
      <c r="B22" s="17"/>
      <c r="C22" s="25"/>
      <c r="D22" s="25"/>
      <c r="E22" s="17"/>
      <c r="F22" s="66">
        <v>3</v>
      </c>
      <c r="G22" s="17"/>
      <c r="H22" s="29">
        <f t="shared" si="12"/>
        <v>6.7109999999999985</v>
      </c>
      <c r="I22" s="29">
        <f t="shared" si="13"/>
        <v>23.710999999999999</v>
      </c>
      <c r="J22" s="30">
        <f t="shared" si="14"/>
        <v>30.421999999999997</v>
      </c>
    </row>
    <row r="23" spans="1:11" s="109" customFormat="1" ht="15.75" customHeight="1" x14ac:dyDescent="0.25">
      <c r="A23" s="106" t="s">
        <v>67</v>
      </c>
      <c r="B23" s="107">
        <v>2.5</v>
      </c>
      <c r="C23" s="106">
        <v>2.5</v>
      </c>
      <c r="D23" s="106"/>
      <c r="E23" s="107"/>
      <c r="F23" s="107"/>
      <c r="G23" s="107"/>
      <c r="H23" s="29">
        <f t="shared" ref="H23:H24" si="15">H22-F23-D23+B23</f>
        <v>9.2109999999999985</v>
      </c>
      <c r="I23" s="29">
        <f t="shared" ref="I23:I24" si="16">I22-E23+C23</f>
        <v>26.210999999999999</v>
      </c>
      <c r="J23" s="30">
        <f t="shared" ref="J23:J24" si="17">SUM(H23:I23)</f>
        <v>35.421999999999997</v>
      </c>
      <c r="K23" s="108"/>
    </row>
    <row r="24" spans="1:11" ht="15.75" customHeight="1" x14ac:dyDescent="0.25">
      <c r="A24" s="25" t="s">
        <v>68</v>
      </c>
      <c r="B24" s="17"/>
      <c r="C24" s="25"/>
      <c r="D24" s="25"/>
      <c r="E24" s="17"/>
      <c r="F24" s="66">
        <v>1</v>
      </c>
      <c r="G24" s="17"/>
      <c r="H24" s="29">
        <f t="shared" si="15"/>
        <v>8.2109999999999985</v>
      </c>
      <c r="I24" s="29">
        <f t="shared" si="16"/>
        <v>26.210999999999999</v>
      </c>
      <c r="J24" s="30">
        <f t="shared" si="17"/>
        <v>34.421999999999997</v>
      </c>
    </row>
    <row r="25" spans="1:11" x14ac:dyDescent="0.25">
      <c r="H25" s="32"/>
      <c r="I25" s="32"/>
      <c r="J25" s="32"/>
    </row>
    <row r="26" spans="1:11" x14ac:dyDescent="0.25">
      <c r="H26" s="32"/>
      <c r="I26" s="32"/>
      <c r="J26" s="32"/>
    </row>
    <row r="30" spans="1:11" x14ac:dyDescent="0.25">
      <c r="F30" s="31" t="s">
        <v>31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1"/>
  <sheetViews>
    <sheetView view="pageBreakPreview" zoomScaleNormal="100" workbookViewId="0">
      <selection activeCell="C15" sqref="C15"/>
    </sheetView>
  </sheetViews>
  <sheetFormatPr defaultColWidth="9" defaultRowHeight="15" x14ac:dyDescent="0.25"/>
  <cols>
    <col min="1" max="1" width="23.5703125" style="44" customWidth="1"/>
    <col min="2" max="2" width="18.85546875" style="44" customWidth="1"/>
    <col min="3" max="3" width="35" style="56" customWidth="1"/>
    <col min="4" max="4" width="11.7109375" style="57" customWidth="1"/>
    <col min="5" max="5" width="11" style="44" customWidth="1"/>
    <col min="6" max="6" width="11.85546875" style="57" customWidth="1"/>
    <col min="7" max="7" width="22" style="44" customWidth="1"/>
    <col min="8" max="16384" width="9" style="44"/>
  </cols>
  <sheetData>
    <row r="1" spans="1:7" s="36" customFormat="1" ht="52.5" customHeight="1" x14ac:dyDescent="0.25">
      <c r="E1" s="37"/>
    </row>
    <row r="2" spans="1:7" s="36" customFormat="1" ht="10.5" customHeight="1" x14ac:dyDescent="0.25">
      <c r="A2" s="88" t="s">
        <v>0</v>
      </c>
      <c r="B2" s="88"/>
      <c r="C2" s="88"/>
      <c r="D2" s="88"/>
      <c r="E2" s="88"/>
      <c r="F2" s="88"/>
      <c r="G2" s="88"/>
    </row>
    <row r="3" spans="1:7" s="36" customFormat="1" ht="15.95" customHeight="1" x14ac:dyDescent="0.25">
      <c r="A3" s="88" t="s">
        <v>1</v>
      </c>
      <c r="B3" s="88"/>
      <c r="C3" s="88"/>
      <c r="D3" s="88"/>
      <c r="E3" s="88"/>
      <c r="F3" s="88"/>
      <c r="G3" s="88"/>
    </row>
    <row r="4" spans="1:7" s="36" customFormat="1" ht="15.95" customHeight="1" x14ac:dyDescent="0.25">
      <c r="A4" s="88" t="s">
        <v>2</v>
      </c>
      <c r="B4" s="88"/>
      <c r="C4" s="88"/>
      <c r="D4" s="88"/>
      <c r="E4" s="88"/>
      <c r="F4" s="88"/>
      <c r="G4" s="88"/>
    </row>
    <row r="5" spans="1:7" s="36" customFormat="1" ht="15.95" customHeight="1" x14ac:dyDescent="0.25">
      <c r="A5" s="88" t="s">
        <v>3</v>
      </c>
      <c r="B5" s="88"/>
      <c r="C5" s="88"/>
      <c r="D5" s="88"/>
      <c r="E5" s="88"/>
      <c r="F5" s="88"/>
      <c r="G5" s="88"/>
    </row>
    <row r="6" spans="1:7" s="36" customFormat="1" ht="8.25" customHeight="1" x14ac:dyDescent="0.25">
      <c r="E6" s="37"/>
    </row>
    <row r="7" spans="1:7" s="36" customFormat="1" ht="8.25" customHeight="1" x14ac:dyDescent="0.25">
      <c r="E7" s="37"/>
    </row>
    <row r="8" spans="1:7" s="36" customFormat="1" ht="17.25" customHeight="1" x14ac:dyDescent="0.25">
      <c r="A8" s="38" t="s">
        <v>47</v>
      </c>
      <c r="B8" s="38"/>
      <c r="C8" s="38" t="s">
        <v>33</v>
      </c>
      <c r="D8" s="39"/>
      <c r="E8" s="38" t="s">
        <v>34</v>
      </c>
      <c r="F8" s="39"/>
      <c r="G8" s="40"/>
    </row>
    <row r="9" spans="1:7" s="36" customFormat="1" ht="12" customHeight="1" x14ac:dyDescent="0.25">
      <c r="A9" s="41"/>
      <c r="B9" s="41"/>
      <c r="C9" s="42"/>
      <c r="E9" s="38" t="s">
        <v>35</v>
      </c>
      <c r="F9" s="43"/>
      <c r="G9" s="42"/>
    </row>
    <row r="10" spans="1:7" s="36" customFormat="1" ht="14.25" customHeight="1" x14ac:dyDescent="0.25">
      <c r="A10" s="38" t="s">
        <v>36</v>
      </c>
      <c r="B10" s="38"/>
      <c r="C10" s="38" t="s">
        <v>37</v>
      </c>
      <c r="D10" s="39"/>
      <c r="E10" s="38" t="s">
        <v>38</v>
      </c>
      <c r="F10" s="39"/>
      <c r="G10" s="40"/>
    </row>
    <row r="11" spans="1:7" s="36" customFormat="1" ht="12" customHeight="1" thickBot="1" x14ac:dyDescent="0.3">
      <c r="A11" s="40"/>
      <c r="B11" s="40"/>
      <c r="C11" s="40"/>
      <c r="F11" s="39"/>
      <c r="G11" s="40"/>
    </row>
    <row r="12" spans="1:7" ht="23.25" customHeight="1" thickBot="1" x14ac:dyDescent="0.3">
      <c r="A12" s="89" t="s">
        <v>39</v>
      </c>
      <c r="B12" s="90"/>
      <c r="C12" s="90"/>
      <c r="D12" s="90"/>
      <c r="E12" s="90"/>
      <c r="F12" s="90"/>
      <c r="G12" s="91"/>
    </row>
    <row r="13" spans="1:7" s="49" customFormat="1" ht="37.5" customHeight="1" thickBot="1" x14ac:dyDescent="0.25">
      <c r="A13" s="45" t="s">
        <v>40</v>
      </c>
      <c r="B13" s="46" t="s">
        <v>41</v>
      </c>
      <c r="C13" s="58" t="s">
        <v>42</v>
      </c>
      <c r="D13" s="58" t="s">
        <v>13</v>
      </c>
      <c r="E13" s="47" t="s">
        <v>14</v>
      </c>
      <c r="F13" s="47" t="s">
        <v>15</v>
      </c>
      <c r="G13" s="48" t="s">
        <v>11</v>
      </c>
    </row>
    <row r="14" spans="1:7" s="49" customFormat="1" ht="22.5" customHeight="1" x14ac:dyDescent="0.2">
      <c r="A14" s="18" t="s">
        <v>55</v>
      </c>
      <c r="B14" s="61" t="s">
        <v>57</v>
      </c>
      <c r="C14" s="59" t="s">
        <v>56</v>
      </c>
      <c r="D14" s="35">
        <v>15</v>
      </c>
      <c r="E14" s="50">
        <v>2</v>
      </c>
      <c r="F14" s="50">
        <v>13</v>
      </c>
      <c r="G14" s="51">
        <v>13</v>
      </c>
    </row>
    <row r="15" spans="1:7" s="49" customFormat="1" ht="15.75" customHeight="1" x14ac:dyDescent="0.2">
      <c r="A15" s="19" t="s">
        <v>44</v>
      </c>
      <c r="B15" s="19" t="s">
        <v>45</v>
      </c>
      <c r="C15" s="59" t="s">
        <v>46</v>
      </c>
      <c r="D15" s="52">
        <v>15</v>
      </c>
      <c r="E15" s="52">
        <v>0</v>
      </c>
      <c r="F15" s="52">
        <v>15</v>
      </c>
      <c r="G15" s="53">
        <v>15</v>
      </c>
    </row>
    <row r="16" spans="1:7" s="54" customFormat="1" ht="15.75" x14ac:dyDescent="0.2">
      <c r="A16" s="19"/>
      <c r="B16" s="19"/>
      <c r="C16" s="59"/>
      <c r="D16" s="52"/>
      <c r="E16" s="52"/>
      <c r="F16" s="52"/>
      <c r="G16" s="51"/>
    </row>
    <row r="17" spans="1:7" s="54" customFormat="1" ht="12.75" x14ac:dyDescent="0.2"/>
    <row r="18" spans="1:7" s="54" customFormat="1" ht="15.75" x14ac:dyDescent="0.2">
      <c r="A18" s="85" t="s">
        <v>11</v>
      </c>
      <c r="B18" s="86"/>
      <c r="C18" s="86"/>
      <c r="D18" s="86"/>
      <c r="E18" s="86"/>
      <c r="F18" s="87"/>
      <c r="G18" s="60" t="s">
        <v>61</v>
      </c>
    </row>
    <row r="19" spans="1:7" s="36" customFormat="1" ht="75.75" customHeight="1" x14ac:dyDescent="0.25">
      <c r="A19" s="55"/>
      <c r="B19" s="55"/>
      <c r="G19" s="55"/>
    </row>
    <row r="20" spans="1:7" s="36" customFormat="1" x14ac:dyDescent="0.25"/>
    <row r="21" spans="1:7" s="36" customFormat="1" x14ac:dyDescent="0.25"/>
  </sheetData>
  <mergeCells count="6">
    <mergeCell ref="A18:F18"/>
    <mergeCell ref="A2:G2"/>
    <mergeCell ref="A3:G3"/>
    <mergeCell ref="A4:G4"/>
    <mergeCell ref="A5:G5"/>
    <mergeCell ref="A12:G12"/>
  </mergeCells>
  <phoneticPr fontId="7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4983-91DE-4D9D-ACDE-38EB4547C704}">
  <dimension ref="A1:Q56"/>
  <sheetViews>
    <sheetView workbookViewId="0">
      <selection activeCell="B17" sqref="B17:E17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7.14062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7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1"/>
      <c r="N5" s="1"/>
      <c r="O5" s="1"/>
      <c r="P5" s="1"/>
      <c r="Q5" s="1"/>
    </row>
    <row r="6" spans="1:17" x14ac:dyDescent="0.25">
      <c r="A6" s="68" t="s">
        <v>1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1"/>
      <c r="N6" s="1"/>
      <c r="O6" s="1"/>
      <c r="P6" s="1"/>
      <c r="Q6" s="1"/>
    </row>
    <row r="7" spans="1:17" x14ac:dyDescent="0.25">
      <c r="A7" s="68" t="s">
        <v>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1"/>
      <c r="N7" s="1"/>
      <c r="O7" s="1"/>
      <c r="P7" s="1"/>
      <c r="Q7" s="1"/>
    </row>
    <row r="8" spans="1:17" x14ac:dyDescent="0.25">
      <c r="A8" s="68" t="s">
        <v>3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1"/>
      <c r="N8" s="1"/>
      <c r="O8" s="1"/>
      <c r="P8" s="1"/>
      <c r="Q8" s="1"/>
    </row>
    <row r="9" spans="1:17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 t="s">
        <v>48</v>
      </c>
      <c r="B11" s="5"/>
      <c r="C11" s="67" t="s">
        <v>4</v>
      </c>
      <c r="D11" s="67"/>
      <c r="E11" s="67"/>
      <c r="F11" s="67"/>
      <c r="G11" s="67"/>
      <c r="H11" s="1"/>
      <c r="I11" s="67" t="s">
        <v>5</v>
      </c>
      <c r="J11" s="67"/>
      <c r="K11" s="67"/>
      <c r="L11" s="5"/>
      <c r="M11" s="1"/>
      <c r="N11" s="1"/>
      <c r="O11" s="1"/>
      <c r="P11" s="1"/>
      <c r="Q11" s="1"/>
    </row>
    <row r="12" spans="1:17" x14ac:dyDescent="0.25">
      <c r="A12" s="1"/>
      <c r="B12" s="6"/>
      <c r="C12" s="67" t="s">
        <v>49</v>
      </c>
      <c r="D12" s="67"/>
      <c r="E12" s="67"/>
      <c r="F12" s="67"/>
      <c r="G12" s="67"/>
      <c r="H12" s="1"/>
      <c r="I12" s="98" t="s">
        <v>6</v>
      </c>
      <c r="J12" s="98"/>
      <c r="K12" s="98"/>
      <c r="L12" s="6"/>
      <c r="M12" s="1"/>
      <c r="N12" s="1"/>
      <c r="O12" s="1"/>
      <c r="P12" s="1"/>
      <c r="Q12" s="1"/>
    </row>
    <row r="13" spans="1:17" x14ac:dyDescent="0.25">
      <c r="A13" s="5" t="s">
        <v>50</v>
      </c>
      <c r="B13" s="5"/>
      <c r="C13" s="7"/>
      <c r="D13" s="6"/>
      <c r="E13" s="6"/>
      <c r="F13" s="1"/>
      <c r="G13" s="1"/>
      <c r="H13" s="1"/>
      <c r="I13" s="67" t="s">
        <v>7</v>
      </c>
      <c r="J13" s="67"/>
      <c r="K13" s="67"/>
      <c r="L13" s="5"/>
      <c r="M13" s="1"/>
      <c r="N13" s="1"/>
      <c r="O13" s="1"/>
      <c r="P13" s="1"/>
      <c r="Q13" s="1"/>
    </row>
    <row r="14" spans="1:17" ht="21.75" thickBot="1" x14ac:dyDescent="0.3">
      <c r="A14" s="73" t="s">
        <v>8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7" x14ac:dyDescent="0.25">
      <c r="A15" s="99" t="s">
        <v>9</v>
      </c>
      <c r="B15" s="101" t="s">
        <v>10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3" t="s">
        <v>11</v>
      </c>
      <c r="M15" s="8"/>
      <c r="N15" s="8"/>
      <c r="O15" s="8"/>
      <c r="P15" s="8"/>
      <c r="Q15" s="8"/>
    </row>
    <row r="16" spans="1:17" x14ac:dyDescent="0.25">
      <c r="A16" s="100"/>
      <c r="B16" s="93" t="s">
        <v>12</v>
      </c>
      <c r="C16" s="105"/>
      <c r="D16" s="105"/>
      <c r="E16" s="94"/>
      <c r="F16" s="93" t="s">
        <v>13</v>
      </c>
      <c r="G16" s="94"/>
      <c r="H16" s="93" t="s">
        <v>14</v>
      </c>
      <c r="I16" s="94"/>
      <c r="J16" s="93" t="s">
        <v>15</v>
      </c>
      <c r="K16" s="94"/>
      <c r="L16" s="104"/>
      <c r="M16" s="8"/>
      <c r="N16" s="8"/>
      <c r="O16" s="8"/>
      <c r="P16" s="8"/>
      <c r="Q16" s="8"/>
    </row>
    <row r="17" spans="1:17" ht="36" customHeight="1" x14ac:dyDescent="0.25">
      <c r="A17" s="62" t="s">
        <v>51</v>
      </c>
      <c r="B17" s="95" t="s">
        <v>52</v>
      </c>
      <c r="C17" s="96"/>
      <c r="D17" s="96"/>
      <c r="E17" s="97"/>
      <c r="F17" s="95">
        <v>15</v>
      </c>
      <c r="G17" s="97"/>
      <c r="H17" s="95">
        <v>0</v>
      </c>
      <c r="I17" s="97"/>
      <c r="J17" s="95">
        <v>15</v>
      </c>
      <c r="K17" s="97"/>
      <c r="L17" s="63">
        <v>15</v>
      </c>
      <c r="M17" s="8"/>
      <c r="N17" s="8"/>
      <c r="O17" s="8"/>
      <c r="P17" s="8"/>
      <c r="Q17" s="8"/>
    </row>
    <row r="18" spans="1:17" ht="36" customHeight="1" x14ac:dyDescent="0.25">
      <c r="A18" s="24" t="s">
        <v>53</v>
      </c>
      <c r="B18" s="95"/>
      <c r="C18" s="96"/>
      <c r="D18" s="96"/>
      <c r="E18" s="97"/>
      <c r="F18" s="95"/>
      <c r="G18" s="97"/>
      <c r="H18" s="95">
        <v>2</v>
      </c>
      <c r="I18" s="97"/>
      <c r="J18" s="95">
        <v>13</v>
      </c>
      <c r="K18" s="97"/>
      <c r="L18" s="64">
        <v>13</v>
      </c>
      <c r="M18" s="9"/>
      <c r="N18" s="9"/>
      <c r="O18" s="9"/>
      <c r="P18" s="9"/>
      <c r="Q18" s="9"/>
    </row>
    <row r="19" spans="1:17" x14ac:dyDescent="0.25">
      <c r="A19" s="10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9"/>
      <c r="N19" s="9"/>
      <c r="O19" s="9"/>
      <c r="P19" s="9"/>
      <c r="Q19" s="9"/>
    </row>
    <row r="20" spans="1:17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1" spans="1:17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6" spans="1:17" x14ac:dyDescent="0.25">
      <c r="G56" s="16" t="s">
        <v>54</v>
      </c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2026-01-07T07:33:55Z</cp:lastPrinted>
  <dcterms:created xsi:type="dcterms:W3CDTF">2022-11-24T07:01:13Z</dcterms:created>
  <dcterms:modified xsi:type="dcterms:W3CDTF">2026-01-07T07:34:38Z</dcterms:modified>
</cp:coreProperties>
</file>