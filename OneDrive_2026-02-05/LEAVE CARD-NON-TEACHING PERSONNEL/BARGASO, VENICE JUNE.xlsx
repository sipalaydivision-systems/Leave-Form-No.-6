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RRECTED" sheetId="12" r:id="rId1"/>
    <sheet name="CTO" sheetId="10" r:id="rId2"/>
    <sheet name="Election" sheetId="11" r:id="rId3"/>
    <sheet name="Leave Card (NE)" sheetId="6" r:id="rId4"/>
  </sheets>
  <definedNames>
    <definedName name="_xlnm.Print_Area" localSheetId="0">CORRECTED!$A$1:$J$93</definedName>
    <definedName name="_xlnm.Print_Area" localSheetId="2">Election!$A$1:$M$24</definedName>
    <definedName name="_xlnm.Print_Area" localSheetId="3">'Leave Card (NE)'!$A$1:$J$76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<sst xmlns="http://schemas.openxmlformats.org/spreadsheetml/2006/main" count="244" uniqueCount="138">
  <si>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</si>
  <si>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</si>
  <si>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</si>
  <si>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</si>
  <si>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</si>
  <si>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</si>
  <si>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</si>
  <si>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</si>
  <si>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</si>
  <si>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</si>
  <si>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</si>
  <si>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</si>
  <si>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</si>
  <si>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</si>
  <si>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</si>
  <si>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</si>
  <si>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</si>
  <si>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</si>
  <si>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</si>
  <si>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</si>
  <si>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ORIGINAL APPOINTMENT: 03/6/2017 (ADAS III)</t>
  </si>
  <si>
    <t>PROMOTED: 01/3/2019 (AO II)</t>
  </si>
  <si>
    <t>ADD: 3/06/2017 - 3/31/2017</t>
  </si>
  <si>
    <t>ADD: 4/01/2017 - 4/30/2017</t>
  </si>
  <si>
    <t>LESS: 5/11-12/17</t>
  </si>
  <si>
    <t>ADD: 5/01/2017 - 12/31/2017</t>
  </si>
  <si>
    <t>LESS: FL 2017</t>
  </si>
  <si>
    <t>ADD: 1/01/2018 - 9/30/2018</t>
  </si>
  <si>
    <t>LESS: MONETIZATION 2018</t>
  </si>
  <si>
    <t xml:space="preserve">ADD: 10/1-4/2018 </t>
  </si>
  <si>
    <t>LESS: FL 2018</t>
  </si>
  <si>
    <t>**Appointment invalidated due to lack of experience (CSC Memorandum Circular No. 10 s. 2005)**</t>
  </si>
  <si>
    <t>ADD: 01/03/2019 - 01/31/2019</t>
  </si>
  <si>
    <t>ADD: 2/01/2019 - 12/31/2019</t>
  </si>
  <si>
    <t>LESS: FL 2019</t>
  </si>
  <si>
    <t>ADD: 1/01/2020 - 12/31/2020</t>
  </si>
  <si>
    <t>LESS: MONETIZATION 2020</t>
  </si>
  <si>
    <t>LESS: FL 2020</t>
  </si>
  <si>
    <t>ADD:1/1/2021 - 7/31/2021</t>
  </si>
  <si>
    <t>LESS: 6/30/2021 - 7/2/2021</t>
  </si>
  <si>
    <t>ADD:8/1/2021 - 9/30/2021</t>
  </si>
  <si>
    <t>LESS: MONETIZATION 2021</t>
  </si>
  <si>
    <t>ADD: 10/01/2021 - 12/31/2021</t>
  </si>
  <si>
    <t>LESS: 12/27, 28 &amp; 29/2021</t>
  </si>
  <si>
    <t>LESS: FL 2021</t>
  </si>
  <si>
    <t>ADD: 1/01/2022 - 7/31/2022</t>
  </si>
  <si>
    <t>LESS: 8/19/2022</t>
  </si>
  <si>
    <t>LESS: 7/27/2022</t>
  </si>
  <si>
    <t>ADD: 8/01-31/2022</t>
  </si>
  <si>
    <t>LESS: 9/6/22</t>
  </si>
  <si>
    <t>LESS: MONETIZATION 2022</t>
  </si>
  <si>
    <t>ADD: 9/01/2022 - 11/30/2022</t>
  </si>
  <si>
    <t>LESS: 12/19/2022</t>
  </si>
  <si>
    <t>LESS: 12/26,27, 28 &amp; 29/2022</t>
  </si>
  <si>
    <t>ADD: 12/01-31/2022</t>
  </si>
  <si>
    <t>ADD: 01/01/2023 - 2/28/2023</t>
  </si>
  <si>
    <t>LESS: 03/03/2023</t>
  </si>
  <si>
    <t>ADD: 03/01/2023 - 3/31/2023</t>
  </si>
  <si>
    <t>LESS: 04/25/2023</t>
  </si>
  <si>
    <t>ADD: 04/01/2023 - 4/30/2023</t>
  </si>
  <si>
    <t>LESS: 05/10/2023</t>
  </si>
  <si>
    <t>LESS: 05/23 &amp; 24/2023</t>
  </si>
  <si>
    <t>ADD: 05/01/2023 - 5/31/2023</t>
  </si>
  <si>
    <t>LESS: 06/09/2023</t>
  </si>
  <si>
    <t>ADD: 06/01/2023 - 6/30/2023</t>
  </si>
  <si>
    <t>LESS: 07/04/23</t>
  </si>
  <si>
    <t>ADD: 07/01/2023 - 8/31/2023</t>
  </si>
  <si>
    <t>LESS: MONETIZATION 2023</t>
  </si>
  <si>
    <t>LESS: 09/19/2023</t>
  </si>
  <si>
    <t>ADD: 09/01/2023-09/30/2023</t>
  </si>
  <si>
    <t>LESS: 10/11/2023</t>
  </si>
  <si>
    <t>ADD: 10/01/2023 - 12/31/2023</t>
  </si>
  <si>
    <t>ADD: 01/01/2024-03/31/2024</t>
  </si>
  <si>
    <t>ADD: 04/1-30/2024</t>
  </si>
  <si>
    <t>LESS: 05/7/2024</t>
  </si>
  <si>
    <t>LESS: 05/15/2024</t>
  </si>
  <si>
    <t>LESS: 05/31/2024</t>
  </si>
  <si>
    <t>ADD: 05/1-31/2024</t>
  </si>
  <si>
    <t>LESS: 06/6-7/2024</t>
  </si>
  <si>
    <t>LESS: 06/10/2024</t>
  </si>
  <si>
    <t>LESS: 06/20-21/2024</t>
  </si>
  <si>
    <t>ADD: 06/1/2024-11/30/2024</t>
  </si>
  <si>
    <t>LESS: 12/6/2024</t>
  </si>
  <si>
    <t>ADD: 12/1-31/2024</t>
  </si>
  <si>
    <t>LESS: 01/17/2025</t>
  </si>
  <si>
    <t>ADD: 01/1-31/2025</t>
  </si>
  <si>
    <t>LESS: 01/27-31/2025</t>
  </si>
  <si>
    <t>ADD: 02/1/2025-04/30/2025</t>
  </si>
  <si>
    <t>LESS: 06/5/2025</t>
  </si>
  <si>
    <t>ADD: 05/1/2025-10/31/2025</t>
  </si>
  <si>
    <t>LESS: 12/22-23/2025</t>
  </si>
  <si>
    <t>LESS: 12/26 &amp; 29/2025</t>
  </si>
  <si>
    <t>ADD: 11/1-30/2025</t>
  </si>
  <si>
    <t>LESS: 12/16/2025</t>
  </si>
  <si>
    <t>Certified Correct:</t>
  </si>
  <si>
    <t>MA. LUISA B. CATIGAN</t>
  </si>
  <si>
    <t>Administrative Officer IV</t>
  </si>
  <si>
    <t xml:space="preserve">               HRMO</t>
  </si>
  <si>
    <t>NAME         : MA. VENICE JUNE BARGASO</t>
  </si>
  <si>
    <t>DISTRICT             : _______________________</t>
  </si>
  <si>
    <t>EMPLOYEE NO   : __________</t>
  </si>
  <si>
    <t>SCHOOL/OFFICE : BINULIG ES</t>
  </si>
  <si>
    <t>STATION CODE   : __________</t>
  </si>
  <si>
    <t>POSITION   : AO2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</si>
  <si>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</si>
  <si>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</si>
  <si>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</si>
  <si>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</si>
  <si>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</si>
  <si>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</si>
  <si>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OCTOBER 11, 2023</t>
  </si>
  <si>
    <t>S.O # 108, S. 2023 BRIGADA ESKWELA AND OPLAN BALIK ESKWELA 2023</t>
  </si>
  <si>
    <t>LESS: 01/26/2024</t>
  </si>
  <si>
    <t>ADD: OCT. 17, 2023</t>
  </si>
  <si>
    <t>S.O # 159, S. 2023 125TH PHIL.INDEPENDENCE DAY</t>
  </si>
  <si>
    <t>LESS: 04/05/2024</t>
  </si>
  <si>
    <t>ADD: 06/26/2024</t>
  </si>
  <si>
    <t>S.O #024, S. 2023 126TH PHIL.INDEPENDENCE DAY</t>
  </si>
  <si>
    <t>LESS: 11/12/2024</t>
  </si>
  <si>
    <t>NOTE:  Valid for one (1) year only</t>
  </si>
  <si>
    <t>NAME          : MA. VENICE JUNE BARGASO</t>
  </si>
  <si>
    <t>DISTRICT                : _______________________</t>
  </si>
  <si>
    <t>EMPLOYEE NO    : __________</t>
  </si>
  <si>
    <t>SCHOOL/OFFICE : _______________________</t>
  </si>
  <si>
    <t>STATION CODE    : __________</t>
  </si>
  <si>
    <t>POSITION   : AO II</t>
  </si>
  <si>
    <t>SPECIAL ORDER FOR ELECTION (NATONAL/BARANGAY AND SK ELECTION)</t>
  </si>
  <si>
    <t>SPECIAL ORDER NO. AND DATE ISSUED</t>
  </si>
  <si>
    <t>NATIONAL ELECTION</t>
  </si>
  <si>
    <t>BARANGAY ELECTION/SK ELECTION</t>
  </si>
  <si>
    <t>SO# 051,S. 2022</t>
  </si>
  <si>
    <t>MAY 9, 2022</t>
  </si>
  <si>
    <t>LESS: 06/18-19/2024</t>
  </si>
  <si>
    <t>DATE OF ORIGINAL APPOINTMENT: APRIL 19, 2021</t>
  </si>
  <si>
    <t>ADD: 8/01/2022 - 8/31/2022</t>
  </si>
  <si>
    <t>ADD: 12/01/2022 - 12/31/2022</t>
  </si>
  <si>
    <t>ADD: 06/1/2024-07/31/2024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</si>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</sst>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name val="time new romans"/>
      <charset val="134"/>
    </font>
    <font>
      <sz val="8"/>
      <name val="time new roman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8" borderId="3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33" applyNumberFormat="0" applyAlignment="0" applyProtection="0">
      <alignment vertical="center"/>
    </xf>
    <xf numFmtId="0" fontId="21" fillId="20" borderId="34" applyNumberFormat="0" applyAlignment="0" applyProtection="0">
      <alignment vertical="center"/>
    </xf>
    <xf numFmtId="0" fontId="22" fillId="20" borderId="33" applyNumberFormat="0" applyAlignment="0" applyProtection="0">
      <alignment vertical="center"/>
    </xf>
    <xf numFmtId="0" fontId="23" fillId="21" borderId="35" applyNumberFormat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/>
    <xf numFmtId="0" fontId="0" fillId="0" borderId="0"/>
  </cellStyleXfs>
  <cellXfs count="13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76" fontId="0" fillId="2" borderId="7" xfId="0" applyNumberFormat="1" applyFill="1" applyBorder="1" applyAlignment="1">
      <alignment vertical="center"/>
    </xf>
    <xf numFmtId="176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0" xfId="50" applyFill="1"/>
    <xf numFmtId="0" fontId="1" fillId="0" borderId="0" xfId="50" applyFont="1"/>
    <xf numFmtId="0" fontId="2" fillId="0" borderId="0" xfId="50" applyFont="1"/>
    <xf numFmtId="0" fontId="0" fillId="0" borderId="0" xfId="50"/>
    <xf numFmtId="0" fontId="0" fillId="12" borderId="0" xfId="50" applyFill="1"/>
    <xf numFmtId="0" fontId="0" fillId="0" borderId="0" xfId="50" applyAlignment="1">
      <alignment horizontal="center"/>
    </xf>
    <xf numFmtId="0" fontId="0" fillId="4" borderId="0" xfId="50" applyFill="1"/>
    <xf numFmtId="0" fontId="0" fillId="13" borderId="0" xfId="50" applyFill="1"/>
    <xf numFmtId="0" fontId="3" fillId="2" borderId="0" xfId="50" applyFont="1" applyFill="1" applyAlignment="1">
      <alignment horizontal="center" wrapText="1"/>
    </xf>
    <xf numFmtId="0" fontId="3" fillId="2" borderId="0" xfId="50" applyFont="1" applyFill="1" applyAlignment="1">
      <alignment wrapText="1"/>
    </xf>
    <xf numFmtId="0" fontId="0" fillId="2" borderId="0" xfId="50" applyFill="1" applyAlignment="1">
      <alignment horizontal="center" vertical="center"/>
    </xf>
    <xf numFmtId="0" fontId="0" fillId="2" borderId="0" xfId="50" applyFill="1" applyAlignment="1">
      <alignment horizontal="center"/>
    </xf>
    <xf numFmtId="0" fontId="3" fillId="2" borderId="0" xfId="50" applyFont="1" applyFill="1" applyAlignment="1">
      <alignment vertical="center"/>
    </xf>
    <xf numFmtId="0" fontId="3" fillId="2" borderId="0" xfId="50" applyFont="1" applyFill="1" applyAlignment="1">
      <alignment horizontal="left" vertical="center"/>
    </xf>
    <xf numFmtId="0" fontId="3" fillId="2" borderId="0" xfId="50" applyFont="1" applyFill="1"/>
    <xf numFmtId="0" fontId="3" fillId="2" borderId="0" xfId="50" applyFont="1" applyFill="1" applyAlignment="1">
      <alignment horizontal="center"/>
    </xf>
    <xf numFmtId="0" fontId="4" fillId="2" borderId="1" xfId="50" applyFont="1" applyFill="1" applyBorder="1" applyAlignment="1">
      <alignment horizontal="center" vertical="center"/>
    </xf>
    <xf numFmtId="0" fontId="5" fillId="14" borderId="14" xfId="50" applyFont="1" applyFill="1" applyBorder="1" applyAlignment="1">
      <alignment horizontal="center" vertical="center" wrapText="1"/>
    </xf>
    <xf numFmtId="0" fontId="5" fillId="14" borderId="14" xfId="50" applyFont="1" applyFill="1" applyBorder="1" applyAlignment="1">
      <alignment horizontal="center" vertical="center"/>
    </xf>
    <xf numFmtId="0" fontId="7" fillId="15" borderId="15" xfId="50" applyFont="1" applyFill="1" applyBorder="1" applyAlignment="1">
      <alignment horizontal="center" vertical="center" wrapText="1"/>
    </xf>
    <xf numFmtId="0" fontId="7" fillId="15" borderId="16" xfId="50" applyFont="1" applyFill="1" applyBorder="1" applyAlignment="1">
      <alignment horizontal="center" vertical="center" wrapText="1"/>
    </xf>
    <xf numFmtId="0" fontId="5" fillId="14" borderId="17" xfId="50" applyFont="1" applyFill="1" applyBorder="1" applyAlignment="1">
      <alignment horizontal="center" vertical="center" wrapText="1"/>
    </xf>
    <xf numFmtId="0" fontId="5" fillId="14" borderId="17" xfId="50" applyFont="1" applyFill="1" applyBorder="1" applyAlignment="1">
      <alignment horizontal="center" vertical="center"/>
    </xf>
    <xf numFmtId="0" fontId="7" fillId="15" borderId="18" xfId="50" applyFont="1" applyFill="1" applyBorder="1" applyAlignment="1">
      <alignment horizontal="center" vertical="center" wrapText="1"/>
    </xf>
    <xf numFmtId="0" fontId="7" fillId="15" borderId="19" xfId="50" applyFont="1" applyFill="1" applyBorder="1" applyAlignment="1">
      <alignment horizontal="center" vertical="center" wrapText="1"/>
    </xf>
    <xf numFmtId="0" fontId="5" fillId="14" borderId="20" xfId="50" applyFont="1" applyFill="1" applyBorder="1" applyAlignment="1">
      <alignment horizontal="center" vertical="center" wrapText="1"/>
    </xf>
    <xf numFmtId="0" fontId="5" fillId="14" borderId="20" xfId="50" applyFont="1" applyFill="1" applyBorder="1" applyAlignment="1">
      <alignment horizontal="center" vertical="center"/>
    </xf>
    <xf numFmtId="0" fontId="7" fillId="15" borderId="21" xfId="50" applyFont="1" applyFill="1" applyBorder="1" applyAlignment="1">
      <alignment horizontal="center" vertical="center" wrapText="1"/>
    </xf>
    <xf numFmtId="0" fontId="7" fillId="15" borderId="22" xfId="50" applyFont="1" applyFill="1" applyBorder="1" applyAlignment="1">
      <alignment horizontal="center" vertical="center" wrapText="1"/>
    </xf>
    <xf numFmtId="0" fontId="0" fillId="2" borderId="20" xfId="50" applyFill="1" applyBorder="1" applyAlignment="1">
      <alignment horizontal="center" vertical="center"/>
    </xf>
    <xf numFmtId="0" fontId="0" fillId="2" borderId="23" xfId="50" applyFill="1" applyBorder="1" applyAlignment="1">
      <alignment horizontal="center" vertical="center"/>
    </xf>
    <xf numFmtId="0" fontId="7" fillId="2" borderId="24" xfId="50" applyFont="1" applyFill="1" applyBorder="1" applyAlignment="1">
      <alignment horizontal="center" vertical="center" wrapText="1"/>
    </xf>
    <xf numFmtId="0" fontId="7" fillId="2" borderId="9" xfId="50" applyFont="1" applyFill="1" applyBorder="1" applyAlignment="1">
      <alignment horizontal="center" vertical="center" wrapText="1"/>
    </xf>
    <xf numFmtId="0" fontId="7" fillId="2" borderId="25" xfId="50" applyFont="1" applyFill="1" applyBorder="1" applyAlignment="1">
      <alignment horizontal="center" vertical="center" wrapText="1"/>
    </xf>
    <xf numFmtId="0" fontId="0" fillId="2" borderId="20" xfId="50" applyFill="1" applyBorder="1" applyAlignment="1">
      <alignment horizontal="center" vertical="center" wrapText="1"/>
    </xf>
    <xf numFmtId="0" fontId="0" fillId="2" borderId="23" xfId="50" applyFill="1" applyBorder="1" applyAlignment="1">
      <alignment horizontal="center" vertical="center" wrapText="1"/>
    </xf>
    <xf numFmtId="0" fontId="2" fillId="2" borderId="24" xfId="50" applyFont="1" applyFill="1" applyBorder="1" applyAlignment="1">
      <alignment horizontal="center" vertical="center"/>
    </xf>
    <xf numFmtId="0" fontId="2" fillId="2" borderId="25" xfId="50" applyFont="1" applyFill="1" applyBorder="1" applyAlignment="1">
      <alignment horizontal="center" vertical="center"/>
    </xf>
    <xf numFmtId="0" fontId="2" fillId="2" borderId="9" xfId="50" applyFont="1" applyFill="1" applyBorder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3" fillId="2" borderId="0" xfId="50" applyFont="1" applyFill="1" applyAlignment="1">
      <alignment horizontal="left"/>
    </xf>
    <xf numFmtId="0" fontId="5" fillId="14" borderId="11" xfId="50" applyFont="1" applyFill="1" applyBorder="1" applyAlignment="1">
      <alignment horizontal="center" vertical="center"/>
    </xf>
    <xf numFmtId="0" fontId="5" fillId="14" borderId="26" xfId="50" applyFont="1" applyFill="1" applyBorder="1" applyAlignment="1">
      <alignment horizontal="center" vertical="center"/>
    </xf>
    <xf numFmtId="0" fontId="5" fillId="14" borderId="12" xfId="50" applyFont="1" applyFill="1" applyBorder="1" applyAlignment="1">
      <alignment horizontal="center" vertical="center"/>
    </xf>
    <xf numFmtId="0" fontId="0" fillId="2" borderId="27" xfId="5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14" borderId="28" xfId="0" applyFont="1" applyFill="1" applyBorder="1" applyAlignment="1">
      <alignment horizontal="center" vertical="center"/>
    </xf>
    <xf numFmtId="0" fontId="5" fillId="16" borderId="24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7" fillId="15" borderId="24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7" fillId="15" borderId="25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14" borderId="29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58" fontId="9" fillId="0" borderId="24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6" fillId="6" borderId="13" xfId="0" applyFont="1" applyFill="1" applyBorder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348028</xdr:colOff>
      <xdr:row>0</xdr:row>
      <xdr:rowOff>40419</xdr:rowOff>
    </xdr:from>
    <xdr:to>
      <xdr:col>4</xdr:col>
      <xdr:colOff>244231</xdr:colOff>
      <xdr:row>1</xdr:row>
      <xdr:rowOff>15263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2150" y="40005"/>
          <a:ext cx="68961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91586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208470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BARGASO, MA. VENICE JUNE R.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95008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III/ADOF 2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5" name="TextBox 4"/>
        <xdr:cNvSpPr txBox="1"/>
      </xdr:nvSpPr>
      <xdr:spPr>
        <a:xfrm>
          <a:off x="377507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428625</xdr:colOff>
      <xdr:row>22</xdr:row>
      <xdr:rowOff>419100</xdr:rowOff>
    </xdr:from>
    <xdr:to>
      <xdr:col>11</xdr:col>
      <xdr:colOff>333375</xdr:colOff>
      <xdr:row>28</xdr:row>
      <xdr:rowOff>171450</xdr:rowOff>
    </xdr:to>
    <xdr:sp>
      <xdr:nvSpPr>
        <xdr:cNvPr id="2" name="TextBox 1"/>
        <xdr:cNvSpPr txBox="1"/>
      </xdr:nvSpPr>
      <xdr:spPr>
        <a:xfrm>
          <a:off x="5209540" y="6115050"/>
          <a:ext cx="2990850" cy="1114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pPr algn="ctr"/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pPr algn="ctr"/>
          <a:r>
            <a:rPr lang="en-US" sz="1100" baseline="0"/>
            <a:t>	Administrative Officer IV</a:t>
          </a:r>
          <a:endParaRPr lang="en-US" sz="1100" baseline="0"/>
        </a:p>
        <a:p>
          <a:pPr algn="ctr"/>
          <a:r>
            <a:rPr lang="en-US" sz="1100" baseline="0"/>
            <a:t>	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171450</xdr:rowOff>
    </xdr:from>
    <xdr:to>
      <xdr:col>1</xdr:col>
      <xdr:colOff>19050</xdr:colOff>
      <xdr:row>12</xdr:row>
      <xdr:rowOff>171450</xdr:rowOff>
    </xdr:to>
    <xdr:cxnSp>
      <xdr:nvCxnSpPr>
        <xdr:cNvPr id="3" name="Straight Connector 2"/>
        <xdr:cNvCxnSpPr/>
      </xdr:nvCxnSpPr>
      <xdr:spPr>
        <a:xfrm>
          <a:off x="742950" y="2366010"/>
          <a:ext cx="8140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476250</xdr:colOff>
      <xdr:row>28</xdr:row>
      <xdr:rowOff>142875</xdr:rowOff>
    </xdr:from>
    <xdr:ext cx="184731" cy="249320"/>
    <xdr:sp>
      <xdr:nvSpPr>
        <xdr:cNvPr id="4" name="TextBox 3"/>
        <xdr:cNvSpPr txBox="1"/>
      </xdr:nvSpPr>
      <xdr:spPr>
        <a:xfrm>
          <a:off x="2788285" y="7200900"/>
          <a:ext cx="184150" cy="248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4</xdr:col>
      <xdr:colOff>438150</xdr:colOff>
      <xdr:row>0</xdr:row>
      <xdr:rowOff>123825</xdr:rowOff>
    </xdr:from>
    <xdr:to>
      <xdr:col>5</xdr:col>
      <xdr:colOff>497438</xdr:colOff>
      <xdr:row>3</xdr:row>
      <xdr:rowOff>177995</xdr:rowOff>
    </xdr:to>
    <xdr:pic>
      <xdr:nvPicPr>
        <xdr:cNvPr id="5" name="Picture 4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4625" y="123825"/>
          <a:ext cx="676275" cy="60261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69582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225914</xdr:colOff>
      <xdr:row>0</xdr:row>
      <xdr:rowOff>49578</xdr:rowOff>
    </xdr:from>
    <xdr:to>
      <xdr:col>4</xdr:col>
      <xdr:colOff>299183</xdr:colOff>
      <xdr:row>1</xdr:row>
      <xdr:rowOff>24422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9595" y="49530"/>
          <a:ext cx="867410" cy="6413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5" name="TextBox 4"/>
        <xdr:cNvSpPr txBox="1"/>
      </xdr:nvSpPr>
      <xdr:spPr>
        <a:xfrm>
          <a:off x="573405" y="1376045"/>
          <a:ext cx="199326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BARGASO, VENICE JUNE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6" name="TextBox 5"/>
        <xdr:cNvSpPr txBox="1"/>
      </xdr:nvSpPr>
      <xdr:spPr>
        <a:xfrm>
          <a:off x="616585" y="1725930"/>
          <a:ext cx="195008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III/ADOF 2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7" name="TextBox 6"/>
        <xdr:cNvSpPr txBox="1"/>
      </xdr:nvSpPr>
      <xdr:spPr>
        <a:xfrm>
          <a:off x="377507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3"/>
  <sheetViews>
    <sheetView tabSelected="1" view="pageBreakPreview" zoomScale="104" zoomScaleNormal="100" topLeftCell="A68" workbookViewId="0">
      <selection activeCell="A86" sqref="$A86:$XFD86"/>
    </sheetView>
  </sheetViews>
  <sheetFormatPr defaultColWidth="9" defaultRowHeight="14.4"/>
  <cols>
    <col min="1" max="1" width="37.4259259259259" customWidth="1"/>
    <col min="2" max="2" width="11.5740740740741" style="4" customWidth="1"/>
    <col min="3" max="3" width="11.5740740740741" style="5" customWidth="1"/>
    <col min="4" max="4" width="11.5740740740741" style="4" customWidth="1"/>
    <col min="5" max="5" width="11.5740740740741" style="5" customWidth="1"/>
    <col min="6" max="7" width="11.5740740740741" style="6" customWidth="1"/>
    <col min="8" max="8" width="11.5740740740741" style="4" customWidth="1"/>
    <col min="9" max="9" width="11.5740740740741" style="5" customWidth="1"/>
    <col min="10" max="10" width="11.5740740740741" customWidth="1"/>
  </cols>
  <sheetData>
    <row r="1" s="1" customFormat="1" ht="52.5" customHeight="1"/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/>
    <row r="7" s="1" customFormat="1" ht="12" customHeight="1" spans="1:10">
      <c r="A7" s="1" t="s">
        <v>4</v>
      </c>
      <c r="B7" s="8" t="s">
        <v>5</v>
      </c>
      <c r="C7" s="8"/>
      <c r="D7" s="8"/>
      <c r="H7" s="9" t="s">
        <v>6</v>
      </c>
      <c r="I7" s="35"/>
      <c r="J7" s="9"/>
    </row>
    <row r="8" s="1" customFormat="1" ht="12" customHeight="1" spans="2:10">
      <c r="B8" s="10"/>
      <c r="C8" s="10"/>
      <c r="H8" s="10"/>
      <c r="I8" s="10"/>
      <c r="J8" s="10"/>
    </row>
    <row r="9" s="1" customFormat="1" ht="12" customHeight="1" spans="1:10">
      <c r="A9" s="1" t="s">
        <v>7</v>
      </c>
      <c r="B9" s="8" t="s">
        <v>8</v>
      </c>
      <c r="C9" s="8"/>
      <c r="D9" s="8"/>
      <c r="H9" s="9" t="s">
        <v>9</v>
      </c>
      <c r="I9" s="36"/>
      <c r="J9" s="9"/>
    </row>
    <row r="10" ht="16.5" customHeight="1" spans="1:10">
      <c r="A10" s="11" t="s">
        <v>10</v>
      </c>
      <c r="B10" s="11"/>
      <c r="C10" s="11"/>
      <c r="D10" s="11"/>
      <c r="E10" s="11"/>
      <c r="F10" s="11"/>
      <c r="G10" s="11"/>
      <c r="H10" s="11"/>
      <c r="I10" s="11"/>
      <c r="J10" s="11"/>
    </row>
    <row r="11" s="2" customFormat="1" ht="18.75" customHeight="1" spans="1:10">
      <c r="A11" s="12" t="s">
        <v>11</v>
      </c>
      <c r="B11" s="13" t="s">
        <v>12</v>
      </c>
      <c r="C11" s="14"/>
      <c r="D11" s="15" t="s">
        <v>13</v>
      </c>
      <c r="E11" s="16"/>
      <c r="F11" s="16"/>
      <c r="G11" s="16"/>
      <c r="H11" s="17" t="s">
        <v>14</v>
      </c>
      <c r="I11" s="37"/>
      <c r="J11" s="38" t="s">
        <v>15</v>
      </c>
    </row>
    <row r="12" s="2" customFormat="1" ht="51" customHeight="1" spans="1:10">
      <c r="A12" s="18"/>
      <c r="B12" s="19" t="s">
        <v>16</v>
      </c>
      <c r="C12" s="20" t="s">
        <v>17</v>
      </c>
      <c r="D12" s="19" t="s">
        <v>16</v>
      </c>
      <c r="E12" s="20" t="s">
        <v>17</v>
      </c>
      <c r="F12" s="21" t="s">
        <v>18</v>
      </c>
      <c r="G12" s="22" t="s">
        <v>19</v>
      </c>
      <c r="H12" s="19" t="s">
        <v>16</v>
      </c>
      <c r="I12" s="20" t="s">
        <v>17</v>
      </c>
      <c r="J12" s="39"/>
    </row>
    <row r="13" s="2" customFormat="1" ht="18.75" customHeight="1" spans="1:10">
      <c r="A13" s="118" t="s">
        <v>20</v>
      </c>
      <c r="B13" s="119"/>
      <c r="C13" s="119"/>
      <c r="D13" s="119"/>
      <c r="E13" s="119"/>
      <c r="F13" s="119"/>
      <c r="G13" s="119"/>
      <c r="H13" s="119"/>
      <c r="I13" s="119"/>
      <c r="J13" s="124"/>
    </row>
    <row r="14" s="2" customFormat="1" ht="18.75" customHeight="1" spans="1:10">
      <c r="A14" s="118" t="s">
        <v>21</v>
      </c>
      <c r="B14" s="119"/>
      <c r="C14" s="119"/>
      <c r="D14" s="119"/>
      <c r="E14" s="119"/>
      <c r="F14" s="119"/>
      <c r="G14" s="119"/>
      <c r="H14" s="119"/>
      <c r="I14" s="119"/>
      <c r="J14" s="124"/>
    </row>
    <row r="15" s="2" customFormat="1" ht="15.95" customHeight="1" spans="1:10">
      <c r="A15" s="31" t="s">
        <v>22</v>
      </c>
      <c r="B15" s="33">
        <v>1.083</v>
      </c>
      <c r="C15" s="33">
        <v>1.083</v>
      </c>
      <c r="D15" s="33"/>
      <c r="E15" s="33"/>
      <c r="F15" s="33"/>
      <c r="G15" s="26"/>
      <c r="H15" s="26">
        <f>B15</f>
        <v>1.083</v>
      </c>
      <c r="I15" s="26">
        <f>C15</f>
        <v>1.083</v>
      </c>
      <c r="J15" s="41">
        <f t="shared" ref="J15:J18" si="0">H15+I15</f>
        <v>2.166</v>
      </c>
    </row>
    <row r="16" s="3" customFormat="1" ht="15.95" customHeight="1" spans="1:10">
      <c r="A16" s="44" t="s">
        <v>23</v>
      </c>
      <c r="B16" s="33">
        <v>1.25</v>
      </c>
      <c r="C16" s="33">
        <v>1.25</v>
      </c>
      <c r="D16" s="33"/>
      <c r="E16" s="33"/>
      <c r="F16" s="33"/>
      <c r="G16" s="26"/>
      <c r="H16" s="26">
        <f>H15-F16-D16+B16</f>
        <v>2.333</v>
      </c>
      <c r="I16" s="26">
        <f>I15-E16+C16</f>
        <v>2.333</v>
      </c>
      <c r="J16" s="41">
        <f t="shared" si="0"/>
        <v>4.666</v>
      </c>
    </row>
    <row r="17" s="3" customFormat="1" ht="15.95" customHeight="1" spans="1:10">
      <c r="A17" s="44" t="s">
        <v>24</v>
      </c>
      <c r="B17" s="33"/>
      <c r="C17" s="33"/>
      <c r="D17" s="33"/>
      <c r="E17" s="33"/>
      <c r="F17" s="33">
        <v>2</v>
      </c>
      <c r="G17" s="26"/>
      <c r="H17" s="26">
        <f t="shared" ref="H17:H18" si="1">H16-F17-D17+B17</f>
        <v>0.333</v>
      </c>
      <c r="I17" s="26">
        <f t="shared" ref="I17:I18" si="2">I16-E17+C17</f>
        <v>2.333</v>
      </c>
      <c r="J17" s="41">
        <f t="shared" si="0"/>
        <v>2.666</v>
      </c>
    </row>
    <row r="18" s="3" customFormat="1" ht="15.95" customHeight="1" spans="1:10">
      <c r="A18" s="44" t="s">
        <v>25</v>
      </c>
      <c r="B18" s="33">
        <v>10</v>
      </c>
      <c r="C18" s="33">
        <v>10</v>
      </c>
      <c r="D18" s="33"/>
      <c r="E18" s="33"/>
      <c r="F18" s="33"/>
      <c r="G18" s="26"/>
      <c r="H18" s="26">
        <f t="shared" si="1"/>
        <v>10.333</v>
      </c>
      <c r="I18" s="26">
        <f t="shared" si="2"/>
        <v>12.333</v>
      </c>
      <c r="J18" s="41">
        <f t="shared" si="0"/>
        <v>22.666</v>
      </c>
    </row>
    <row r="19" s="3" customFormat="1" ht="15.95" customHeight="1" spans="1:10">
      <c r="A19" s="44" t="s">
        <v>26</v>
      </c>
      <c r="B19" s="33"/>
      <c r="C19" s="33"/>
      <c r="D19" s="33"/>
      <c r="E19" s="33"/>
      <c r="F19" s="33">
        <v>3</v>
      </c>
      <c r="G19" s="26"/>
      <c r="H19" s="26">
        <f t="shared" ref="H19:H23" si="3">H18-F19-D19+B19</f>
        <v>7.333</v>
      </c>
      <c r="I19" s="26">
        <f t="shared" ref="I19:I23" si="4">I18-E19+C19</f>
        <v>12.333</v>
      </c>
      <c r="J19" s="41">
        <f t="shared" ref="J19:J23" si="5">H19+I19</f>
        <v>19.666</v>
      </c>
    </row>
    <row r="20" s="3" customFormat="1" ht="15.95" customHeight="1" spans="1:10">
      <c r="A20" s="27" t="s">
        <v>27</v>
      </c>
      <c r="B20" s="26">
        <f>1.25*9</f>
        <v>11.25</v>
      </c>
      <c r="C20" s="26">
        <v>11.25</v>
      </c>
      <c r="D20" s="26"/>
      <c r="E20" s="26"/>
      <c r="F20" s="26"/>
      <c r="G20" s="26"/>
      <c r="H20" s="26">
        <f t="shared" si="3"/>
        <v>18.583</v>
      </c>
      <c r="I20" s="26">
        <f t="shared" si="4"/>
        <v>23.583</v>
      </c>
      <c r="J20" s="41">
        <f t="shared" si="5"/>
        <v>42.166</v>
      </c>
    </row>
    <row r="21" s="3" customFormat="1" ht="15.95" customHeight="1" spans="1:10">
      <c r="A21" s="27" t="s">
        <v>28</v>
      </c>
      <c r="B21" s="26"/>
      <c r="C21" s="26"/>
      <c r="D21" s="26">
        <v>9</v>
      </c>
      <c r="E21" s="26"/>
      <c r="F21" s="26"/>
      <c r="G21" s="26"/>
      <c r="H21" s="26">
        <f t="shared" si="3"/>
        <v>9.583</v>
      </c>
      <c r="I21" s="26">
        <f t="shared" si="4"/>
        <v>23.583</v>
      </c>
      <c r="J21" s="41">
        <f t="shared" si="5"/>
        <v>33.166</v>
      </c>
    </row>
    <row r="22" s="3" customFormat="1" ht="15.95" customHeight="1" spans="1:10">
      <c r="A22" s="27" t="s">
        <v>29</v>
      </c>
      <c r="B22" s="26">
        <v>0.167</v>
      </c>
      <c r="C22" s="26">
        <v>0.167</v>
      </c>
      <c r="D22" s="26"/>
      <c r="E22" s="26"/>
      <c r="F22" s="26"/>
      <c r="G22" s="26"/>
      <c r="H22" s="26">
        <f t="shared" si="3"/>
        <v>9.75</v>
      </c>
      <c r="I22" s="26">
        <f t="shared" si="4"/>
        <v>23.75</v>
      </c>
      <c r="J22" s="41">
        <f t="shared" si="5"/>
        <v>33.5</v>
      </c>
    </row>
    <row r="23" s="3" customFormat="1" ht="15.95" customHeight="1" spans="1:10">
      <c r="A23" s="27" t="s">
        <v>30</v>
      </c>
      <c r="B23" s="26"/>
      <c r="C23" s="26"/>
      <c r="D23" s="26"/>
      <c r="E23" s="26"/>
      <c r="F23" s="26">
        <v>5</v>
      </c>
      <c r="G23" s="26"/>
      <c r="H23" s="26">
        <f t="shared" si="3"/>
        <v>4.75</v>
      </c>
      <c r="I23" s="26">
        <f t="shared" si="4"/>
        <v>23.75</v>
      </c>
      <c r="J23" s="41">
        <f t="shared" si="5"/>
        <v>28.5</v>
      </c>
    </row>
    <row r="24" s="3" customFormat="1" ht="15.95" customHeight="1" spans="1:10">
      <c r="A24" s="120">
        <v>43230</v>
      </c>
      <c r="B24" s="121" t="s">
        <v>31</v>
      </c>
      <c r="C24" s="122"/>
      <c r="D24" s="122"/>
      <c r="E24" s="122"/>
      <c r="F24" s="122"/>
      <c r="G24" s="123"/>
      <c r="H24" s="26">
        <v>4.75</v>
      </c>
      <c r="I24" s="26">
        <f t="shared" ref="I24:I57" si="6">I23-E24+C24</f>
        <v>23.75</v>
      </c>
      <c r="J24" s="41">
        <f t="shared" ref="J24:J57" si="7">H24+I24</f>
        <v>28.5</v>
      </c>
    </row>
    <row r="25" s="3" customFormat="1" ht="15.95" customHeight="1" spans="1:10">
      <c r="A25" s="27" t="s">
        <v>32</v>
      </c>
      <c r="B25" s="26">
        <v>1.208</v>
      </c>
      <c r="C25" s="26">
        <v>1.208</v>
      </c>
      <c r="D25" s="26"/>
      <c r="E25" s="26"/>
      <c r="F25" s="26"/>
      <c r="G25" s="26"/>
      <c r="H25" s="26">
        <f t="shared" ref="H25:H57" si="8">H24-F25-D25+B25</f>
        <v>5.958</v>
      </c>
      <c r="I25" s="26">
        <f t="shared" si="6"/>
        <v>24.958</v>
      </c>
      <c r="J25" s="41">
        <f t="shared" si="7"/>
        <v>30.916</v>
      </c>
    </row>
    <row r="26" s="3" customFormat="1" ht="15.95" customHeight="1" spans="1:10">
      <c r="A26" s="27" t="s">
        <v>33</v>
      </c>
      <c r="B26" s="26">
        <f>1.25*11</f>
        <v>13.75</v>
      </c>
      <c r="C26" s="26">
        <v>13.75</v>
      </c>
      <c r="D26" s="26"/>
      <c r="E26" s="26"/>
      <c r="F26" s="26"/>
      <c r="G26" s="26"/>
      <c r="H26" s="26">
        <f t="shared" si="8"/>
        <v>19.708</v>
      </c>
      <c r="I26" s="26">
        <f t="shared" si="6"/>
        <v>38.708</v>
      </c>
      <c r="J26" s="41">
        <f t="shared" si="7"/>
        <v>58.416</v>
      </c>
    </row>
    <row r="27" s="3" customFormat="1" ht="15.95" customHeight="1" spans="1:10">
      <c r="A27" s="27" t="s">
        <v>34</v>
      </c>
      <c r="B27" s="28"/>
      <c r="C27" s="26"/>
      <c r="D27" s="26"/>
      <c r="E27" s="26"/>
      <c r="F27" s="26">
        <v>5</v>
      </c>
      <c r="G27" s="26"/>
      <c r="H27" s="26">
        <f t="shared" si="8"/>
        <v>14.708</v>
      </c>
      <c r="I27" s="26">
        <f t="shared" si="6"/>
        <v>38.708</v>
      </c>
      <c r="J27" s="41">
        <f t="shared" si="7"/>
        <v>53.416</v>
      </c>
    </row>
    <row r="28" s="3" customFormat="1" ht="15.95" customHeight="1" spans="1:10">
      <c r="A28" s="27" t="s">
        <v>35</v>
      </c>
      <c r="B28" s="26">
        <v>15</v>
      </c>
      <c r="C28" s="26">
        <v>15</v>
      </c>
      <c r="D28" s="26"/>
      <c r="E28" s="26"/>
      <c r="F28" s="26"/>
      <c r="G28" s="26"/>
      <c r="H28" s="26">
        <f t="shared" si="8"/>
        <v>29.708</v>
      </c>
      <c r="I28" s="26">
        <f t="shared" si="6"/>
        <v>53.708</v>
      </c>
      <c r="J28" s="41">
        <f t="shared" si="7"/>
        <v>83.416</v>
      </c>
    </row>
    <row r="29" s="3" customFormat="1" ht="15.95" customHeight="1" spans="1:10">
      <c r="A29" s="27" t="s">
        <v>36</v>
      </c>
      <c r="B29" s="26"/>
      <c r="C29" s="26"/>
      <c r="D29" s="26">
        <v>16</v>
      </c>
      <c r="E29" s="26">
        <v>13</v>
      </c>
      <c r="F29" s="26"/>
      <c r="G29" s="26"/>
      <c r="H29" s="26">
        <f t="shared" si="8"/>
        <v>13.708</v>
      </c>
      <c r="I29" s="26">
        <f t="shared" si="6"/>
        <v>40.708</v>
      </c>
      <c r="J29" s="41">
        <f t="shared" si="7"/>
        <v>54.416</v>
      </c>
    </row>
    <row r="30" s="3" customFormat="1" ht="15.95" customHeight="1" spans="1:10">
      <c r="A30" s="27" t="s">
        <v>37</v>
      </c>
      <c r="B30" s="26"/>
      <c r="C30" s="26"/>
      <c r="D30" s="26"/>
      <c r="E30" s="26"/>
      <c r="F30" s="26">
        <v>5</v>
      </c>
      <c r="G30" s="26"/>
      <c r="H30" s="26">
        <f t="shared" si="8"/>
        <v>8.708</v>
      </c>
      <c r="I30" s="26">
        <f t="shared" si="6"/>
        <v>40.708</v>
      </c>
      <c r="J30" s="41">
        <f t="shared" si="7"/>
        <v>49.416</v>
      </c>
    </row>
    <row r="31" s="3" customFormat="1" ht="15.95" customHeight="1" spans="1:10">
      <c r="A31" s="25" t="s">
        <v>38</v>
      </c>
      <c r="B31" s="26">
        <v>8.75</v>
      </c>
      <c r="C31" s="26">
        <v>8.75</v>
      </c>
      <c r="D31" s="26"/>
      <c r="E31" s="26"/>
      <c r="F31" s="26"/>
      <c r="G31" s="26"/>
      <c r="H31" s="26">
        <f t="shared" si="8"/>
        <v>17.458</v>
      </c>
      <c r="I31" s="26">
        <f t="shared" si="6"/>
        <v>49.458</v>
      </c>
      <c r="J31" s="41">
        <f t="shared" si="7"/>
        <v>66.916</v>
      </c>
    </row>
    <row r="32" ht="15.95" customHeight="1" spans="1:10">
      <c r="A32" s="25" t="s">
        <v>39</v>
      </c>
      <c r="B32" s="26"/>
      <c r="C32" s="26"/>
      <c r="D32" s="28"/>
      <c r="E32" s="28"/>
      <c r="F32" s="28"/>
      <c r="G32" s="26">
        <v>3</v>
      </c>
      <c r="H32" s="26">
        <f t="shared" si="8"/>
        <v>17.458</v>
      </c>
      <c r="I32" s="26">
        <f t="shared" si="6"/>
        <v>49.458</v>
      </c>
      <c r="J32" s="41">
        <f t="shared" si="7"/>
        <v>66.916</v>
      </c>
    </row>
    <row r="33" ht="15.95" customHeight="1" spans="1:10">
      <c r="A33" s="25" t="s">
        <v>40</v>
      </c>
      <c r="B33" s="26">
        <v>2.5</v>
      </c>
      <c r="C33" s="26">
        <v>2.5</v>
      </c>
      <c r="D33" s="28"/>
      <c r="E33" s="26"/>
      <c r="F33" s="26"/>
      <c r="G33" s="26"/>
      <c r="H33" s="26">
        <f t="shared" si="8"/>
        <v>19.958</v>
      </c>
      <c r="I33" s="26">
        <f t="shared" si="6"/>
        <v>51.958</v>
      </c>
      <c r="J33" s="41">
        <f t="shared" si="7"/>
        <v>71.916</v>
      </c>
    </row>
    <row r="34" ht="15.95" customHeight="1" spans="1:10">
      <c r="A34" s="27" t="s">
        <v>41</v>
      </c>
      <c r="B34" s="26"/>
      <c r="C34" s="26"/>
      <c r="D34" s="26">
        <v>11</v>
      </c>
      <c r="E34" s="26">
        <v>18</v>
      </c>
      <c r="F34" s="26"/>
      <c r="G34" s="26"/>
      <c r="H34" s="26">
        <f t="shared" si="8"/>
        <v>8.958</v>
      </c>
      <c r="I34" s="26">
        <f t="shared" si="6"/>
        <v>33.958</v>
      </c>
      <c r="J34" s="41">
        <f t="shared" si="7"/>
        <v>42.916</v>
      </c>
    </row>
    <row r="35" ht="15.95" customHeight="1" spans="1:10">
      <c r="A35" s="25" t="s">
        <v>42</v>
      </c>
      <c r="B35" s="26">
        <v>3.75</v>
      </c>
      <c r="C35" s="26">
        <v>3.75</v>
      </c>
      <c r="D35" s="26"/>
      <c r="E35" s="26"/>
      <c r="F35" s="26"/>
      <c r="G35" s="26"/>
      <c r="H35" s="26">
        <f t="shared" si="8"/>
        <v>12.708</v>
      </c>
      <c r="I35" s="26">
        <f t="shared" si="6"/>
        <v>37.708</v>
      </c>
      <c r="J35" s="41">
        <f t="shared" si="7"/>
        <v>50.416</v>
      </c>
    </row>
    <row r="36" ht="15.95" customHeight="1" spans="1:10">
      <c r="A36" s="25" t="s">
        <v>43</v>
      </c>
      <c r="B36" s="26"/>
      <c r="C36" s="26"/>
      <c r="D36" s="26"/>
      <c r="E36" s="26"/>
      <c r="F36" s="26">
        <v>3</v>
      </c>
      <c r="G36" s="26"/>
      <c r="H36" s="26">
        <f t="shared" si="8"/>
        <v>9.708</v>
      </c>
      <c r="I36" s="26">
        <f t="shared" si="6"/>
        <v>37.708</v>
      </c>
      <c r="J36" s="41">
        <f t="shared" si="7"/>
        <v>47.416</v>
      </c>
    </row>
    <row r="37" ht="15.95" customHeight="1" spans="1:10">
      <c r="A37" s="27" t="s">
        <v>44</v>
      </c>
      <c r="B37" s="26"/>
      <c r="C37" s="26"/>
      <c r="D37" s="26"/>
      <c r="E37" s="26"/>
      <c r="F37" s="26">
        <v>2</v>
      </c>
      <c r="G37" s="26"/>
      <c r="H37" s="26">
        <f t="shared" si="8"/>
        <v>7.708</v>
      </c>
      <c r="I37" s="26">
        <f t="shared" si="6"/>
        <v>37.708</v>
      </c>
      <c r="J37" s="41">
        <f t="shared" si="7"/>
        <v>45.416</v>
      </c>
    </row>
    <row r="38" ht="15.95" customHeight="1" spans="1:10">
      <c r="A38" s="25" t="s">
        <v>45</v>
      </c>
      <c r="B38" s="26">
        <f>7*1.25</f>
        <v>8.75</v>
      </c>
      <c r="C38" s="26">
        <v>8.75</v>
      </c>
      <c r="D38" s="28"/>
      <c r="E38" s="26"/>
      <c r="F38" s="26"/>
      <c r="G38" s="26"/>
      <c r="H38" s="26">
        <f t="shared" si="8"/>
        <v>16.458</v>
      </c>
      <c r="I38" s="26">
        <f t="shared" si="6"/>
        <v>46.458</v>
      </c>
      <c r="J38" s="41">
        <f t="shared" si="7"/>
        <v>62.916</v>
      </c>
    </row>
    <row r="39" ht="15.95" customHeight="1" spans="1:10">
      <c r="A39" s="25" t="s">
        <v>46</v>
      </c>
      <c r="B39" s="26"/>
      <c r="C39" s="26"/>
      <c r="D39" s="26"/>
      <c r="E39" s="26"/>
      <c r="F39" s="26"/>
      <c r="G39" s="26">
        <v>1</v>
      </c>
      <c r="H39" s="26">
        <f t="shared" si="8"/>
        <v>16.458</v>
      </c>
      <c r="I39" s="26">
        <f t="shared" si="6"/>
        <v>46.458</v>
      </c>
      <c r="J39" s="41">
        <f t="shared" si="7"/>
        <v>62.916</v>
      </c>
    </row>
    <row r="40" ht="15.95" customHeight="1" spans="1:10">
      <c r="A40" s="25" t="s">
        <v>47</v>
      </c>
      <c r="B40" s="26"/>
      <c r="C40" s="26"/>
      <c r="D40" s="26"/>
      <c r="E40" s="26"/>
      <c r="F40" s="26"/>
      <c r="G40" s="26">
        <v>1</v>
      </c>
      <c r="H40" s="26">
        <f t="shared" si="8"/>
        <v>16.458</v>
      </c>
      <c r="I40" s="26">
        <f t="shared" si="6"/>
        <v>46.458</v>
      </c>
      <c r="J40" s="41">
        <f t="shared" si="7"/>
        <v>62.916</v>
      </c>
    </row>
    <row r="41" ht="15.95" customHeight="1" spans="1:10">
      <c r="A41" s="25" t="s">
        <v>48</v>
      </c>
      <c r="B41" s="26">
        <v>1.25</v>
      </c>
      <c r="C41" s="26">
        <v>1.25</v>
      </c>
      <c r="D41" s="26"/>
      <c r="E41" s="26"/>
      <c r="F41" s="26"/>
      <c r="G41" s="26"/>
      <c r="H41" s="26">
        <f t="shared" si="8"/>
        <v>17.708</v>
      </c>
      <c r="I41" s="26">
        <f t="shared" si="6"/>
        <v>47.708</v>
      </c>
      <c r="J41" s="41">
        <f t="shared" si="7"/>
        <v>65.416</v>
      </c>
    </row>
    <row r="42" ht="15.95" customHeight="1" spans="1:10">
      <c r="A42" s="25" t="s">
        <v>49</v>
      </c>
      <c r="B42" s="26"/>
      <c r="C42" s="26"/>
      <c r="D42" s="26"/>
      <c r="E42" s="26"/>
      <c r="F42" s="26"/>
      <c r="G42" s="26">
        <v>1</v>
      </c>
      <c r="H42" s="26">
        <f t="shared" si="8"/>
        <v>17.708</v>
      </c>
      <c r="I42" s="26">
        <f t="shared" si="6"/>
        <v>47.708</v>
      </c>
      <c r="J42" s="41">
        <f t="shared" si="7"/>
        <v>65.416</v>
      </c>
    </row>
    <row r="43" ht="15.95" customHeight="1" spans="1:10">
      <c r="A43" s="27" t="s">
        <v>50</v>
      </c>
      <c r="B43" s="26"/>
      <c r="C43" s="26"/>
      <c r="D43" s="26">
        <v>7</v>
      </c>
      <c r="E43" s="26">
        <v>22</v>
      </c>
      <c r="F43" s="26"/>
      <c r="G43" s="26"/>
      <c r="H43" s="26">
        <f t="shared" si="8"/>
        <v>10.708</v>
      </c>
      <c r="I43" s="26">
        <f t="shared" si="6"/>
        <v>25.708</v>
      </c>
      <c r="J43" s="41">
        <f t="shared" si="7"/>
        <v>36.416</v>
      </c>
    </row>
    <row r="44" ht="15.95" customHeight="1" spans="1:10">
      <c r="A44" s="25" t="s">
        <v>51</v>
      </c>
      <c r="B44" s="26">
        <v>3.75</v>
      </c>
      <c r="C44" s="26">
        <v>3.75</v>
      </c>
      <c r="D44" s="26"/>
      <c r="E44" s="26"/>
      <c r="F44" s="26"/>
      <c r="G44" s="26"/>
      <c r="H44" s="26">
        <f t="shared" si="8"/>
        <v>14.458</v>
      </c>
      <c r="I44" s="26">
        <f t="shared" si="6"/>
        <v>29.458</v>
      </c>
      <c r="J44" s="41">
        <f t="shared" si="7"/>
        <v>43.916</v>
      </c>
    </row>
    <row r="45" ht="15.95" customHeight="1" spans="1:10">
      <c r="A45" s="25" t="s">
        <v>52</v>
      </c>
      <c r="B45" s="26"/>
      <c r="C45" s="26"/>
      <c r="D45" s="26"/>
      <c r="E45" s="26"/>
      <c r="F45" s="26">
        <v>1</v>
      </c>
      <c r="G45" s="26"/>
      <c r="H45" s="26">
        <f t="shared" si="8"/>
        <v>13.458</v>
      </c>
      <c r="I45" s="26">
        <f t="shared" si="6"/>
        <v>29.458</v>
      </c>
      <c r="J45" s="41">
        <f t="shared" si="7"/>
        <v>42.916</v>
      </c>
    </row>
    <row r="46" ht="15.95" customHeight="1" spans="1:10">
      <c r="A46" s="25" t="s">
        <v>53</v>
      </c>
      <c r="B46" s="26"/>
      <c r="C46" s="26"/>
      <c r="D46" s="26"/>
      <c r="E46" s="26"/>
      <c r="F46" s="26">
        <v>4</v>
      </c>
      <c r="G46" s="26"/>
      <c r="H46" s="26">
        <f t="shared" si="8"/>
        <v>9.458</v>
      </c>
      <c r="I46" s="26">
        <f t="shared" si="6"/>
        <v>29.458</v>
      </c>
      <c r="J46" s="41">
        <f t="shared" si="7"/>
        <v>38.916</v>
      </c>
    </row>
    <row r="47" ht="15.95" customHeight="1" spans="1:10">
      <c r="A47" s="25" t="s">
        <v>54</v>
      </c>
      <c r="B47" s="26">
        <v>1.25</v>
      </c>
      <c r="C47" s="26">
        <v>1.25</v>
      </c>
      <c r="D47" s="26"/>
      <c r="E47" s="26"/>
      <c r="F47" s="26"/>
      <c r="G47" s="26"/>
      <c r="H47" s="26">
        <f t="shared" si="8"/>
        <v>10.708</v>
      </c>
      <c r="I47" s="26">
        <f t="shared" si="6"/>
        <v>30.708</v>
      </c>
      <c r="J47" s="41">
        <f t="shared" si="7"/>
        <v>41.416</v>
      </c>
    </row>
    <row r="48" ht="15.95" customHeight="1" spans="1:10">
      <c r="A48" s="25" t="s">
        <v>55</v>
      </c>
      <c r="B48" s="26">
        <v>2.5</v>
      </c>
      <c r="C48" s="26">
        <v>2.5</v>
      </c>
      <c r="D48" s="26"/>
      <c r="E48" s="26"/>
      <c r="F48" s="26"/>
      <c r="G48" s="26"/>
      <c r="H48" s="26">
        <f t="shared" si="8"/>
        <v>13.208</v>
      </c>
      <c r="I48" s="26">
        <f t="shared" si="6"/>
        <v>33.208</v>
      </c>
      <c r="J48" s="41">
        <f t="shared" si="7"/>
        <v>46.416</v>
      </c>
    </row>
    <row r="49" ht="15.95" customHeight="1" spans="1:10">
      <c r="A49" s="25" t="s">
        <v>56</v>
      </c>
      <c r="B49" s="26"/>
      <c r="C49" s="26"/>
      <c r="D49" s="26"/>
      <c r="E49" s="26"/>
      <c r="F49" s="26">
        <v>1</v>
      </c>
      <c r="G49" s="26"/>
      <c r="H49" s="26">
        <f t="shared" si="8"/>
        <v>12.208</v>
      </c>
      <c r="I49" s="26">
        <f t="shared" si="6"/>
        <v>33.208</v>
      </c>
      <c r="J49" s="41">
        <f t="shared" si="7"/>
        <v>45.416</v>
      </c>
    </row>
    <row r="50" ht="15.95" customHeight="1" spans="1:10">
      <c r="A50" s="25" t="s">
        <v>57</v>
      </c>
      <c r="B50" s="26">
        <v>1.25</v>
      </c>
      <c r="C50" s="26">
        <v>1.25</v>
      </c>
      <c r="D50" s="26"/>
      <c r="E50" s="26"/>
      <c r="F50" s="26"/>
      <c r="G50" s="26"/>
      <c r="H50" s="26">
        <f t="shared" si="8"/>
        <v>13.458</v>
      </c>
      <c r="I50" s="26">
        <f t="shared" si="6"/>
        <v>34.458</v>
      </c>
      <c r="J50" s="41">
        <f t="shared" si="7"/>
        <v>47.916</v>
      </c>
    </row>
    <row r="51" ht="15.95" customHeight="1" spans="1:10">
      <c r="A51" s="25" t="s">
        <v>58</v>
      </c>
      <c r="B51" s="26"/>
      <c r="C51" s="26"/>
      <c r="D51" s="26"/>
      <c r="E51" s="26"/>
      <c r="F51" s="26">
        <v>1</v>
      </c>
      <c r="G51" s="26"/>
      <c r="H51" s="26">
        <f t="shared" si="8"/>
        <v>12.458</v>
      </c>
      <c r="I51" s="26">
        <f t="shared" si="6"/>
        <v>34.458</v>
      </c>
      <c r="J51" s="41">
        <f t="shared" si="7"/>
        <v>46.916</v>
      </c>
    </row>
    <row r="52" ht="15.95" customHeight="1" spans="1:10">
      <c r="A52" s="25" t="s">
        <v>59</v>
      </c>
      <c r="B52" s="26">
        <v>1.25</v>
      </c>
      <c r="C52" s="26">
        <v>1.25</v>
      </c>
      <c r="D52" s="26"/>
      <c r="E52" s="26"/>
      <c r="F52" s="26"/>
      <c r="G52" s="26"/>
      <c r="H52" s="26">
        <f t="shared" si="8"/>
        <v>13.708</v>
      </c>
      <c r="I52" s="26">
        <f t="shared" si="6"/>
        <v>35.708</v>
      </c>
      <c r="J52" s="41">
        <f t="shared" si="7"/>
        <v>49.416</v>
      </c>
    </row>
    <row r="53" ht="15.95" customHeight="1" spans="1:10">
      <c r="A53" s="25" t="s">
        <v>60</v>
      </c>
      <c r="B53" s="26"/>
      <c r="C53" s="26"/>
      <c r="D53" s="26"/>
      <c r="E53" s="26"/>
      <c r="F53" s="26">
        <v>1</v>
      </c>
      <c r="G53" s="26"/>
      <c r="H53" s="26">
        <f t="shared" si="8"/>
        <v>12.708</v>
      </c>
      <c r="I53" s="26">
        <f t="shared" si="6"/>
        <v>35.708</v>
      </c>
      <c r="J53" s="41">
        <f t="shared" si="7"/>
        <v>48.416</v>
      </c>
    </row>
    <row r="54" ht="15.95" customHeight="1" spans="1:10">
      <c r="A54" s="25" t="s">
        <v>61</v>
      </c>
      <c r="B54" s="26"/>
      <c r="C54" s="26"/>
      <c r="D54" s="26"/>
      <c r="E54" s="26"/>
      <c r="F54" s="26">
        <v>2</v>
      </c>
      <c r="G54" s="26"/>
      <c r="H54" s="26">
        <f t="shared" si="8"/>
        <v>10.708</v>
      </c>
      <c r="I54" s="26">
        <f t="shared" si="6"/>
        <v>35.708</v>
      </c>
      <c r="J54" s="41">
        <f t="shared" si="7"/>
        <v>46.416</v>
      </c>
    </row>
    <row r="55" ht="15.95" customHeight="1" spans="1:10">
      <c r="A55" s="25" t="s">
        <v>62</v>
      </c>
      <c r="B55" s="26">
        <v>1.25</v>
      </c>
      <c r="C55" s="26">
        <v>1.25</v>
      </c>
      <c r="D55" s="29"/>
      <c r="E55" s="29"/>
      <c r="F55" s="29"/>
      <c r="G55" s="29"/>
      <c r="H55" s="26">
        <f t="shared" si="8"/>
        <v>11.958</v>
      </c>
      <c r="I55" s="26">
        <f t="shared" si="6"/>
        <v>36.958</v>
      </c>
      <c r="J55" s="41">
        <f t="shared" si="7"/>
        <v>48.916</v>
      </c>
    </row>
    <row r="56" ht="15.95" customHeight="1" spans="1:10">
      <c r="A56" s="25" t="s">
        <v>63</v>
      </c>
      <c r="B56" s="26"/>
      <c r="C56" s="26"/>
      <c r="D56" s="29"/>
      <c r="E56" s="29"/>
      <c r="F56" s="29"/>
      <c r="G56" s="29">
        <v>1</v>
      </c>
      <c r="H56" s="26">
        <f t="shared" si="8"/>
        <v>11.958</v>
      </c>
      <c r="I56" s="26">
        <f t="shared" si="6"/>
        <v>36.958</v>
      </c>
      <c r="J56" s="41">
        <f t="shared" si="7"/>
        <v>48.916</v>
      </c>
    </row>
    <row r="57" ht="15.95" customHeight="1" spans="1:10">
      <c r="A57" s="25" t="s">
        <v>64</v>
      </c>
      <c r="B57" s="26">
        <v>1.25</v>
      </c>
      <c r="C57" s="26">
        <v>1.25</v>
      </c>
      <c r="D57" s="30"/>
      <c r="E57" s="30"/>
      <c r="F57" s="30"/>
      <c r="G57" s="30"/>
      <c r="H57" s="26">
        <f t="shared" si="8"/>
        <v>13.208</v>
      </c>
      <c r="I57" s="26">
        <f t="shared" si="6"/>
        <v>38.208</v>
      </c>
      <c r="J57" s="41">
        <f t="shared" si="7"/>
        <v>51.416</v>
      </c>
    </row>
    <row r="58" ht="15.95" customHeight="1" spans="1:10">
      <c r="A58" s="25" t="s">
        <v>65</v>
      </c>
      <c r="B58" s="25"/>
      <c r="C58" s="25"/>
      <c r="D58" s="30"/>
      <c r="E58" s="30"/>
      <c r="F58" s="30"/>
      <c r="G58" s="29">
        <v>1</v>
      </c>
      <c r="H58" s="26">
        <f t="shared" ref="H58:H80" si="9">H57-F58-D58+B58</f>
        <v>13.208</v>
      </c>
      <c r="I58" s="26">
        <f t="shared" ref="I58:I80" si="10">I57-E58+C58</f>
        <v>38.208</v>
      </c>
      <c r="J58" s="41">
        <f t="shared" ref="J58:J80" si="11">H58+I58</f>
        <v>51.416</v>
      </c>
    </row>
    <row r="59" ht="15.95" customHeight="1" spans="1:10">
      <c r="A59" s="25" t="s">
        <v>66</v>
      </c>
      <c r="B59" s="26">
        <v>2.5</v>
      </c>
      <c r="C59" s="26">
        <v>2.5</v>
      </c>
      <c r="D59" s="30"/>
      <c r="E59" s="30"/>
      <c r="F59" s="30"/>
      <c r="G59" s="30"/>
      <c r="H59" s="26">
        <f t="shared" si="9"/>
        <v>15.708</v>
      </c>
      <c r="I59" s="26">
        <f t="shared" si="10"/>
        <v>40.708</v>
      </c>
      <c r="J59" s="41">
        <f t="shared" si="11"/>
        <v>56.416</v>
      </c>
    </row>
    <row r="60" ht="15.95" customHeight="1" spans="1:10">
      <c r="A60" s="31" t="s">
        <v>67</v>
      </c>
      <c r="B60" s="31"/>
      <c r="C60" s="31"/>
      <c r="D60" s="32">
        <v>13</v>
      </c>
      <c r="E60" s="32">
        <v>16</v>
      </c>
      <c r="F60" s="32"/>
      <c r="G60" s="32"/>
      <c r="H60" s="26">
        <f t="shared" si="9"/>
        <v>2.708</v>
      </c>
      <c r="I60" s="26">
        <f t="shared" si="10"/>
        <v>24.708</v>
      </c>
      <c r="J60" s="41">
        <f t="shared" si="11"/>
        <v>27.416</v>
      </c>
    </row>
    <row r="61" ht="15.95" customHeight="1" spans="1:10">
      <c r="A61" s="25" t="s">
        <v>68</v>
      </c>
      <c r="B61" s="25"/>
      <c r="C61" s="25"/>
      <c r="D61" s="30"/>
      <c r="E61" s="30">
        <v>1</v>
      </c>
      <c r="F61" s="30"/>
      <c r="G61" s="30"/>
      <c r="H61" s="26">
        <f t="shared" si="9"/>
        <v>2.708</v>
      </c>
      <c r="I61" s="26">
        <f t="shared" si="10"/>
        <v>23.708</v>
      </c>
      <c r="J61" s="41">
        <f t="shared" si="11"/>
        <v>26.416</v>
      </c>
    </row>
    <row r="62" ht="15.95" customHeight="1" spans="1:10">
      <c r="A62" s="25" t="s">
        <v>69</v>
      </c>
      <c r="B62" s="25">
        <v>1.25</v>
      </c>
      <c r="C62" s="25">
        <v>1.25</v>
      </c>
      <c r="D62" s="30"/>
      <c r="E62" s="30"/>
      <c r="F62" s="30"/>
      <c r="G62" s="30"/>
      <c r="H62" s="26">
        <f t="shared" si="9"/>
        <v>3.958</v>
      </c>
      <c r="I62" s="26">
        <f t="shared" si="10"/>
        <v>24.958</v>
      </c>
      <c r="J62" s="41">
        <f t="shared" si="11"/>
        <v>28.916</v>
      </c>
    </row>
    <row r="63" ht="15.95" customHeight="1" spans="1:10">
      <c r="A63" s="25" t="s">
        <v>70</v>
      </c>
      <c r="B63" s="25"/>
      <c r="C63" s="25"/>
      <c r="D63" s="30"/>
      <c r="E63" s="30"/>
      <c r="F63" s="30"/>
      <c r="G63" s="30">
        <v>1</v>
      </c>
      <c r="H63" s="26">
        <f t="shared" si="9"/>
        <v>3.958</v>
      </c>
      <c r="I63" s="26">
        <f t="shared" si="10"/>
        <v>24.958</v>
      </c>
      <c r="J63" s="41">
        <f t="shared" si="11"/>
        <v>28.916</v>
      </c>
    </row>
    <row r="64" ht="15.95" customHeight="1" spans="1:10">
      <c r="A64" s="25" t="s">
        <v>71</v>
      </c>
      <c r="B64" s="25">
        <v>3.75</v>
      </c>
      <c r="C64" s="25">
        <v>3.75</v>
      </c>
      <c r="D64" s="30"/>
      <c r="E64" s="30"/>
      <c r="F64" s="30"/>
      <c r="G64" s="30"/>
      <c r="H64" s="26">
        <f t="shared" si="9"/>
        <v>7.708</v>
      </c>
      <c r="I64" s="26">
        <f t="shared" si="10"/>
        <v>28.708</v>
      </c>
      <c r="J64" s="41">
        <f t="shared" si="11"/>
        <v>36.416</v>
      </c>
    </row>
    <row r="65" ht="15.95" customHeight="1" spans="1:10">
      <c r="A65" s="25" t="s">
        <v>72</v>
      </c>
      <c r="B65" s="25">
        <v>3.75</v>
      </c>
      <c r="C65" s="25">
        <v>3.75</v>
      </c>
      <c r="D65" s="30"/>
      <c r="E65" s="30"/>
      <c r="F65" s="30"/>
      <c r="G65" s="30"/>
      <c r="H65" s="26">
        <f t="shared" si="9"/>
        <v>11.458</v>
      </c>
      <c r="I65" s="26">
        <f t="shared" si="10"/>
        <v>32.458</v>
      </c>
      <c r="J65" s="41">
        <f t="shared" si="11"/>
        <v>43.916</v>
      </c>
    </row>
    <row r="66" ht="15.95" customHeight="1" spans="1:10">
      <c r="A66" s="25" t="s">
        <v>73</v>
      </c>
      <c r="B66" s="25">
        <v>1.25</v>
      </c>
      <c r="C66" s="25">
        <v>1.25</v>
      </c>
      <c r="D66" s="30"/>
      <c r="E66" s="30"/>
      <c r="F66" s="30"/>
      <c r="G66" s="30"/>
      <c r="H66" s="26">
        <f t="shared" si="9"/>
        <v>12.708</v>
      </c>
      <c r="I66" s="26">
        <f t="shared" si="10"/>
        <v>33.708</v>
      </c>
      <c r="J66" s="41">
        <f t="shared" si="11"/>
        <v>46.416</v>
      </c>
    </row>
    <row r="67" ht="15.95" customHeight="1" spans="1:10">
      <c r="A67" s="25" t="s">
        <v>74</v>
      </c>
      <c r="B67" s="25"/>
      <c r="C67" s="25"/>
      <c r="D67" s="30"/>
      <c r="E67" s="30"/>
      <c r="F67" s="32">
        <v>1</v>
      </c>
      <c r="G67" s="32"/>
      <c r="H67" s="26">
        <f t="shared" si="9"/>
        <v>11.708</v>
      </c>
      <c r="I67" s="26">
        <f t="shared" si="10"/>
        <v>33.708</v>
      </c>
      <c r="J67" s="41">
        <f t="shared" si="11"/>
        <v>45.416</v>
      </c>
    </row>
    <row r="68" ht="15.95" customHeight="1" spans="1:10">
      <c r="A68" s="25" t="s">
        <v>75</v>
      </c>
      <c r="B68" s="25"/>
      <c r="C68" s="25"/>
      <c r="D68" s="30"/>
      <c r="E68" s="30"/>
      <c r="F68" s="32">
        <v>1</v>
      </c>
      <c r="G68" s="32"/>
      <c r="H68" s="26">
        <f t="shared" si="9"/>
        <v>10.708</v>
      </c>
      <c r="I68" s="26">
        <f t="shared" si="10"/>
        <v>33.708</v>
      </c>
      <c r="J68" s="41">
        <f t="shared" si="11"/>
        <v>44.416</v>
      </c>
    </row>
    <row r="69" ht="15.95" customHeight="1" spans="1:10">
      <c r="A69" s="25" t="s">
        <v>76</v>
      </c>
      <c r="B69" s="25"/>
      <c r="C69" s="25"/>
      <c r="D69" s="30"/>
      <c r="E69" s="30"/>
      <c r="F69" s="32">
        <v>1</v>
      </c>
      <c r="G69" s="32"/>
      <c r="H69" s="26">
        <f t="shared" si="9"/>
        <v>9.708</v>
      </c>
      <c r="I69" s="26">
        <f t="shared" si="10"/>
        <v>33.708</v>
      </c>
      <c r="J69" s="41">
        <f t="shared" si="11"/>
        <v>43.416</v>
      </c>
    </row>
    <row r="70" ht="15.95" customHeight="1" spans="1:10">
      <c r="A70" s="25" t="s">
        <v>77</v>
      </c>
      <c r="B70" s="25">
        <v>1.25</v>
      </c>
      <c r="C70" s="25">
        <v>1.25</v>
      </c>
      <c r="D70" s="30"/>
      <c r="E70" s="30"/>
      <c r="F70" s="32"/>
      <c r="G70" s="32"/>
      <c r="H70" s="26">
        <f t="shared" si="9"/>
        <v>10.958</v>
      </c>
      <c r="I70" s="26">
        <f t="shared" si="10"/>
        <v>34.958</v>
      </c>
      <c r="J70" s="41">
        <f t="shared" si="11"/>
        <v>45.916</v>
      </c>
    </row>
    <row r="71" ht="18.95" customHeight="1" spans="1:10">
      <c r="A71" s="25" t="s">
        <v>78</v>
      </c>
      <c r="B71" s="25"/>
      <c r="C71" s="25"/>
      <c r="D71" s="30"/>
      <c r="E71" s="30"/>
      <c r="F71" s="32">
        <v>2</v>
      </c>
      <c r="G71" s="32"/>
      <c r="H71" s="26">
        <f t="shared" si="9"/>
        <v>8.958</v>
      </c>
      <c r="I71" s="26">
        <f t="shared" si="10"/>
        <v>34.958</v>
      </c>
      <c r="J71" s="41">
        <f t="shared" si="11"/>
        <v>43.916</v>
      </c>
    </row>
    <row r="72" ht="18.95" customHeight="1" spans="1:10">
      <c r="A72" s="25" t="s">
        <v>79</v>
      </c>
      <c r="B72" s="25"/>
      <c r="C72" s="25"/>
      <c r="D72" s="30"/>
      <c r="E72" s="30"/>
      <c r="F72" s="32"/>
      <c r="G72" s="32">
        <v>1</v>
      </c>
      <c r="H72" s="26">
        <f t="shared" si="9"/>
        <v>8.958</v>
      </c>
      <c r="I72" s="26">
        <f t="shared" si="10"/>
        <v>34.958</v>
      </c>
      <c r="J72" s="41">
        <f t="shared" si="11"/>
        <v>43.916</v>
      </c>
    </row>
    <row r="73" ht="18.95" customHeight="1" spans="1:10">
      <c r="A73" s="25" t="s">
        <v>80</v>
      </c>
      <c r="B73" s="25"/>
      <c r="C73" s="25"/>
      <c r="D73" s="30"/>
      <c r="E73" s="30"/>
      <c r="F73" s="32"/>
      <c r="G73" s="32">
        <v>2</v>
      </c>
      <c r="H73" s="26">
        <f t="shared" si="9"/>
        <v>8.958</v>
      </c>
      <c r="I73" s="26">
        <f t="shared" si="10"/>
        <v>34.958</v>
      </c>
      <c r="J73" s="41">
        <f t="shared" si="11"/>
        <v>43.916</v>
      </c>
    </row>
    <row r="74" ht="18.95" customHeight="1" spans="1:10">
      <c r="A74" s="31" t="s">
        <v>81</v>
      </c>
      <c r="B74" s="31">
        <v>7.5</v>
      </c>
      <c r="C74" s="31">
        <v>7.5</v>
      </c>
      <c r="D74" s="32"/>
      <c r="E74" s="32"/>
      <c r="F74" s="32"/>
      <c r="G74" s="32"/>
      <c r="H74" s="26">
        <f t="shared" si="9"/>
        <v>16.458</v>
      </c>
      <c r="I74" s="26">
        <f t="shared" si="10"/>
        <v>42.458</v>
      </c>
      <c r="J74" s="41">
        <f t="shared" si="11"/>
        <v>58.916</v>
      </c>
    </row>
    <row r="75" ht="18.95" hidden="1" customHeight="1" spans="1:10">
      <c r="A75" s="31"/>
      <c r="B75" s="31"/>
      <c r="C75" s="31"/>
      <c r="D75" s="32"/>
      <c r="E75" s="32"/>
      <c r="F75" s="32"/>
      <c r="G75" s="32"/>
      <c r="H75" s="26">
        <f t="shared" si="9"/>
        <v>16.458</v>
      </c>
      <c r="I75" s="26">
        <f t="shared" si="10"/>
        <v>42.458</v>
      </c>
      <c r="J75" s="41">
        <f t="shared" si="11"/>
        <v>58.916</v>
      </c>
    </row>
    <row r="76" ht="18.95" customHeight="1" spans="1:10">
      <c r="A76" s="31" t="s">
        <v>82</v>
      </c>
      <c r="B76" s="31"/>
      <c r="C76" s="31"/>
      <c r="D76" s="32">
        <v>1</v>
      </c>
      <c r="E76" s="32"/>
      <c r="F76" s="32"/>
      <c r="G76" s="32"/>
      <c r="H76" s="26">
        <f t="shared" si="9"/>
        <v>15.458</v>
      </c>
      <c r="I76" s="26">
        <f t="shared" si="10"/>
        <v>42.458</v>
      </c>
      <c r="J76" s="41">
        <f t="shared" si="11"/>
        <v>57.916</v>
      </c>
    </row>
    <row r="77" ht="18.95" customHeight="1" spans="1:10">
      <c r="A77" s="31" t="s">
        <v>83</v>
      </c>
      <c r="B77" s="31">
        <v>1.25</v>
      </c>
      <c r="C77" s="31">
        <v>1.25</v>
      </c>
      <c r="D77" s="32"/>
      <c r="E77" s="32"/>
      <c r="F77" s="32"/>
      <c r="G77" s="32"/>
      <c r="H77" s="26">
        <f t="shared" si="9"/>
        <v>16.708</v>
      </c>
      <c r="I77" s="26">
        <f t="shared" si="10"/>
        <v>43.708</v>
      </c>
      <c r="J77" s="41">
        <f t="shared" si="11"/>
        <v>60.416</v>
      </c>
    </row>
    <row r="78" ht="18.95" customHeight="1" spans="1:10">
      <c r="A78" s="31" t="s">
        <v>84</v>
      </c>
      <c r="B78" s="31"/>
      <c r="C78" s="31"/>
      <c r="D78" s="32"/>
      <c r="E78" s="32"/>
      <c r="F78" s="34">
        <v>1</v>
      </c>
      <c r="G78" s="32"/>
      <c r="H78" s="26">
        <f t="shared" si="9"/>
        <v>15.708</v>
      </c>
      <c r="I78" s="26">
        <f t="shared" si="10"/>
        <v>43.708</v>
      </c>
      <c r="J78" s="41">
        <f t="shared" si="11"/>
        <v>59.416</v>
      </c>
    </row>
    <row r="79" ht="18.95" customHeight="1" spans="1:10">
      <c r="A79" s="31" t="s">
        <v>85</v>
      </c>
      <c r="B79" s="31">
        <v>1.25</v>
      </c>
      <c r="C79" s="31">
        <v>1.25</v>
      </c>
      <c r="D79" s="32"/>
      <c r="E79" s="32"/>
      <c r="F79" s="32"/>
      <c r="G79" s="32"/>
      <c r="H79" s="26">
        <f t="shared" si="9"/>
        <v>16.958</v>
      </c>
      <c r="I79" s="26">
        <f t="shared" si="10"/>
        <v>44.958</v>
      </c>
      <c r="J79" s="41">
        <f t="shared" si="11"/>
        <v>61.916</v>
      </c>
    </row>
    <row r="80" ht="18.95" customHeight="1" spans="1:10">
      <c r="A80" s="31" t="s">
        <v>86</v>
      </c>
      <c r="B80" s="31"/>
      <c r="C80" s="31"/>
      <c r="D80" s="32"/>
      <c r="E80" s="32">
        <v>4</v>
      </c>
      <c r="F80" s="32"/>
      <c r="G80" s="32"/>
      <c r="H80" s="26">
        <f t="shared" si="9"/>
        <v>16.958</v>
      </c>
      <c r="I80" s="26">
        <f t="shared" si="10"/>
        <v>40.958</v>
      </c>
      <c r="J80" s="41">
        <f t="shared" si="11"/>
        <v>57.916</v>
      </c>
    </row>
    <row r="81" ht="18.95" customHeight="1" spans="1:10">
      <c r="A81" s="31" t="s">
        <v>87</v>
      </c>
      <c r="B81" s="31">
        <v>3.75</v>
      </c>
      <c r="C81" s="31">
        <v>3.75</v>
      </c>
      <c r="D81" s="32"/>
      <c r="E81" s="32"/>
      <c r="F81" s="32"/>
      <c r="G81" s="32"/>
      <c r="H81" s="26">
        <f t="shared" ref="H81" si="12">H80-F81-D81+B81</f>
        <v>20.708</v>
      </c>
      <c r="I81" s="26">
        <f t="shared" ref="I81" si="13">I80-E81+C81</f>
        <v>44.708</v>
      </c>
      <c r="J81" s="41">
        <f t="shared" ref="J81" si="14">H81+I81</f>
        <v>65.416</v>
      </c>
    </row>
    <row r="82" ht="18.95" customHeight="1" spans="1:10">
      <c r="A82" s="31" t="s">
        <v>88</v>
      </c>
      <c r="B82" s="31"/>
      <c r="C82" s="31"/>
      <c r="D82" s="32"/>
      <c r="E82" s="32"/>
      <c r="F82" s="34">
        <v>1</v>
      </c>
      <c r="G82" s="32"/>
      <c r="H82" s="26">
        <f t="shared" ref="H82" si="15">H81-F82-D82+B82</f>
        <v>19.708</v>
      </c>
      <c r="I82" s="26">
        <f t="shared" ref="I82" si="16">I81-E82+C82</f>
        <v>44.708</v>
      </c>
      <c r="J82" s="41">
        <f t="shared" ref="J82" si="17">H82+I82</f>
        <v>64.416</v>
      </c>
    </row>
    <row r="83" ht="18.95" customHeight="1" spans="1:10">
      <c r="A83" s="31" t="s">
        <v>89</v>
      </c>
      <c r="B83" s="31">
        <v>7.5</v>
      </c>
      <c r="C83" s="31">
        <v>7.5</v>
      </c>
      <c r="D83" s="32"/>
      <c r="E83" s="32"/>
      <c r="F83" s="32"/>
      <c r="G83" s="32"/>
      <c r="H83" s="26">
        <f t="shared" ref="H83" si="18">H82-F83-D83+B83</f>
        <v>27.208</v>
      </c>
      <c r="I83" s="26">
        <f t="shared" ref="I83" si="19">I82-E83+C83</f>
        <v>52.208</v>
      </c>
      <c r="J83" s="41">
        <f t="shared" ref="J83" si="20">H83+I83</f>
        <v>79.416</v>
      </c>
    </row>
    <row r="84" ht="18.95" customHeight="1" spans="1:10">
      <c r="A84" s="31" t="s">
        <v>90</v>
      </c>
      <c r="B84" s="31"/>
      <c r="C84" s="31"/>
      <c r="D84" s="32"/>
      <c r="E84" s="32"/>
      <c r="F84" s="34">
        <v>2</v>
      </c>
      <c r="G84" s="32"/>
      <c r="H84" s="26">
        <f t="shared" ref="H84:H85" si="21">H83-F84-D84+B84</f>
        <v>25.208</v>
      </c>
      <c r="I84" s="26">
        <f t="shared" ref="I84:I85" si="22">I83-E84+C84</f>
        <v>52.208</v>
      </c>
      <c r="J84" s="41">
        <f t="shared" ref="J84:J85" si="23">H84+I84</f>
        <v>77.416</v>
      </c>
    </row>
    <row r="85" ht="18.95" customHeight="1" spans="1:10">
      <c r="A85" s="31" t="s">
        <v>91</v>
      </c>
      <c r="B85" s="31"/>
      <c r="C85" s="31"/>
      <c r="D85" s="32"/>
      <c r="E85" s="32"/>
      <c r="F85" s="32"/>
      <c r="G85" s="43">
        <v>2</v>
      </c>
      <c r="H85" s="26">
        <f t="shared" si="21"/>
        <v>25.208</v>
      </c>
      <c r="I85" s="26">
        <f t="shared" si="22"/>
        <v>52.208</v>
      </c>
      <c r="J85" s="41">
        <f t="shared" si="23"/>
        <v>77.416</v>
      </c>
    </row>
    <row r="86" ht="18.95" customHeight="1" spans="1:10">
      <c r="A86" s="125" t="s">
        <v>92</v>
      </c>
      <c r="B86" s="125">
        <v>1.25</v>
      </c>
      <c r="C86" s="125">
        <v>1.25</v>
      </c>
      <c r="D86" s="126"/>
      <c r="E86" s="126"/>
      <c r="F86" s="126"/>
      <c r="G86" s="127"/>
      <c r="H86" s="26">
        <f>H85-F86-D86+B86</f>
        <v>26.458</v>
      </c>
      <c r="I86" s="26">
        <f>I85-E86+C86</f>
        <v>53.458</v>
      </c>
      <c r="J86" s="41">
        <f>H86+I86</f>
        <v>79.916</v>
      </c>
    </row>
    <row r="87" ht="18.95" customHeight="1" spans="1:10">
      <c r="A87" s="125" t="s">
        <v>93</v>
      </c>
      <c r="B87" s="125"/>
      <c r="C87" s="125"/>
      <c r="D87" s="126"/>
      <c r="E87" s="126"/>
      <c r="F87" s="126"/>
      <c r="G87" s="43">
        <v>1</v>
      </c>
      <c r="H87" s="26">
        <f>H86-F87-D87+B87</f>
        <v>26.458</v>
      </c>
      <c r="I87" s="26">
        <f>I86-E87+C87</f>
        <v>53.458</v>
      </c>
      <c r="J87" s="41">
        <f>H87+I87</f>
        <v>79.916</v>
      </c>
    </row>
    <row r="88" ht="18.95" customHeight="1" spans="1:10">
      <c r="A88" s="128"/>
      <c r="B88" s="128"/>
      <c r="C88" s="128"/>
      <c r="D88" s="129"/>
      <c r="E88" s="129"/>
      <c r="F88" s="129"/>
      <c r="G88" s="129"/>
      <c r="H88" s="130"/>
      <c r="I88" s="130"/>
      <c r="J88" s="131"/>
    </row>
    <row r="89" s="1" customFormat="1" spans="7:7">
      <c r="G89" s="1" t="s">
        <v>94</v>
      </c>
    </row>
    <row r="90" s="1" customFormat="1"/>
    <row r="91" s="1" customFormat="1" spans="8:8">
      <c r="H91" s="10" t="s">
        <v>95</v>
      </c>
    </row>
    <row r="92" s="1" customFormat="1" spans="8:8">
      <c r="H92" s="1" t="s">
        <v>96</v>
      </c>
    </row>
    <row r="93" s="1" customFormat="1" spans="8:8">
      <c r="H93" s="1" t="s">
        <v>97</v>
      </c>
    </row>
  </sheetData>
  <mergeCells count="15">
    <mergeCell ref="A2:J2"/>
    <mergeCell ref="A3:J3"/>
    <mergeCell ref="A4:J4"/>
    <mergeCell ref="A5:J5"/>
    <mergeCell ref="B7:D7"/>
    <mergeCell ref="B9:D9"/>
    <mergeCell ref="A10:J10"/>
    <mergeCell ref="B11:C11"/>
    <mergeCell ref="D11:F11"/>
    <mergeCell ref="H11:I11"/>
    <mergeCell ref="A13:J13"/>
    <mergeCell ref="A14:J14"/>
    <mergeCell ref="B24:G24"/>
    <mergeCell ref="A11:A12"/>
    <mergeCell ref="J11:J12"/>
  </mergeCells>
  <printOptions horizontalCentered="1"/>
  <pageMargins left="0.511811023622047" right="0.511811023622047" top="0.708661417322835" bottom="0.511811023622047" header="0.31496062992126" footer="0.31496062992126"/>
  <pageSetup paperSize="9" scale="65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6"/>
  <sheetViews>
    <sheetView topLeftCell="A10" workbookViewId="0">
      <selection activeCell="O23" sqref="O23"/>
    </sheetView>
  </sheetViews>
  <sheetFormatPr defaultColWidth="9" defaultRowHeight="14.4"/>
  <cols>
    <col min="1" max="1" width="22.4259259259259" customWidth="1"/>
    <col min="2" max="2" width="11.287037037037" customWidth="1"/>
  </cols>
  <sheetData>
    <row r="1" spans="1:12">
      <c r="A1" s="1"/>
      <c r="B1" s="1"/>
      <c r="C1" s="90"/>
      <c r="D1" s="91"/>
      <c r="E1" s="1"/>
      <c r="F1" s="1"/>
      <c r="G1" s="1"/>
      <c r="H1" s="92"/>
      <c r="I1" s="1"/>
      <c r="J1" s="1"/>
      <c r="K1" s="1"/>
      <c r="L1" s="1"/>
    </row>
    <row r="2" spans="1:12">
      <c r="A2" s="1"/>
      <c r="B2" s="1"/>
      <c r="C2" s="90"/>
      <c r="D2" s="91"/>
      <c r="E2" s="1"/>
      <c r="F2" s="1"/>
      <c r="G2" s="1"/>
      <c r="H2" s="92"/>
      <c r="I2" s="1"/>
      <c r="J2" s="1"/>
      <c r="K2" s="1"/>
      <c r="L2" s="1"/>
    </row>
    <row r="3" spans="1:12">
      <c r="A3" s="1"/>
      <c r="B3" s="1"/>
      <c r="C3" s="90"/>
      <c r="D3" s="91"/>
      <c r="E3" s="1"/>
      <c r="F3" s="1"/>
      <c r="G3" s="1"/>
      <c r="H3" s="92"/>
      <c r="I3" s="1"/>
      <c r="J3" s="1"/>
      <c r="K3" s="1"/>
      <c r="L3" s="1"/>
    </row>
    <row r="4" spans="1:12">
      <c r="A4" s="1"/>
      <c r="B4" s="1"/>
      <c r="C4" s="90"/>
      <c r="D4" s="91"/>
      <c r="E4" s="1"/>
      <c r="F4" s="1"/>
      <c r="G4" s="1"/>
      <c r="H4" s="92"/>
      <c r="I4" s="1"/>
      <c r="J4" s="1"/>
      <c r="K4" s="1"/>
      <c r="L4" s="1"/>
    </row>
    <row r="5" spans="1:12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>
      <c r="A6" s="7" t="s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 t="s">
        <v>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1"/>
      <c r="B9" s="1"/>
      <c r="C9" s="92"/>
      <c r="D9" s="1"/>
      <c r="E9" s="1"/>
      <c r="F9" s="1"/>
      <c r="G9" s="1"/>
      <c r="H9" s="92"/>
      <c r="I9" s="1"/>
      <c r="J9" s="1"/>
      <c r="K9" s="1"/>
      <c r="L9" s="1"/>
    </row>
    <row r="10" spans="1:12">
      <c r="A10" s="1"/>
      <c r="B10" s="1"/>
      <c r="C10" s="92"/>
      <c r="D10" s="1"/>
      <c r="E10" s="1"/>
      <c r="F10" s="1"/>
      <c r="G10" s="1"/>
      <c r="H10" s="92"/>
      <c r="I10" s="1"/>
      <c r="J10" s="1"/>
      <c r="K10" s="1"/>
      <c r="L10" s="1"/>
    </row>
    <row r="11" spans="1:12">
      <c r="A11" s="9" t="s">
        <v>98</v>
      </c>
      <c r="B11" s="9"/>
      <c r="C11" s="8" t="s">
        <v>99</v>
      </c>
      <c r="D11" s="8"/>
      <c r="E11" s="8"/>
      <c r="F11" s="8"/>
      <c r="G11" s="8"/>
      <c r="H11" s="1"/>
      <c r="I11" s="8" t="s">
        <v>100</v>
      </c>
      <c r="J11" s="8"/>
      <c r="K11" s="8"/>
      <c r="L11" s="9"/>
    </row>
    <row r="12" spans="1:12">
      <c r="A12" s="1"/>
      <c r="B12" s="10"/>
      <c r="C12" s="8" t="s">
        <v>101</v>
      </c>
      <c r="D12" s="8"/>
      <c r="E12" s="8"/>
      <c r="F12" s="8"/>
      <c r="G12" s="8"/>
      <c r="H12" s="1"/>
      <c r="I12" s="112" t="s">
        <v>102</v>
      </c>
      <c r="J12" s="112"/>
      <c r="K12" s="112"/>
      <c r="L12" s="10"/>
    </row>
    <row r="13" spans="1:12">
      <c r="A13" s="9" t="s">
        <v>103</v>
      </c>
      <c r="B13" s="9"/>
      <c r="C13" s="93"/>
      <c r="D13" s="10"/>
      <c r="E13" s="10"/>
      <c r="F13" s="1"/>
      <c r="G13" s="1"/>
      <c r="H13" s="1"/>
      <c r="I13" s="8" t="s">
        <v>104</v>
      </c>
      <c r="J13" s="8"/>
      <c r="K13" s="8"/>
      <c r="L13" s="9"/>
    </row>
    <row r="14" ht="21" spans="1:12">
      <c r="A14" s="94" t="s">
        <v>105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</row>
    <row r="15" spans="1:12">
      <c r="A15" s="95" t="s">
        <v>11</v>
      </c>
      <c r="B15" s="96" t="s">
        <v>12</v>
      </c>
      <c r="C15" s="97"/>
      <c r="D15" s="97"/>
      <c r="E15" s="97"/>
      <c r="F15" s="97"/>
      <c r="G15" s="97"/>
      <c r="H15" s="97"/>
      <c r="I15" s="97"/>
      <c r="J15" s="97"/>
      <c r="K15" s="97"/>
      <c r="L15" s="113" t="s">
        <v>15</v>
      </c>
    </row>
    <row r="16" spans="1:12">
      <c r="A16" s="98"/>
      <c r="B16" s="99" t="s">
        <v>106</v>
      </c>
      <c r="C16" s="100"/>
      <c r="D16" s="100"/>
      <c r="E16" s="101"/>
      <c r="F16" s="99" t="s">
        <v>107</v>
      </c>
      <c r="G16" s="101"/>
      <c r="H16" s="99" t="s">
        <v>108</v>
      </c>
      <c r="I16" s="101"/>
      <c r="J16" s="99" t="s">
        <v>109</v>
      </c>
      <c r="K16" s="101"/>
      <c r="L16" s="114"/>
    </row>
    <row r="17" ht="35.25" customHeight="1" spans="1:12">
      <c r="A17" s="102" t="s">
        <v>110</v>
      </c>
      <c r="B17" s="103" t="s">
        <v>111</v>
      </c>
      <c r="C17" s="104"/>
      <c r="D17" s="104"/>
      <c r="E17" s="105"/>
      <c r="F17" s="106">
        <v>1</v>
      </c>
      <c r="G17" s="107"/>
      <c r="H17" s="106">
        <v>0</v>
      </c>
      <c r="I17" s="107"/>
      <c r="J17" s="106">
        <v>1</v>
      </c>
      <c r="K17" s="107"/>
      <c r="L17" s="115">
        <v>1</v>
      </c>
    </row>
    <row r="18" ht="35.25" customHeight="1" spans="1:12">
      <c r="A18" s="108" t="s">
        <v>112</v>
      </c>
      <c r="B18" s="103" t="s">
        <v>111</v>
      </c>
      <c r="C18" s="104"/>
      <c r="D18" s="104"/>
      <c r="E18" s="105"/>
      <c r="F18" s="103"/>
      <c r="G18" s="105"/>
      <c r="H18" s="103">
        <v>1</v>
      </c>
      <c r="I18" s="105"/>
      <c r="J18" s="103">
        <v>0</v>
      </c>
      <c r="K18" s="105"/>
      <c r="L18" s="116">
        <v>0</v>
      </c>
    </row>
    <row r="19" ht="35.25" customHeight="1" spans="1:12">
      <c r="A19" s="44" t="s">
        <v>113</v>
      </c>
      <c r="B19" s="103" t="s">
        <v>114</v>
      </c>
      <c r="C19" s="104"/>
      <c r="D19" s="104"/>
      <c r="E19" s="105"/>
      <c r="F19" s="103">
        <v>1</v>
      </c>
      <c r="G19" s="105"/>
      <c r="H19" s="103">
        <v>0</v>
      </c>
      <c r="I19" s="105"/>
      <c r="J19" s="103">
        <v>1</v>
      </c>
      <c r="K19" s="105"/>
      <c r="L19" s="44">
        <v>1</v>
      </c>
    </row>
    <row r="20" ht="35.25" customHeight="1" spans="1:12">
      <c r="A20" s="44" t="s">
        <v>115</v>
      </c>
      <c r="B20" s="103" t="s">
        <v>114</v>
      </c>
      <c r="C20" s="104"/>
      <c r="D20" s="104"/>
      <c r="E20" s="105"/>
      <c r="F20" s="103"/>
      <c r="G20" s="105"/>
      <c r="H20" s="103">
        <v>1</v>
      </c>
      <c r="I20" s="105"/>
      <c r="J20" s="103">
        <v>0</v>
      </c>
      <c r="K20" s="105"/>
      <c r="L20" s="116">
        <v>0</v>
      </c>
    </row>
    <row r="21" ht="35.25" customHeight="1" spans="1:12">
      <c r="A21" s="44" t="s">
        <v>116</v>
      </c>
      <c r="B21" s="103" t="s">
        <v>117</v>
      </c>
      <c r="C21" s="104"/>
      <c r="D21" s="104"/>
      <c r="E21" s="105"/>
      <c r="F21" s="103">
        <v>1</v>
      </c>
      <c r="G21" s="105"/>
      <c r="H21" s="103">
        <v>0</v>
      </c>
      <c r="I21" s="105"/>
      <c r="J21" s="103">
        <v>1</v>
      </c>
      <c r="K21" s="105"/>
      <c r="L21" s="44">
        <v>1</v>
      </c>
    </row>
    <row r="22" ht="35.25" customHeight="1" spans="1:12">
      <c r="A22" s="44" t="s">
        <v>118</v>
      </c>
      <c r="B22" s="103" t="s">
        <v>117</v>
      </c>
      <c r="C22" s="104"/>
      <c r="D22" s="104"/>
      <c r="E22" s="105"/>
      <c r="F22" s="103"/>
      <c r="G22" s="105"/>
      <c r="H22" s="103">
        <v>1</v>
      </c>
      <c r="I22" s="105"/>
      <c r="J22" s="103">
        <v>0</v>
      </c>
      <c r="K22" s="105"/>
      <c r="L22" s="116">
        <v>0</v>
      </c>
    </row>
    <row r="23" ht="35.25" customHeight="1" spans="1:12">
      <c r="A23" s="109" t="s">
        <v>119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7"/>
    </row>
    <row r="24" spans="1:12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</row>
    <row r="25" spans="1:12">
      <c r="A25" s="1"/>
      <c r="B25" s="1"/>
      <c r="C25" s="92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92"/>
      <c r="D26" s="1"/>
      <c r="E26" s="1"/>
      <c r="F26" s="1"/>
      <c r="G26" s="1"/>
      <c r="H26" s="1"/>
      <c r="I26" s="1"/>
      <c r="J26" s="1"/>
      <c r="K26" s="1"/>
      <c r="L26" s="1"/>
    </row>
  </sheetData>
  <mergeCells count="4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L24"/>
    <mergeCell ref="A15:A16"/>
    <mergeCell ref="L15:L16"/>
  </mergeCells>
  <pageMargins left="0.7" right="0.7" top="0.75" bottom="0.75" header="0.3" footer="0.3"/>
  <pageSetup paperSize="9" scale="70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4"/>
  <sheetViews>
    <sheetView view="pageBreakPreview" zoomScaleNormal="100" workbookViewId="0">
      <selection activeCell="K20" sqref="K20:L20"/>
    </sheetView>
  </sheetViews>
  <sheetFormatPr defaultColWidth="9" defaultRowHeight="14.4"/>
  <cols>
    <col min="1" max="1" width="21" style="48" customWidth="1"/>
    <col min="2" max="2" width="23.5740740740741" style="48" customWidth="1"/>
    <col min="3" max="3" width="8.13888888888889" style="49" customWidth="1"/>
    <col min="4" max="4" width="6.28703703703704" style="50" customWidth="1"/>
    <col min="5" max="5" width="9" style="48"/>
    <col min="6" max="6" width="6.42592592592593" style="49" customWidth="1"/>
    <col min="7" max="7" width="9.42592592592593" style="51" customWidth="1"/>
    <col min="8" max="8" width="7" style="52" customWidth="1"/>
    <col min="9" max="9" width="8.13888888888889" style="48" customWidth="1"/>
    <col min="10" max="10" width="6.71296296296296" style="49" customWidth="1"/>
    <col min="11" max="11" width="10" style="51" customWidth="1"/>
    <col min="12" max="12" width="10.287037037037" style="52" customWidth="1"/>
    <col min="13" max="13" width="7.57407407407407" style="48" customWidth="1"/>
    <col min="14" max="16384" width="9" style="48"/>
  </cols>
  <sheetData>
    <row r="1" s="45" customFormat="1" ht="52.5" customHeight="1" spans="4:9">
      <c r="D1" s="53"/>
      <c r="E1" s="54"/>
      <c r="I1" s="56"/>
    </row>
    <row r="2" s="45" customFormat="1" ht="10.5" customHeight="1" spans="1:13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="45" customFormat="1" ht="15.95" customHeight="1" spans="1:13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="45" customFormat="1" ht="15.95" customHeight="1" spans="1:13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="45" customFormat="1" ht="15.95" customHeight="1" spans="1:13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="45" customFormat="1" ht="8.25" customHeight="1" spans="4:9">
      <c r="D6" s="56"/>
      <c r="I6" s="56"/>
    </row>
    <row r="7" s="45" customFormat="1" ht="8.25" customHeight="1" spans="4:9">
      <c r="D7" s="56"/>
      <c r="I7" s="56"/>
    </row>
    <row r="8" s="45" customFormat="1" ht="12" customHeight="1" spans="1:13">
      <c r="A8" s="57" t="s">
        <v>120</v>
      </c>
      <c r="B8" s="57"/>
      <c r="C8" s="57"/>
      <c r="D8" s="58" t="s">
        <v>121</v>
      </c>
      <c r="E8" s="58"/>
      <c r="F8" s="58"/>
      <c r="G8" s="58"/>
      <c r="H8" s="58"/>
      <c r="J8" s="58" t="s">
        <v>122</v>
      </c>
      <c r="K8" s="58"/>
      <c r="L8" s="58"/>
      <c r="M8" s="57"/>
    </row>
    <row r="9" s="45" customFormat="1" ht="12" customHeight="1" spans="3:13">
      <c r="C9" s="59"/>
      <c r="D9" s="58" t="s">
        <v>123</v>
      </c>
      <c r="E9" s="58"/>
      <c r="F9" s="58"/>
      <c r="G9" s="58"/>
      <c r="H9" s="58"/>
      <c r="J9" s="85" t="s">
        <v>124</v>
      </c>
      <c r="K9" s="85"/>
      <c r="L9" s="85"/>
      <c r="M9" s="59"/>
    </row>
    <row r="10" s="45" customFormat="1" ht="12" customHeight="1" spans="1:13">
      <c r="A10" s="57" t="s">
        <v>125</v>
      </c>
      <c r="B10" s="57"/>
      <c r="C10" s="57"/>
      <c r="D10" s="60"/>
      <c r="E10" s="59"/>
      <c r="F10" s="59"/>
      <c r="J10" s="58" t="s">
        <v>104</v>
      </c>
      <c r="K10" s="58"/>
      <c r="L10" s="58"/>
      <c r="M10" s="57"/>
    </row>
    <row r="11" ht="16.5" customHeight="1" spans="1:13">
      <c r="A11" s="61" t="s">
        <v>126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s="46" customFormat="1" ht="18.75" customHeight="1" spans="1:13">
      <c r="A12" s="62" t="s">
        <v>127</v>
      </c>
      <c r="B12" s="63" t="s">
        <v>11</v>
      </c>
      <c r="C12" s="64" t="s">
        <v>128</v>
      </c>
      <c r="D12" s="65"/>
      <c r="E12" s="64" t="s">
        <v>129</v>
      </c>
      <c r="F12" s="65"/>
      <c r="G12" s="64" t="s">
        <v>107</v>
      </c>
      <c r="H12" s="65"/>
      <c r="I12" s="64" t="s">
        <v>108</v>
      </c>
      <c r="J12" s="65"/>
      <c r="K12" s="64" t="s">
        <v>109</v>
      </c>
      <c r="L12" s="65"/>
      <c r="M12" s="86" t="s">
        <v>15</v>
      </c>
    </row>
    <row r="13" s="46" customFormat="1" ht="18.75" customHeight="1" spans="1:13">
      <c r="A13" s="66"/>
      <c r="B13" s="67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87"/>
    </row>
    <row r="14" s="46" customFormat="1" ht="24" customHeight="1" spans="1:13">
      <c r="A14" s="70"/>
      <c r="B14" s="71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88"/>
    </row>
    <row r="15" s="46" customFormat="1" ht="25.5" customHeight="1" spans="1:13">
      <c r="A15" s="74" t="s">
        <v>130</v>
      </c>
      <c r="B15" s="75" t="s">
        <v>131</v>
      </c>
      <c r="C15" s="76" t="s">
        <v>128</v>
      </c>
      <c r="D15" s="77"/>
      <c r="E15" s="76"/>
      <c r="F15" s="77"/>
      <c r="G15" s="76">
        <v>5</v>
      </c>
      <c r="H15" s="78"/>
      <c r="I15" s="76">
        <v>0</v>
      </c>
      <c r="J15" s="78"/>
      <c r="K15" s="76">
        <v>5</v>
      </c>
      <c r="L15" s="78"/>
      <c r="M15" s="89">
        <v>5</v>
      </c>
    </row>
    <row r="16" s="47" customFormat="1" spans="1:13">
      <c r="A16" s="79"/>
      <c r="B16" s="80" t="s">
        <v>132</v>
      </c>
      <c r="C16" s="76"/>
      <c r="D16" s="77"/>
      <c r="E16" s="76"/>
      <c r="F16" s="77"/>
      <c r="G16" s="76"/>
      <c r="H16" s="78"/>
      <c r="I16" s="76">
        <v>2</v>
      </c>
      <c r="J16" s="78"/>
      <c r="K16" s="76">
        <v>3</v>
      </c>
      <c r="L16" s="78"/>
      <c r="M16" s="89">
        <v>3</v>
      </c>
    </row>
    <row r="17" s="47" customFormat="1" spans="1:13">
      <c r="A17" s="79"/>
      <c r="B17" s="80"/>
      <c r="C17" s="76"/>
      <c r="D17" s="77"/>
      <c r="E17" s="76"/>
      <c r="F17" s="77"/>
      <c r="G17" s="76"/>
      <c r="H17" s="78"/>
      <c r="I17" s="76"/>
      <c r="J17" s="78"/>
      <c r="K17" s="76"/>
      <c r="L17" s="78"/>
      <c r="M17" s="89"/>
    </row>
    <row r="18" s="47" customFormat="1" spans="1:13">
      <c r="A18" s="79"/>
      <c r="B18" s="80"/>
      <c r="C18" s="76"/>
      <c r="D18" s="77"/>
      <c r="E18" s="76"/>
      <c r="F18" s="77"/>
      <c r="G18" s="76"/>
      <c r="H18" s="78"/>
      <c r="I18" s="76"/>
      <c r="J18" s="78"/>
      <c r="K18" s="76"/>
      <c r="L18" s="78"/>
      <c r="M18" s="89"/>
    </row>
    <row r="19" s="47" customFormat="1" spans="1:13">
      <c r="A19" s="79"/>
      <c r="B19" s="80"/>
      <c r="C19" s="76"/>
      <c r="D19" s="77"/>
      <c r="E19" s="76"/>
      <c r="F19" s="77"/>
      <c r="G19" s="76"/>
      <c r="H19" s="78"/>
      <c r="I19" s="76"/>
      <c r="J19" s="78"/>
      <c r="K19" s="76"/>
      <c r="L19" s="78"/>
      <c r="M19" s="89"/>
    </row>
    <row r="20" s="47" customFormat="1" spans="1:13">
      <c r="A20" s="79"/>
      <c r="B20" s="80"/>
      <c r="C20" s="76"/>
      <c r="D20" s="77"/>
      <c r="E20" s="76"/>
      <c r="F20" s="77"/>
      <c r="G20" s="76"/>
      <c r="H20" s="78"/>
      <c r="I20" s="76"/>
      <c r="J20" s="78"/>
      <c r="K20" s="76"/>
      <c r="L20" s="78"/>
      <c r="M20" s="89"/>
    </row>
    <row r="21" s="47" customFormat="1" spans="1:13">
      <c r="A21" s="79"/>
      <c r="B21" s="80"/>
      <c r="C21" s="81"/>
      <c r="D21" s="82"/>
      <c r="E21" s="81"/>
      <c r="F21" s="83"/>
      <c r="G21" s="76"/>
      <c r="H21" s="78"/>
      <c r="I21" s="76"/>
      <c r="J21" s="78"/>
      <c r="K21" s="76"/>
      <c r="L21" s="78"/>
      <c r="M21" s="89"/>
    </row>
    <row r="22" s="45" customFormat="1" ht="75.75" customHeight="1" spans="1:13">
      <c r="A22" s="84"/>
      <c r="B22" s="84"/>
      <c r="D22" s="56"/>
      <c r="M22" s="84"/>
    </row>
    <row r="23" s="45" customFormat="1" spans="4:4">
      <c r="D23" s="56"/>
    </row>
    <row r="24" s="45" customFormat="1" spans="4:4">
      <c r="D24" s="56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74" fitToHeight="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6"/>
  <sheetViews>
    <sheetView view="pageBreakPreview" zoomScale="104" zoomScaleNormal="100" topLeftCell="A11" workbookViewId="0">
      <selection activeCell="B26" sqref="B26"/>
    </sheetView>
  </sheetViews>
  <sheetFormatPr defaultColWidth="9" defaultRowHeight="14.4"/>
  <cols>
    <col min="1" max="1" width="37.4259259259259" customWidth="1"/>
    <col min="2" max="2" width="11.5740740740741" style="4" customWidth="1"/>
    <col min="3" max="3" width="11.5740740740741" style="5" customWidth="1"/>
    <col min="4" max="4" width="11.5740740740741" style="4" customWidth="1"/>
    <col min="5" max="5" width="11.5740740740741" style="5" customWidth="1"/>
    <col min="6" max="7" width="11.5740740740741" style="6" customWidth="1"/>
    <col min="8" max="8" width="11.5740740740741" style="4" customWidth="1"/>
    <col min="9" max="9" width="11.5740740740741" style="5" customWidth="1"/>
    <col min="10" max="10" width="11.5740740740741" customWidth="1"/>
  </cols>
  <sheetData>
    <row r="1" s="1" customFormat="1" ht="52.5" customHeight="1"/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/>
    <row r="7" s="1" customFormat="1" ht="12" customHeight="1" spans="1:10">
      <c r="A7" s="1" t="s">
        <v>4</v>
      </c>
      <c r="B7" s="8" t="s">
        <v>5</v>
      </c>
      <c r="C7" s="8"/>
      <c r="D7" s="8"/>
      <c r="H7" s="9" t="s">
        <v>6</v>
      </c>
      <c r="I7" s="35"/>
      <c r="J7" s="9"/>
    </row>
    <row r="8" s="1" customFormat="1" ht="12" customHeight="1" spans="2:10">
      <c r="B8" s="10"/>
      <c r="C8" s="10"/>
      <c r="H8" s="10"/>
      <c r="I8" s="10"/>
      <c r="J8" s="10"/>
    </row>
    <row r="9" s="1" customFormat="1" ht="12" customHeight="1" spans="1:10">
      <c r="A9" s="1" t="s">
        <v>7</v>
      </c>
      <c r="B9" s="8" t="s">
        <v>8</v>
      </c>
      <c r="C9" s="8"/>
      <c r="D9" s="8"/>
      <c r="H9" s="9" t="s">
        <v>9</v>
      </c>
      <c r="I9" s="36"/>
      <c r="J9" s="9"/>
    </row>
    <row r="10" ht="16.5" customHeight="1" spans="1:10">
      <c r="A10" s="11" t="s">
        <v>10</v>
      </c>
      <c r="B10" s="11"/>
      <c r="C10" s="11"/>
      <c r="D10" s="11"/>
      <c r="E10" s="11"/>
      <c r="F10" s="11"/>
      <c r="G10" s="11"/>
      <c r="H10" s="11"/>
      <c r="I10" s="11"/>
      <c r="J10" s="11"/>
    </row>
    <row r="11" s="2" customFormat="1" ht="18.75" customHeight="1" spans="1:10">
      <c r="A11" s="12" t="s">
        <v>11</v>
      </c>
      <c r="B11" s="13" t="s">
        <v>12</v>
      </c>
      <c r="C11" s="14"/>
      <c r="D11" s="15" t="s">
        <v>13</v>
      </c>
      <c r="E11" s="16"/>
      <c r="F11" s="16"/>
      <c r="G11" s="16"/>
      <c r="H11" s="17" t="s">
        <v>14</v>
      </c>
      <c r="I11" s="37"/>
      <c r="J11" s="38" t="s">
        <v>15</v>
      </c>
    </row>
    <row r="12" s="2" customFormat="1" ht="51" customHeight="1" spans="1:10">
      <c r="A12" s="18"/>
      <c r="B12" s="19" t="s">
        <v>16</v>
      </c>
      <c r="C12" s="20" t="s">
        <v>17</v>
      </c>
      <c r="D12" s="19" t="s">
        <v>16</v>
      </c>
      <c r="E12" s="20" t="s">
        <v>17</v>
      </c>
      <c r="F12" s="21" t="s">
        <v>18</v>
      </c>
      <c r="G12" s="22" t="s">
        <v>19</v>
      </c>
      <c r="H12" s="19" t="s">
        <v>16</v>
      </c>
      <c r="I12" s="20" t="s">
        <v>17</v>
      </c>
      <c r="J12" s="39"/>
    </row>
    <row r="13" s="2" customFormat="1" ht="18.75" customHeight="1" spans="1:10">
      <c r="A13" s="23" t="s">
        <v>133</v>
      </c>
      <c r="B13" s="24"/>
      <c r="C13" s="24"/>
      <c r="D13" s="24"/>
      <c r="E13" s="24"/>
      <c r="F13" s="24"/>
      <c r="G13" s="24"/>
      <c r="H13" s="24"/>
      <c r="I13" s="24"/>
      <c r="J13" s="40"/>
    </row>
    <row r="14" s="2" customFormat="1" ht="15.95" customHeight="1" spans="1:10">
      <c r="A14" s="25" t="s">
        <v>22</v>
      </c>
      <c r="B14" s="26">
        <v>1.083</v>
      </c>
      <c r="C14" s="26">
        <v>1.083</v>
      </c>
      <c r="D14" s="26"/>
      <c r="E14" s="26"/>
      <c r="F14" s="26"/>
      <c r="G14" s="26"/>
      <c r="H14" s="26">
        <f>B14</f>
        <v>1.083</v>
      </c>
      <c r="I14" s="26">
        <f>C14</f>
        <v>1.083</v>
      </c>
      <c r="J14" s="41">
        <f t="shared" ref="J14:J20" si="0">H14+I14</f>
        <v>2.166</v>
      </c>
    </row>
    <row r="15" s="3" customFormat="1" ht="15.95" customHeight="1" spans="1:10">
      <c r="A15" s="27" t="s">
        <v>23</v>
      </c>
      <c r="B15" s="26">
        <v>1.25</v>
      </c>
      <c r="C15" s="26">
        <v>1.25</v>
      </c>
      <c r="D15" s="26"/>
      <c r="E15" s="26"/>
      <c r="F15" s="26"/>
      <c r="G15" s="26"/>
      <c r="H15" s="26">
        <f>H14-F15-D15+B15</f>
        <v>2.333</v>
      </c>
      <c r="I15" s="26">
        <f>I14-E15+C15</f>
        <v>2.333</v>
      </c>
      <c r="J15" s="41">
        <f t="shared" si="0"/>
        <v>4.666</v>
      </c>
    </row>
    <row r="16" s="3" customFormat="1" ht="15.95" customHeight="1" spans="1:10">
      <c r="A16" s="27" t="s">
        <v>24</v>
      </c>
      <c r="B16" s="26"/>
      <c r="C16" s="26"/>
      <c r="D16" s="26"/>
      <c r="E16" s="26"/>
      <c r="F16" s="26">
        <v>2</v>
      </c>
      <c r="G16" s="26"/>
      <c r="H16" s="26">
        <f t="shared" ref="H16:H20" si="1">H15-F16-D16+B16</f>
        <v>0.333</v>
      </c>
      <c r="I16" s="26">
        <f t="shared" ref="I16:I20" si="2">I15-E16+C16</f>
        <v>2.333</v>
      </c>
      <c r="J16" s="41">
        <f t="shared" si="0"/>
        <v>2.666</v>
      </c>
    </row>
    <row r="17" s="3" customFormat="1" ht="15.95" customHeight="1" spans="1:10">
      <c r="A17" s="27" t="s">
        <v>25</v>
      </c>
      <c r="B17" s="26">
        <v>10</v>
      </c>
      <c r="C17" s="26">
        <v>10</v>
      </c>
      <c r="D17" s="26"/>
      <c r="E17" s="26"/>
      <c r="F17" s="26"/>
      <c r="G17" s="26"/>
      <c r="H17" s="26">
        <f t="shared" si="1"/>
        <v>10.333</v>
      </c>
      <c r="I17" s="26">
        <f t="shared" si="2"/>
        <v>12.333</v>
      </c>
      <c r="J17" s="41">
        <f t="shared" si="0"/>
        <v>22.666</v>
      </c>
    </row>
    <row r="18" s="3" customFormat="1" ht="15.95" customHeight="1" spans="1:10">
      <c r="A18" s="27" t="s">
        <v>27</v>
      </c>
      <c r="B18" s="26">
        <f>1.25*9</f>
        <v>11.25</v>
      </c>
      <c r="C18" s="26">
        <v>11.25</v>
      </c>
      <c r="D18" s="26"/>
      <c r="E18" s="26"/>
      <c r="F18" s="26"/>
      <c r="G18" s="26"/>
      <c r="H18" s="26">
        <f t="shared" si="1"/>
        <v>21.583</v>
      </c>
      <c r="I18" s="26">
        <f t="shared" si="2"/>
        <v>23.583</v>
      </c>
      <c r="J18" s="41">
        <f t="shared" si="0"/>
        <v>45.166</v>
      </c>
    </row>
    <row r="19" s="3" customFormat="1" ht="15.95" customHeight="1" spans="1:10">
      <c r="A19" s="27" t="s">
        <v>30</v>
      </c>
      <c r="B19" s="26"/>
      <c r="C19" s="26"/>
      <c r="D19" s="26"/>
      <c r="E19" s="26"/>
      <c r="F19" s="26">
        <v>5</v>
      </c>
      <c r="G19" s="26"/>
      <c r="H19" s="26">
        <f t="shared" si="1"/>
        <v>16.583</v>
      </c>
      <c r="I19" s="26">
        <f t="shared" si="2"/>
        <v>23.583</v>
      </c>
      <c r="J19" s="41">
        <f t="shared" si="0"/>
        <v>40.166</v>
      </c>
    </row>
    <row r="20" s="3" customFormat="1" ht="15.95" customHeight="1" spans="1:10">
      <c r="A20" s="27" t="s">
        <v>28</v>
      </c>
      <c r="B20" s="26"/>
      <c r="C20" s="26"/>
      <c r="D20" s="26">
        <v>9</v>
      </c>
      <c r="E20" s="26"/>
      <c r="F20" s="26"/>
      <c r="G20" s="26"/>
      <c r="H20" s="26">
        <f t="shared" si="1"/>
        <v>7.583</v>
      </c>
      <c r="I20" s="26">
        <f t="shared" si="2"/>
        <v>23.583</v>
      </c>
      <c r="J20" s="41">
        <f t="shared" si="0"/>
        <v>31.166</v>
      </c>
    </row>
    <row r="21" s="3" customFormat="1" ht="15.95" customHeight="1" spans="1:10">
      <c r="A21" s="27" t="s">
        <v>32</v>
      </c>
      <c r="B21" s="26">
        <v>1.208</v>
      </c>
      <c r="C21" s="26">
        <v>1.208</v>
      </c>
      <c r="D21" s="26"/>
      <c r="E21" s="26"/>
      <c r="F21" s="26"/>
      <c r="G21" s="26"/>
      <c r="H21" s="26">
        <f t="shared" ref="H21:H22" si="3">H20-F21-D21+B21</f>
        <v>8.791</v>
      </c>
      <c r="I21" s="26">
        <f t="shared" ref="I21:I22" si="4">I20-E21+C21</f>
        <v>24.791</v>
      </c>
      <c r="J21" s="41">
        <f t="shared" ref="J21:J22" si="5">H21+I21</f>
        <v>33.582</v>
      </c>
    </row>
    <row r="22" s="3" customFormat="1" ht="15.95" customHeight="1" spans="1:10">
      <c r="A22" s="27" t="s">
        <v>33</v>
      </c>
      <c r="B22" s="26">
        <f>1.25*11</f>
        <v>13.75</v>
      </c>
      <c r="C22" s="26">
        <v>13.75</v>
      </c>
      <c r="D22" s="26"/>
      <c r="E22" s="26"/>
      <c r="F22" s="26"/>
      <c r="G22" s="26"/>
      <c r="H22" s="26">
        <f t="shared" si="3"/>
        <v>22.541</v>
      </c>
      <c r="I22" s="26">
        <f t="shared" si="4"/>
        <v>38.541</v>
      </c>
      <c r="J22" s="41">
        <f t="shared" si="5"/>
        <v>61.082</v>
      </c>
    </row>
    <row r="23" s="3" customFormat="1" ht="15.95" customHeight="1" spans="1:10">
      <c r="A23" s="27" t="s">
        <v>34</v>
      </c>
      <c r="B23" s="28"/>
      <c r="C23" s="26"/>
      <c r="D23" s="26"/>
      <c r="E23" s="26"/>
      <c r="F23" s="26">
        <v>5</v>
      </c>
      <c r="G23" s="26"/>
      <c r="H23" s="26">
        <f t="shared" ref="H23:H43" si="6">H22-F23-D23+B23</f>
        <v>17.541</v>
      </c>
      <c r="I23" s="26">
        <f t="shared" ref="I23:I43" si="7">I22-E23+C23</f>
        <v>38.541</v>
      </c>
      <c r="J23" s="41">
        <f t="shared" ref="J23:J43" si="8">H23+I23</f>
        <v>56.082</v>
      </c>
    </row>
    <row r="24" s="3" customFormat="1" ht="15.95" customHeight="1" spans="1:10">
      <c r="A24" s="27" t="s">
        <v>35</v>
      </c>
      <c r="B24" s="26">
        <v>15</v>
      </c>
      <c r="C24" s="26">
        <v>15</v>
      </c>
      <c r="D24" s="26"/>
      <c r="E24" s="26"/>
      <c r="F24" s="26"/>
      <c r="G24" s="26"/>
      <c r="H24" s="26">
        <f t="shared" si="6"/>
        <v>32.541</v>
      </c>
      <c r="I24" s="26">
        <f t="shared" si="7"/>
        <v>53.541</v>
      </c>
      <c r="J24" s="41">
        <f t="shared" si="8"/>
        <v>86.082</v>
      </c>
    </row>
    <row r="25" s="3" customFormat="1" ht="15.95" customHeight="1" spans="1:10">
      <c r="A25" s="27" t="s">
        <v>36</v>
      </c>
      <c r="B25" s="26"/>
      <c r="C25" s="26"/>
      <c r="D25" s="26">
        <v>16</v>
      </c>
      <c r="E25" s="26">
        <v>13</v>
      </c>
      <c r="F25" s="26"/>
      <c r="G25" s="26"/>
      <c r="H25" s="26">
        <f t="shared" si="6"/>
        <v>16.541</v>
      </c>
      <c r="I25" s="26">
        <f t="shared" si="7"/>
        <v>40.541</v>
      </c>
      <c r="J25" s="41">
        <f t="shared" si="8"/>
        <v>57.082</v>
      </c>
    </row>
    <row r="26" s="3" customFormat="1" ht="15.95" customHeight="1" spans="1:10">
      <c r="A26" s="27" t="s">
        <v>37</v>
      </c>
      <c r="B26" s="26"/>
      <c r="C26" s="26"/>
      <c r="D26" s="26"/>
      <c r="E26" s="26"/>
      <c r="F26" s="26">
        <v>5</v>
      </c>
      <c r="G26" s="26"/>
      <c r="H26" s="26">
        <f t="shared" si="6"/>
        <v>11.541</v>
      </c>
      <c r="I26" s="26">
        <f t="shared" si="7"/>
        <v>40.541</v>
      </c>
      <c r="J26" s="41">
        <f t="shared" si="8"/>
        <v>52.082</v>
      </c>
    </row>
    <row r="27" s="3" customFormat="1" ht="15.95" customHeight="1" spans="1:10">
      <c r="A27" s="25" t="s">
        <v>38</v>
      </c>
      <c r="B27" s="26">
        <v>8.75</v>
      </c>
      <c r="C27" s="26">
        <v>8.75</v>
      </c>
      <c r="D27" s="26"/>
      <c r="E27" s="26"/>
      <c r="F27" s="26"/>
      <c r="G27" s="26"/>
      <c r="H27" s="26">
        <f t="shared" si="6"/>
        <v>20.291</v>
      </c>
      <c r="I27" s="26">
        <f t="shared" si="7"/>
        <v>49.291</v>
      </c>
      <c r="J27" s="41">
        <f t="shared" si="8"/>
        <v>69.582</v>
      </c>
    </row>
    <row r="28" ht="15.95" customHeight="1" spans="1:10">
      <c r="A28" s="25" t="s">
        <v>39</v>
      </c>
      <c r="B28" s="26"/>
      <c r="C28" s="26"/>
      <c r="D28" s="28"/>
      <c r="E28" s="28"/>
      <c r="F28" s="28"/>
      <c r="G28" s="26">
        <v>3</v>
      </c>
      <c r="H28" s="26">
        <f t="shared" si="6"/>
        <v>20.291</v>
      </c>
      <c r="I28" s="26">
        <f t="shared" si="7"/>
        <v>49.291</v>
      </c>
      <c r="J28" s="41">
        <f t="shared" si="8"/>
        <v>69.582</v>
      </c>
    </row>
    <row r="29" ht="15.95" customHeight="1" spans="1:10">
      <c r="A29" s="25" t="s">
        <v>40</v>
      </c>
      <c r="B29" s="26">
        <v>2.5</v>
      </c>
      <c r="C29" s="26">
        <v>2.5</v>
      </c>
      <c r="D29" s="28"/>
      <c r="E29" s="26"/>
      <c r="F29" s="26"/>
      <c r="G29" s="26"/>
      <c r="H29" s="26">
        <f t="shared" si="6"/>
        <v>22.791</v>
      </c>
      <c r="I29" s="26">
        <f t="shared" si="7"/>
        <v>51.791</v>
      </c>
      <c r="J29" s="41">
        <f t="shared" si="8"/>
        <v>74.582</v>
      </c>
    </row>
    <row r="30" ht="15.95" customHeight="1" spans="1:10">
      <c r="A30" s="27" t="s">
        <v>41</v>
      </c>
      <c r="B30" s="26"/>
      <c r="C30" s="26"/>
      <c r="D30" s="26">
        <v>11</v>
      </c>
      <c r="E30" s="26">
        <v>18</v>
      </c>
      <c r="F30" s="26"/>
      <c r="G30" s="26"/>
      <c r="H30" s="26">
        <f t="shared" si="6"/>
        <v>11.791</v>
      </c>
      <c r="I30" s="26">
        <f t="shared" si="7"/>
        <v>33.791</v>
      </c>
      <c r="J30" s="41">
        <f t="shared" si="8"/>
        <v>45.582</v>
      </c>
    </row>
    <row r="31" ht="15.95" customHeight="1" spans="1:10">
      <c r="A31" s="25" t="s">
        <v>42</v>
      </c>
      <c r="B31" s="26">
        <v>3.75</v>
      </c>
      <c r="C31" s="26">
        <v>3.75</v>
      </c>
      <c r="D31" s="26"/>
      <c r="E31" s="26"/>
      <c r="F31" s="26"/>
      <c r="G31" s="26"/>
      <c r="H31" s="26">
        <f t="shared" si="6"/>
        <v>15.541</v>
      </c>
      <c r="I31" s="26">
        <f t="shared" si="7"/>
        <v>37.541</v>
      </c>
      <c r="J31" s="41">
        <f t="shared" si="8"/>
        <v>53.082</v>
      </c>
    </row>
    <row r="32" ht="15.95" customHeight="1" spans="1:10">
      <c r="A32" s="25" t="s">
        <v>43</v>
      </c>
      <c r="B32" s="26"/>
      <c r="C32" s="26"/>
      <c r="D32" s="26"/>
      <c r="E32" s="26"/>
      <c r="F32" s="26">
        <v>3</v>
      </c>
      <c r="G32" s="26"/>
      <c r="H32" s="26">
        <f t="shared" si="6"/>
        <v>12.541</v>
      </c>
      <c r="I32" s="26">
        <f t="shared" si="7"/>
        <v>37.541</v>
      </c>
      <c r="J32" s="41">
        <f t="shared" si="8"/>
        <v>50.082</v>
      </c>
    </row>
    <row r="33" ht="15.95" customHeight="1" spans="1:10">
      <c r="A33" s="27" t="s">
        <v>44</v>
      </c>
      <c r="B33" s="26"/>
      <c r="C33" s="26"/>
      <c r="D33" s="26"/>
      <c r="E33" s="26"/>
      <c r="F33" s="26">
        <v>2</v>
      </c>
      <c r="G33" s="26"/>
      <c r="H33" s="26">
        <f t="shared" si="6"/>
        <v>10.541</v>
      </c>
      <c r="I33" s="26">
        <f t="shared" si="7"/>
        <v>37.541</v>
      </c>
      <c r="J33" s="41">
        <f t="shared" si="8"/>
        <v>48.082</v>
      </c>
    </row>
    <row r="34" ht="15.95" customHeight="1" spans="1:10">
      <c r="A34" s="25" t="s">
        <v>45</v>
      </c>
      <c r="B34" s="26">
        <f>7*1.25</f>
        <v>8.75</v>
      </c>
      <c r="C34" s="26">
        <v>8.75</v>
      </c>
      <c r="D34" s="28"/>
      <c r="E34" s="26"/>
      <c r="F34" s="26"/>
      <c r="G34" s="26"/>
      <c r="H34" s="26">
        <f t="shared" si="6"/>
        <v>19.291</v>
      </c>
      <c r="I34" s="26">
        <f t="shared" si="7"/>
        <v>46.291</v>
      </c>
      <c r="J34" s="41">
        <f t="shared" si="8"/>
        <v>65.582</v>
      </c>
    </row>
    <row r="35" ht="15.95" customHeight="1" spans="1:10">
      <c r="A35" s="25" t="s">
        <v>46</v>
      </c>
      <c r="B35" s="26"/>
      <c r="C35" s="26"/>
      <c r="D35" s="26"/>
      <c r="E35" s="26"/>
      <c r="F35" s="26"/>
      <c r="G35" s="26">
        <v>1</v>
      </c>
      <c r="H35" s="26">
        <f t="shared" si="6"/>
        <v>19.291</v>
      </c>
      <c r="I35" s="26">
        <f t="shared" si="7"/>
        <v>46.291</v>
      </c>
      <c r="J35" s="41">
        <f t="shared" si="8"/>
        <v>65.582</v>
      </c>
    </row>
    <row r="36" ht="15.95" customHeight="1" spans="1:10">
      <c r="A36" s="25" t="s">
        <v>47</v>
      </c>
      <c r="B36" s="26"/>
      <c r="C36" s="26"/>
      <c r="D36" s="26"/>
      <c r="E36" s="26"/>
      <c r="F36" s="26"/>
      <c r="G36" s="26">
        <v>1</v>
      </c>
      <c r="H36" s="26">
        <f t="shared" si="6"/>
        <v>19.291</v>
      </c>
      <c r="I36" s="26">
        <f t="shared" si="7"/>
        <v>46.291</v>
      </c>
      <c r="J36" s="41">
        <f t="shared" si="8"/>
        <v>65.582</v>
      </c>
    </row>
    <row r="37" ht="15.95" customHeight="1" spans="1:10">
      <c r="A37" s="25" t="s">
        <v>134</v>
      </c>
      <c r="B37" s="26">
        <v>1.25</v>
      </c>
      <c r="C37" s="26">
        <v>1.25</v>
      </c>
      <c r="D37" s="26"/>
      <c r="E37" s="26"/>
      <c r="F37" s="26"/>
      <c r="G37" s="26"/>
      <c r="H37" s="26">
        <f t="shared" si="6"/>
        <v>20.541</v>
      </c>
      <c r="I37" s="26">
        <f t="shared" si="7"/>
        <v>47.541</v>
      </c>
      <c r="J37" s="41">
        <f t="shared" si="8"/>
        <v>68.082</v>
      </c>
    </row>
    <row r="38" ht="15.95" customHeight="1" spans="1:10">
      <c r="A38" s="25" t="s">
        <v>49</v>
      </c>
      <c r="B38" s="26"/>
      <c r="C38" s="26"/>
      <c r="D38" s="26"/>
      <c r="E38" s="26"/>
      <c r="F38" s="26"/>
      <c r="G38" s="26">
        <v>1</v>
      </c>
      <c r="H38" s="26">
        <f t="shared" si="6"/>
        <v>20.541</v>
      </c>
      <c r="I38" s="26">
        <f t="shared" si="7"/>
        <v>47.541</v>
      </c>
      <c r="J38" s="41">
        <f t="shared" si="8"/>
        <v>68.082</v>
      </c>
    </row>
    <row r="39" ht="15.95" customHeight="1" spans="1:10">
      <c r="A39" s="27" t="s">
        <v>50</v>
      </c>
      <c r="B39" s="26"/>
      <c r="C39" s="26"/>
      <c r="D39" s="26">
        <v>7</v>
      </c>
      <c r="E39" s="26">
        <v>22</v>
      </c>
      <c r="F39" s="26"/>
      <c r="G39" s="26"/>
      <c r="H39" s="26">
        <f t="shared" si="6"/>
        <v>13.541</v>
      </c>
      <c r="I39" s="26">
        <f t="shared" si="7"/>
        <v>25.541</v>
      </c>
      <c r="J39" s="41">
        <f t="shared" si="8"/>
        <v>39.082</v>
      </c>
    </row>
    <row r="40" ht="15.95" customHeight="1" spans="1:10">
      <c r="A40" s="25" t="s">
        <v>51</v>
      </c>
      <c r="B40" s="26">
        <v>3.75</v>
      </c>
      <c r="C40" s="26">
        <v>3.75</v>
      </c>
      <c r="D40" s="26"/>
      <c r="E40" s="26"/>
      <c r="F40" s="26"/>
      <c r="G40" s="26"/>
      <c r="H40" s="26">
        <f t="shared" si="6"/>
        <v>17.291</v>
      </c>
      <c r="I40" s="26">
        <f t="shared" si="7"/>
        <v>29.291</v>
      </c>
      <c r="J40" s="41">
        <f t="shared" si="8"/>
        <v>46.582</v>
      </c>
    </row>
    <row r="41" ht="15.95" customHeight="1" spans="1:10">
      <c r="A41" s="25" t="s">
        <v>52</v>
      </c>
      <c r="B41" s="26"/>
      <c r="C41" s="26"/>
      <c r="D41" s="26"/>
      <c r="E41" s="26"/>
      <c r="F41" s="26">
        <v>1</v>
      </c>
      <c r="G41" s="26"/>
      <c r="H41" s="26">
        <f t="shared" si="6"/>
        <v>16.291</v>
      </c>
      <c r="I41" s="26">
        <f t="shared" si="7"/>
        <v>29.291</v>
      </c>
      <c r="J41" s="41">
        <f t="shared" si="8"/>
        <v>45.582</v>
      </c>
    </row>
    <row r="42" ht="15.95" customHeight="1" spans="1:10">
      <c r="A42" s="25" t="s">
        <v>53</v>
      </c>
      <c r="B42" s="26"/>
      <c r="C42" s="26"/>
      <c r="D42" s="26"/>
      <c r="E42" s="26"/>
      <c r="F42" s="26">
        <v>4</v>
      </c>
      <c r="G42" s="26"/>
      <c r="H42" s="26">
        <f t="shared" si="6"/>
        <v>12.291</v>
      </c>
      <c r="I42" s="26">
        <f t="shared" si="7"/>
        <v>29.291</v>
      </c>
      <c r="J42" s="41">
        <f t="shared" si="8"/>
        <v>41.582</v>
      </c>
    </row>
    <row r="43" ht="15.95" customHeight="1" spans="1:10">
      <c r="A43" s="25" t="s">
        <v>135</v>
      </c>
      <c r="B43" s="26">
        <v>1.25</v>
      </c>
      <c r="C43" s="26">
        <v>1.25</v>
      </c>
      <c r="D43" s="26"/>
      <c r="E43" s="26"/>
      <c r="F43" s="26"/>
      <c r="G43" s="26"/>
      <c r="H43" s="26">
        <f t="shared" si="6"/>
        <v>13.541</v>
      </c>
      <c r="I43" s="26">
        <f t="shared" si="7"/>
        <v>30.541</v>
      </c>
      <c r="J43" s="41">
        <f t="shared" si="8"/>
        <v>44.082</v>
      </c>
    </row>
    <row r="44" ht="15.95" customHeight="1" spans="1:10">
      <c r="A44" s="25" t="s">
        <v>55</v>
      </c>
      <c r="B44" s="26">
        <v>2.5</v>
      </c>
      <c r="C44" s="26">
        <v>2.5</v>
      </c>
      <c r="D44" s="26"/>
      <c r="E44" s="26"/>
      <c r="F44" s="26"/>
      <c r="G44" s="26"/>
      <c r="H44" s="26">
        <f t="shared" ref="H44:H45" si="9">H43-F44-D44+B44</f>
        <v>16.041</v>
      </c>
      <c r="I44" s="26">
        <f t="shared" ref="I44:I45" si="10">I43-E44+C44</f>
        <v>33.041</v>
      </c>
      <c r="J44" s="41">
        <f t="shared" ref="J44:J45" si="11">H44+I44</f>
        <v>49.082</v>
      </c>
    </row>
    <row r="45" ht="15.95" customHeight="1" spans="1:10">
      <c r="A45" s="25" t="s">
        <v>56</v>
      </c>
      <c r="B45" s="26"/>
      <c r="C45" s="26"/>
      <c r="D45" s="26"/>
      <c r="E45" s="26"/>
      <c r="F45" s="26">
        <v>1</v>
      </c>
      <c r="G45" s="26"/>
      <c r="H45" s="26">
        <f t="shared" si="9"/>
        <v>15.041</v>
      </c>
      <c r="I45" s="26">
        <f t="shared" si="10"/>
        <v>33.041</v>
      </c>
      <c r="J45" s="41">
        <f t="shared" si="11"/>
        <v>48.082</v>
      </c>
    </row>
    <row r="46" ht="15.95" customHeight="1" spans="1:10">
      <c r="A46" s="25" t="s">
        <v>57</v>
      </c>
      <c r="B46" s="26">
        <v>1.25</v>
      </c>
      <c r="C46" s="26">
        <v>1.25</v>
      </c>
      <c r="D46" s="26"/>
      <c r="E46" s="26"/>
      <c r="F46" s="26"/>
      <c r="G46" s="26"/>
      <c r="H46" s="26">
        <f t="shared" ref="H46:H47" si="12">H45-F46-D46+B46</f>
        <v>16.291</v>
      </c>
      <c r="I46" s="26">
        <f t="shared" ref="I46:I47" si="13">I45-E46+C46</f>
        <v>34.291</v>
      </c>
      <c r="J46" s="41">
        <f t="shared" ref="J46:J47" si="14">H46+I46</f>
        <v>50.582</v>
      </c>
    </row>
    <row r="47" ht="15.95" customHeight="1" spans="1:10">
      <c r="A47" s="25" t="s">
        <v>58</v>
      </c>
      <c r="B47" s="26"/>
      <c r="C47" s="26"/>
      <c r="D47" s="26"/>
      <c r="E47" s="26"/>
      <c r="F47" s="26">
        <v>1</v>
      </c>
      <c r="G47" s="26"/>
      <c r="H47" s="26">
        <f t="shared" si="12"/>
        <v>15.291</v>
      </c>
      <c r="I47" s="26">
        <f t="shared" si="13"/>
        <v>34.291</v>
      </c>
      <c r="J47" s="41">
        <f t="shared" si="14"/>
        <v>49.582</v>
      </c>
    </row>
    <row r="48" ht="15.95" customHeight="1" spans="1:10">
      <c r="A48" s="25" t="s">
        <v>59</v>
      </c>
      <c r="B48" s="26">
        <v>1.25</v>
      </c>
      <c r="C48" s="26">
        <v>1.25</v>
      </c>
      <c r="D48" s="26"/>
      <c r="E48" s="26"/>
      <c r="F48" s="26"/>
      <c r="G48" s="26"/>
      <c r="H48" s="26">
        <f t="shared" ref="H48:H49" si="15">H47-F48-D48+B48</f>
        <v>16.541</v>
      </c>
      <c r="I48" s="26">
        <f t="shared" ref="I48:I49" si="16">I47-E48+C48</f>
        <v>35.541</v>
      </c>
      <c r="J48" s="41">
        <f t="shared" ref="J48:J49" si="17">H48+I48</f>
        <v>52.082</v>
      </c>
    </row>
    <row r="49" ht="15.95" customHeight="1" spans="1:10">
      <c r="A49" s="25" t="s">
        <v>60</v>
      </c>
      <c r="B49" s="26"/>
      <c r="C49" s="26"/>
      <c r="D49" s="26"/>
      <c r="E49" s="26"/>
      <c r="F49" s="26">
        <v>1</v>
      </c>
      <c r="G49" s="26"/>
      <c r="H49" s="26">
        <f t="shared" si="15"/>
        <v>15.541</v>
      </c>
      <c r="I49" s="26">
        <f t="shared" si="16"/>
        <v>35.541</v>
      </c>
      <c r="J49" s="41">
        <f t="shared" si="17"/>
        <v>51.082</v>
      </c>
    </row>
    <row r="50" ht="15.95" customHeight="1" spans="1:10">
      <c r="A50" s="25" t="s">
        <v>61</v>
      </c>
      <c r="B50" s="26"/>
      <c r="C50" s="26"/>
      <c r="D50" s="26"/>
      <c r="E50" s="26"/>
      <c r="F50" s="26">
        <v>2</v>
      </c>
      <c r="G50" s="26"/>
      <c r="H50" s="26">
        <f t="shared" ref="H50" si="18">H49-F50-D50+B50</f>
        <v>13.541</v>
      </c>
      <c r="I50" s="26">
        <f t="shared" ref="I50" si="19">I49-E50+C50</f>
        <v>35.541</v>
      </c>
      <c r="J50" s="41">
        <f t="shared" ref="J50" si="20">H50+I50</f>
        <v>49.082</v>
      </c>
    </row>
    <row r="51" ht="15.95" customHeight="1" spans="1:10">
      <c r="A51" s="25" t="s">
        <v>62</v>
      </c>
      <c r="B51" s="26">
        <v>1.25</v>
      </c>
      <c r="C51" s="26">
        <v>1.25</v>
      </c>
      <c r="D51" s="29"/>
      <c r="E51" s="29"/>
      <c r="F51" s="29"/>
      <c r="G51" s="29"/>
      <c r="H51" s="26">
        <f t="shared" ref="H51:H52" si="21">H50-F51-D51+B51</f>
        <v>14.791</v>
      </c>
      <c r="I51" s="26">
        <f t="shared" ref="I51:I52" si="22">I50-E51+C51</f>
        <v>36.791</v>
      </c>
      <c r="J51" s="41">
        <f t="shared" ref="J51:J52" si="23">H51+I51</f>
        <v>51.582</v>
      </c>
    </row>
    <row r="52" ht="15.95" customHeight="1" spans="1:10">
      <c r="A52" s="25" t="s">
        <v>63</v>
      </c>
      <c r="B52" s="26"/>
      <c r="C52" s="26"/>
      <c r="D52" s="29"/>
      <c r="E52" s="29"/>
      <c r="F52" s="29"/>
      <c r="G52" s="29">
        <v>1</v>
      </c>
      <c r="H52" s="26">
        <f t="shared" si="21"/>
        <v>14.791</v>
      </c>
      <c r="I52" s="26">
        <f t="shared" si="22"/>
        <v>36.791</v>
      </c>
      <c r="J52" s="41">
        <f t="shared" si="23"/>
        <v>51.582</v>
      </c>
    </row>
    <row r="53" ht="15.95" customHeight="1" spans="1:10">
      <c r="A53" s="25" t="s">
        <v>64</v>
      </c>
      <c r="B53" s="26">
        <v>1.25</v>
      </c>
      <c r="C53" s="26">
        <v>1.25</v>
      </c>
      <c r="D53" s="30"/>
      <c r="E53" s="30"/>
      <c r="F53" s="30"/>
      <c r="G53" s="30"/>
      <c r="H53" s="26">
        <f t="shared" ref="H53:H54" si="24">H52-F53-D53+B53</f>
        <v>16.041</v>
      </c>
      <c r="I53" s="26">
        <f t="shared" ref="I53:I63" si="25">I52-E53+C53</f>
        <v>38.041</v>
      </c>
      <c r="J53" s="41">
        <f t="shared" ref="J53:J54" si="26">H53+I53</f>
        <v>54.082</v>
      </c>
    </row>
    <row r="54" ht="15.95" customHeight="1" spans="1:10">
      <c r="A54" s="25" t="s">
        <v>65</v>
      </c>
      <c r="B54" s="25"/>
      <c r="C54" s="25"/>
      <c r="D54" s="30"/>
      <c r="E54" s="30"/>
      <c r="F54" s="30"/>
      <c r="G54" s="29">
        <v>1</v>
      </c>
      <c r="H54" s="26">
        <f t="shared" si="24"/>
        <v>16.041</v>
      </c>
      <c r="I54" s="26">
        <f t="shared" si="25"/>
        <v>38.041</v>
      </c>
      <c r="J54" s="41">
        <f t="shared" si="26"/>
        <v>54.082</v>
      </c>
    </row>
    <row r="55" ht="15.95" customHeight="1" spans="1:10">
      <c r="A55" s="25" t="s">
        <v>66</v>
      </c>
      <c r="B55" s="26">
        <v>2.5</v>
      </c>
      <c r="C55" s="26">
        <v>2.5</v>
      </c>
      <c r="D55" s="30"/>
      <c r="E55" s="30"/>
      <c r="F55" s="30"/>
      <c r="G55" s="30"/>
      <c r="H55" s="26">
        <f t="shared" ref="H55:H57" si="27">H54-F55-D55+B55</f>
        <v>18.541</v>
      </c>
      <c r="I55" s="26">
        <f t="shared" si="25"/>
        <v>40.541</v>
      </c>
      <c r="J55" s="41">
        <f t="shared" ref="J55:J57" si="28">H55+I55</f>
        <v>59.082</v>
      </c>
    </row>
    <row r="56" ht="15.95" customHeight="1" spans="1:10">
      <c r="A56" s="31" t="s">
        <v>67</v>
      </c>
      <c r="B56" s="31"/>
      <c r="C56" s="31"/>
      <c r="D56" s="32">
        <v>13</v>
      </c>
      <c r="E56" s="32">
        <v>16</v>
      </c>
      <c r="F56" s="32"/>
      <c r="G56" s="32"/>
      <c r="H56" s="33">
        <f t="shared" si="27"/>
        <v>5.541</v>
      </c>
      <c r="I56" s="33">
        <f t="shared" si="25"/>
        <v>24.541</v>
      </c>
      <c r="J56" s="42">
        <f t="shared" si="28"/>
        <v>30.082</v>
      </c>
    </row>
    <row r="57" ht="15.95" customHeight="1" spans="1:10">
      <c r="A57" s="25" t="s">
        <v>68</v>
      </c>
      <c r="B57" s="25"/>
      <c r="C57" s="25"/>
      <c r="D57" s="30"/>
      <c r="E57" s="30">
        <v>1</v>
      </c>
      <c r="F57" s="30"/>
      <c r="G57" s="30"/>
      <c r="H57" s="26">
        <f t="shared" si="27"/>
        <v>5.541</v>
      </c>
      <c r="I57" s="26">
        <f t="shared" si="25"/>
        <v>23.541</v>
      </c>
      <c r="J57" s="27">
        <f t="shared" si="28"/>
        <v>29.082</v>
      </c>
    </row>
    <row r="58" ht="15.95" customHeight="1" spans="1:10">
      <c r="A58" s="25" t="s">
        <v>69</v>
      </c>
      <c r="B58" s="25">
        <v>1.25</v>
      </c>
      <c r="C58" s="25">
        <v>1.25</v>
      </c>
      <c r="D58" s="30"/>
      <c r="E58" s="30"/>
      <c r="F58" s="30"/>
      <c r="G58" s="30"/>
      <c r="H58" s="26">
        <f t="shared" ref="H58:H60" si="29">H57-F58-D58+B58</f>
        <v>6.791</v>
      </c>
      <c r="I58" s="26">
        <f t="shared" si="25"/>
        <v>24.791</v>
      </c>
      <c r="J58" s="27">
        <f t="shared" ref="J58:J60" si="30">H58+I58</f>
        <v>31.582</v>
      </c>
    </row>
    <row r="59" ht="15.95" customHeight="1" spans="1:10">
      <c r="A59" s="25" t="s">
        <v>70</v>
      </c>
      <c r="B59" s="25"/>
      <c r="C59" s="25"/>
      <c r="D59" s="30"/>
      <c r="E59" s="30"/>
      <c r="F59" s="30"/>
      <c r="G59" s="30">
        <v>1</v>
      </c>
      <c r="H59" s="26">
        <f t="shared" si="29"/>
        <v>6.791</v>
      </c>
      <c r="I59" s="26">
        <f t="shared" si="25"/>
        <v>24.791</v>
      </c>
      <c r="J59" s="27">
        <f t="shared" si="30"/>
        <v>31.582</v>
      </c>
    </row>
    <row r="60" ht="15.95" customHeight="1" spans="1:10">
      <c r="A60" s="25" t="s">
        <v>71</v>
      </c>
      <c r="B60" s="25">
        <v>3.75</v>
      </c>
      <c r="C60" s="25">
        <v>3.75</v>
      </c>
      <c r="D60" s="30"/>
      <c r="E60" s="30"/>
      <c r="F60" s="30"/>
      <c r="G60" s="30"/>
      <c r="H60" s="26">
        <f t="shared" si="29"/>
        <v>10.541</v>
      </c>
      <c r="I60" s="26">
        <f t="shared" si="25"/>
        <v>28.541</v>
      </c>
      <c r="J60" s="27">
        <f t="shared" si="30"/>
        <v>39.082</v>
      </c>
    </row>
    <row r="61" ht="15.95" customHeight="1" spans="1:10">
      <c r="A61" s="25" t="s">
        <v>72</v>
      </c>
      <c r="B61" s="25">
        <v>3.75</v>
      </c>
      <c r="C61" s="25">
        <v>3.75</v>
      </c>
      <c r="D61" s="30"/>
      <c r="E61" s="30"/>
      <c r="F61" s="30"/>
      <c r="G61" s="30"/>
      <c r="H61" s="26">
        <f t="shared" ref="H61" si="31">H60-F61-D61+B61</f>
        <v>14.291</v>
      </c>
      <c r="I61" s="26">
        <f t="shared" si="25"/>
        <v>32.291</v>
      </c>
      <c r="J61" s="27">
        <f t="shared" ref="J61" si="32">H61+I61</f>
        <v>46.582</v>
      </c>
    </row>
    <row r="62" ht="15.95" customHeight="1" spans="1:10">
      <c r="A62" s="25" t="s">
        <v>73</v>
      </c>
      <c r="B62" s="25">
        <v>1.25</v>
      </c>
      <c r="C62" s="25">
        <v>1.25</v>
      </c>
      <c r="D62" s="30"/>
      <c r="E62" s="30"/>
      <c r="F62" s="30"/>
      <c r="G62" s="30"/>
      <c r="H62" s="26">
        <f t="shared" ref="H62:H63" si="33">H61-F62-D62+B62</f>
        <v>15.541</v>
      </c>
      <c r="I62" s="26">
        <f t="shared" si="25"/>
        <v>33.541</v>
      </c>
      <c r="J62" s="27">
        <f t="shared" ref="J62:J63" si="34">H62+I62</f>
        <v>49.082</v>
      </c>
    </row>
    <row r="63" ht="15.95" customHeight="1" spans="1:10">
      <c r="A63" s="25" t="s">
        <v>74</v>
      </c>
      <c r="B63" s="25"/>
      <c r="C63" s="25"/>
      <c r="D63" s="30"/>
      <c r="E63" s="30"/>
      <c r="F63" s="34">
        <v>1</v>
      </c>
      <c r="G63" s="30"/>
      <c r="H63" s="26">
        <f t="shared" si="33"/>
        <v>14.541</v>
      </c>
      <c r="I63" s="26">
        <f t="shared" si="25"/>
        <v>33.541</v>
      </c>
      <c r="J63" s="27">
        <f t="shared" si="34"/>
        <v>48.082</v>
      </c>
    </row>
    <row r="64" ht="15.95" customHeight="1" spans="1:10">
      <c r="A64" s="25" t="s">
        <v>75</v>
      </c>
      <c r="B64" s="25"/>
      <c r="C64" s="25"/>
      <c r="D64" s="30"/>
      <c r="E64" s="30"/>
      <c r="F64" s="34">
        <v>1</v>
      </c>
      <c r="G64" s="30"/>
      <c r="H64" s="26">
        <f t="shared" ref="H64:H65" si="35">H63-F64-D64+B64</f>
        <v>13.541</v>
      </c>
      <c r="I64" s="26">
        <f t="shared" ref="I64:I65" si="36">I63-E64+C64</f>
        <v>33.541</v>
      </c>
      <c r="J64" s="27">
        <f t="shared" ref="J64:J65" si="37">H64+I64</f>
        <v>47.082</v>
      </c>
    </row>
    <row r="65" ht="15.95" customHeight="1" spans="1:10">
      <c r="A65" s="25" t="s">
        <v>76</v>
      </c>
      <c r="B65" s="25"/>
      <c r="C65" s="25"/>
      <c r="D65" s="30"/>
      <c r="E65" s="30"/>
      <c r="F65" s="34">
        <v>1</v>
      </c>
      <c r="G65" s="30"/>
      <c r="H65" s="26">
        <f t="shared" si="35"/>
        <v>12.541</v>
      </c>
      <c r="I65" s="26">
        <f t="shared" si="36"/>
        <v>33.541</v>
      </c>
      <c r="J65" s="27">
        <f t="shared" si="37"/>
        <v>46.082</v>
      </c>
    </row>
    <row r="66" ht="15.95" customHeight="1" spans="1:10">
      <c r="A66" s="25" t="s">
        <v>77</v>
      </c>
      <c r="B66" s="25">
        <v>1.25</v>
      </c>
      <c r="C66" s="25">
        <v>1.25</v>
      </c>
      <c r="D66" s="30"/>
      <c r="E66" s="30"/>
      <c r="F66" s="32"/>
      <c r="G66" s="30"/>
      <c r="H66" s="26">
        <f t="shared" ref="H66:H67" si="38">H65-F66-D66+B66</f>
        <v>13.791</v>
      </c>
      <c r="I66" s="26">
        <f t="shared" ref="I66:I67" si="39">I65-E66+C66</f>
        <v>34.791</v>
      </c>
      <c r="J66" s="27">
        <f t="shared" ref="J66:J67" si="40">H66+I66</f>
        <v>48.582</v>
      </c>
    </row>
    <row r="67" ht="18.95" customHeight="1" spans="1:10">
      <c r="A67" s="25" t="s">
        <v>78</v>
      </c>
      <c r="B67" s="25"/>
      <c r="C67" s="25"/>
      <c r="D67" s="30"/>
      <c r="E67" s="30"/>
      <c r="F67" s="34">
        <v>2</v>
      </c>
      <c r="G67" s="30"/>
      <c r="H67" s="26">
        <f t="shared" si="38"/>
        <v>11.791</v>
      </c>
      <c r="I67" s="26">
        <f t="shared" si="39"/>
        <v>34.791</v>
      </c>
      <c r="J67" s="27">
        <f t="shared" si="40"/>
        <v>46.582</v>
      </c>
    </row>
    <row r="68" ht="18.95" customHeight="1" spans="1:10">
      <c r="A68" s="25" t="s">
        <v>79</v>
      </c>
      <c r="B68" s="25"/>
      <c r="C68" s="25"/>
      <c r="D68" s="30"/>
      <c r="E68" s="30"/>
      <c r="F68" s="32"/>
      <c r="G68" s="43">
        <v>1</v>
      </c>
      <c r="H68" s="26">
        <f t="shared" ref="H68" si="41">H67-F68-D68+B68</f>
        <v>11.791</v>
      </c>
      <c r="I68" s="26">
        <f t="shared" ref="I68" si="42">I67-E68+C68</f>
        <v>34.791</v>
      </c>
      <c r="J68" s="27">
        <f t="shared" ref="J68" si="43">H68+I68</f>
        <v>46.582</v>
      </c>
    </row>
    <row r="69" ht="18.95" customHeight="1" spans="1:10">
      <c r="A69" s="25" t="s">
        <v>80</v>
      </c>
      <c r="B69" s="25"/>
      <c r="C69" s="25"/>
      <c r="D69" s="30"/>
      <c r="E69" s="30"/>
      <c r="F69" s="32"/>
      <c r="G69" s="43">
        <v>2</v>
      </c>
      <c r="H69" s="26">
        <f t="shared" ref="H69" si="44">H68-F69-D69+B69</f>
        <v>11.791</v>
      </c>
      <c r="I69" s="26">
        <f t="shared" ref="I69" si="45">I68-E69+C69</f>
        <v>34.791</v>
      </c>
      <c r="J69" s="27">
        <f t="shared" ref="J69" si="46">H69+I69</f>
        <v>46.582</v>
      </c>
    </row>
    <row r="70" ht="18.95" customHeight="1" spans="1:10">
      <c r="A70" s="31" t="s">
        <v>136</v>
      </c>
      <c r="B70" s="31">
        <v>2.5</v>
      </c>
      <c r="C70" s="31">
        <v>2.5</v>
      </c>
      <c r="D70" s="32"/>
      <c r="E70" s="32"/>
      <c r="F70" s="32"/>
      <c r="G70" s="32"/>
      <c r="H70" s="26">
        <f t="shared" ref="H70" si="47">H69-F70-D70+B70</f>
        <v>14.291</v>
      </c>
      <c r="I70" s="26">
        <f t="shared" ref="I70" si="48">I69-E70+C70</f>
        <v>37.291</v>
      </c>
      <c r="J70" s="27">
        <f t="shared" ref="J70" si="49">H70+I70</f>
        <v>51.582</v>
      </c>
    </row>
    <row r="71" ht="18.95" customHeight="1" spans="1:10">
      <c r="A71" s="31"/>
      <c r="B71" s="31"/>
      <c r="C71" s="31"/>
      <c r="D71" s="32"/>
      <c r="E71" s="32"/>
      <c r="F71" s="32"/>
      <c r="G71" s="32"/>
      <c r="H71" s="33"/>
      <c r="I71" s="33"/>
      <c r="J71" s="44"/>
    </row>
    <row r="72" s="1" customFormat="1" spans="6:6">
      <c r="F72" s="1" t="s">
        <v>94</v>
      </c>
    </row>
    <row r="73" s="1" customFormat="1"/>
    <row r="74" s="1" customFormat="1" spans="6:6">
      <c r="F74" s="1" t="s">
        <v>95</v>
      </c>
    </row>
    <row r="75" s="1" customFormat="1" spans="6:6">
      <c r="F75" s="1" t="s">
        <v>96</v>
      </c>
    </row>
    <row r="76" s="1" customFormat="1" spans="6:6">
      <c r="F76" s="1" t="s">
        <v>137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F11"/>
    <mergeCell ref="H11:I11"/>
    <mergeCell ref="A13:J13"/>
    <mergeCell ref="A11:A12"/>
    <mergeCell ref="J11:J12"/>
  </mergeCells>
  <printOptions horizontalCentered="1"/>
  <pageMargins left="0.5" right="0.5" top="0.5" bottom="0.5" header="0.31496062992126" footer="0.31496062992126"/>
  <pageSetup paperSize="9" scale="65" fitToHeight="0" orientation="portrait" horizontalDpi="360" verticalDpi="360"/>
  <headerFooter/>
  <rowBreaks count="1" manualBreakCount="1">
    <brk id="72" max="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CORRECTED</vt:lpstr>
      <vt:lpstr>CTO</vt:lpstr>
      <vt:lpstr>Election</vt:lpstr>
      <vt:lpstr>Leave Card (NE)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2025-12-12T06:01:00Z</cp:lastPrinted>
  <dcterms:modified xsi:type="dcterms:W3CDTF">2026-01-01T01:35:03Z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656336570525413694B30CCCB2207C26_12</vt:lpwstr>
  </property>
  <property fmtid="{D5CDD505-2E9C-101B-9397-08002B2CF9AE}" pid="3" name="KSOProductBuildVer">
    <vt:lpwstr>1033-12.2.0.23196</vt:lpwstr>
  </property>
</Properties>
</file>