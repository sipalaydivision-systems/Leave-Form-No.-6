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844AE8F9-5108-4928-AF9A-E69642B9B1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RRECTED" sheetId="7" r:id="rId1"/>
    <sheet name="CTO" sheetId="8" r:id="rId2"/>
  </sheets>
  <definedNames>
    <definedName name="_xlnm.Print_Area" localSheetId="0">CORRECTED!$A$1:$J$149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0" i="7" l="1"/>
  <c r="I140" i="7"/>
  <c r="I141" i="7" s="1"/>
  <c r="I142" i="7" s="1"/>
  <c r="J140" i="7"/>
  <c r="H141" i="7"/>
  <c r="I13" i="7"/>
  <c r="I14" i="7" s="1"/>
  <c r="I15" i="7" s="1"/>
  <c r="I16" i="7" s="1"/>
  <c r="I17" i="7" s="1"/>
  <c r="H13" i="7"/>
  <c r="H14" i="7" s="1"/>
  <c r="H15" i="7" s="1"/>
  <c r="J141" i="7" l="1"/>
  <c r="H142" i="7"/>
  <c r="J142" i="7" s="1"/>
  <c r="I18" i="7"/>
  <c r="I19" i="7" s="1"/>
  <c r="I20" i="7" s="1"/>
  <c r="I21" i="7" s="1"/>
  <c r="J13" i="7"/>
  <c r="J15" i="7"/>
  <c r="H16" i="7"/>
  <c r="H17" i="7" s="1"/>
  <c r="H18" i="7" s="1"/>
  <c r="H19" i="7" s="1"/>
  <c r="J14" i="7"/>
  <c r="I22" i="7" l="1"/>
  <c r="J19" i="7"/>
  <c r="H20" i="7"/>
  <c r="J17" i="7"/>
  <c r="J18" i="7"/>
  <c r="J16" i="7"/>
  <c r="J20" i="7" l="1"/>
  <c r="H21" i="7"/>
  <c r="I23" i="7"/>
  <c r="H22" i="7" l="1"/>
  <c r="J21" i="7"/>
  <c r="I24" i="7"/>
  <c r="H23" i="7" l="1"/>
  <c r="J22" i="7"/>
  <c r="I25" i="7"/>
  <c r="H24" i="7" l="1"/>
  <c r="J23" i="7"/>
  <c r="I26" i="7"/>
  <c r="H25" i="7" l="1"/>
  <c r="J24" i="7"/>
  <c r="I27" i="7"/>
  <c r="H26" i="7" l="1"/>
  <c r="J25" i="7"/>
  <c r="I28" i="7"/>
  <c r="H27" i="7" l="1"/>
  <c r="J26" i="7"/>
  <c r="I29" i="7"/>
  <c r="H28" i="7" l="1"/>
  <c r="J27" i="7"/>
  <c r="I30" i="7"/>
  <c r="H29" i="7" l="1"/>
  <c r="J28" i="7"/>
  <c r="I31" i="7"/>
  <c r="H30" i="7" l="1"/>
  <c r="J29" i="7"/>
  <c r="I32" i="7"/>
  <c r="H31" i="7" l="1"/>
  <c r="J30" i="7"/>
  <c r="I33" i="7"/>
  <c r="H32" i="7" l="1"/>
  <c r="J31" i="7"/>
  <c r="I34" i="7"/>
  <c r="H33" i="7" l="1"/>
  <c r="J32" i="7"/>
  <c r="I35" i="7"/>
  <c r="H34" i="7" l="1"/>
  <c r="J33" i="7"/>
  <c r="I36" i="7"/>
  <c r="H35" i="7" l="1"/>
  <c r="J34" i="7"/>
  <c r="I37" i="7"/>
  <c r="H36" i="7" l="1"/>
  <c r="J35" i="7"/>
  <c r="I38" i="7"/>
  <c r="H37" i="7" l="1"/>
  <c r="J36" i="7"/>
  <c r="I39" i="7"/>
  <c r="H38" i="7" l="1"/>
  <c r="J37" i="7"/>
  <c r="I40" i="7"/>
  <c r="H39" i="7" l="1"/>
  <c r="J38" i="7"/>
  <c r="I41" i="7"/>
  <c r="H40" i="7" l="1"/>
  <c r="J39" i="7"/>
  <c r="I42" i="7"/>
  <c r="H41" i="7" l="1"/>
  <c r="J40" i="7"/>
  <c r="I43" i="7"/>
  <c r="H42" i="7" l="1"/>
  <c r="J41" i="7"/>
  <c r="I44" i="7"/>
  <c r="H43" i="7" l="1"/>
  <c r="J42" i="7"/>
  <c r="I45" i="7"/>
  <c r="H44" i="7" l="1"/>
  <c r="J43" i="7"/>
  <c r="I46" i="7"/>
  <c r="H45" i="7" l="1"/>
  <c r="J44" i="7"/>
  <c r="I47" i="7"/>
  <c r="H46" i="7" l="1"/>
  <c r="J45" i="7"/>
  <c r="I48" i="7"/>
  <c r="H47" i="7" l="1"/>
  <c r="J46" i="7"/>
  <c r="I49" i="7"/>
  <c r="H48" i="7" l="1"/>
  <c r="J47" i="7"/>
  <c r="I50" i="7"/>
  <c r="H49" i="7" l="1"/>
  <c r="J48" i="7"/>
  <c r="I51" i="7"/>
  <c r="H50" i="7" l="1"/>
  <c r="J49" i="7"/>
  <c r="I52" i="7"/>
  <c r="H51" i="7" l="1"/>
  <c r="J50" i="7"/>
  <c r="I53" i="7"/>
  <c r="H52" i="7" l="1"/>
  <c r="J51" i="7"/>
  <c r="I54" i="7"/>
  <c r="H53" i="7" l="1"/>
  <c r="J52" i="7"/>
  <c r="I55" i="7"/>
  <c r="H54" i="7" l="1"/>
  <c r="J53" i="7"/>
  <c r="I56" i="7"/>
  <c r="H55" i="7" l="1"/>
  <c r="J54" i="7"/>
  <c r="I57" i="7"/>
  <c r="H56" i="7" l="1"/>
  <c r="J55" i="7"/>
  <c r="I58" i="7"/>
  <c r="H57" i="7" l="1"/>
  <c r="J56" i="7"/>
  <c r="I59" i="7"/>
  <c r="H58" i="7" l="1"/>
  <c r="J57" i="7"/>
  <c r="I60" i="7"/>
  <c r="H59" i="7" l="1"/>
  <c r="J58" i="7"/>
  <c r="I61" i="7"/>
  <c r="H60" i="7" l="1"/>
  <c r="J59" i="7"/>
  <c r="I62" i="7"/>
  <c r="H61" i="7" l="1"/>
  <c r="J60" i="7"/>
  <c r="I63" i="7"/>
  <c r="H62" i="7" l="1"/>
  <c r="J61" i="7"/>
  <c r="I64" i="7"/>
  <c r="H63" i="7" l="1"/>
  <c r="J62" i="7"/>
  <c r="I65" i="7"/>
  <c r="H64" i="7" l="1"/>
  <c r="J63" i="7"/>
  <c r="I66" i="7"/>
  <c r="H65" i="7" l="1"/>
  <c r="J64" i="7"/>
  <c r="I67" i="7"/>
  <c r="H66" i="7" l="1"/>
  <c r="J65" i="7"/>
  <c r="I68" i="7"/>
  <c r="H67" i="7" l="1"/>
  <c r="J66" i="7"/>
  <c r="I69" i="7"/>
  <c r="H68" i="7" l="1"/>
  <c r="J67" i="7"/>
  <c r="I70" i="7"/>
  <c r="H69" i="7" l="1"/>
  <c r="J68" i="7"/>
  <c r="I71" i="7"/>
  <c r="H70" i="7" l="1"/>
  <c r="J69" i="7"/>
  <c r="I72" i="7"/>
  <c r="H71" i="7" l="1"/>
  <c r="J70" i="7"/>
  <c r="I73" i="7"/>
  <c r="H72" i="7" l="1"/>
  <c r="J71" i="7"/>
  <c r="I74" i="7"/>
  <c r="H73" i="7" l="1"/>
  <c r="J72" i="7"/>
  <c r="I75" i="7"/>
  <c r="H74" i="7" l="1"/>
  <c r="J73" i="7"/>
  <c r="I76" i="7"/>
  <c r="H75" i="7" l="1"/>
  <c r="J74" i="7"/>
  <c r="I77" i="7"/>
  <c r="H76" i="7" l="1"/>
  <c r="J75" i="7"/>
  <c r="I78" i="7"/>
  <c r="H77" i="7" l="1"/>
  <c r="J76" i="7"/>
  <c r="I79" i="7"/>
  <c r="H78" i="7" l="1"/>
  <c r="J77" i="7"/>
  <c r="I80" i="7"/>
  <c r="H79" i="7" l="1"/>
  <c r="J78" i="7"/>
  <c r="I81" i="7"/>
  <c r="H80" i="7" l="1"/>
  <c r="J79" i="7"/>
  <c r="I82" i="7"/>
  <c r="H81" i="7" l="1"/>
  <c r="J80" i="7"/>
  <c r="I83" i="7"/>
  <c r="H82" i="7" l="1"/>
  <c r="J81" i="7"/>
  <c r="I84" i="7"/>
  <c r="H83" i="7" l="1"/>
  <c r="J82" i="7"/>
  <c r="I85" i="7"/>
  <c r="H84" i="7" l="1"/>
  <c r="J83" i="7"/>
  <c r="I86" i="7"/>
  <c r="H85" i="7" l="1"/>
  <c r="J84" i="7"/>
  <c r="I87" i="7"/>
  <c r="H86" i="7" l="1"/>
  <c r="J85" i="7"/>
  <c r="I88" i="7"/>
  <c r="H87" i="7" l="1"/>
  <c r="J86" i="7"/>
  <c r="I89" i="7"/>
  <c r="H88" i="7" l="1"/>
  <c r="J87" i="7"/>
  <c r="I90" i="7"/>
  <c r="H89" i="7" l="1"/>
  <c r="J88" i="7"/>
  <c r="I91" i="7"/>
  <c r="H90" i="7" l="1"/>
  <c r="J89" i="7"/>
  <c r="I92" i="7"/>
  <c r="H91" i="7" l="1"/>
  <c r="J90" i="7"/>
  <c r="I93" i="7"/>
  <c r="H92" i="7" l="1"/>
  <c r="J91" i="7"/>
  <c r="I94" i="7"/>
  <c r="I95" i="7" s="1"/>
  <c r="I96" i="7" s="1"/>
  <c r="I97" i="7" s="1"/>
  <c r="I98" i="7" s="1"/>
  <c r="I99" i="7" s="1"/>
  <c r="I100" i="7" s="1"/>
  <c r="I101" i="7" s="1"/>
  <c r="I102" i="7" s="1"/>
  <c r="I103" i="7" s="1"/>
  <c r="I104" i="7" s="1"/>
  <c r="I105" i="7" s="1"/>
  <c r="I106" i="7" s="1"/>
  <c r="I107" i="7" s="1"/>
  <c r="I108" i="7" s="1"/>
  <c r="I109" i="7" s="1"/>
  <c r="I110" i="7" s="1"/>
  <c r="I111" i="7" s="1"/>
  <c r="I112" i="7" s="1"/>
  <c r="I113" i="7" s="1"/>
  <c r="I114" i="7" s="1"/>
  <c r="I115" i="7" s="1"/>
  <c r="I116" i="7" s="1"/>
  <c r="I117" i="7" s="1"/>
  <c r="I118" i="7" s="1"/>
  <c r="I119" i="7" s="1"/>
  <c r="I120" i="7" s="1"/>
  <c r="I121" i="7" s="1"/>
  <c r="I122" i="7" s="1"/>
  <c r="I123" i="7" s="1"/>
  <c r="I124" i="7" s="1"/>
  <c r="I125" i="7" s="1"/>
  <c r="I126" i="7" s="1"/>
  <c r="I127" i="7" s="1"/>
  <c r="I128" i="7" s="1"/>
  <c r="I129" i="7" s="1"/>
  <c r="I130" i="7" s="1"/>
  <c r="I131" i="7" s="1"/>
  <c r="I132" i="7" s="1"/>
  <c r="I133" i="7" s="1"/>
  <c r="I134" i="7" s="1"/>
  <c r="I135" i="7" s="1"/>
  <c r="I136" i="7" s="1"/>
  <c r="I137" i="7" s="1"/>
  <c r="I138" i="7" s="1"/>
  <c r="I139" i="7" s="1"/>
  <c r="H93" i="7" l="1"/>
  <c r="J92" i="7"/>
  <c r="H94" i="7" l="1"/>
  <c r="H95" i="7" s="1"/>
  <c r="J93" i="7"/>
  <c r="J95" i="7" l="1"/>
  <c r="H96" i="7"/>
  <c r="J94" i="7"/>
  <c r="J96" i="7" l="1"/>
  <c r="H97" i="7"/>
  <c r="J97" i="7" l="1"/>
  <c r="H98" i="7"/>
  <c r="H99" i="7" l="1"/>
  <c r="J98" i="7"/>
  <c r="H100" i="7" l="1"/>
  <c r="J99" i="7"/>
  <c r="H101" i="7" l="1"/>
  <c r="J100" i="7"/>
  <c r="H102" i="7" l="1"/>
  <c r="J101" i="7"/>
  <c r="H103" i="7" l="1"/>
  <c r="J102" i="7"/>
  <c r="J103" i="7" l="1"/>
  <c r="H104" i="7"/>
  <c r="H105" i="7" l="1"/>
  <c r="J104" i="7"/>
  <c r="J105" i="7" l="1"/>
  <c r="H106" i="7"/>
  <c r="H107" i="7" l="1"/>
  <c r="J106" i="7"/>
  <c r="J107" i="7" l="1"/>
  <c r="H108" i="7"/>
  <c r="J108" i="7" l="1"/>
  <c r="H109" i="7"/>
  <c r="H110" i="7" l="1"/>
  <c r="J109" i="7"/>
  <c r="H111" i="7" l="1"/>
  <c r="J110" i="7"/>
  <c r="J111" i="7" l="1"/>
  <c r="H112" i="7"/>
  <c r="J112" i="7" l="1"/>
  <c r="H113" i="7"/>
  <c r="J113" i="7" l="1"/>
  <c r="H114" i="7"/>
  <c r="J114" i="7" l="1"/>
  <c r="H115" i="7"/>
  <c r="J115" i="7" l="1"/>
  <c r="H116" i="7"/>
  <c r="J116" i="7" l="1"/>
  <c r="H117" i="7"/>
  <c r="J117" i="7" l="1"/>
  <c r="H118" i="7"/>
  <c r="H119" i="7" l="1"/>
  <c r="J118" i="7"/>
  <c r="J119" i="7" l="1"/>
  <c r="H120" i="7"/>
  <c r="J120" i="7" l="1"/>
  <c r="H121" i="7"/>
  <c r="J121" i="7" l="1"/>
  <c r="H122" i="7"/>
  <c r="J122" i="7" l="1"/>
  <c r="H123" i="7"/>
  <c r="J123" i="7" l="1"/>
  <c r="H124" i="7"/>
  <c r="J124" i="7" l="1"/>
  <c r="H125" i="7"/>
  <c r="J125" i="7" l="1"/>
  <c r="H126" i="7"/>
  <c r="J126" i="7" l="1"/>
  <c r="H127" i="7"/>
  <c r="H128" i="7" l="1"/>
  <c r="J127" i="7"/>
  <c r="J128" i="7" l="1"/>
  <c r="H129" i="7"/>
  <c r="J129" i="7" l="1"/>
  <c r="H130" i="7"/>
  <c r="J130" i="7" l="1"/>
  <c r="H131" i="7"/>
  <c r="H132" i="7" l="1"/>
  <c r="J131" i="7"/>
  <c r="J132" i="7" l="1"/>
  <c r="H133" i="7"/>
  <c r="J133" i="7" l="1"/>
  <c r="H134" i="7"/>
  <c r="H135" i="7" s="1"/>
  <c r="J135" i="7" l="1"/>
  <c r="H136" i="7"/>
  <c r="J134" i="7"/>
  <c r="J136" i="7" l="1"/>
  <c r="H137" i="7"/>
  <c r="J137" i="7" l="1"/>
  <c r="H138" i="7"/>
  <c r="J138" i="7" l="1"/>
  <c r="H139" i="7"/>
  <c r="J139" i="7" s="1"/>
</calcChain>
</file>

<file path=xl/sharedStrings.xml><?xml version="1.0" encoding="utf-8"?>
<sst xmlns="http://schemas.openxmlformats.org/spreadsheetml/2006/main" count="192" uniqueCount="178">
  <si>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</si>
  <si>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</si>
  <si>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</si>
  <si>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</si>
  <si>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</si>
  <si>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</si>
  <si>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</si>
  <si>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</si>
  <si>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</si>
  <si>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</si>
  <si>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</si>
  <si>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</si>
  <si>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</si>
  <si>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</si>
  <si>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</si>
  <si>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</si>
  <si>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DATE FILED/RECEIVED</t>
  </si>
  <si>
    <t>VACATION</t>
  </si>
  <si>
    <t>SICK</t>
  </si>
  <si>
    <t>FORCED</t>
  </si>
  <si>
    <t>SPECIAL</t>
  </si>
  <si>
    <t>ADD: 03/27-31/2019</t>
  </si>
  <si>
    <t>ADD: 04/1/2019-08/31/2019</t>
  </si>
  <si>
    <t>LESS: 09/16-20/2019</t>
  </si>
  <si>
    <t>LESS: 09/24/2019</t>
  </si>
  <si>
    <t>ADD: 09/1-30/2019</t>
  </si>
  <si>
    <t>LESS: 09/26-27/2019</t>
  </si>
  <si>
    <t>LESS: 09/30/2019 &amp; 10/1/2019</t>
  </si>
  <si>
    <t>ADD: 10/1/2019-12/31/2019</t>
  </si>
  <si>
    <t>ADD: 01/1-31/2020</t>
  </si>
  <si>
    <t>LESS: 02/24/2020</t>
  </si>
  <si>
    <t>LESS: 02/26/2020</t>
  </si>
  <si>
    <t>ADD: 02/1-29/2020</t>
  </si>
  <si>
    <t>LESS: 03/13/2020</t>
  </si>
  <si>
    <t>ADD: 03/1/2020-12/31/2020</t>
  </si>
  <si>
    <t>LESS: MANDATORY FL 2020</t>
  </si>
  <si>
    <t>ADD: 01/01/2021-02/28/2021</t>
  </si>
  <si>
    <t>LESS: 04/5-8/2021</t>
  </si>
  <si>
    <t>ADD: 03/1/2021-08/31/2021</t>
  </si>
  <si>
    <t>LESS: 09/7-8/2021</t>
  </si>
  <si>
    <t>LESS: 09/22/2021</t>
  </si>
  <si>
    <t>ADD: 09/1-30/2021</t>
  </si>
  <si>
    <t>LESS: MONETIZATION 2021</t>
  </si>
  <si>
    <t>ADD: 10/1/2021-12/31/2021</t>
  </si>
  <si>
    <t>LESS: MANDATORY FL 2021</t>
  </si>
  <si>
    <t>ADD: 01/1-31/2022</t>
  </si>
  <si>
    <t>LESS: 02/15/2022</t>
  </si>
  <si>
    <t>ADD: 02/1-28/2022</t>
  </si>
  <si>
    <t>LESS: 03/7/2022</t>
  </si>
  <si>
    <t>LESS: 04/6-8/2022</t>
  </si>
  <si>
    <t>LESS: 05/13/2022</t>
  </si>
  <si>
    <t>ADD: 03/1-31/2022</t>
  </si>
  <si>
    <t>LESS: 05/5-6/2022</t>
  </si>
  <si>
    <t>ADD: 04/1/2022-06/30/2022</t>
  </si>
  <si>
    <t>LESS: 07/14/2022</t>
  </si>
  <si>
    <t>ADD: 07/1-31/2022</t>
  </si>
  <si>
    <t>LESS: 08/18-19/2022</t>
  </si>
  <si>
    <t>LESS: 08/22-23/2022</t>
  </si>
  <si>
    <t>ADD: 08/1-31/2022</t>
  </si>
  <si>
    <t>LESS: 09/20/2022</t>
  </si>
  <si>
    <t>LESS: 10/24/2022</t>
  </si>
  <si>
    <t>ADD: 09/1-30/2022</t>
  </si>
  <si>
    <t>LESS: MONETIZATION 2022</t>
  </si>
  <si>
    <t>LESS: 09/30/2022</t>
  </si>
  <si>
    <t>LESS: 10/3-6/2022</t>
  </si>
  <si>
    <t>ADD: 10/1-31/2022</t>
  </si>
  <si>
    <t>LESS: 11/4/2022</t>
  </si>
  <si>
    <t>LESS: 11/25/2022</t>
  </si>
  <si>
    <t>LESS: 12/23/2022</t>
  </si>
  <si>
    <t>LESS: 11/29/2022</t>
  </si>
  <si>
    <t>ADD: 11/1/2022-12/31/2022</t>
  </si>
  <si>
    <t>LESS: MANDATORY FL 2022</t>
  </si>
  <si>
    <t>LESS: 01/18/2023</t>
  </si>
  <si>
    <t>LESS: 01/25/2023</t>
  </si>
  <si>
    <t>LESS: 02/27/2023</t>
  </si>
  <si>
    <t>LESS: 05/8-9/2023</t>
  </si>
  <si>
    <t>LESS: 05/15/2023</t>
  </si>
  <si>
    <t>ADD: 1/1/2023-02/28/2023</t>
  </si>
  <si>
    <t>LESS: 03/10/2023</t>
  </si>
  <si>
    <t>LESS: 03/17/2023</t>
  </si>
  <si>
    <t>LESS: 05/3-4/2023</t>
  </si>
  <si>
    <t>LESS: 05/5/2023</t>
  </si>
  <si>
    <t>ADD: 03/1-31/2023</t>
  </si>
  <si>
    <t>LESS: 04/4/2023</t>
  </si>
  <si>
    <t>ADD: 04/1/2023-05/31/2023</t>
  </si>
  <si>
    <t>LESS: 05/30/2023</t>
  </si>
  <si>
    <t>LESS: 06/9/2023</t>
  </si>
  <si>
    <t>LESS: 06/13-14/2023</t>
  </si>
  <si>
    <t>ADD: 06/1-30/2023</t>
  </si>
  <si>
    <t>LESS: 07/6/2023</t>
  </si>
  <si>
    <t>LESS: 07/13-14/2023</t>
  </si>
  <si>
    <t>ADD: 07/1/2023-08/31/2023</t>
  </si>
  <si>
    <t>LESS: 08/25/2023</t>
  </si>
  <si>
    <t>LESS: 08/29-30/2023</t>
  </si>
  <si>
    <t>LESS: MONETIZATION 2023</t>
  </si>
  <si>
    <t>ADD: 09/1/2023-10/31/2023</t>
  </si>
  <si>
    <t>LESS: 11/7/2023</t>
  </si>
  <si>
    <t>LESS: 11/10/2023</t>
  </si>
  <si>
    <t>LESS: 11/17/2023</t>
  </si>
  <si>
    <t>LESS: 11/21/2023</t>
  </si>
  <si>
    <t>ADD: 11/1-30/2023</t>
  </si>
  <si>
    <t>LESS: 12/18-19/2023</t>
  </si>
  <si>
    <t>ADD: 12/1-31/2023</t>
  </si>
  <si>
    <t>LESS: 01/9/2024</t>
  </si>
  <si>
    <t>LESS: 01/26/2024</t>
  </si>
  <si>
    <t>ADD: 01/1/2024-02/29/2024</t>
  </si>
  <si>
    <t>LESS: 02/23/2024</t>
  </si>
  <si>
    <t>LESS: 03/19/2024</t>
  </si>
  <si>
    <t>LESS: 05/10/2024</t>
  </si>
  <si>
    <t>LESS: 05/13-14/2024</t>
  </si>
  <si>
    <t>ADD: 03/1/2024-05/31/2024</t>
  </si>
  <si>
    <t>LESS: 06/5-6/2024</t>
  </si>
  <si>
    <t>LESS: 06/14/2024</t>
  </si>
  <si>
    <t>ADD: 06/1-30/2024</t>
  </si>
  <si>
    <t>LESS: 07/5/2024</t>
  </si>
  <si>
    <t>ADD: 07/1-31/2024</t>
  </si>
  <si>
    <t>LESS: 08/15 &amp; 19/2024</t>
  </si>
  <si>
    <t>ADD: 08/1-31/2024</t>
  </si>
  <si>
    <t>LESS: 09/6/2024</t>
  </si>
  <si>
    <t>ADD: 09/1/2024-10/31/2024</t>
  </si>
  <si>
    <t>LESS: 11/15,18, 23 &amp; 26/2024</t>
  </si>
  <si>
    <t>ADD: 11/1-30/2024</t>
  </si>
  <si>
    <t>LESS: 12/10-11/2024</t>
  </si>
  <si>
    <t>ADD: 12/1-31/2024</t>
  </si>
  <si>
    <t>LESS: 02/24/2025</t>
  </si>
  <si>
    <t>LESS: 02/25/2025</t>
  </si>
  <si>
    <t>LESS: 02/26-27/2025</t>
  </si>
  <si>
    <t>ADD: 01/1/2025-03/31/2025</t>
  </si>
  <si>
    <t>LESS: 04/10-11/2025</t>
  </si>
  <si>
    <t>LESS: 03/31/2025</t>
  </si>
  <si>
    <t>ADD: 04/1-30/2025</t>
  </si>
  <si>
    <t>LESS: 05/2/2025</t>
  </si>
  <si>
    <t>LESS: 05/30/2025</t>
  </si>
  <si>
    <t>ADD: 05/1/2025-06/30/2025</t>
  </si>
  <si>
    <t>LESS: 07/16/2025</t>
  </si>
  <si>
    <t>ADD: 07/1-31/2025</t>
  </si>
  <si>
    <t>LESS: 08/7-8/2025</t>
  </si>
  <si>
    <t>LESS: 08/22/2025</t>
  </si>
  <si>
    <t>LESS: 08/29/2025</t>
  </si>
  <si>
    <t>ADD: 08/1-31/2025</t>
  </si>
  <si>
    <t>LESS: 09/10/2025</t>
  </si>
  <si>
    <t>ADD: 09/1-30/2025</t>
  </si>
  <si>
    <t>LESS: 10/3/2025</t>
  </si>
  <si>
    <t>ADD: 10/1-31/2025</t>
  </si>
  <si>
    <t>LESS: 10/29/2025</t>
  </si>
  <si>
    <t>LESS: 10/30/2025-AM</t>
  </si>
  <si>
    <t>LESS: 11/17/2025</t>
  </si>
  <si>
    <t>LESS: 11/19, 20 &amp; 12/29/2025</t>
  </si>
  <si>
    <t>ADD:11/1-30/2025</t>
  </si>
  <si>
    <t>LESS: 12/12/2025</t>
  </si>
  <si>
    <t>LESS: 12/19/2025</t>
  </si>
  <si>
    <t xml:space="preserve">  </t>
  </si>
  <si>
    <t>NAME         : ROSALES, KHARIZA DENISSE</t>
  </si>
  <si>
    <t>DISTRICT             : _______________________</t>
  </si>
  <si>
    <t>EMPLOYEE NO   : __________</t>
  </si>
  <si>
    <t>SCHOOL/OFFICE : BRGY. V ES</t>
  </si>
  <si>
    <t>STATION CODE   : __________</t>
  </si>
  <si>
    <t>POSITION   : ADOF II</t>
  </si>
  <si>
    <t>DIVISION CODE   : __________</t>
  </si>
  <si>
    <t>COMPENSATORY TIME OFF (CTO)</t>
  </si>
  <si>
    <t>Special Order No. and Date Issued</t>
  </si>
  <si>
    <t>No. of Days Granted</t>
  </si>
  <si>
    <t>No. of Days Used</t>
  </si>
  <si>
    <t>Balance</t>
  </si>
  <si>
    <t>ADD: JUNE 26, 2024</t>
  </si>
  <si>
    <t>SO NO. 024, S. 2024 126TH PHILIPPINE INDEPENDENCE DAY CELEBRATION</t>
  </si>
  <si>
    <t>LESS: 01/10/2025</t>
  </si>
  <si>
    <t>ADD: 02/5/2025</t>
  </si>
  <si>
    <t>SO # 002, S. 2025 RIZAL DAY 2024 CELEBRATION</t>
  </si>
  <si>
    <t>LESS: 01/09/2026</t>
  </si>
  <si>
    <t>ADD: 07/01/2025</t>
  </si>
  <si>
    <t>SO # 044, S. 2025 127th PHIL. INDEPENCE DAY</t>
  </si>
  <si>
    <t>LESS: 02/24/2026</t>
  </si>
  <si>
    <t>NOTE:  Valid for one (1) year only</t>
  </si>
  <si>
    <t>Certified Correct:</t>
  </si>
  <si>
    <t>MA. LUISA B. CATIGAN</t>
  </si>
  <si>
    <t>Administrative Officer IV</t>
  </si>
  <si>
    <t xml:space="preserve">       HRMO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</si>
</sst>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95">
    <xf numFmtId="0" fontId="0" fillId="0" borderId="0" xfId="0"/>
    <xf numFmtId="0" fontId="3" fillId="2" borderId="0" xfId="1" applyFill="1"/>
    <xf numFmtId="0" fontId="4" fillId="2" borderId="0" xfId="1" applyFont="1" applyFill="1" applyAlignment="1">
      <alignment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0" xfId="1" applyFont="1" applyFill="1"/>
    <xf numFmtId="0" fontId="4" fillId="2" borderId="4" xfId="1" applyFont="1" applyFill="1" applyBorder="1" applyAlignment="1">
      <alignment vertical="center"/>
    </xf>
    <xf numFmtId="0" fontId="3" fillId="0" borderId="0" xfId="1"/>
    <xf numFmtId="0" fontId="4" fillId="2" borderId="16" xfId="1" applyFont="1" applyFill="1" applyBorder="1" applyAlignment="1">
      <alignment horizontal="center" vertical="center"/>
    </xf>
    <xf numFmtId="164" fontId="3" fillId="2" borderId="18" xfId="1" applyNumberFormat="1" applyFill="1" applyBorder="1" applyAlignment="1">
      <alignment horizontal="center" vertical="center"/>
    </xf>
    <xf numFmtId="164" fontId="3" fillId="2" borderId="2" xfId="1" applyNumberFormat="1" applyFill="1" applyBorder="1" applyAlignment="1">
      <alignment horizontal="center" vertical="center"/>
    </xf>
    <xf numFmtId="0" fontId="5" fillId="0" borderId="0" xfId="1" applyFont="1"/>
    <xf numFmtId="164" fontId="3" fillId="2" borderId="1" xfId="1" applyNumberFormat="1" applyFill="1" applyBorder="1" applyAlignment="1">
      <alignment horizontal="center" vertical="center"/>
    </xf>
    <xf numFmtId="164" fontId="3" fillId="2" borderId="3" xfId="1" applyNumberFormat="1" applyFill="1" applyBorder="1" applyAlignment="1">
      <alignment horizontal="center" vertical="center"/>
    </xf>
    <xf numFmtId="0" fontId="5" fillId="0" borderId="0" xfId="1" applyFont="1" applyAlignment="1">
      <alignment vertical="center"/>
    </xf>
    <xf numFmtId="0" fontId="3" fillId="0" borderId="0" xfId="1" applyAlignment="1">
      <alignment vertical="center"/>
    </xf>
    <xf numFmtId="0" fontId="3" fillId="0" borderId="0" xfId="1" applyAlignment="1">
      <alignment horizontal="center" vertical="center"/>
    </xf>
    <xf numFmtId="0" fontId="3" fillId="0" borderId="6" xfId="1" applyBorder="1" applyAlignment="1">
      <alignment horizontal="center" vertical="center" wrapText="1"/>
    </xf>
    <xf numFmtId="164" fontId="3" fillId="0" borderId="18" xfId="1" applyNumberFormat="1" applyBorder="1" applyAlignment="1">
      <alignment horizontal="center" vertical="center"/>
    </xf>
    <xf numFmtId="0" fontId="3" fillId="0" borderId="7" xfId="1" applyBorder="1" applyAlignment="1">
      <alignment horizontal="center" vertical="center"/>
    </xf>
    <xf numFmtId="164" fontId="3" fillId="0" borderId="1" xfId="1" applyNumberFormat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0" fontId="3" fillId="0" borderId="1" xfId="1" applyBorder="1" applyAlignment="1">
      <alignment horizontal="center"/>
    </xf>
    <xf numFmtId="0" fontId="3" fillId="0" borderId="1" xfId="1" applyBorder="1"/>
    <xf numFmtId="164" fontId="3" fillId="0" borderId="1" xfId="1" applyNumberFormat="1" applyBorder="1" applyAlignment="1">
      <alignment horizontal="center"/>
    </xf>
    <xf numFmtId="0" fontId="3" fillId="0" borderId="0" xfId="1" applyAlignment="1">
      <alignment horizontal="center"/>
    </xf>
    <xf numFmtId="164" fontId="3" fillId="0" borderId="0" xfId="1" applyNumberFormat="1" applyAlignment="1">
      <alignment horizontal="center" vertical="center"/>
    </xf>
    <xf numFmtId="164" fontId="3" fillId="2" borderId="0" xfId="1" applyNumberFormat="1" applyFill="1" applyAlignment="1">
      <alignment horizontal="center" vertical="center"/>
    </xf>
    <xf numFmtId="0" fontId="2" fillId="2" borderId="0" xfId="2" applyFill="1"/>
    <xf numFmtId="0" fontId="4" fillId="2" borderId="0" xfId="2" applyFont="1" applyFill="1" applyAlignment="1">
      <alignment horizontal="center" wrapText="1"/>
    </xf>
    <xf numFmtId="0" fontId="4" fillId="2" borderId="0" xfId="2" applyFont="1" applyFill="1" applyAlignment="1">
      <alignment wrapText="1"/>
    </xf>
    <xf numFmtId="0" fontId="2" fillId="2" borderId="0" xfId="2" applyFill="1" applyAlignment="1">
      <alignment horizontal="center"/>
    </xf>
    <xf numFmtId="0" fontId="4" fillId="2" borderId="0" xfId="2" applyFont="1" applyFill="1" applyAlignment="1">
      <alignment vertical="center"/>
    </xf>
    <xf numFmtId="0" fontId="4" fillId="2" borderId="0" xfId="2" applyFont="1" applyFill="1"/>
    <xf numFmtId="0" fontId="4" fillId="2" borderId="0" xfId="2" applyFont="1" applyFill="1" applyAlignment="1">
      <alignment horizontal="center"/>
    </xf>
    <xf numFmtId="0" fontId="2" fillId="0" borderId="0" xfId="2"/>
    <xf numFmtId="0" fontId="9" fillId="0" borderId="0" xfId="2" applyFont="1"/>
    <xf numFmtId="0" fontId="2" fillId="2" borderId="6" xfId="2" applyFill="1" applyBorder="1" applyAlignment="1">
      <alignment horizontal="center" vertical="center" wrapText="1"/>
    </xf>
    <xf numFmtId="0" fontId="10" fillId="2" borderId="20" xfId="2" applyFont="1" applyFill="1" applyBorder="1" applyAlignment="1">
      <alignment vertical="center" wrapText="1"/>
    </xf>
    <xf numFmtId="0" fontId="10" fillId="2" borderId="8" xfId="2" applyFont="1" applyFill="1" applyBorder="1" applyAlignment="1">
      <alignment vertical="center" wrapText="1"/>
    </xf>
    <xf numFmtId="0" fontId="2" fillId="2" borderId="3" xfId="2" applyFill="1" applyBorder="1" applyAlignment="1">
      <alignment horizontal="center" vertical="center" wrapText="1"/>
    </xf>
    <xf numFmtId="0" fontId="2" fillId="10" borderId="3" xfId="2" applyFill="1" applyBorder="1" applyAlignment="1">
      <alignment horizontal="center" vertical="center" wrapText="1"/>
    </xf>
    <xf numFmtId="0" fontId="11" fillId="0" borderId="0" xfId="2" applyFont="1"/>
    <xf numFmtId="0" fontId="2" fillId="0" borderId="0" xfId="2" applyAlignment="1">
      <alignment vertical="center"/>
    </xf>
    <xf numFmtId="0" fontId="10" fillId="2" borderId="0" xfId="2" applyFont="1" applyFill="1" applyAlignment="1">
      <alignment horizontal="center" vertical="center" wrapText="1"/>
    </xf>
    <xf numFmtId="0" fontId="2" fillId="2" borderId="0" xfId="2" applyFill="1" applyAlignment="1">
      <alignment horizontal="center" vertical="center" wrapText="1"/>
    </xf>
    <xf numFmtId="164" fontId="3" fillId="11" borderId="1" xfId="1" applyNumberFormat="1" applyFill="1" applyBorder="1" applyAlignment="1">
      <alignment horizontal="center" vertical="center"/>
    </xf>
    <xf numFmtId="164" fontId="3" fillId="12" borderId="1" xfId="1" applyNumberFormat="1" applyFill="1" applyBorder="1" applyAlignment="1">
      <alignment horizontal="center" vertical="center"/>
    </xf>
    <xf numFmtId="14" fontId="3" fillId="0" borderId="1" xfId="1" applyNumberFormat="1" applyBorder="1" applyAlignment="1">
      <alignment horizontal="center" vertical="center"/>
    </xf>
    <xf numFmtId="0" fontId="1" fillId="0" borderId="1" xfId="1" applyFont="1" applyBorder="1" applyAlignment="1">
      <alignment horizontal="center"/>
    </xf>
    <xf numFmtId="2" fontId="3" fillId="0" borderId="1" xfId="1" applyNumberForma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10" fillId="0" borderId="20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9" fillId="0" borderId="0" xfId="0" applyFont="1"/>
    <xf numFmtId="0" fontId="0" fillId="10" borderId="3" xfId="0" applyFill="1" applyBorder="1" applyAlignment="1">
      <alignment horizontal="center" vertical="center" wrapText="1"/>
    </xf>
    <xf numFmtId="0" fontId="4" fillId="2" borderId="0" xfId="1" applyFont="1" applyFill="1" applyAlignment="1">
      <alignment horizontal="left" vertical="center"/>
    </xf>
    <xf numFmtId="0" fontId="3" fillId="2" borderId="0" xfId="1" applyFill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7" fillId="2" borderId="14" xfId="1" applyFont="1" applyFill="1" applyBorder="1" applyAlignment="1">
      <alignment horizontal="center" vertical="center"/>
    </xf>
    <xf numFmtId="0" fontId="4" fillId="6" borderId="5" xfId="1" applyFont="1" applyFill="1" applyBorder="1" applyAlignment="1">
      <alignment horizontal="center" vertical="center"/>
    </xf>
    <xf numFmtId="0" fontId="4" fillId="6" borderId="15" xfId="1" applyFont="1" applyFill="1" applyBorder="1" applyAlignment="1">
      <alignment horizontal="center" vertical="center"/>
    </xf>
    <xf numFmtId="0" fontId="4" fillId="4" borderId="11" xfId="1" applyFont="1" applyFill="1" applyBorder="1" applyAlignment="1">
      <alignment horizontal="center" vertical="center"/>
    </xf>
    <xf numFmtId="0" fontId="4" fillId="4" borderId="12" xfId="1" applyFont="1" applyFill="1" applyBorder="1" applyAlignment="1">
      <alignment horizontal="center" vertical="center"/>
    </xf>
    <xf numFmtId="0" fontId="4" fillId="7" borderId="11" xfId="1" applyFont="1" applyFill="1" applyBorder="1" applyAlignment="1">
      <alignment horizontal="center" vertical="center"/>
    </xf>
    <xf numFmtId="0" fontId="4" fillId="7" borderId="12" xfId="1" applyFont="1" applyFill="1" applyBorder="1" applyAlignment="1">
      <alignment horizontal="center" vertical="center"/>
    </xf>
    <xf numFmtId="0" fontId="4" fillId="7" borderId="13" xfId="1" applyFont="1" applyFill="1" applyBorder="1" applyAlignment="1">
      <alignment horizontal="center" vertical="center"/>
    </xf>
    <xf numFmtId="0" fontId="4" fillId="5" borderId="11" xfId="1" applyFont="1" applyFill="1" applyBorder="1" applyAlignment="1">
      <alignment horizontal="center" vertical="center"/>
    </xf>
    <xf numFmtId="0" fontId="4" fillId="5" borderId="12" xfId="1" applyFont="1" applyFill="1" applyBorder="1" applyAlignment="1">
      <alignment horizontal="center" vertical="center"/>
    </xf>
    <xf numFmtId="0" fontId="4" fillId="6" borderId="9" xfId="1" applyFont="1" applyFill="1" applyBorder="1" applyAlignment="1">
      <alignment horizontal="center" vertical="center"/>
    </xf>
    <xf numFmtId="0" fontId="4" fillId="6" borderId="17" xfId="1" applyFont="1" applyFill="1" applyBorder="1" applyAlignment="1">
      <alignment horizontal="center" vertical="center"/>
    </xf>
    <xf numFmtId="0" fontId="10" fillId="0" borderId="20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2" fillId="2" borderId="0" xfId="2" applyFill="1" applyAlignment="1">
      <alignment horizontal="center" vertical="center"/>
    </xf>
    <xf numFmtId="0" fontId="4" fillId="2" borderId="0" xfId="2" applyFont="1" applyFill="1" applyAlignment="1">
      <alignment horizontal="left" vertical="center"/>
    </xf>
    <xf numFmtId="0" fontId="4" fillId="2" borderId="0" xfId="2" applyFont="1" applyFill="1" applyAlignment="1">
      <alignment horizontal="left"/>
    </xf>
    <xf numFmtId="0" fontId="7" fillId="2" borderId="14" xfId="2" applyFont="1" applyFill="1" applyBorder="1" applyAlignment="1">
      <alignment horizontal="center" vertical="center"/>
    </xf>
    <xf numFmtId="0" fontId="8" fillId="3" borderId="5" xfId="2" applyFont="1" applyFill="1" applyBorder="1" applyAlignment="1">
      <alignment horizontal="center" vertical="center"/>
    </xf>
    <xf numFmtId="0" fontId="8" fillId="3" borderId="6" xfId="2" applyFont="1" applyFill="1" applyBorder="1" applyAlignment="1">
      <alignment horizontal="center" vertical="center"/>
    </xf>
    <xf numFmtId="0" fontId="8" fillId="8" borderId="11" xfId="2" applyFont="1" applyFill="1" applyBorder="1" applyAlignment="1">
      <alignment horizontal="center" vertical="center"/>
    </xf>
    <xf numFmtId="0" fontId="8" fillId="8" borderId="12" xfId="2" applyFont="1" applyFill="1" applyBorder="1" applyAlignment="1">
      <alignment horizontal="center" vertical="center"/>
    </xf>
    <xf numFmtId="0" fontId="8" fillId="3" borderId="9" xfId="2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10" fillId="9" borderId="20" xfId="2" applyFont="1" applyFill="1" applyBorder="1" applyAlignment="1">
      <alignment horizontal="center" vertical="center" wrapText="1"/>
    </xf>
    <xf numFmtId="0" fontId="10" fillId="9" borderId="19" xfId="2" applyFont="1" applyFill="1" applyBorder="1" applyAlignment="1">
      <alignment horizontal="center" vertical="center" wrapText="1"/>
    </xf>
    <xf numFmtId="0" fontId="10" fillId="9" borderId="8" xfId="2" applyFont="1" applyFill="1" applyBorder="1" applyAlignment="1">
      <alignment horizontal="center" vertical="center" wrapText="1"/>
    </xf>
    <xf numFmtId="0" fontId="10" fillId="2" borderId="20" xfId="2" applyFont="1" applyFill="1" applyBorder="1" applyAlignment="1">
      <alignment horizontal="center" vertical="center" wrapText="1"/>
    </xf>
    <xf numFmtId="0" fontId="10" fillId="2" borderId="19" xfId="2" applyFont="1" applyFill="1" applyBorder="1" applyAlignment="1">
      <alignment horizontal="center" vertical="center" wrapText="1"/>
    </xf>
    <xf numFmtId="0" fontId="10" fillId="2" borderId="8" xfId="2" applyFont="1" applyFill="1" applyBorder="1" applyAlignment="1">
      <alignment horizontal="center" vertical="center" wrapText="1"/>
    </xf>
    <xf numFmtId="0" fontId="2" fillId="0" borderId="0" xfId="2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" fillId="0" borderId="0" xfId="1" applyFont="1" applyAlignment="1">
      <alignment horizontal="center"/>
    </xf>
  </cellXfs>
  <cellStyles count="3">
    <cellStyle name="Normal" xfId="0" builtinId="0"/>
    <cellStyle name="Normal 2" xfId="1" xr:uid="{38F05F5D-42CA-423E-9929-753A9532D10B}"/>
    <cellStyle name="Normal 3" xfId="2" xr:uid="{2DE4AA36-0155-4AD7-BE53-9FE399F328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350447</xdr:colOff>
      <xdr:row>0</xdr:row>
      <xdr:rowOff>25040</xdr:rowOff>
    </xdr:from>
    <xdr:to>
      <xdr:col>4</xdr:col>
      <xdr:colOff>176375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404166-DAA1-47FF-8A49-A438D495242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1897" y="25040"/>
          <a:ext cx="597453" cy="6417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4F3A445-D65D-4762-BD17-7649F45680BE}"/>
            </a:ext>
          </a:extLst>
        </xdr:cNvPr>
        <xdr:cNvSpPr txBox="1"/>
      </xdr:nvSpPr>
      <xdr:spPr>
        <a:xfrm>
          <a:off x="573942" y="1371111"/>
          <a:ext cx="1865924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ROSALES, KHARIZA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804AB8B-BD00-40D1-84D6-D682357BFFF7}"/>
            </a:ext>
          </a:extLst>
        </xdr:cNvPr>
        <xdr:cNvSpPr txBox="1"/>
      </xdr:nvSpPr>
      <xdr:spPr>
        <a:xfrm>
          <a:off x="616683" y="1718407"/>
          <a:ext cx="18182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AO II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674C248-66EA-4BCF-848F-F53E56492416}"/>
            </a:ext>
          </a:extLst>
        </xdr:cNvPr>
        <xdr:cNvSpPr txBox="1"/>
      </xdr:nvSpPr>
      <xdr:spPr>
        <a:xfrm>
          <a:off x="3625118" y="1700091"/>
          <a:ext cx="173232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BRGY.</a:t>
          </a:r>
          <a:r>
            <a:rPr lang="en-US" sz="1100" baseline="0"/>
            <a:t> V ES</a:t>
          </a:r>
          <a:endParaRPr lang="en-US" sz="1100"/>
        </a:p>
      </xdr:txBody>
    </xdr:sp>
    <xdr:clientData/>
  </xdr:twoCellAnchor>
  <xdr:twoCellAnchor>
    <xdr:from>
      <xdr:col>5</xdr:col>
      <xdr:colOff>347452</xdr:colOff>
      <xdr:row>143</xdr:row>
      <xdr:rowOff>53914</xdr:rowOff>
    </xdr:from>
    <xdr:to>
      <xdr:col>9</xdr:col>
      <xdr:colOff>672043</xdr:colOff>
      <xdr:row>148</xdr:row>
      <xdr:rowOff>170731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5DF031C-6954-4402-89BD-11725CC92C3D}"/>
            </a:ext>
          </a:extLst>
        </xdr:cNvPr>
        <xdr:cNvSpPr txBox="1"/>
      </xdr:nvSpPr>
      <xdr:spPr>
        <a:xfrm>
          <a:off x="5871952" y="14627164"/>
          <a:ext cx="3410691" cy="10693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535671</xdr:colOff>
      <xdr:row>0</xdr:row>
      <xdr:rowOff>32205</xdr:rowOff>
    </xdr:from>
    <xdr:to>
      <xdr:col>5</xdr:col>
      <xdr:colOff>66676</xdr:colOff>
      <xdr:row>2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A43989-7ABA-4566-BE0E-48E2732941D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64696" y="32205"/>
          <a:ext cx="588280" cy="53929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752475</xdr:colOff>
      <xdr:row>11</xdr:row>
      <xdr:rowOff>142875</xdr:rowOff>
    </xdr:from>
    <xdr:to>
      <xdr:col>1</xdr:col>
      <xdr:colOff>28575</xdr:colOff>
      <xdr:row>11</xdr:row>
      <xdr:rowOff>142875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BEC0C9B-907E-4177-B837-3EF9FC235295}"/>
            </a:ext>
          </a:extLst>
        </xdr:cNvPr>
        <xdr:cNvCxnSpPr/>
      </xdr:nvCxnSpPr>
      <xdr:spPr>
        <a:xfrm>
          <a:off x="752475" y="1638300"/>
          <a:ext cx="6953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66CB5-1C5A-434D-9642-5EE73038E8F0}">
  <dimension ref="A1:K147"/>
  <sheetViews>
    <sheetView tabSelected="1" view="pageBreakPreview" topLeftCell="A120" zoomScale="106" zoomScaleNormal="100" zoomScaleSheetLayoutView="106" workbookViewId="0">
      <selection activeCell="A142" sqref="A142:XFD142"/>
    </sheetView>
  </sheetViews>
  <sheetFormatPr defaultColWidth="9.125" defaultRowHeight="15"/>
  <cols>
    <col min="1" max="1" width="36.625" style="6" customWidth="1"/>
    <col min="2" max="5" width="11.625" style="6" customWidth="1"/>
    <col min="6" max="7" width="11.625" style="15" customWidth="1"/>
    <col min="8" max="10" width="11.625" style="6" customWidth="1"/>
    <col min="11" max="11" width="26.375" style="10" customWidth="1"/>
    <col min="12" max="16384" width="9.125" style="6"/>
  </cols>
  <sheetData>
    <row r="1" spans="1:11" s="1" customFormat="1" ht="52.5" customHeight="1"/>
    <row r="2" spans="1:11" s="1" customFormat="1" ht="10.5" customHeight="1">
      <c r="A2" s="58" t="s">
        <v>0</v>
      </c>
      <c r="B2" s="58"/>
      <c r="C2" s="58"/>
      <c r="D2" s="58"/>
      <c r="E2" s="58"/>
      <c r="F2" s="58"/>
      <c r="G2" s="58"/>
      <c r="H2" s="58"/>
      <c r="I2" s="58"/>
      <c r="J2" s="58"/>
    </row>
    <row r="3" spans="1:11" s="1" customFormat="1" ht="15.95" customHeight="1">
      <c r="A3" s="58" t="s">
        <v>1</v>
      </c>
      <c r="B3" s="58"/>
      <c r="C3" s="58"/>
      <c r="D3" s="58"/>
      <c r="E3" s="58"/>
      <c r="F3" s="58"/>
      <c r="G3" s="58"/>
      <c r="H3" s="58"/>
      <c r="I3" s="58"/>
      <c r="J3" s="58"/>
    </row>
    <row r="4" spans="1:11" s="1" customFormat="1" ht="15.95" customHeight="1">
      <c r="A4" s="58" t="s">
        <v>2</v>
      </c>
      <c r="B4" s="58"/>
      <c r="C4" s="58"/>
      <c r="D4" s="58"/>
      <c r="E4" s="58"/>
      <c r="F4" s="58"/>
      <c r="G4" s="58"/>
      <c r="H4" s="58"/>
      <c r="I4" s="58"/>
      <c r="J4" s="58"/>
    </row>
    <row r="5" spans="1:11" s="1" customFormat="1" ht="15.95" customHeight="1">
      <c r="A5" s="58" t="s">
        <v>3</v>
      </c>
      <c r="B5" s="58"/>
      <c r="C5" s="58"/>
      <c r="D5" s="58"/>
      <c r="E5" s="58"/>
      <c r="F5" s="58"/>
      <c r="G5" s="58"/>
      <c r="H5" s="58"/>
      <c r="I5" s="58"/>
      <c r="J5" s="58"/>
    </row>
    <row r="6" spans="1:11" s="1" customFormat="1" ht="8.25" customHeight="1"/>
    <row r="7" spans="1:11" s="1" customFormat="1" ht="12" customHeight="1">
      <c r="A7" s="1" t="s">
        <v>4</v>
      </c>
      <c r="B7" s="57" t="s">
        <v>5</v>
      </c>
      <c r="C7" s="57"/>
      <c r="D7" s="57"/>
      <c r="H7" s="2" t="s">
        <v>6</v>
      </c>
      <c r="I7" s="3"/>
      <c r="J7" s="2"/>
    </row>
    <row r="8" spans="1:11" s="1" customFormat="1" ht="12" customHeight="1">
      <c r="B8" s="4"/>
      <c r="C8" s="4"/>
      <c r="H8" s="4"/>
      <c r="I8" s="4"/>
      <c r="J8" s="4"/>
    </row>
    <row r="9" spans="1:11" s="1" customFormat="1" ht="12" customHeight="1">
      <c r="A9" s="1" t="s">
        <v>7</v>
      </c>
      <c r="B9" s="57" t="s">
        <v>8</v>
      </c>
      <c r="C9" s="57"/>
      <c r="D9" s="57"/>
      <c r="H9" s="2" t="s">
        <v>9</v>
      </c>
      <c r="I9" s="5"/>
      <c r="J9" s="2"/>
    </row>
    <row r="10" spans="1:11" ht="23.25" customHeight="1" thickBot="1">
      <c r="A10" s="60" t="s">
        <v>10</v>
      </c>
      <c r="B10" s="60"/>
      <c r="C10" s="60"/>
      <c r="D10" s="60"/>
      <c r="E10" s="60"/>
      <c r="F10" s="60"/>
      <c r="G10" s="60"/>
      <c r="H10" s="60"/>
      <c r="I10" s="60"/>
      <c r="J10" s="60"/>
      <c r="K10" s="6"/>
    </row>
    <row r="11" spans="1:11" ht="18.75" customHeight="1">
      <c r="A11" s="61" t="s">
        <v>11</v>
      </c>
      <c r="B11" s="63" t="s">
        <v>12</v>
      </c>
      <c r="C11" s="64"/>
      <c r="D11" s="65" t="s">
        <v>13</v>
      </c>
      <c r="E11" s="66"/>
      <c r="F11" s="66"/>
      <c r="G11" s="67"/>
      <c r="H11" s="68" t="s">
        <v>14</v>
      </c>
      <c r="I11" s="69"/>
      <c r="J11" s="70" t="s">
        <v>15</v>
      </c>
      <c r="K11" s="59" t="s">
        <v>16</v>
      </c>
    </row>
    <row r="12" spans="1:11" ht="18.75" customHeight="1" thickBot="1">
      <c r="A12" s="62"/>
      <c r="B12" s="7" t="s">
        <v>17</v>
      </c>
      <c r="C12" s="7" t="s">
        <v>18</v>
      </c>
      <c r="D12" s="7" t="s">
        <v>17</v>
      </c>
      <c r="E12" s="7" t="s">
        <v>18</v>
      </c>
      <c r="F12" s="7" t="s">
        <v>19</v>
      </c>
      <c r="G12" s="7" t="s">
        <v>20</v>
      </c>
      <c r="H12" s="7" t="s">
        <v>17</v>
      </c>
      <c r="I12" s="7" t="s">
        <v>18</v>
      </c>
      <c r="J12" s="71"/>
      <c r="K12" s="59"/>
    </row>
    <row r="13" spans="1:11" ht="19.5" customHeight="1">
      <c r="A13" s="16" t="s">
        <v>21</v>
      </c>
      <c r="B13" s="17">
        <v>0.20799999999999999</v>
      </c>
      <c r="C13" s="17">
        <v>0.20799999999999999</v>
      </c>
      <c r="D13" s="17"/>
      <c r="E13" s="17"/>
      <c r="F13" s="17"/>
      <c r="G13" s="17"/>
      <c r="H13" s="8">
        <f>B13</f>
        <v>0.20799999999999999</v>
      </c>
      <c r="I13" s="8">
        <f>C13</f>
        <v>0.20799999999999999</v>
      </c>
      <c r="J13" s="9">
        <f>SUM(H13:I13)</f>
        <v>0.41599999999999998</v>
      </c>
    </row>
    <row r="14" spans="1:11" ht="15" customHeight="1">
      <c r="A14" s="18" t="s">
        <v>22</v>
      </c>
      <c r="B14" s="19">
        <v>6.25</v>
      </c>
      <c r="C14" s="19">
        <v>6.25</v>
      </c>
      <c r="D14" s="19"/>
      <c r="E14" s="19"/>
      <c r="F14" s="19"/>
      <c r="G14" s="19"/>
      <c r="H14" s="11">
        <f>H13-F14-D14+B14</f>
        <v>6.4580000000000002</v>
      </c>
      <c r="I14" s="11">
        <f>I13-E14+C14</f>
        <v>6.4580000000000002</v>
      </c>
      <c r="J14" s="12">
        <f>SUM(H14:I14)</f>
        <v>12.916</v>
      </c>
    </row>
    <row r="15" spans="1:11" ht="14.25" customHeight="1">
      <c r="A15" s="18" t="s">
        <v>23</v>
      </c>
      <c r="B15" s="19"/>
      <c r="C15" s="19"/>
      <c r="D15" s="19"/>
      <c r="E15" s="19"/>
      <c r="F15" s="19">
        <v>5</v>
      </c>
      <c r="G15" s="19"/>
      <c r="H15" s="11">
        <f t="shared" ref="H15:H16" si="0">H14-F15-D15+B15</f>
        <v>1.4580000000000002</v>
      </c>
      <c r="I15" s="11">
        <f t="shared" ref="I15:I16" si="1">I14-E15+C15</f>
        <v>6.4580000000000002</v>
      </c>
      <c r="J15" s="12">
        <f t="shared" ref="J15:J16" si="2">SUM(H15:I15)</f>
        <v>7.9160000000000004</v>
      </c>
    </row>
    <row r="16" spans="1:11" ht="15.75" customHeight="1">
      <c r="A16" s="21" t="s">
        <v>24</v>
      </c>
      <c r="B16" s="19"/>
      <c r="C16" s="19"/>
      <c r="D16" s="19"/>
      <c r="E16" s="19">
        <v>1</v>
      </c>
      <c r="F16" s="19"/>
      <c r="G16" s="19"/>
      <c r="H16" s="11">
        <f t="shared" si="0"/>
        <v>1.4580000000000002</v>
      </c>
      <c r="I16" s="11">
        <f t="shared" si="1"/>
        <v>5.4580000000000002</v>
      </c>
      <c r="J16" s="11">
        <f t="shared" si="2"/>
        <v>6.9160000000000004</v>
      </c>
    </row>
    <row r="17" spans="1:10" ht="15.75" customHeight="1">
      <c r="A17" s="21" t="s">
        <v>25</v>
      </c>
      <c r="B17" s="19">
        <v>1.25</v>
      </c>
      <c r="C17" s="19">
        <v>1.25</v>
      </c>
      <c r="D17" s="19"/>
      <c r="E17" s="19"/>
      <c r="F17" s="19"/>
      <c r="G17" s="19"/>
      <c r="H17" s="11">
        <f t="shared" ref="H17:H18" si="3">H16-F17-D17+B17</f>
        <v>2.7080000000000002</v>
      </c>
      <c r="I17" s="11">
        <f t="shared" ref="I17:I18" si="4">I16-E17+C17</f>
        <v>6.7080000000000002</v>
      </c>
      <c r="J17" s="11">
        <f t="shared" ref="J17:J18" si="5">SUM(H17:I17)</f>
        <v>9.4160000000000004</v>
      </c>
    </row>
    <row r="18" spans="1:10" s="10" customFormat="1" ht="14.25" customHeight="1">
      <c r="A18" s="21" t="s">
        <v>26</v>
      </c>
      <c r="B18" s="19"/>
      <c r="C18" s="19"/>
      <c r="D18" s="19"/>
      <c r="E18" s="19">
        <v>2</v>
      </c>
      <c r="F18" s="19"/>
      <c r="G18" s="19"/>
      <c r="H18" s="11">
        <f t="shared" si="3"/>
        <v>2.7080000000000002</v>
      </c>
      <c r="I18" s="11">
        <f t="shared" si="4"/>
        <v>4.7080000000000002</v>
      </c>
      <c r="J18" s="11">
        <f t="shared" si="5"/>
        <v>7.4160000000000004</v>
      </c>
    </row>
    <row r="19" spans="1:10" s="10" customFormat="1" ht="15.75" customHeight="1">
      <c r="A19" s="21" t="s">
        <v>27</v>
      </c>
      <c r="B19" s="19"/>
      <c r="C19" s="19"/>
      <c r="D19" s="19"/>
      <c r="E19" s="19"/>
      <c r="F19" s="19"/>
      <c r="G19" s="19">
        <v>2</v>
      </c>
      <c r="H19" s="11">
        <f t="shared" ref="H19:H20" si="6">H18-F19-D19+B19</f>
        <v>2.7080000000000002</v>
      </c>
      <c r="I19" s="11">
        <f t="shared" ref="I19:I20" si="7">I18-E19+C19</f>
        <v>4.7080000000000002</v>
      </c>
      <c r="J19" s="11">
        <f t="shared" ref="J19:J20" si="8">SUM(H19:I19)</f>
        <v>7.4160000000000004</v>
      </c>
    </row>
    <row r="20" spans="1:10" s="10" customFormat="1" ht="17.25" customHeight="1">
      <c r="A20" s="21" t="s">
        <v>28</v>
      </c>
      <c r="B20" s="19">
        <v>3.75</v>
      </c>
      <c r="C20" s="19">
        <v>3.75</v>
      </c>
      <c r="D20" s="19"/>
      <c r="E20" s="19"/>
      <c r="F20" s="19"/>
      <c r="G20" s="19"/>
      <c r="H20" s="11">
        <f t="shared" si="6"/>
        <v>6.4580000000000002</v>
      </c>
      <c r="I20" s="11">
        <f t="shared" si="7"/>
        <v>8.4580000000000002</v>
      </c>
      <c r="J20" s="11">
        <f t="shared" si="8"/>
        <v>14.916</v>
      </c>
    </row>
    <row r="21" spans="1:10" s="10" customFormat="1" ht="12" customHeight="1">
      <c r="A21" s="21" t="s">
        <v>29</v>
      </c>
      <c r="B21" s="19">
        <v>1.25</v>
      </c>
      <c r="C21" s="19">
        <v>1.25</v>
      </c>
      <c r="D21" s="19"/>
      <c r="E21" s="19"/>
      <c r="F21" s="19"/>
      <c r="G21" s="19"/>
      <c r="H21" s="11">
        <f t="shared" ref="H21:H84" si="9">H20-F21-D21+B21</f>
        <v>7.7080000000000002</v>
      </c>
      <c r="I21" s="11">
        <f t="shared" ref="I21:I84" si="10">I20-E21+C21</f>
        <v>9.7080000000000002</v>
      </c>
      <c r="J21" s="11">
        <f t="shared" ref="J21:J84" si="11">SUM(H21:I21)</f>
        <v>17.416</v>
      </c>
    </row>
    <row r="22" spans="1:10" s="10" customFormat="1" ht="15" customHeight="1">
      <c r="A22" s="21" t="s">
        <v>30</v>
      </c>
      <c r="B22" s="19"/>
      <c r="C22" s="19"/>
      <c r="D22" s="19"/>
      <c r="E22" s="19"/>
      <c r="F22" s="19"/>
      <c r="G22" s="19">
        <v>1</v>
      </c>
      <c r="H22" s="11">
        <f t="shared" si="9"/>
        <v>7.7080000000000002</v>
      </c>
      <c r="I22" s="11">
        <f t="shared" si="10"/>
        <v>9.7080000000000002</v>
      </c>
      <c r="J22" s="11">
        <f t="shared" si="11"/>
        <v>17.416</v>
      </c>
    </row>
    <row r="23" spans="1:10" s="10" customFormat="1" ht="16.5" customHeight="1">
      <c r="A23" s="21" t="s">
        <v>31</v>
      </c>
      <c r="B23" s="19"/>
      <c r="C23" s="19"/>
      <c r="D23" s="19"/>
      <c r="E23" s="19"/>
      <c r="F23" s="19">
        <v>1</v>
      </c>
      <c r="G23" s="19"/>
      <c r="H23" s="11">
        <f t="shared" si="9"/>
        <v>6.7080000000000002</v>
      </c>
      <c r="I23" s="11">
        <f t="shared" si="10"/>
        <v>9.7080000000000002</v>
      </c>
      <c r="J23" s="11">
        <f t="shared" si="11"/>
        <v>16.416</v>
      </c>
    </row>
    <row r="24" spans="1:10" s="10" customFormat="1" ht="14.25" customHeight="1">
      <c r="A24" s="21" t="s">
        <v>32</v>
      </c>
      <c r="B24" s="19">
        <v>1.25</v>
      </c>
      <c r="C24" s="19">
        <v>1.25</v>
      </c>
      <c r="D24" s="19"/>
      <c r="E24" s="19"/>
      <c r="F24" s="19"/>
      <c r="G24" s="19"/>
      <c r="H24" s="11">
        <f t="shared" si="9"/>
        <v>7.9580000000000002</v>
      </c>
      <c r="I24" s="11">
        <f t="shared" si="10"/>
        <v>10.958</v>
      </c>
      <c r="J24" s="11">
        <f t="shared" si="11"/>
        <v>18.916</v>
      </c>
    </row>
    <row r="25" spans="1:10" s="10" customFormat="1" ht="16.5" customHeight="1">
      <c r="A25" s="21" t="s">
        <v>33</v>
      </c>
      <c r="B25" s="19"/>
      <c r="C25" s="19"/>
      <c r="D25" s="19"/>
      <c r="E25" s="19"/>
      <c r="F25" s="19">
        <v>1</v>
      </c>
      <c r="G25" s="19"/>
      <c r="H25" s="11">
        <f t="shared" si="9"/>
        <v>6.9580000000000002</v>
      </c>
      <c r="I25" s="11">
        <f t="shared" si="10"/>
        <v>10.958</v>
      </c>
      <c r="J25" s="11">
        <f t="shared" si="11"/>
        <v>17.916</v>
      </c>
    </row>
    <row r="26" spans="1:10" s="10" customFormat="1" ht="15" customHeight="1">
      <c r="A26" s="21" t="s">
        <v>34</v>
      </c>
      <c r="B26" s="19">
        <v>12.5</v>
      </c>
      <c r="C26" s="19">
        <v>12.5</v>
      </c>
      <c r="D26" s="19"/>
      <c r="E26" s="19"/>
      <c r="F26" s="19"/>
      <c r="G26" s="19"/>
      <c r="H26" s="11">
        <f t="shared" si="9"/>
        <v>19.457999999999998</v>
      </c>
      <c r="I26" s="11">
        <f t="shared" si="10"/>
        <v>23.457999999999998</v>
      </c>
      <c r="J26" s="11">
        <f t="shared" si="11"/>
        <v>42.915999999999997</v>
      </c>
    </row>
    <row r="27" spans="1:10" s="10" customFormat="1" ht="14.25" customHeight="1">
      <c r="A27" s="21" t="s">
        <v>35</v>
      </c>
      <c r="B27" s="19"/>
      <c r="C27" s="19"/>
      <c r="D27" s="19"/>
      <c r="E27" s="19"/>
      <c r="F27" s="19">
        <v>3</v>
      </c>
      <c r="G27" s="19"/>
      <c r="H27" s="11">
        <f t="shared" si="9"/>
        <v>16.457999999999998</v>
      </c>
      <c r="I27" s="11">
        <f t="shared" si="10"/>
        <v>23.457999999999998</v>
      </c>
      <c r="J27" s="11">
        <f t="shared" si="11"/>
        <v>39.915999999999997</v>
      </c>
    </row>
    <row r="28" spans="1:10" s="10" customFormat="1" ht="14.25" customHeight="1">
      <c r="A28" s="21" t="s">
        <v>36</v>
      </c>
      <c r="B28" s="19">
        <v>2.5</v>
      </c>
      <c r="C28" s="19">
        <v>2.5</v>
      </c>
      <c r="D28" s="19"/>
      <c r="E28" s="19"/>
      <c r="F28" s="19"/>
      <c r="G28" s="19"/>
      <c r="H28" s="11">
        <f t="shared" si="9"/>
        <v>18.957999999999998</v>
      </c>
      <c r="I28" s="11">
        <f t="shared" si="10"/>
        <v>25.957999999999998</v>
      </c>
      <c r="J28" s="11">
        <f t="shared" si="11"/>
        <v>44.915999999999997</v>
      </c>
    </row>
    <row r="29" spans="1:10" s="10" customFormat="1" ht="14.25" customHeight="1">
      <c r="A29" s="21" t="s">
        <v>37</v>
      </c>
      <c r="B29" s="19"/>
      <c r="C29" s="19"/>
      <c r="D29" s="19"/>
      <c r="E29" s="19"/>
      <c r="F29" s="19">
        <v>4</v>
      </c>
      <c r="G29" s="19"/>
      <c r="H29" s="11">
        <f t="shared" si="9"/>
        <v>14.957999999999998</v>
      </c>
      <c r="I29" s="11">
        <f t="shared" si="10"/>
        <v>25.957999999999998</v>
      </c>
      <c r="J29" s="11">
        <f t="shared" si="11"/>
        <v>40.915999999999997</v>
      </c>
    </row>
    <row r="30" spans="1:10" s="10" customFormat="1" ht="15.75" customHeight="1">
      <c r="A30" s="21" t="s">
        <v>38</v>
      </c>
      <c r="B30" s="19">
        <v>7.5</v>
      </c>
      <c r="C30" s="19">
        <v>7.5</v>
      </c>
      <c r="D30" s="19"/>
      <c r="E30" s="19"/>
      <c r="F30" s="19"/>
      <c r="G30" s="19"/>
      <c r="H30" s="11">
        <f t="shared" si="9"/>
        <v>22.457999999999998</v>
      </c>
      <c r="I30" s="11">
        <f t="shared" si="10"/>
        <v>33.457999999999998</v>
      </c>
      <c r="J30" s="11">
        <f t="shared" si="11"/>
        <v>55.915999999999997</v>
      </c>
    </row>
    <row r="31" spans="1:10" s="10" customFormat="1" ht="17.25" customHeight="1">
      <c r="A31" s="21" t="s">
        <v>39</v>
      </c>
      <c r="B31" s="20"/>
      <c r="C31" s="19"/>
      <c r="D31" s="19"/>
      <c r="E31" s="19">
        <v>2</v>
      </c>
      <c r="F31" s="19"/>
      <c r="G31" s="19"/>
      <c r="H31" s="11">
        <f t="shared" si="9"/>
        <v>22.457999999999998</v>
      </c>
      <c r="I31" s="11">
        <f t="shared" si="10"/>
        <v>31.457999999999998</v>
      </c>
      <c r="J31" s="11">
        <f t="shared" si="11"/>
        <v>53.915999999999997</v>
      </c>
    </row>
    <row r="32" spans="1:10" s="10" customFormat="1" ht="15" customHeight="1">
      <c r="A32" s="48" t="s">
        <v>40</v>
      </c>
      <c r="B32" s="19"/>
      <c r="C32" s="19"/>
      <c r="D32" s="19"/>
      <c r="E32" s="19">
        <v>1</v>
      </c>
      <c r="F32" s="19"/>
      <c r="G32" s="19"/>
      <c r="H32" s="11">
        <f t="shared" si="9"/>
        <v>22.457999999999998</v>
      </c>
      <c r="I32" s="11">
        <f t="shared" si="10"/>
        <v>30.457999999999998</v>
      </c>
      <c r="J32" s="11">
        <f t="shared" si="11"/>
        <v>52.915999999999997</v>
      </c>
    </row>
    <row r="33" spans="1:11" s="10" customFormat="1" ht="13.5" customHeight="1">
      <c r="A33" s="48" t="s">
        <v>41</v>
      </c>
      <c r="B33" s="19">
        <v>1.25</v>
      </c>
      <c r="C33" s="19">
        <v>1.25</v>
      </c>
      <c r="D33" s="19"/>
      <c r="E33" s="19"/>
      <c r="F33" s="19"/>
      <c r="G33" s="19"/>
      <c r="H33" s="11">
        <f t="shared" si="9"/>
        <v>23.707999999999998</v>
      </c>
      <c r="I33" s="11">
        <f t="shared" si="10"/>
        <v>31.707999999999998</v>
      </c>
      <c r="J33" s="11">
        <f t="shared" si="11"/>
        <v>55.415999999999997</v>
      </c>
    </row>
    <row r="34" spans="1:11" ht="12.75" customHeight="1">
      <c r="A34" s="21" t="s">
        <v>42</v>
      </c>
      <c r="B34" s="19"/>
      <c r="C34" s="19"/>
      <c r="D34" s="19">
        <v>17</v>
      </c>
      <c r="E34" s="19">
        <v>12</v>
      </c>
      <c r="F34" s="19"/>
      <c r="G34" s="19"/>
      <c r="H34" s="11">
        <f t="shared" si="9"/>
        <v>6.7079999999999984</v>
      </c>
      <c r="I34" s="11">
        <f t="shared" si="10"/>
        <v>19.707999999999998</v>
      </c>
      <c r="J34" s="11">
        <f t="shared" si="11"/>
        <v>26.415999999999997</v>
      </c>
    </row>
    <row r="35" spans="1:11" ht="15" customHeight="1">
      <c r="A35" s="21" t="s">
        <v>43</v>
      </c>
      <c r="B35" s="19">
        <v>3.75</v>
      </c>
      <c r="C35" s="19">
        <v>3.75</v>
      </c>
      <c r="D35" s="19"/>
      <c r="E35" s="19"/>
      <c r="F35" s="19"/>
      <c r="G35" s="19"/>
      <c r="H35" s="11">
        <f t="shared" si="9"/>
        <v>10.457999999999998</v>
      </c>
      <c r="I35" s="11">
        <f t="shared" si="10"/>
        <v>23.457999999999998</v>
      </c>
      <c r="J35" s="11">
        <f t="shared" si="11"/>
        <v>33.915999999999997</v>
      </c>
    </row>
    <row r="36" spans="1:11" ht="14.25" customHeight="1">
      <c r="A36" s="21" t="s">
        <v>44</v>
      </c>
      <c r="B36" s="19"/>
      <c r="C36" s="19"/>
      <c r="D36" s="19"/>
      <c r="E36" s="19"/>
      <c r="F36" s="19">
        <v>1</v>
      </c>
      <c r="G36" s="19"/>
      <c r="H36" s="11">
        <f t="shared" si="9"/>
        <v>9.4579999999999984</v>
      </c>
      <c r="I36" s="11">
        <f t="shared" si="10"/>
        <v>23.457999999999998</v>
      </c>
      <c r="J36" s="11">
        <f t="shared" si="11"/>
        <v>32.915999999999997</v>
      </c>
    </row>
    <row r="37" spans="1:11" ht="18" customHeight="1">
      <c r="A37" s="21" t="s">
        <v>45</v>
      </c>
      <c r="B37" s="19">
        <v>1.25</v>
      </c>
      <c r="C37" s="19">
        <v>1.25</v>
      </c>
      <c r="D37" s="19"/>
      <c r="E37" s="19"/>
      <c r="F37" s="19"/>
      <c r="G37" s="19"/>
      <c r="H37" s="11">
        <f t="shared" si="9"/>
        <v>10.707999999999998</v>
      </c>
      <c r="I37" s="11">
        <f t="shared" si="10"/>
        <v>24.707999999999998</v>
      </c>
      <c r="J37" s="11">
        <f t="shared" si="11"/>
        <v>35.415999999999997</v>
      </c>
    </row>
    <row r="38" spans="1:11" ht="15" customHeight="1">
      <c r="A38" s="21" t="s">
        <v>46</v>
      </c>
      <c r="B38" s="19"/>
      <c r="C38" s="19"/>
      <c r="D38" s="19"/>
      <c r="E38" s="19">
        <v>1</v>
      </c>
      <c r="F38" s="19"/>
      <c r="G38" s="19"/>
      <c r="H38" s="11">
        <f t="shared" si="9"/>
        <v>10.707999999999998</v>
      </c>
      <c r="I38" s="11">
        <f t="shared" si="10"/>
        <v>23.707999999999998</v>
      </c>
      <c r="J38" s="11">
        <f t="shared" si="11"/>
        <v>34.415999999999997</v>
      </c>
    </row>
    <row r="39" spans="1:11" ht="12" customHeight="1">
      <c r="A39" s="21" t="s">
        <v>47</v>
      </c>
      <c r="B39" s="19">
        <v>1.25</v>
      </c>
      <c r="C39" s="19">
        <v>1.25</v>
      </c>
      <c r="D39" s="19"/>
      <c r="E39" s="19"/>
      <c r="F39" s="19"/>
      <c r="G39" s="19"/>
      <c r="H39" s="11">
        <f t="shared" si="9"/>
        <v>11.957999999999998</v>
      </c>
      <c r="I39" s="11">
        <f t="shared" si="10"/>
        <v>24.957999999999998</v>
      </c>
      <c r="J39" s="11">
        <f t="shared" si="11"/>
        <v>36.915999999999997</v>
      </c>
    </row>
    <row r="40" spans="1:11" s="14" customFormat="1" ht="15.75" customHeight="1">
      <c r="A40" s="21" t="s">
        <v>48</v>
      </c>
      <c r="B40" s="19"/>
      <c r="C40" s="19"/>
      <c r="D40" s="19"/>
      <c r="E40" s="19"/>
      <c r="F40" s="19"/>
      <c r="G40" s="19">
        <v>1</v>
      </c>
      <c r="H40" s="11">
        <f t="shared" si="9"/>
        <v>11.957999999999998</v>
      </c>
      <c r="I40" s="11">
        <f t="shared" si="10"/>
        <v>24.957999999999998</v>
      </c>
      <c r="J40" s="11">
        <f t="shared" si="11"/>
        <v>36.915999999999997</v>
      </c>
      <c r="K40" s="13"/>
    </row>
    <row r="41" spans="1:11" s="14" customFormat="1" ht="15.75" customHeight="1">
      <c r="A41" s="21" t="s">
        <v>49</v>
      </c>
      <c r="B41" s="19"/>
      <c r="C41" s="19"/>
      <c r="D41" s="19">
        <v>3</v>
      </c>
      <c r="E41" s="19"/>
      <c r="F41" s="19"/>
      <c r="G41" s="19"/>
      <c r="H41" s="11">
        <f t="shared" si="9"/>
        <v>8.9579999999999984</v>
      </c>
      <c r="I41" s="11">
        <f t="shared" si="10"/>
        <v>24.957999999999998</v>
      </c>
      <c r="J41" s="11">
        <f t="shared" si="11"/>
        <v>33.915999999999997</v>
      </c>
      <c r="K41" s="13"/>
    </row>
    <row r="42" spans="1:11" s="14" customFormat="1" ht="12.75" customHeight="1">
      <c r="A42" s="21" t="s">
        <v>50</v>
      </c>
      <c r="B42" s="19"/>
      <c r="C42" s="19"/>
      <c r="D42" s="19"/>
      <c r="E42" s="19"/>
      <c r="F42" s="19"/>
      <c r="G42" s="19">
        <v>1</v>
      </c>
      <c r="H42" s="11">
        <f t="shared" si="9"/>
        <v>8.9579999999999984</v>
      </c>
      <c r="I42" s="11">
        <f t="shared" si="10"/>
        <v>24.957999999999998</v>
      </c>
      <c r="J42" s="11">
        <f t="shared" si="11"/>
        <v>33.915999999999997</v>
      </c>
      <c r="K42" s="13"/>
    </row>
    <row r="43" spans="1:11" s="14" customFormat="1" ht="12.75" customHeight="1">
      <c r="A43" s="21" t="s">
        <v>51</v>
      </c>
      <c r="B43" s="19">
        <v>1.25</v>
      </c>
      <c r="C43" s="19">
        <v>1.25</v>
      </c>
      <c r="D43" s="19"/>
      <c r="E43" s="19"/>
      <c r="F43" s="19"/>
      <c r="G43" s="19"/>
      <c r="H43" s="11">
        <f t="shared" si="9"/>
        <v>10.207999999999998</v>
      </c>
      <c r="I43" s="11">
        <f t="shared" si="10"/>
        <v>26.207999999999998</v>
      </c>
      <c r="J43" s="11">
        <f t="shared" si="11"/>
        <v>36.415999999999997</v>
      </c>
      <c r="K43" s="13"/>
    </row>
    <row r="44" spans="1:11" ht="15.75" customHeight="1">
      <c r="A44" s="21" t="s">
        <v>52</v>
      </c>
      <c r="B44" s="19"/>
      <c r="C44" s="19"/>
      <c r="D44" s="19"/>
      <c r="E44" s="19"/>
      <c r="F44" s="19">
        <v>2</v>
      </c>
      <c r="G44" s="19"/>
      <c r="H44" s="11">
        <f t="shared" si="9"/>
        <v>8.2079999999999984</v>
      </c>
      <c r="I44" s="11">
        <f t="shared" si="10"/>
        <v>26.207999999999998</v>
      </c>
      <c r="J44" s="11">
        <f t="shared" si="11"/>
        <v>34.415999999999997</v>
      </c>
    </row>
    <row r="45" spans="1:11" s="14" customFormat="1" ht="16.5" customHeight="1">
      <c r="A45" s="21" t="s">
        <v>53</v>
      </c>
      <c r="B45" s="19">
        <v>3.75</v>
      </c>
      <c r="C45" s="19">
        <v>3.75</v>
      </c>
      <c r="D45" s="19"/>
      <c r="E45" s="19"/>
      <c r="F45" s="19"/>
      <c r="G45" s="19"/>
      <c r="H45" s="11">
        <f t="shared" si="9"/>
        <v>11.957999999999998</v>
      </c>
      <c r="I45" s="11">
        <f t="shared" si="10"/>
        <v>29.957999999999998</v>
      </c>
      <c r="J45" s="11">
        <f t="shared" si="11"/>
        <v>41.915999999999997</v>
      </c>
      <c r="K45" s="13"/>
    </row>
    <row r="46" spans="1:11" s="14" customFormat="1" ht="16.5" customHeight="1">
      <c r="A46" s="21" t="s">
        <v>54</v>
      </c>
      <c r="B46" s="19"/>
      <c r="C46" s="19"/>
      <c r="D46" s="19"/>
      <c r="E46" s="19">
        <v>1</v>
      </c>
      <c r="F46" s="19"/>
      <c r="G46" s="19"/>
      <c r="H46" s="11">
        <f t="shared" si="9"/>
        <v>11.957999999999998</v>
      </c>
      <c r="I46" s="11">
        <f t="shared" si="10"/>
        <v>28.957999999999998</v>
      </c>
      <c r="J46" s="11">
        <f t="shared" si="11"/>
        <v>40.915999999999997</v>
      </c>
      <c r="K46" s="13"/>
    </row>
    <row r="47" spans="1:11" ht="12" customHeight="1">
      <c r="A47" s="21" t="s">
        <v>55</v>
      </c>
      <c r="B47" s="19">
        <v>1.25</v>
      </c>
      <c r="C47" s="19">
        <v>1.25</v>
      </c>
      <c r="D47" s="19"/>
      <c r="E47" s="19"/>
      <c r="F47" s="19"/>
      <c r="G47" s="19"/>
      <c r="H47" s="11">
        <f t="shared" si="9"/>
        <v>13.207999999999998</v>
      </c>
      <c r="I47" s="11">
        <f t="shared" si="10"/>
        <v>30.207999999999998</v>
      </c>
      <c r="J47" s="11">
        <f t="shared" si="11"/>
        <v>43.415999999999997</v>
      </c>
    </row>
    <row r="48" spans="1:11" ht="16.5" customHeight="1">
      <c r="A48" s="21" t="s">
        <v>56</v>
      </c>
      <c r="B48" s="19"/>
      <c r="C48" s="19"/>
      <c r="D48" s="19">
        <v>2</v>
      </c>
      <c r="E48" s="19"/>
      <c r="F48" s="19"/>
      <c r="G48" s="19"/>
      <c r="H48" s="11">
        <f t="shared" si="9"/>
        <v>11.207999999999998</v>
      </c>
      <c r="I48" s="11">
        <f t="shared" si="10"/>
        <v>30.207999999999998</v>
      </c>
      <c r="J48" s="11">
        <f t="shared" si="11"/>
        <v>41.415999999999997</v>
      </c>
    </row>
    <row r="49" spans="1:10" ht="15.75" customHeight="1">
      <c r="A49" s="21" t="s">
        <v>57</v>
      </c>
      <c r="B49" s="19"/>
      <c r="C49" s="19"/>
      <c r="D49" s="19">
        <v>1</v>
      </c>
      <c r="E49" s="19"/>
      <c r="F49" s="19">
        <v>1</v>
      </c>
      <c r="G49" s="19"/>
      <c r="H49" s="11">
        <f t="shared" si="9"/>
        <v>9.2079999999999984</v>
      </c>
      <c r="I49" s="11">
        <f t="shared" si="10"/>
        <v>30.207999999999998</v>
      </c>
      <c r="J49" s="11">
        <f t="shared" si="11"/>
        <v>39.415999999999997</v>
      </c>
    </row>
    <row r="50" spans="1:10" s="10" customFormat="1" ht="16.5" customHeight="1">
      <c r="A50" s="21" t="s">
        <v>58</v>
      </c>
      <c r="B50" s="19">
        <v>1.25</v>
      </c>
      <c r="C50" s="19">
        <v>1.25</v>
      </c>
      <c r="D50" s="19"/>
      <c r="E50" s="19"/>
      <c r="F50" s="19"/>
      <c r="G50" s="19"/>
      <c r="H50" s="11">
        <f t="shared" si="9"/>
        <v>10.457999999999998</v>
      </c>
      <c r="I50" s="11">
        <f t="shared" si="10"/>
        <v>31.457999999999998</v>
      </c>
      <c r="J50" s="11">
        <f t="shared" si="11"/>
        <v>41.915999999999997</v>
      </c>
    </row>
    <row r="51" spans="1:10" s="10" customFormat="1" ht="16.5" customHeight="1">
      <c r="A51" s="21" t="s">
        <v>59</v>
      </c>
      <c r="B51" s="19"/>
      <c r="C51" s="19"/>
      <c r="D51" s="19"/>
      <c r="E51" s="19">
        <v>1</v>
      </c>
      <c r="F51" s="19"/>
      <c r="G51" s="19"/>
      <c r="H51" s="11">
        <f t="shared" si="9"/>
        <v>10.457999999999998</v>
      </c>
      <c r="I51" s="11">
        <f t="shared" si="10"/>
        <v>30.457999999999998</v>
      </c>
      <c r="J51" s="11">
        <f t="shared" si="11"/>
        <v>40.915999999999997</v>
      </c>
    </row>
    <row r="52" spans="1:10" s="10" customFormat="1" ht="16.5" customHeight="1">
      <c r="A52" s="21" t="s">
        <v>60</v>
      </c>
      <c r="B52" s="19"/>
      <c r="C52" s="19"/>
      <c r="D52" s="19">
        <v>1</v>
      </c>
      <c r="E52" s="19"/>
      <c r="F52" s="19"/>
      <c r="G52" s="19"/>
      <c r="H52" s="11">
        <f t="shared" si="9"/>
        <v>9.4579999999999984</v>
      </c>
      <c r="I52" s="11">
        <f t="shared" si="10"/>
        <v>30.457999999999998</v>
      </c>
      <c r="J52" s="11">
        <f t="shared" si="11"/>
        <v>39.915999999999997</v>
      </c>
    </row>
    <row r="53" spans="1:10" s="10" customFormat="1" ht="12" customHeight="1">
      <c r="A53" s="21" t="s">
        <v>61</v>
      </c>
      <c r="B53" s="19">
        <v>1.25</v>
      </c>
      <c r="C53" s="19">
        <v>1.25</v>
      </c>
      <c r="D53" s="19"/>
      <c r="E53" s="19"/>
      <c r="F53" s="19"/>
      <c r="G53" s="19"/>
      <c r="H53" s="11">
        <f t="shared" si="9"/>
        <v>10.707999999999998</v>
      </c>
      <c r="I53" s="11">
        <f t="shared" si="10"/>
        <v>31.707999999999998</v>
      </c>
      <c r="J53" s="11">
        <f t="shared" si="11"/>
        <v>42.415999999999997</v>
      </c>
    </row>
    <row r="54" spans="1:10" s="10" customFormat="1" ht="17.25" customHeight="1">
      <c r="A54" s="21" t="s">
        <v>62</v>
      </c>
      <c r="B54" s="19"/>
      <c r="C54" s="19"/>
      <c r="D54" s="19">
        <v>3</v>
      </c>
      <c r="E54" s="19">
        <v>22</v>
      </c>
      <c r="F54" s="19"/>
      <c r="G54" s="19"/>
      <c r="H54" s="11">
        <f t="shared" si="9"/>
        <v>7.7079999999999984</v>
      </c>
      <c r="I54" s="11">
        <f t="shared" si="10"/>
        <v>9.7079999999999984</v>
      </c>
      <c r="J54" s="11">
        <f t="shared" si="11"/>
        <v>17.415999999999997</v>
      </c>
    </row>
    <row r="55" spans="1:10" s="10" customFormat="1" ht="17.25" customHeight="1">
      <c r="A55" s="21" t="s">
        <v>63</v>
      </c>
      <c r="B55" s="19"/>
      <c r="C55" s="19"/>
      <c r="D55" s="19"/>
      <c r="E55" s="19">
        <v>1</v>
      </c>
      <c r="F55" s="19"/>
      <c r="G55" s="19"/>
      <c r="H55" s="11">
        <f t="shared" si="9"/>
        <v>7.7079999999999984</v>
      </c>
      <c r="I55" s="11">
        <f t="shared" si="10"/>
        <v>8.7079999999999984</v>
      </c>
      <c r="J55" s="11">
        <f t="shared" si="11"/>
        <v>16.415999999999997</v>
      </c>
    </row>
    <row r="56" spans="1:10" s="10" customFormat="1" ht="14.25" customHeight="1">
      <c r="A56" s="21" t="s">
        <v>64</v>
      </c>
      <c r="B56" s="19"/>
      <c r="C56" s="19"/>
      <c r="D56" s="19"/>
      <c r="E56" s="19">
        <v>4</v>
      </c>
      <c r="F56" s="19"/>
      <c r="G56" s="19"/>
      <c r="H56" s="11">
        <f t="shared" si="9"/>
        <v>7.7079999999999984</v>
      </c>
      <c r="I56" s="11">
        <f t="shared" si="10"/>
        <v>4.7079999999999984</v>
      </c>
      <c r="J56" s="11">
        <f t="shared" si="11"/>
        <v>12.415999999999997</v>
      </c>
    </row>
    <row r="57" spans="1:10" s="10" customFormat="1" ht="15" customHeight="1">
      <c r="A57" s="21" t="s">
        <v>65</v>
      </c>
      <c r="B57" s="19">
        <v>1.25</v>
      </c>
      <c r="C57" s="19">
        <v>1.25</v>
      </c>
      <c r="D57" s="19"/>
      <c r="E57" s="19"/>
      <c r="F57" s="19"/>
      <c r="G57" s="19"/>
      <c r="H57" s="11">
        <f t="shared" si="9"/>
        <v>8.9579999999999984</v>
      </c>
      <c r="I57" s="11">
        <f t="shared" si="10"/>
        <v>5.9579999999999984</v>
      </c>
      <c r="J57" s="11">
        <f t="shared" si="11"/>
        <v>14.915999999999997</v>
      </c>
    </row>
    <row r="58" spans="1:10" s="10" customFormat="1" ht="15.75" customHeight="1">
      <c r="A58" s="21" t="s">
        <v>66</v>
      </c>
      <c r="B58" s="19"/>
      <c r="C58" s="19"/>
      <c r="D58" s="19">
        <v>1</v>
      </c>
      <c r="E58" s="19"/>
      <c r="F58" s="19"/>
      <c r="G58" s="19"/>
      <c r="H58" s="11">
        <f t="shared" si="9"/>
        <v>7.9579999999999984</v>
      </c>
      <c r="I58" s="11">
        <f t="shared" si="10"/>
        <v>5.9579999999999984</v>
      </c>
      <c r="J58" s="11">
        <f t="shared" si="11"/>
        <v>13.915999999999997</v>
      </c>
    </row>
    <row r="59" spans="1:10" s="10" customFormat="1" ht="14.25" customHeight="1">
      <c r="A59" s="21" t="s">
        <v>67</v>
      </c>
      <c r="B59" s="19"/>
      <c r="C59" s="19"/>
      <c r="D59" s="19">
        <v>1</v>
      </c>
      <c r="E59" s="19"/>
      <c r="F59" s="19"/>
      <c r="G59" s="19"/>
      <c r="H59" s="11">
        <f t="shared" si="9"/>
        <v>6.9579999999999984</v>
      </c>
      <c r="I59" s="11">
        <f t="shared" si="10"/>
        <v>5.9579999999999984</v>
      </c>
      <c r="J59" s="11">
        <f t="shared" si="11"/>
        <v>12.915999999999997</v>
      </c>
    </row>
    <row r="60" spans="1:10" s="10" customFormat="1" ht="14.25" customHeight="1">
      <c r="A60" s="21" t="s">
        <v>68</v>
      </c>
      <c r="B60" s="19"/>
      <c r="C60" s="19"/>
      <c r="D60" s="19"/>
      <c r="E60" s="19"/>
      <c r="F60" s="19"/>
      <c r="G60" s="19">
        <v>1</v>
      </c>
      <c r="H60" s="11">
        <f t="shared" si="9"/>
        <v>6.9579999999999984</v>
      </c>
      <c r="I60" s="11">
        <f t="shared" si="10"/>
        <v>5.9579999999999984</v>
      </c>
      <c r="J60" s="11">
        <f t="shared" si="11"/>
        <v>12.915999999999997</v>
      </c>
    </row>
    <row r="61" spans="1:10" s="10" customFormat="1" ht="15" customHeight="1">
      <c r="A61" s="21" t="s">
        <v>69</v>
      </c>
      <c r="B61" s="19"/>
      <c r="C61" s="19"/>
      <c r="D61" s="19">
        <v>1</v>
      </c>
      <c r="E61" s="19"/>
      <c r="F61" s="19"/>
      <c r="G61" s="19"/>
      <c r="H61" s="11">
        <f t="shared" si="9"/>
        <v>5.9579999999999984</v>
      </c>
      <c r="I61" s="11">
        <f t="shared" si="10"/>
        <v>5.9579999999999984</v>
      </c>
      <c r="J61" s="11">
        <f t="shared" si="11"/>
        <v>11.915999999999997</v>
      </c>
    </row>
    <row r="62" spans="1:10" s="10" customFormat="1" ht="14.25" customHeight="1">
      <c r="A62" s="21" t="s">
        <v>70</v>
      </c>
      <c r="B62" s="19">
        <v>2.5</v>
      </c>
      <c r="C62" s="19">
        <v>2.5</v>
      </c>
      <c r="D62" s="19"/>
      <c r="E62" s="19"/>
      <c r="F62" s="19"/>
      <c r="G62" s="19"/>
      <c r="H62" s="11">
        <f t="shared" si="9"/>
        <v>8.4579999999999984</v>
      </c>
      <c r="I62" s="11">
        <f t="shared" si="10"/>
        <v>8.4579999999999984</v>
      </c>
      <c r="J62" s="11">
        <f t="shared" si="11"/>
        <v>16.915999999999997</v>
      </c>
    </row>
    <row r="63" spans="1:10" s="10" customFormat="1" ht="14.25" customHeight="1">
      <c r="A63" s="21" t="s">
        <v>71</v>
      </c>
      <c r="B63" s="19"/>
      <c r="C63" s="19"/>
      <c r="D63" s="19"/>
      <c r="E63" s="19"/>
      <c r="F63" s="19">
        <v>2</v>
      </c>
      <c r="G63" s="19"/>
      <c r="H63" s="11">
        <f t="shared" si="9"/>
        <v>6.4579999999999984</v>
      </c>
      <c r="I63" s="11">
        <f t="shared" si="10"/>
        <v>8.4579999999999984</v>
      </c>
      <c r="J63" s="11">
        <f t="shared" si="11"/>
        <v>14.915999999999997</v>
      </c>
    </row>
    <row r="64" spans="1:10" s="10" customFormat="1" ht="14.25" customHeight="1">
      <c r="A64" s="21" t="s">
        <v>72</v>
      </c>
      <c r="B64" s="19"/>
      <c r="C64" s="19"/>
      <c r="D64" s="19"/>
      <c r="E64" s="19"/>
      <c r="F64" s="19">
        <v>1</v>
      </c>
      <c r="G64" s="19"/>
      <c r="H64" s="11">
        <f t="shared" si="9"/>
        <v>5.4579999999999984</v>
      </c>
      <c r="I64" s="11">
        <f t="shared" si="10"/>
        <v>8.4579999999999984</v>
      </c>
      <c r="J64" s="11">
        <f t="shared" si="11"/>
        <v>13.915999999999997</v>
      </c>
    </row>
    <row r="65" spans="1:10" s="10" customFormat="1" ht="14.25" customHeight="1">
      <c r="A65" s="21" t="s">
        <v>73</v>
      </c>
      <c r="B65" s="19"/>
      <c r="C65" s="19"/>
      <c r="D65" s="19"/>
      <c r="E65" s="19">
        <v>1</v>
      </c>
      <c r="F65" s="19"/>
      <c r="G65" s="19"/>
      <c r="H65" s="11">
        <f t="shared" si="9"/>
        <v>5.4579999999999984</v>
      </c>
      <c r="I65" s="11">
        <f t="shared" si="10"/>
        <v>7.4579999999999984</v>
      </c>
      <c r="J65" s="11">
        <f t="shared" si="11"/>
        <v>12.915999999999997</v>
      </c>
    </row>
    <row r="66" spans="1:10" s="10" customFormat="1" ht="14.25" customHeight="1">
      <c r="A66" s="21" t="s">
        <v>74</v>
      </c>
      <c r="B66" s="19"/>
      <c r="C66" s="19"/>
      <c r="D66" s="19"/>
      <c r="E66" s="19"/>
      <c r="F66" s="19"/>
      <c r="G66" s="19">
        <v>1</v>
      </c>
      <c r="H66" s="11">
        <f t="shared" si="9"/>
        <v>5.4579999999999984</v>
      </c>
      <c r="I66" s="11">
        <f t="shared" si="10"/>
        <v>7.4579999999999984</v>
      </c>
      <c r="J66" s="11">
        <f t="shared" si="11"/>
        <v>12.915999999999997</v>
      </c>
    </row>
    <row r="67" spans="1:10" s="10" customFormat="1" ht="14.25" customHeight="1">
      <c r="A67" s="21" t="s">
        <v>75</v>
      </c>
      <c r="B67" s="19"/>
      <c r="C67" s="19"/>
      <c r="D67" s="19"/>
      <c r="E67" s="19"/>
      <c r="F67" s="19">
        <v>2</v>
      </c>
      <c r="G67" s="19"/>
      <c r="H67" s="11">
        <f t="shared" si="9"/>
        <v>3.4579999999999984</v>
      </c>
      <c r="I67" s="11">
        <f t="shared" si="10"/>
        <v>7.4579999999999984</v>
      </c>
      <c r="J67" s="11">
        <f t="shared" si="11"/>
        <v>10.915999999999997</v>
      </c>
    </row>
    <row r="68" spans="1:10" s="10" customFormat="1" ht="14.25" customHeight="1">
      <c r="A68" s="21" t="s">
        <v>76</v>
      </c>
      <c r="B68" s="19"/>
      <c r="C68" s="19"/>
      <c r="D68" s="19"/>
      <c r="E68" s="19"/>
      <c r="F68" s="19"/>
      <c r="G68" s="19">
        <v>1</v>
      </c>
      <c r="H68" s="11">
        <f t="shared" si="9"/>
        <v>3.4579999999999984</v>
      </c>
      <c r="I68" s="11">
        <f t="shared" si="10"/>
        <v>7.4579999999999984</v>
      </c>
      <c r="J68" s="11">
        <f t="shared" si="11"/>
        <v>10.915999999999997</v>
      </c>
    </row>
    <row r="69" spans="1:10" s="10" customFormat="1" ht="15.75" customHeight="1">
      <c r="A69" s="21" t="s">
        <v>77</v>
      </c>
      <c r="B69" s="19">
        <v>2.5</v>
      </c>
      <c r="C69" s="19">
        <v>2.5</v>
      </c>
      <c r="D69" s="19"/>
      <c r="E69" s="19"/>
      <c r="F69" s="19"/>
      <c r="G69" s="19"/>
      <c r="H69" s="11">
        <f t="shared" si="9"/>
        <v>5.9579999999999984</v>
      </c>
      <c r="I69" s="11">
        <f t="shared" si="10"/>
        <v>9.9579999999999984</v>
      </c>
      <c r="J69" s="11">
        <f t="shared" si="11"/>
        <v>15.915999999999997</v>
      </c>
    </row>
    <row r="70" spans="1:10" s="10" customFormat="1" ht="12" customHeight="1">
      <c r="A70" s="21" t="s">
        <v>78</v>
      </c>
      <c r="B70" s="19"/>
      <c r="C70" s="19"/>
      <c r="D70" s="19">
        <v>1</v>
      </c>
      <c r="E70" s="19"/>
      <c r="F70" s="19"/>
      <c r="G70" s="19"/>
      <c r="H70" s="11">
        <f t="shared" si="9"/>
        <v>4.9579999999999984</v>
      </c>
      <c r="I70" s="11">
        <f t="shared" si="10"/>
        <v>9.9579999999999984</v>
      </c>
      <c r="J70" s="11">
        <f t="shared" si="11"/>
        <v>14.915999999999997</v>
      </c>
    </row>
    <row r="71" spans="1:10" s="10" customFormat="1" ht="12" customHeight="1">
      <c r="A71" s="21" t="s">
        <v>79</v>
      </c>
      <c r="B71" s="19"/>
      <c r="C71" s="19"/>
      <c r="D71" s="19"/>
      <c r="E71" s="19">
        <v>1</v>
      </c>
      <c r="F71" s="19"/>
      <c r="G71" s="19"/>
      <c r="H71" s="11">
        <f t="shared" si="9"/>
        <v>4.9579999999999984</v>
      </c>
      <c r="I71" s="11">
        <f t="shared" si="10"/>
        <v>8.9579999999999984</v>
      </c>
      <c r="J71" s="11">
        <f t="shared" si="11"/>
        <v>13.915999999999997</v>
      </c>
    </row>
    <row r="72" spans="1:10" s="10" customFormat="1" ht="12" customHeight="1">
      <c r="A72" s="21" t="s">
        <v>80</v>
      </c>
      <c r="B72" s="19"/>
      <c r="C72" s="19"/>
      <c r="D72" s="19"/>
      <c r="E72" s="19">
        <v>2</v>
      </c>
      <c r="F72" s="19"/>
      <c r="G72" s="19"/>
      <c r="H72" s="11">
        <f t="shared" si="9"/>
        <v>4.9579999999999984</v>
      </c>
      <c r="I72" s="11">
        <f t="shared" si="10"/>
        <v>6.9579999999999984</v>
      </c>
      <c r="J72" s="11">
        <f t="shared" si="11"/>
        <v>11.915999999999997</v>
      </c>
    </row>
    <row r="73" spans="1:10" s="10" customFormat="1" ht="12" customHeight="1">
      <c r="A73" s="21" t="s">
        <v>81</v>
      </c>
      <c r="B73" s="19"/>
      <c r="C73" s="19"/>
      <c r="D73" s="19"/>
      <c r="E73" s="19"/>
      <c r="F73" s="19"/>
      <c r="G73" s="19">
        <v>1</v>
      </c>
      <c r="H73" s="11">
        <f t="shared" si="9"/>
        <v>4.9579999999999984</v>
      </c>
      <c r="I73" s="11">
        <f t="shared" si="10"/>
        <v>6.9579999999999984</v>
      </c>
      <c r="J73" s="11">
        <f t="shared" si="11"/>
        <v>11.915999999999997</v>
      </c>
    </row>
    <row r="74" spans="1:10" s="10" customFormat="1" ht="15" customHeight="1">
      <c r="A74" s="21" t="s">
        <v>82</v>
      </c>
      <c r="B74" s="19">
        <v>1.25</v>
      </c>
      <c r="C74" s="19">
        <v>1.25</v>
      </c>
      <c r="D74" s="19"/>
      <c r="E74" s="19"/>
      <c r="F74" s="19"/>
      <c r="G74" s="19"/>
      <c r="H74" s="11">
        <f t="shared" si="9"/>
        <v>6.2079999999999984</v>
      </c>
      <c r="I74" s="11">
        <f t="shared" si="10"/>
        <v>8.2079999999999984</v>
      </c>
      <c r="J74" s="11">
        <f t="shared" si="11"/>
        <v>14.415999999999997</v>
      </c>
    </row>
    <row r="75" spans="1:10" s="10" customFormat="1" ht="15" customHeight="1">
      <c r="A75" s="21" t="s">
        <v>83</v>
      </c>
      <c r="B75" s="19"/>
      <c r="C75" s="19"/>
      <c r="D75" s="19"/>
      <c r="E75" s="19">
        <v>1</v>
      </c>
      <c r="F75" s="19"/>
      <c r="G75" s="19"/>
      <c r="H75" s="11">
        <f t="shared" si="9"/>
        <v>6.2079999999999984</v>
      </c>
      <c r="I75" s="11">
        <f t="shared" si="10"/>
        <v>7.2079999999999984</v>
      </c>
      <c r="J75" s="11">
        <f t="shared" si="11"/>
        <v>13.415999999999997</v>
      </c>
    </row>
    <row r="76" spans="1:10" s="10" customFormat="1" ht="12" customHeight="1">
      <c r="A76" s="21" t="s">
        <v>84</v>
      </c>
      <c r="B76" s="19">
        <v>2.5</v>
      </c>
      <c r="C76" s="19">
        <v>2.5</v>
      </c>
      <c r="D76" s="19"/>
      <c r="E76" s="19"/>
      <c r="F76" s="19"/>
      <c r="G76" s="19"/>
      <c r="H76" s="11">
        <f t="shared" si="9"/>
        <v>8.7079999999999984</v>
      </c>
      <c r="I76" s="11">
        <f t="shared" si="10"/>
        <v>9.7079999999999984</v>
      </c>
      <c r="J76" s="11">
        <f t="shared" si="11"/>
        <v>18.415999999999997</v>
      </c>
    </row>
    <row r="77" spans="1:10" s="10" customFormat="1" ht="12" customHeight="1">
      <c r="A77" s="21" t="s">
        <v>85</v>
      </c>
      <c r="B77" s="19"/>
      <c r="C77" s="19"/>
      <c r="D77" s="19"/>
      <c r="E77" s="19">
        <v>1</v>
      </c>
      <c r="F77" s="19"/>
      <c r="G77" s="19"/>
      <c r="H77" s="11">
        <f t="shared" si="9"/>
        <v>8.7079999999999984</v>
      </c>
      <c r="I77" s="11">
        <f t="shared" si="10"/>
        <v>8.7079999999999984</v>
      </c>
      <c r="J77" s="11">
        <f t="shared" si="11"/>
        <v>17.415999999999997</v>
      </c>
    </row>
    <row r="78" spans="1:10" s="10" customFormat="1" ht="14.25" customHeight="1">
      <c r="A78" s="21" t="s">
        <v>86</v>
      </c>
      <c r="B78" s="19"/>
      <c r="C78" s="19"/>
      <c r="D78" s="19">
        <v>1</v>
      </c>
      <c r="E78" s="19"/>
      <c r="F78" s="19"/>
      <c r="G78" s="19"/>
      <c r="H78" s="11">
        <f t="shared" si="9"/>
        <v>7.7079999999999984</v>
      </c>
      <c r="I78" s="11">
        <f t="shared" si="10"/>
        <v>8.7079999999999984</v>
      </c>
      <c r="J78" s="12">
        <f t="shared" si="11"/>
        <v>16.415999999999997</v>
      </c>
    </row>
    <row r="79" spans="1:10" s="10" customFormat="1" ht="17.25" customHeight="1">
      <c r="A79" s="21" t="s">
        <v>87</v>
      </c>
      <c r="B79" s="19"/>
      <c r="C79" s="19"/>
      <c r="D79" s="19">
        <v>2</v>
      </c>
      <c r="E79" s="19"/>
      <c r="F79" s="19"/>
      <c r="G79" s="19"/>
      <c r="H79" s="11">
        <f t="shared" si="9"/>
        <v>5.7079999999999984</v>
      </c>
      <c r="I79" s="11">
        <f t="shared" si="10"/>
        <v>8.7079999999999984</v>
      </c>
      <c r="J79" s="11">
        <f t="shared" si="11"/>
        <v>14.415999999999997</v>
      </c>
    </row>
    <row r="80" spans="1:10" s="10" customFormat="1" ht="18" customHeight="1">
      <c r="A80" s="21" t="s">
        <v>88</v>
      </c>
      <c r="B80" s="19">
        <v>1.25</v>
      </c>
      <c r="C80" s="19">
        <v>1.25</v>
      </c>
      <c r="D80" s="19"/>
      <c r="E80" s="19"/>
      <c r="F80" s="19"/>
      <c r="G80" s="19"/>
      <c r="H80" s="11">
        <f t="shared" si="9"/>
        <v>6.9579999999999984</v>
      </c>
      <c r="I80" s="11">
        <f t="shared" si="10"/>
        <v>9.9579999999999984</v>
      </c>
      <c r="J80" s="11">
        <f t="shared" si="11"/>
        <v>16.915999999999997</v>
      </c>
    </row>
    <row r="81" spans="1:10" s="10" customFormat="1" ht="12" customHeight="1">
      <c r="A81" s="21" t="s">
        <v>89</v>
      </c>
      <c r="B81" s="19"/>
      <c r="C81" s="19"/>
      <c r="D81" s="19"/>
      <c r="E81" s="19">
        <v>1</v>
      </c>
      <c r="F81" s="19"/>
      <c r="G81" s="19"/>
      <c r="H81" s="11">
        <f t="shared" si="9"/>
        <v>6.9579999999999984</v>
      </c>
      <c r="I81" s="11">
        <f t="shared" si="10"/>
        <v>8.9579999999999984</v>
      </c>
      <c r="J81" s="11">
        <f t="shared" si="11"/>
        <v>15.915999999999997</v>
      </c>
    </row>
    <row r="82" spans="1:10" s="10" customFormat="1" ht="13.5" customHeight="1">
      <c r="A82" s="21" t="s">
        <v>90</v>
      </c>
      <c r="B82" s="19"/>
      <c r="C82" s="19"/>
      <c r="D82" s="19"/>
      <c r="E82" s="19">
        <v>2</v>
      </c>
      <c r="F82" s="19"/>
      <c r="G82" s="19"/>
      <c r="H82" s="11">
        <f t="shared" si="9"/>
        <v>6.9579999999999984</v>
      </c>
      <c r="I82" s="11">
        <f t="shared" si="10"/>
        <v>6.9579999999999984</v>
      </c>
      <c r="J82" s="11">
        <f t="shared" si="11"/>
        <v>13.915999999999997</v>
      </c>
    </row>
    <row r="83" spans="1:10" s="10" customFormat="1" ht="18" customHeight="1">
      <c r="A83" s="21" t="s">
        <v>91</v>
      </c>
      <c r="B83" s="19">
        <v>2.5</v>
      </c>
      <c r="C83" s="19">
        <v>2.5</v>
      </c>
      <c r="D83" s="19"/>
      <c r="E83" s="19"/>
      <c r="F83" s="19"/>
      <c r="G83" s="19"/>
      <c r="H83" s="11">
        <f t="shared" si="9"/>
        <v>9.4579999999999984</v>
      </c>
      <c r="I83" s="11">
        <f t="shared" si="10"/>
        <v>9.4579999999999984</v>
      </c>
      <c r="J83" s="11">
        <f t="shared" si="11"/>
        <v>18.915999999999997</v>
      </c>
    </row>
    <row r="84" spans="1:10" s="10" customFormat="1" ht="17.25" customHeight="1">
      <c r="A84" s="21" t="s">
        <v>92</v>
      </c>
      <c r="B84" s="19"/>
      <c r="C84" s="19"/>
      <c r="D84" s="19">
        <v>1</v>
      </c>
      <c r="E84" s="19"/>
      <c r="F84" s="19"/>
      <c r="G84" s="19"/>
      <c r="H84" s="11">
        <f t="shared" si="9"/>
        <v>8.4579999999999984</v>
      </c>
      <c r="I84" s="11">
        <f t="shared" si="10"/>
        <v>9.4579999999999984</v>
      </c>
      <c r="J84" s="11">
        <f t="shared" si="11"/>
        <v>17.915999999999997</v>
      </c>
    </row>
    <row r="85" spans="1:10" s="10" customFormat="1" ht="14.25" customHeight="1">
      <c r="A85" s="22" t="s">
        <v>93</v>
      </c>
      <c r="B85" s="23"/>
      <c r="C85" s="23"/>
      <c r="D85" s="24">
        <v>2</v>
      </c>
      <c r="E85" s="19"/>
      <c r="F85" s="19"/>
      <c r="G85" s="19"/>
      <c r="H85" s="11">
        <f t="shared" ref="H85:H94" si="12">H84-F85-D85+B85</f>
        <v>6.4579999999999984</v>
      </c>
      <c r="I85" s="11">
        <f t="shared" ref="I85:I94" si="13">I84-E85+C85</f>
        <v>9.4579999999999984</v>
      </c>
      <c r="J85" s="11">
        <f t="shared" ref="J85:J94" si="14">SUM(H85:I85)</f>
        <v>15.915999999999997</v>
      </c>
    </row>
    <row r="86" spans="1:10" s="10" customFormat="1" ht="14.25" customHeight="1">
      <c r="A86" s="22" t="s">
        <v>94</v>
      </c>
      <c r="B86" s="22"/>
      <c r="C86" s="22"/>
      <c r="D86" s="24">
        <v>1</v>
      </c>
      <c r="E86" s="19">
        <v>9</v>
      </c>
      <c r="F86" s="19"/>
      <c r="G86" s="19"/>
      <c r="H86" s="11">
        <f t="shared" si="12"/>
        <v>5.4579999999999984</v>
      </c>
      <c r="I86" s="11">
        <f t="shared" si="13"/>
        <v>0.45799999999999841</v>
      </c>
      <c r="J86" s="11">
        <f t="shared" si="14"/>
        <v>5.9159999999999968</v>
      </c>
    </row>
    <row r="87" spans="1:10" s="10" customFormat="1" ht="14.25" customHeight="1">
      <c r="A87" s="22" t="s">
        <v>95</v>
      </c>
      <c r="B87" s="22">
        <v>2.5</v>
      </c>
      <c r="C87" s="22">
        <v>2.5</v>
      </c>
      <c r="D87" s="24"/>
      <c r="E87" s="19"/>
      <c r="F87" s="19"/>
      <c r="G87" s="19"/>
      <c r="H87" s="11">
        <f t="shared" si="12"/>
        <v>7.9579999999999984</v>
      </c>
      <c r="I87" s="11">
        <f t="shared" si="13"/>
        <v>2.9579999999999984</v>
      </c>
      <c r="J87" s="11">
        <f t="shared" si="14"/>
        <v>10.915999999999997</v>
      </c>
    </row>
    <row r="88" spans="1:10" s="10" customFormat="1" ht="14.25" customHeight="1">
      <c r="A88" s="22" t="s">
        <v>96</v>
      </c>
      <c r="B88" s="22"/>
      <c r="C88" s="22"/>
      <c r="D88" s="24"/>
      <c r="E88" s="19">
        <v>1</v>
      </c>
      <c r="F88" s="19"/>
      <c r="G88" s="19"/>
      <c r="H88" s="11">
        <f t="shared" si="12"/>
        <v>7.9579999999999984</v>
      </c>
      <c r="I88" s="11">
        <f t="shared" si="13"/>
        <v>1.9579999999999984</v>
      </c>
      <c r="J88" s="11">
        <f t="shared" si="14"/>
        <v>9.9159999999999968</v>
      </c>
    </row>
    <row r="89" spans="1:10" s="10" customFormat="1" ht="14.25" customHeight="1">
      <c r="A89" s="22" t="s">
        <v>97</v>
      </c>
      <c r="B89" s="22"/>
      <c r="C89" s="22"/>
      <c r="D89" s="24"/>
      <c r="E89" s="19">
        <v>1</v>
      </c>
      <c r="F89" s="19"/>
      <c r="G89" s="19"/>
      <c r="H89" s="11">
        <f t="shared" si="12"/>
        <v>7.9579999999999984</v>
      </c>
      <c r="I89" s="11">
        <f t="shared" si="13"/>
        <v>0.95799999999999841</v>
      </c>
      <c r="J89" s="11">
        <f t="shared" si="14"/>
        <v>8.9159999999999968</v>
      </c>
    </row>
    <row r="90" spans="1:10" s="10" customFormat="1" ht="14.25" customHeight="1">
      <c r="A90" s="22" t="s">
        <v>98</v>
      </c>
      <c r="B90" s="22"/>
      <c r="C90" s="22"/>
      <c r="D90" s="24"/>
      <c r="E90" s="19"/>
      <c r="F90" s="19">
        <v>1</v>
      </c>
      <c r="G90" s="19"/>
      <c r="H90" s="11">
        <f t="shared" si="12"/>
        <v>6.9579999999999984</v>
      </c>
      <c r="I90" s="11">
        <f t="shared" si="13"/>
        <v>0.95799999999999841</v>
      </c>
      <c r="J90" s="11">
        <f t="shared" si="14"/>
        <v>7.9159999999999968</v>
      </c>
    </row>
    <row r="91" spans="1:10" s="10" customFormat="1" ht="14.25" customHeight="1">
      <c r="A91" s="22" t="s">
        <v>99</v>
      </c>
      <c r="B91" s="22"/>
      <c r="C91" s="22"/>
      <c r="D91" s="24"/>
      <c r="E91" s="19"/>
      <c r="F91" s="19">
        <v>1</v>
      </c>
      <c r="G91" s="19"/>
      <c r="H91" s="11">
        <f t="shared" si="12"/>
        <v>5.9579999999999984</v>
      </c>
      <c r="I91" s="11">
        <f t="shared" si="13"/>
        <v>0.95799999999999841</v>
      </c>
      <c r="J91" s="11">
        <f t="shared" si="14"/>
        <v>6.9159999999999968</v>
      </c>
    </row>
    <row r="92" spans="1:10" s="10" customFormat="1" ht="14.25" customHeight="1">
      <c r="A92" s="22" t="s">
        <v>100</v>
      </c>
      <c r="B92" s="22">
        <v>1.25</v>
      </c>
      <c r="C92" s="22">
        <v>1.25</v>
      </c>
      <c r="D92" s="24"/>
      <c r="E92" s="19"/>
      <c r="F92" s="19"/>
      <c r="G92" s="19"/>
      <c r="H92" s="11">
        <f t="shared" si="12"/>
        <v>7.2079999999999984</v>
      </c>
      <c r="I92" s="11">
        <f t="shared" si="13"/>
        <v>2.2079999999999984</v>
      </c>
      <c r="J92" s="11">
        <f t="shared" si="14"/>
        <v>9.4159999999999968</v>
      </c>
    </row>
    <row r="93" spans="1:10" s="10" customFormat="1" ht="14.25" customHeight="1">
      <c r="A93" s="22" t="s">
        <v>101</v>
      </c>
      <c r="B93" s="22"/>
      <c r="C93" s="22"/>
      <c r="D93" s="24">
        <v>2</v>
      </c>
      <c r="E93" s="19"/>
      <c r="F93" s="19"/>
      <c r="G93" s="19"/>
      <c r="H93" s="11">
        <f t="shared" si="12"/>
        <v>5.2079999999999984</v>
      </c>
      <c r="I93" s="11">
        <f t="shared" si="13"/>
        <v>2.2079999999999984</v>
      </c>
      <c r="J93" s="11">
        <f t="shared" si="14"/>
        <v>7.4159999999999968</v>
      </c>
    </row>
    <row r="94" spans="1:10" s="10" customFormat="1" ht="14.25" customHeight="1">
      <c r="A94" s="22" t="s">
        <v>102</v>
      </c>
      <c r="B94" s="22">
        <v>1.25</v>
      </c>
      <c r="C94" s="22">
        <v>1.25</v>
      </c>
      <c r="D94" s="24"/>
      <c r="E94" s="19"/>
      <c r="F94" s="19"/>
      <c r="G94" s="19"/>
      <c r="H94" s="11">
        <f t="shared" si="12"/>
        <v>6.4579999999999984</v>
      </c>
      <c r="I94" s="11">
        <f t="shared" si="13"/>
        <v>3.4579999999999984</v>
      </c>
      <c r="J94" s="11">
        <f t="shared" si="14"/>
        <v>9.9159999999999968</v>
      </c>
    </row>
    <row r="95" spans="1:10" s="10" customFormat="1" ht="14.25" customHeight="1">
      <c r="A95" s="22" t="s">
        <v>103</v>
      </c>
      <c r="B95" s="22"/>
      <c r="C95" s="22"/>
      <c r="D95" s="24">
        <v>1</v>
      </c>
      <c r="E95" s="19"/>
      <c r="F95" s="19"/>
      <c r="G95" s="19"/>
      <c r="H95" s="11">
        <f t="shared" ref="H95:H112" si="15">H94-F95-D95+B95</f>
        <v>5.4579999999999984</v>
      </c>
      <c r="I95" s="11">
        <f t="shared" ref="I95:I112" si="16">I94-E95+C95</f>
        <v>3.4579999999999984</v>
      </c>
      <c r="J95" s="11">
        <f t="shared" ref="J95:J112" si="17">SUM(H95:I95)</f>
        <v>8.9159999999999968</v>
      </c>
    </row>
    <row r="96" spans="1:10" s="10" customFormat="1" ht="14.25" customHeight="1">
      <c r="A96" s="22" t="s">
        <v>104</v>
      </c>
      <c r="B96" s="22"/>
      <c r="C96" s="22"/>
      <c r="D96" s="22"/>
      <c r="E96" s="19">
        <v>1</v>
      </c>
      <c r="F96" s="19"/>
      <c r="G96" s="19"/>
      <c r="H96" s="11">
        <f t="shared" si="15"/>
        <v>5.4579999999999984</v>
      </c>
      <c r="I96" s="11">
        <f t="shared" si="16"/>
        <v>2.4579999999999984</v>
      </c>
      <c r="J96" s="11">
        <f t="shared" si="17"/>
        <v>7.9159999999999968</v>
      </c>
    </row>
    <row r="97" spans="1:10" s="10" customFormat="1" ht="14.25" customHeight="1">
      <c r="A97" s="22" t="s">
        <v>105</v>
      </c>
      <c r="B97" s="22">
        <v>2.5</v>
      </c>
      <c r="C97" s="22">
        <v>2.5</v>
      </c>
      <c r="D97" s="22"/>
      <c r="E97" s="19"/>
      <c r="F97" s="19"/>
      <c r="G97" s="19"/>
      <c r="H97" s="11">
        <f t="shared" si="15"/>
        <v>7.9579999999999984</v>
      </c>
      <c r="I97" s="11">
        <f t="shared" si="16"/>
        <v>4.9579999999999984</v>
      </c>
      <c r="J97" s="11">
        <f t="shared" si="17"/>
        <v>12.915999999999997</v>
      </c>
    </row>
    <row r="98" spans="1:10" s="10" customFormat="1" ht="14.25" customHeight="1">
      <c r="A98" s="22" t="s">
        <v>106</v>
      </c>
      <c r="B98" s="22"/>
      <c r="C98" s="22"/>
      <c r="D98" s="22"/>
      <c r="E98" s="19">
        <v>1</v>
      </c>
      <c r="F98" s="19"/>
      <c r="G98" s="19"/>
      <c r="H98" s="11">
        <f t="shared" si="15"/>
        <v>7.9579999999999984</v>
      </c>
      <c r="I98" s="11">
        <f t="shared" si="16"/>
        <v>3.9579999999999984</v>
      </c>
      <c r="J98" s="11">
        <f t="shared" si="17"/>
        <v>11.915999999999997</v>
      </c>
    </row>
    <row r="99" spans="1:10" s="10" customFormat="1" ht="14.25" customHeight="1">
      <c r="A99" s="22" t="s">
        <v>107</v>
      </c>
      <c r="B99" s="22"/>
      <c r="C99" s="22"/>
      <c r="D99" s="22"/>
      <c r="E99" s="19"/>
      <c r="F99" s="19">
        <v>1</v>
      </c>
      <c r="G99" s="19"/>
      <c r="H99" s="11">
        <f t="shared" si="15"/>
        <v>6.9579999999999984</v>
      </c>
      <c r="I99" s="11">
        <f t="shared" si="16"/>
        <v>3.9579999999999984</v>
      </c>
      <c r="J99" s="11">
        <f t="shared" si="17"/>
        <v>10.915999999999997</v>
      </c>
    </row>
    <row r="100" spans="1:10" s="10" customFormat="1" ht="14.25" customHeight="1">
      <c r="A100" s="22" t="s">
        <v>108</v>
      </c>
      <c r="B100" s="22"/>
      <c r="C100" s="22"/>
      <c r="D100" s="22"/>
      <c r="E100" s="19"/>
      <c r="F100" s="19"/>
      <c r="G100" s="19">
        <v>1</v>
      </c>
      <c r="H100" s="11">
        <f t="shared" si="15"/>
        <v>6.9579999999999984</v>
      </c>
      <c r="I100" s="11">
        <f t="shared" si="16"/>
        <v>3.9579999999999984</v>
      </c>
      <c r="J100" s="11">
        <f t="shared" si="17"/>
        <v>10.915999999999997</v>
      </c>
    </row>
    <row r="101" spans="1:10" s="10" customFormat="1" ht="14.25" customHeight="1">
      <c r="A101" s="22" t="s">
        <v>109</v>
      </c>
      <c r="B101" s="22"/>
      <c r="C101" s="22"/>
      <c r="D101" s="22"/>
      <c r="E101" s="19"/>
      <c r="F101" s="19"/>
      <c r="G101" s="19">
        <v>2</v>
      </c>
      <c r="H101" s="11">
        <f t="shared" si="15"/>
        <v>6.9579999999999984</v>
      </c>
      <c r="I101" s="11">
        <f t="shared" si="16"/>
        <v>3.9579999999999984</v>
      </c>
      <c r="J101" s="11">
        <f t="shared" si="17"/>
        <v>10.915999999999997</v>
      </c>
    </row>
    <row r="102" spans="1:10" s="10" customFormat="1" ht="14.25" customHeight="1">
      <c r="A102" s="22" t="s">
        <v>110</v>
      </c>
      <c r="B102" s="22">
        <v>3.75</v>
      </c>
      <c r="C102" s="22">
        <v>3.75</v>
      </c>
      <c r="D102" s="22"/>
      <c r="E102" s="19"/>
      <c r="F102" s="19"/>
      <c r="G102" s="19"/>
      <c r="H102" s="11">
        <f t="shared" si="15"/>
        <v>10.707999999999998</v>
      </c>
      <c r="I102" s="11">
        <f t="shared" si="16"/>
        <v>7.7079999999999984</v>
      </c>
      <c r="J102" s="11">
        <f t="shared" si="17"/>
        <v>18.415999999999997</v>
      </c>
    </row>
    <row r="103" spans="1:10" s="10" customFormat="1" ht="14.25" customHeight="1">
      <c r="A103" s="22" t="s">
        <v>111</v>
      </c>
      <c r="B103" s="22"/>
      <c r="C103" s="22"/>
      <c r="D103" s="22">
        <v>2</v>
      </c>
      <c r="E103" s="19"/>
      <c r="F103" s="19"/>
      <c r="G103" s="19"/>
      <c r="H103" s="11">
        <f t="shared" si="15"/>
        <v>8.7079999999999984</v>
      </c>
      <c r="I103" s="11">
        <f t="shared" si="16"/>
        <v>7.7079999999999984</v>
      </c>
      <c r="J103" s="11">
        <f t="shared" si="17"/>
        <v>16.415999999999997</v>
      </c>
    </row>
    <row r="104" spans="1:10" s="10" customFormat="1" ht="14.25" customHeight="1">
      <c r="A104" s="22" t="s">
        <v>112</v>
      </c>
      <c r="B104" s="22"/>
      <c r="C104" s="22"/>
      <c r="D104" s="22"/>
      <c r="E104" s="19">
        <v>1</v>
      </c>
      <c r="F104" s="19"/>
      <c r="G104" s="19"/>
      <c r="H104" s="11">
        <f t="shared" si="15"/>
        <v>8.7079999999999984</v>
      </c>
      <c r="I104" s="11">
        <f t="shared" si="16"/>
        <v>6.7079999999999984</v>
      </c>
      <c r="J104" s="11">
        <f t="shared" si="17"/>
        <v>15.415999999999997</v>
      </c>
    </row>
    <row r="105" spans="1:10" s="10" customFormat="1" ht="14.25" customHeight="1">
      <c r="A105" s="22" t="s">
        <v>113</v>
      </c>
      <c r="B105" s="22">
        <v>1.25</v>
      </c>
      <c r="C105" s="22">
        <v>1.25</v>
      </c>
      <c r="D105" s="22"/>
      <c r="E105" s="19"/>
      <c r="F105" s="19"/>
      <c r="G105" s="19"/>
      <c r="H105" s="11">
        <f t="shared" si="15"/>
        <v>9.9579999999999984</v>
      </c>
      <c r="I105" s="11">
        <f t="shared" si="16"/>
        <v>7.9579999999999984</v>
      </c>
      <c r="J105" s="11">
        <f t="shared" si="17"/>
        <v>17.915999999999997</v>
      </c>
    </row>
    <row r="106" spans="1:10" s="10" customFormat="1" ht="14.25" customHeight="1">
      <c r="A106" s="22" t="s">
        <v>114</v>
      </c>
      <c r="B106" s="22"/>
      <c r="C106" s="22"/>
      <c r="D106" s="22"/>
      <c r="E106" s="19">
        <v>1</v>
      </c>
      <c r="F106" s="19"/>
      <c r="G106" s="19"/>
      <c r="H106" s="11">
        <f t="shared" si="15"/>
        <v>9.9579999999999984</v>
      </c>
      <c r="I106" s="11">
        <f t="shared" si="16"/>
        <v>6.9579999999999984</v>
      </c>
      <c r="J106" s="11">
        <f t="shared" si="17"/>
        <v>16.915999999999997</v>
      </c>
    </row>
    <row r="107" spans="1:10" s="10" customFormat="1" ht="14.25" customHeight="1">
      <c r="A107" s="22" t="s">
        <v>115</v>
      </c>
      <c r="B107" s="22">
        <v>1.25</v>
      </c>
      <c r="C107" s="22">
        <v>1.25</v>
      </c>
      <c r="D107" s="22"/>
      <c r="E107" s="19"/>
      <c r="F107" s="19"/>
      <c r="G107" s="19"/>
      <c r="H107" s="11">
        <f t="shared" si="15"/>
        <v>11.207999999999998</v>
      </c>
      <c r="I107" s="11">
        <f t="shared" si="16"/>
        <v>8.2079999999999984</v>
      </c>
      <c r="J107" s="11">
        <f t="shared" si="17"/>
        <v>19.415999999999997</v>
      </c>
    </row>
    <row r="108" spans="1:10" s="10" customFormat="1" ht="14.25" customHeight="1">
      <c r="A108" s="22" t="s">
        <v>116</v>
      </c>
      <c r="B108" s="22"/>
      <c r="C108" s="22"/>
      <c r="D108" s="22"/>
      <c r="E108" s="19">
        <v>2</v>
      </c>
      <c r="F108" s="19"/>
      <c r="G108" s="19"/>
      <c r="H108" s="11">
        <f t="shared" si="15"/>
        <v>11.207999999999998</v>
      </c>
      <c r="I108" s="11">
        <f t="shared" si="16"/>
        <v>6.2079999999999984</v>
      </c>
      <c r="J108" s="11">
        <f t="shared" si="17"/>
        <v>17.415999999999997</v>
      </c>
    </row>
    <row r="109" spans="1:10" s="10" customFormat="1" ht="14.25" customHeight="1">
      <c r="A109" s="22" t="s">
        <v>117</v>
      </c>
      <c r="B109" s="22">
        <v>1.25</v>
      </c>
      <c r="C109" s="22">
        <v>1.25</v>
      </c>
      <c r="D109" s="22"/>
      <c r="E109" s="19"/>
      <c r="F109" s="19"/>
      <c r="G109" s="19"/>
      <c r="H109" s="11">
        <f t="shared" si="15"/>
        <v>12.457999999999998</v>
      </c>
      <c r="I109" s="11">
        <f t="shared" si="16"/>
        <v>7.4579999999999984</v>
      </c>
      <c r="J109" s="11">
        <f t="shared" si="17"/>
        <v>19.915999999999997</v>
      </c>
    </row>
    <row r="110" spans="1:10" s="10" customFormat="1" ht="14.25" customHeight="1">
      <c r="A110" s="22" t="s">
        <v>118</v>
      </c>
      <c r="B110" s="22"/>
      <c r="C110" s="22"/>
      <c r="D110" s="22">
        <v>1</v>
      </c>
      <c r="E110" s="19"/>
      <c r="F110" s="19"/>
      <c r="G110" s="19"/>
      <c r="H110" s="11">
        <f t="shared" si="15"/>
        <v>11.457999999999998</v>
      </c>
      <c r="I110" s="11">
        <f t="shared" si="16"/>
        <v>7.4579999999999984</v>
      </c>
      <c r="J110" s="11">
        <f t="shared" si="17"/>
        <v>18.915999999999997</v>
      </c>
    </row>
    <row r="111" spans="1:10" s="10" customFormat="1" ht="14.25" customHeight="1">
      <c r="A111" s="22" t="s">
        <v>119</v>
      </c>
      <c r="B111" s="22">
        <v>2.5</v>
      </c>
      <c r="C111" s="22">
        <v>2.5</v>
      </c>
      <c r="D111" s="22"/>
      <c r="E111" s="19"/>
      <c r="F111" s="19"/>
      <c r="G111" s="19"/>
      <c r="H111" s="11">
        <f t="shared" si="15"/>
        <v>13.957999999999998</v>
      </c>
      <c r="I111" s="11">
        <f t="shared" si="16"/>
        <v>9.9579999999999984</v>
      </c>
      <c r="J111" s="11">
        <f t="shared" si="17"/>
        <v>23.915999999999997</v>
      </c>
    </row>
    <row r="112" spans="1:10" s="10" customFormat="1" ht="14.25" customHeight="1">
      <c r="A112" s="49" t="s">
        <v>120</v>
      </c>
      <c r="B112" s="22"/>
      <c r="C112" s="22"/>
      <c r="D112" s="22"/>
      <c r="E112" s="19"/>
      <c r="F112" s="19">
        <v>4</v>
      </c>
      <c r="G112" s="19"/>
      <c r="H112" s="11">
        <f t="shared" si="15"/>
        <v>9.9579999999999984</v>
      </c>
      <c r="I112" s="11">
        <f t="shared" si="16"/>
        <v>9.9579999999999984</v>
      </c>
      <c r="J112" s="11">
        <f t="shared" si="17"/>
        <v>19.915999999999997</v>
      </c>
    </row>
    <row r="113" spans="1:10" s="10" customFormat="1" ht="14.25" customHeight="1">
      <c r="A113" s="49" t="s">
        <v>121</v>
      </c>
      <c r="B113" s="22">
        <v>1.25</v>
      </c>
      <c r="C113" s="22">
        <v>1.25</v>
      </c>
      <c r="D113" s="22"/>
      <c r="E113" s="19"/>
      <c r="F113" s="19"/>
      <c r="G113" s="19"/>
      <c r="H113" s="11">
        <f t="shared" ref="H113:H114" si="18">H112-F113-D113+B113</f>
        <v>11.207999999999998</v>
      </c>
      <c r="I113" s="11">
        <f t="shared" ref="I113:I114" si="19">I112-E113+C113</f>
        <v>11.207999999999998</v>
      </c>
      <c r="J113" s="11">
        <f t="shared" ref="J113:J114" si="20">SUM(H113:I113)</f>
        <v>22.415999999999997</v>
      </c>
    </row>
    <row r="114" spans="1:10" s="10" customFormat="1" ht="14.25" customHeight="1">
      <c r="A114" s="49" t="s">
        <v>122</v>
      </c>
      <c r="B114" s="22"/>
      <c r="C114" s="22"/>
      <c r="D114" s="22"/>
      <c r="E114" s="19">
        <v>2</v>
      </c>
      <c r="F114" s="19"/>
      <c r="G114" s="19"/>
      <c r="H114" s="11">
        <f t="shared" si="18"/>
        <v>11.207999999999998</v>
      </c>
      <c r="I114" s="11">
        <f t="shared" si="19"/>
        <v>9.2079999999999984</v>
      </c>
      <c r="J114" s="11">
        <f t="shared" si="20"/>
        <v>20.415999999999997</v>
      </c>
    </row>
    <row r="115" spans="1:10" s="10" customFormat="1" ht="14.25" customHeight="1">
      <c r="A115" s="49" t="s">
        <v>123</v>
      </c>
      <c r="B115" s="22">
        <v>1.25</v>
      </c>
      <c r="C115" s="22">
        <v>1.25</v>
      </c>
      <c r="D115" s="22"/>
      <c r="E115" s="19"/>
      <c r="F115" s="19"/>
      <c r="G115" s="19"/>
      <c r="H115" s="11">
        <f t="shared" ref="H115:H116" si="21">H114-F115-D115+B115</f>
        <v>12.457999999999998</v>
      </c>
      <c r="I115" s="11">
        <f t="shared" ref="I115:I116" si="22">I114-E115+C115</f>
        <v>10.457999999999998</v>
      </c>
      <c r="J115" s="11">
        <f t="shared" ref="J115:J116" si="23">SUM(H115:I115)</f>
        <v>22.915999999999997</v>
      </c>
    </row>
    <row r="116" spans="1:10" s="10" customFormat="1" ht="14.25" customHeight="1">
      <c r="A116" s="49" t="s">
        <v>124</v>
      </c>
      <c r="B116" s="22"/>
      <c r="C116" s="22"/>
      <c r="D116" s="22"/>
      <c r="E116" s="19"/>
      <c r="F116" s="19"/>
      <c r="G116" s="46">
        <v>1</v>
      </c>
      <c r="H116" s="11">
        <f t="shared" si="21"/>
        <v>12.457999999999998</v>
      </c>
      <c r="I116" s="11">
        <f t="shared" si="22"/>
        <v>10.457999999999998</v>
      </c>
      <c r="J116" s="11">
        <f t="shared" si="23"/>
        <v>22.915999999999997</v>
      </c>
    </row>
    <row r="117" spans="1:10" s="10" customFormat="1" ht="14.25" customHeight="1">
      <c r="A117" s="49" t="s">
        <v>125</v>
      </c>
      <c r="B117" s="22"/>
      <c r="C117" s="22"/>
      <c r="D117" s="22"/>
      <c r="E117" s="19"/>
      <c r="F117" s="47">
        <v>1</v>
      </c>
      <c r="G117" s="19"/>
      <c r="H117" s="11">
        <f t="shared" ref="H117:H118" si="24">H116-F117-D117+B117</f>
        <v>11.457999999999998</v>
      </c>
      <c r="I117" s="11">
        <f t="shared" ref="I117:I118" si="25">I116-E117+C117</f>
        <v>10.457999999999998</v>
      </c>
      <c r="J117" s="11">
        <f t="shared" ref="J117:J118" si="26">SUM(H117:I117)</f>
        <v>21.915999999999997</v>
      </c>
    </row>
    <row r="118" spans="1:10" s="10" customFormat="1" ht="14.25" customHeight="1">
      <c r="A118" s="49" t="s">
        <v>126</v>
      </c>
      <c r="B118" s="22"/>
      <c r="C118" s="22"/>
      <c r="D118" s="22"/>
      <c r="E118" s="19"/>
      <c r="F118" s="19"/>
      <c r="G118" s="46">
        <v>2</v>
      </c>
      <c r="H118" s="11">
        <f t="shared" si="24"/>
        <v>11.457999999999998</v>
      </c>
      <c r="I118" s="11">
        <f t="shared" si="25"/>
        <v>10.457999999999998</v>
      </c>
      <c r="J118" s="11">
        <f t="shared" si="26"/>
        <v>21.915999999999997</v>
      </c>
    </row>
    <row r="119" spans="1:10" s="10" customFormat="1" ht="14.25" customHeight="1">
      <c r="A119" s="49" t="s">
        <v>127</v>
      </c>
      <c r="B119" s="22">
        <v>3.75</v>
      </c>
      <c r="C119" s="22">
        <v>3.75</v>
      </c>
      <c r="D119" s="22"/>
      <c r="E119" s="19"/>
      <c r="F119" s="19"/>
      <c r="G119" s="19"/>
      <c r="H119" s="11">
        <f t="shared" ref="H119:H120" si="27">H118-F119-D119+B119</f>
        <v>15.207999999999998</v>
      </c>
      <c r="I119" s="11">
        <f t="shared" ref="I119:I120" si="28">I118-E119+C119</f>
        <v>14.207999999999998</v>
      </c>
      <c r="J119" s="11">
        <f t="shared" ref="J119:J120" si="29">SUM(H119:I119)</f>
        <v>29.415999999999997</v>
      </c>
    </row>
    <row r="120" spans="1:10" s="10" customFormat="1" ht="14.25" customHeight="1">
      <c r="A120" s="49" t="s">
        <v>128</v>
      </c>
      <c r="B120" s="22"/>
      <c r="C120" s="22"/>
      <c r="D120" s="22"/>
      <c r="E120" s="19">
        <v>2</v>
      </c>
      <c r="F120" s="19"/>
      <c r="G120" s="19"/>
      <c r="H120" s="11">
        <f t="shared" si="27"/>
        <v>15.207999999999998</v>
      </c>
      <c r="I120" s="11">
        <f t="shared" si="28"/>
        <v>12.207999999999998</v>
      </c>
      <c r="J120" s="11">
        <f t="shared" si="29"/>
        <v>27.415999999999997</v>
      </c>
    </row>
    <row r="121" spans="1:10" s="10" customFormat="1" ht="14.25" customHeight="1">
      <c r="A121" s="49" t="s">
        <v>129</v>
      </c>
      <c r="B121" s="22"/>
      <c r="C121" s="22"/>
      <c r="D121" s="22"/>
      <c r="E121" s="19">
        <v>1</v>
      </c>
      <c r="F121" s="19"/>
      <c r="G121" s="19"/>
      <c r="H121" s="11">
        <f t="shared" ref="H121" si="30">H120-F121-D121+B121</f>
        <v>15.207999999999998</v>
      </c>
      <c r="I121" s="11">
        <f t="shared" ref="I121" si="31">I120-E121+C121</f>
        <v>11.207999999999998</v>
      </c>
      <c r="J121" s="11">
        <f t="shared" ref="J121" si="32">SUM(H121:I121)</f>
        <v>26.415999999999997</v>
      </c>
    </row>
    <row r="122" spans="1:10" s="10" customFormat="1" ht="14.25" customHeight="1">
      <c r="A122" s="49" t="s">
        <v>130</v>
      </c>
      <c r="B122" s="22">
        <v>1.25</v>
      </c>
      <c r="C122" s="22">
        <v>1.25</v>
      </c>
      <c r="D122" s="22"/>
      <c r="E122" s="19"/>
      <c r="F122" s="19"/>
      <c r="G122" s="19"/>
      <c r="H122" s="11">
        <f t="shared" ref="H122:H123" si="33">H121-F122-D122+B122</f>
        <v>16.457999999999998</v>
      </c>
      <c r="I122" s="11">
        <f t="shared" ref="I122:I123" si="34">I121-E122+C122</f>
        <v>12.457999999999998</v>
      </c>
      <c r="J122" s="11">
        <f t="shared" ref="J122:J123" si="35">SUM(H122:I122)</f>
        <v>28.915999999999997</v>
      </c>
    </row>
    <row r="123" spans="1:10" s="10" customFormat="1" ht="14.25" customHeight="1">
      <c r="A123" s="49" t="s">
        <v>131</v>
      </c>
      <c r="B123" s="22"/>
      <c r="C123" s="22"/>
      <c r="D123" s="22"/>
      <c r="E123" s="19">
        <v>1</v>
      </c>
      <c r="F123" s="19"/>
      <c r="G123" s="19"/>
      <c r="H123" s="11">
        <f t="shared" si="33"/>
        <v>16.457999999999998</v>
      </c>
      <c r="I123" s="11">
        <f t="shared" si="34"/>
        <v>11.457999999999998</v>
      </c>
      <c r="J123" s="11">
        <f t="shared" si="35"/>
        <v>27.915999999999997</v>
      </c>
    </row>
    <row r="124" spans="1:10" s="10" customFormat="1" ht="14.25" customHeight="1">
      <c r="A124" s="49" t="s">
        <v>132</v>
      </c>
      <c r="B124" s="22"/>
      <c r="C124" s="22"/>
      <c r="D124" s="22">
        <v>1</v>
      </c>
      <c r="E124" s="19"/>
      <c r="F124" s="19"/>
      <c r="G124" s="19"/>
      <c r="H124" s="11">
        <f t="shared" ref="H124" si="36">H123-F124-D124+B124</f>
        <v>15.457999999999998</v>
      </c>
      <c r="I124" s="11">
        <f t="shared" ref="I124" si="37">I123-E124+C124</f>
        <v>11.457999999999998</v>
      </c>
      <c r="J124" s="11">
        <f t="shared" ref="J124" si="38">SUM(H124:I124)</f>
        <v>26.915999999999997</v>
      </c>
    </row>
    <row r="125" spans="1:10" s="10" customFormat="1" ht="14.25" customHeight="1">
      <c r="A125" s="49" t="s">
        <v>133</v>
      </c>
      <c r="B125" s="22">
        <v>2.5</v>
      </c>
      <c r="C125" s="22">
        <v>2.5</v>
      </c>
      <c r="D125" s="22"/>
      <c r="E125" s="19"/>
      <c r="F125" s="19"/>
      <c r="G125" s="19"/>
      <c r="H125" s="11">
        <f t="shared" ref="H125:H126" si="39">H124-F125-D125+B125</f>
        <v>17.957999999999998</v>
      </c>
      <c r="I125" s="11">
        <f t="shared" ref="I125:I126" si="40">I124-E125+C125</f>
        <v>13.957999999999998</v>
      </c>
      <c r="J125" s="11">
        <f t="shared" ref="J125:J126" si="41">SUM(H125:I125)</f>
        <v>31.915999999999997</v>
      </c>
    </row>
    <row r="126" spans="1:10" s="10" customFormat="1" ht="14.25" customHeight="1">
      <c r="A126" s="49" t="s">
        <v>134</v>
      </c>
      <c r="B126" s="22"/>
      <c r="C126" s="22"/>
      <c r="D126" s="22"/>
      <c r="E126" s="19">
        <v>1</v>
      </c>
      <c r="F126" s="19"/>
      <c r="G126" s="19"/>
      <c r="H126" s="11">
        <f t="shared" si="39"/>
        <v>17.957999999999998</v>
      </c>
      <c r="I126" s="11">
        <f t="shared" si="40"/>
        <v>12.957999999999998</v>
      </c>
      <c r="J126" s="11">
        <f t="shared" si="41"/>
        <v>30.915999999999997</v>
      </c>
    </row>
    <row r="127" spans="1:10" s="10" customFormat="1" ht="14.25" customHeight="1">
      <c r="A127" s="49" t="s">
        <v>135</v>
      </c>
      <c r="B127" s="22">
        <v>1.25</v>
      </c>
      <c r="C127" s="22">
        <v>1.25</v>
      </c>
      <c r="D127" s="22"/>
      <c r="E127" s="19"/>
      <c r="F127" s="19"/>
      <c r="G127" s="19"/>
      <c r="H127" s="11">
        <f t="shared" ref="H127:H129" si="42">H126-F127-D127+B127</f>
        <v>19.207999999999998</v>
      </c>
      <c r="I127" s="11">
        <f t="shared" ref="I127:I129" si="43">I126-E127+C127</f>
        <v>14.207999999999998</v>
      </c>
      <c r="J127" s="11">
        <f t="shared" ref="J127:J129" si="44">SUM(H127:I127)</f>
        <v>33.415999999999997</v>
      </c>
    </row>
    <row r="128" spans="1:10" s="10" customFormat="1" ht="14.25" customHeight="1">
      <c r="A128" s="49" t="s">
        <v>136</v>
      </c>
      <c r="B128" s="22"/>
      <c r="C128" s="22"/>
      <c r="D128" s="22">
        <v>2</v>
      </c>
      <c r="E128" s="19"/>
      <c r="F128" s="19"/>
      <c r="G128" s="19"/>
      <c r="H128" s="11">
        <f t="shared" si="42"/>
        <v>17.207999999999998</v>
      </c>
      <c r="I128" s="11">
        <f t="shared" si="43"/>
        <v>14.207999999999998</v>
      </c>
      <c r="J128" s="11">
        <f t="shared" si="44"/>
        <v>31.415999999999997</v>
      </c>
    </row>
    <row r="129" spans="1:10" s="10" customFormat="1" ht="14.25" customHeight="1">
      <c r="A129" s="49" t="s">
        <v>137</v>
      </c>
      <c r="B129" s="22"/>
      <c r="C129" s="22"/>
      <c r="D129" s="22"/>
      <c r="E129" s="19"/>
      <c r="F129" s="47">
        <v>1</v>
      </c>
      <c r="G129" s="19"/>
      <c r="H129" s="11">
        <f t="shared" si="42"/>
        <v>16.207999999999998</v>
      </c>
      <c r="I129" s="11">
        <f t="shared" si="43"/>
        <v>14.207999999999998</v>
      </c>
      <c r="J129" s="11">
        <f t="shared" si="44"/>
        <v>30.415999999999997</v>
      </c>
    </row>
    <row r="130" spans="1:10" s="10" customFormat="1" ht="14.25" customHeight="1">
      <c r="A130" s="49" t="s">
        <v>138</v>
      </c>
      <c r="B130" s="22"/>
      <c r="C130" s="22"/>
      <c r="D130" s="22">
        <v>1</v>
      </c>
      <c r="E130" s="19"/>
      <c r="F130" s="19"/>
      <c r="G130" s="19"/>
      <c r="H130" s="11">
        <f t="shared" ref="H130" si="45">H129-F130-D130+B130</f>
        <v>15.207999999999998</v>
      </c>
      <c r="I130" s="11">
        <f t="shared" ref="I130" si="46">I129-E130+C130</f>
        <v>14.207999999999998</v>
      </c>
      <c r="J130" s="11">
        <f t="shared" ref="J130" si="47">SUM(H130:I130)</f>
        <v>29.415999999999997</v>
      </c>
    </row>
    <row r="131" spans="1:10" s="10" customFormat="1" ht="14.25" customHeight="1">
      <c r="A131" s="49" t="s">
        <v>139</v>
      </c>
      <c r="B131" s="22">
        <v>1.25</v>
      </c>
      <c r="C131" s="22">
        <v>1.25</v>
      </c>
      <c r="D131" s="22"/>
      <c r="E131" s="19"/>
      <c r="F131" s="19"/>
      <c r="G131" s="19"/>
      <c r="H131" s="11">
        <f t="shared" ref="H131:H132" si="48">H130-F131-D131+B131</f>
        <v>16.457999999999998</v>
      </c>
      <c r="I131" s="11">
        <f t="shared" ref="I131:I132" si="49">I130-E131+C131</f>
        <v>15.457999999999998</v>
      </c>
      <c r="J131" s="11">
        <f t="shared" ref="J131:J132" si="50">SUM(H131:I131)</f>
        <v>31.915999999999997</v>
      </c>
    </row>
    <row r="132" spans="1:10" s="10" customFormat="1" ht="14.25" customHeight="1">
      <c r="A132" s="49" t="s">
        <v>140</v>
      </c>
      <c r="B132" s="22"/>
      <c r="C132" s="22"/>
      <c r="D132" s="22"/>
      <c r="E132" s="19">
        <v>1</v>
      </c>
      <c r="F132" s="19"/>
      <c r="G132" s="19"/>
      <c r="H132" s="11">
        <f t="shared" si="48"/>
        <v>16.457999999999998</v>
      </c>
      <c r="I132" s="11">
        <f t="shared" si="49"/>
        <v>14.457999999999998</v>
      </c>
      <c r="J132" s="11">
        <f t="shared" si="50"/>
        <v>30.915999999999997</v>
      </c>
    </row>
    <row r="133" spans="1:10" s="10" customFormat="1" ht="14.25" customHeight="1">
      <c r="A133" s="49" t="s">
        <v>141</v>
      </c>
      <c r="B133" s="22">
        <v>1.25</v>
      </c>
      <c r="C133" s="22">
        <v>1.25</v>
      </c>
      <c r="D133" s="22"/>
      <c r="E133" s="19"/>
      <c r="F133" s="19"/>
      <c r="G133" s="19"/>
      <c r="H133" s="11">
        <f t="shared" ref="H133:H134" si="51">H132-F133-D133+B133</f>
        <v>17.707999999999998</v>
      </c>
      <c r="I133" s="11">
        <f t="shared" ref="I133:I134" si="52">I132-E133+C133</f>
        <v>15.707999999999998</v>
      </c>
      <c r="J133" s="11">
        <f t="shared" ref="J133:J134" si="53">SUM(H133:I133)</f>
        <v>33.415999999999997</v>
      </c>
    </row>
    <row r="134" spans="1:10" s="10" customFormat="1" ht="14.25" customHeight="1">
      <c r="A134" s="49" t="s">
        <v>142</v>
      </c>
      <c r="B134" s="22"/>
      <c r="C134" s="22"/>
      <c r="D134" s="22"/>
      <c r="E134" s="19">
        <v>1</v>
      </c>
      <c r="F134" s="19"/>
      <c r="G134" s="19"/>
      <c r="H134" s="11">
        <f t="shared" si="51"/>
        <v>17.707999999999998</v>
      </c>
      <c r="I134" s="11">
        <f t="shared" si="52"/>
        <v>14.707999999999998</v>
      </c>
      <c r="J134" s="11">
        <f t="shared" si="53"/>
        <v>32.415999999999997</v>
      </c>
    </row>
    <row r="135" spans="1:10" s="10" customFormat="1" ht="14.25" customHeight="1">
      <c r="A135" s="49" t="s">
        <v>143</v>
      </c>
      <c r="B135" s="22">
        <v>1.25</v>
      </c>
      <c r="C135" s="22">
        <v>1.25</v>
      </c>
      <c r="D135" s="22"/>
      <c r="E135" s="19"/>
      <c r="F135" s="19"/>
      <c r="G135" s="19"/>
      <c r="H135" s="11">
        <f t="shared" ref="H135:H137" si="54">H134-F135-D135+B135</f>
        <v>18.957999999999998</v>
      </c>
      <c r="I135" s="11">
        <f t="shared" ref="I135:I137" si="55">I134-E135+C135</f>
        <v>15.957999999999998</v>
      </c>
      <c r="J135" s="11">
        <f t="shared" ref="J135:J137" si="56">SUM(H135:I135)</f>
        <v>34.915999999999997</v>
      </c>
    </row>
    <row r="136" spans="1:10" s="10" customFormat="1" ht="14.25" customHeight="1">
      <c r="A136" s="49" t="s">
        <v>144</v>
      </c>
      <c r="B136" s="22"/>
      <c r="C136" s="22"/>
      <c r="D136" s="22"/>
      <c r="E136" s="19">
        <v>1</v>
      </c>
      <c r="F136" s="19"/>
      <c r="G136" s="19"/>
      <c r="H136" s="11">
        <f t="shared" si="54"/>
        <v>18.957999999999998</v>
      </c>
      <c r="I136" s="11">
        <f t="shared" si="55"/>
        <v>14.957999999999998</v>
      </c>
      <c r="J136" s="11">
        <f t="shared" si="56"/>
        <v>33.915999999999997</v>
      </c>
    </row>
    <row r="137" spans="1:10" s="10" customFormat="1" ht="14.25" customHeight="1">
      <c r="A137" s="49" t="s">
        <v>145</v>
      </c>
      <c r="B137" s="22"/>
      <c r="C137" s="22"/>
      <c r="D137" s="22">
        <v>0.5</v>
      </c>
      <c r="E137" s="19"/>
      <c r="F137" s="19"/>
      <c r="G137" s="19"/>
      <c r="H137" s="11">
        <f t="shared" si="54"/>
        <v>18.457999999999998</v>
      </c>
      <c r="I137" s="11">
        <f t="shared" si="55"/>
        <v>14.957999999999998</v>
      </c>
      <c r="J137" s="11">
        <f t="shared" si="56"/>
        <v>33.415999999999997</v>
      </c>
    </row>
    <row r="138" spans="1:10" s="10" customFormat="1" ht="14.25" customHeight="1">
      <c r="A138" s="49" t="s">
        <v>146</v>
      </c>
      <c r="B138" s="22"/>
      <c r="C138" s="22"/>
      <c r="D138" s="22"/>
      <c r="E138" s="19">
        <v>1</v>
      </c>
      <c r="F138" s="19"/>
      <c r="G138" s="19"/>
      <c r="H138" s="11">
        <f t="shared" ref="H138:H139" si="57">H137-F138-D138+B138</f>
        <v>18.457999999999998</v>
      </c>
      <c r="I138" s="11">
        <f t="shared" ref="I138:I139" si="58">I137-E138+C138</f>
        <v>13.957999999999998</v>
      </c>
      <c r="J138" s="11">
        <f t="shared" ref="J138:J139" si="59">SUM(H138:I138)</f>
        <v>32.415999999999997</v>
      </c>
    </row>
    <row r="139" spans="1:10" s="10" customFormat="1" ht="14.25" customHeight="1">
      <c r="A139" s="49" t="s">
        <v>147</v>
      </c>
      <c r="B139" s="22"/>
      <c r="C139" s="22"/>
      <c r="D139" s="22"/>
      <c r="E139" s="19"/>
      <c r="F139" s="47">
        <v>3</v>
      </c>
      <c r="G139" s="19"/>
      <c r="H139" s="11">
        <f t="shared" si="57"/>
        <v>15.457999999999998</v>
      </c>
      <c r="I139" s="11">
        <f t="shared" si="58"/>
        <v>13.957999999999998</v>
      </c>
      <c r="J139" s="11">
        <f t="shared" si="59"/>
        <v>29.415999999999997</v>
      </c>
    </row>
    <row r="140" spans="1:10" s="10" customFormat="1" ht="14.25" customHeight="1">
      <c r="A140" s="49" t="s">
        <v>148</v>
      </c>
      <c r="B140" s="22">
        <v>1.25</v>
      </c>
      <c r="C140" s="22">
        <v>1.25</v>
      </c>
      <c r="D140" s="22"/>
      <c r="E140" s="19"/>
      <c r="F140" s="19"/>
      <c r="G140" s="19"/>
      <c r="H140" s="11">
        <f t="shared" ref="H140:H142" si="60">H139-F140-D140+B140</f>
        <v>16.707999999999998</v>
      </c>
      <c r="I140" s="11">
        <f t="shared" ref="I140:I142" si="61">I139-E140+C140</f>
        <v>15.207999999999998</v>
      </c>
      <c r="J140" s="11">
        <f t="shared" ref="J140:J142" si="62">SUM(H140:I140)</f>
        <v>31.915999999999997</v>
      </c>
    </row>
    <row r="141" spans="1:10" s="10" customFormat="1" ht="14.25" customHeight="1">
      <c r="A141" s="49" t="s">
        <v>149</v>
      </c>
      <c r="B141" s="22"/>
      <c r="C141" s="22"/>
      <c r="D141" s="22"/>
      <c r="E141" s="19">
        <v>1</v>
      </c>
      <c r="F141" s="19"/>
      <c r="G141" s="19"/>
      <c r="H141" s="11">
        <f t="shared" si="60"/>
        <v>16.707999999999998</v>
      </c>
      <c r="I141" s="11">
        <f t="shared" si="61"/>
        <v>14.207999999999998</v>
      </c>
      <c r="J141" s="11">
        <f t="shared" si="62"/>
        <v>30.915999999999997</v>
      </c>
    </row>
    <row r="142" spans="1:10" s="10" customFormat="1" ht="14.25" customHeight="1">
      <c r="A142" s="49" t="s">
        <v>150</v>
      </c>
      <c r="B142" s="22"/>
      <c r="C142" s="22"/>
      <c r="D142" s="50">
        <v>1</v>
      </c>
      <c r="E142" s="19"/>
      <c r="F142" s="19"/>
      <c r="G142" s="19"/>
      <c r="H142" s="11">
        <f t="shared" si="60"/>
        <v>15.707999999999998</v>
      </c>
      <c r="I142" s="11">
        <f t="shared" si="61"/>
        <v>14.207999999999998</v>
      </c>
      <c r="J142" s="11">
        <f t="shared" si="62"/>
        <v>29.915999999999997</v>
      </c>
    </row>
    <row r="143" spans="1:10" s="10" customFormat="1" ht="14.25" customHeight="1">
      <c r="A143" s="94"/>
      <c r="B143" s="25"/>
      <c r="C143" s="25"/>
      <c r="D143" s="25"/>
      <c r="E143" s="26"/>
      <c r="F143" s="26"/>
      <c r="G143" s="26"/>
      <c r="H143" s="27"/>
      <c r="I143" s="27"/>
      <c r="J143" s="27"/>
    </row>
    <row r="147" spans="1:10" s="10" customFormat="1">
      <c r="A147" s="6"/>
      <c r="B147" s="6"/>
      <c r="C147" s="6"/>
      <c r="D147" s="6"/>
      <c r="E147" s="6"/>
      <c r="F147" s="15" t="s">
        <v>151</v>
      </c>
      <c r="G147" s="15"/>
      <c r="H147" s="6"/>
      <c r="I147" s="6"/>
      <c r="J147" s="6"/>
    </row>
  </sheetData>
  <mergeCells count="13">
    <mergeCell ref="K11:K12"/>
    <mergeCell ref="A10:J10"/>
    <mergeCell ref="A11:A12"/>
    <mergeCell ref="B11:C11"/>
    <mergeCell ref="D11:G11"/>
    <mergeCell ref="H11:I11"/>
    <mergeCell ref="J11:J12"/>
    <mergeCell ref="B9:D9"/>
    <mergeCell ref="A2:J2"/>
    <mergeCell ref="A3:J3"/>
    <mergeCell ref="A4:J4"/>
    <mergeCell ref="A5:J5"/>
    <mergeCell ref="B7:D7"/>
  </mergeCells>
  <printOptions horizontalCentered="1"/>
  <pageMargins left="0.23622047244094491" right="0.23622047244094491" top="0.70866141732283472" bottom="0.51181102362204722" header="0.31496062992125984" footer="0.31496062992125984"/>
  <pageSetup paperSize="9" scale="70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21253-E795-420A-9FF8-8C8808B9D30F}">
  <sheetPr>
    <pageSetUpPr fitToPage="1"/>
  </sheetPr>
  <dimension ref="A3:L28"/>
  <sheetViews>
    <sheetView view="pageBreakPreview" zoomScaleNormal="100" zoomScaleSheetLayoutView="100" workbookViewId="0">
      <selection activeCell="A23" sqref="A23:L23"/>
    </sheetView>
  </sheetViews>
  <sheetFormatPr defaultColWidth="9.125" defaultRowHeight="15"/>
  <cols>
    <col min="1" max="1" width="21.25" style="35" customWidth="1"/>
    <col min="2" max="2" width="22" style="35" customWidth="1"/>
    <col min="3" max="3" width="11.125" style="35" customWidth="1"/>
    <col min="4" max="4" width="9.125" style="35"/>
    <col min="5" max="5" width="6.75" style="35" customWidth="1"/>
    <col min="6" max="16384" width="9.125" style="35"/>
  </cols>
  <sheetData>
    <row r="3" spans="1:12" s="28" customFormat="1" ht="20.100000000000001" customHeight="1">
      <c r="C3" s="29"/>
      <c r="D3" s="30"/>
      <c r="H3" s="31"/>
    </row>
    <row r="4" spans="1:12" s="28" customFormat="1" ht="10.5" customHeight="1">
      <c r="A4" s="75" t="s">
        <v>0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</row>
    <row r="5" spans="1:12" s="28" customFormat="1" ht="15.95" customHeight="1">
      <c r="A5" s="75" t="s">
        <v>1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</row>
    <row r="6" spans="1:12" s="28" customFormat="1" ht="15.95" customHeight="1">
      <c r="A6" s="75" t="s">
        <v>2</v>
      </c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</row>
    <row r="7" spans="1:12" s="28" customFormat="1" ht="15.95" customHeight="1">
      <c r="A7" s="75" t="s">
        <v>3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</row>
    <row r="8" spans="1:12" s="28" customFormat="1" ht="8.25" customHeight="1">
      <c r="C8" s="31"/>
      <c r="H8" s="31"/>
    </row>
    <row r="9" spans="1:12" s="28" customFormat="1" ht="8.25" customHeight="1">
      <c r="C9" s="31"/>
      <c r="H9" s="31"/>
    </row>
    <row r="10" spans="1:12" s="28" customFormat="1" ht="12" customHeight="1">
      <c r="A10" s="32" t="s">
        <v>152</v>
      </c>
      <c r="B10" s="32"/>
      <c r="C10" s="76" t="s">
        <v>153</v>
      </c>
      <c r="D10" s="76"/>
      <c r="E10" s="76"/>
      <c r="F10" s="76"/>
      <c r="G10" s="76"/>
      <c r="I10" s="76" t="s">
        <v>154</v>
      </c>
      <c r="J10" s="76"/>
      <c r="K10" s="76"/>
      <c r="L10" s="32"/>
    </row>
    <row r="11" spans="1:12" s="28" customFormat="1" ht="12" customHeight="1">
      <c r="B11" s="33"/>
      <c r="C11" s="76" t="s">
        <v>155</v>
      </c>
      <c r="D11" s="76"/>
      <c r="E11" s="76"/>
      <c r="F11" s="76"/>
      <c r="G11" s="76"/>
      <c r="I11" s="77" t="s">
        <v>156</v>
      </c>
      <c r="J11" s="77"/>
      <c r="K11" s="77"/>
      <c r="L11" s="33"/>
    </row>
    <row r="12" spans="1:12" s="28" customFormat="1" ht="12" customHeight="1">
      <c r="A12" s="32" t="s">
        <v>157</v>
      </c>
      <c r="B12" s="32"/>
      <c r="C12" s="34"/>
      <c r="D12" s="33"/>
      <c r="E12" s="33"/>
      <c r="I12" s="76" t="s">
        <v>158</v>
      </c>
      <c r="J12" s="76"/>
      <c r="K12" s="76"/>
      <c r="L12" s="32"/>
    </row>
    <row r="13" spans="1:12" ht="16.5" customHeight="1" thickBot="1">
      <c r="A13" s="78" t="s">
        <v>159</v>
      </c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</row>
    <row r="14" spans="1:12" s="36" customFormat="1" ht="18.75" customHeight="1">
      <c r="A14" s="79" t="s">
        <v>11</v>
      </c>
      <c r="B14" s="81" t="s">
        <v>12</v>
      </c>
      <c r="C14" s="82"/>
      <c r="D14" s="82"/>
      <c r="E14" s="82"/>
      <c r="F14" s="82"/>
      <c r="G14" s="82"/>
      <c r="H14" s="82"/>
      <c r="I14" s="82"/>
      <c r="J14" s="82"/>
      <c r="K14" s="82"/>
      <c r="L14" s="83" t="s">
        <v>15</v>
      </c>
    </row>
    <row r="15" spans="1:12" s="36" customFormat="1" ht="24" customHeight="1">
      <c r="A15" s="80"/>
      <c r="B15" s="85" t="s">
        <v>160</v>
      </c>
      <c r="C15" s="86"/>
      <c r="D15" s="86"/>
      <c r="E15" s="87"/>
      <c r="F15" s="85" t="s">
        <v>161</v>
      </c>
      <c r="G15" s="87"/>
      <c r="H15" s="85" t="s">
        <v>162</v>
      </c>
      <c r="I15" s="87"/>
      <c r="J15" s="85" t="s">
        <v>163</v>
      </c>
      <c r="K15" s="87"/>
      <c r="L15" s="84"/>
    </row>
    <row r="16" spans="1:12" s="36" customFormat="1" ht="24.95" hidden="1" customHeight="1">
      <c r="A16" s="37" t="s">
        <v>164</v>
      </c>
      <c r="B16" s="88" t="s">
        <v>165</v>
      </c>
      <c r="C16" s="89"/>
      <c r="D16" s="89"/>
      <c r="E16" s="90"/>
      <c r="F16" s="38">
        <v>1</v>
      </c>
      <c r="G16" s="39"/>
      <c r="H16" s="88">
        <v>0</v>
      </c>
      <c r="I16" s="90"/>
      <c r="J16" s="88">
        <v>1</v>
      </c>
      <c r="K16" s="90"/>
      <c r="L16" s="40">
        <v>1</v>
      </c>
    </row>
    <row r="17" spans="1:12" s="42" customFormat="1" ht="25.5" hidden="1" customHeight="1">
      <c r="A17" s="37" t="s">
        <v>166</v>
      </c>
      <c r="B17" s="88" t="s">
        <v>165</v>
      </c>
      <c r="C17" s="89"/>
      <c r="D17" s="89"/>
      <c r="E17" s="90"/>
      <c r="F17" s="38"/>
      <c r="G17" s="39"/>
      <c r="H17" s="88">
        <v>1</v>
      </c>
      <c r="I17" s="90"/>
      <c r="J17" s="88">
        <v>0</v>
      </c>
      <c r="K17" s="90"/>
      <c r="L17" s="41">
        <v>0</v>
      </c>
    </row>
    <row r="18" spans="1:12" s="55" customFormat="1" ht="19.5" customHeight="1">
      <c r="A18" s="51" t="s">
        <v>167</v>
      </c>
      <c r="B18" s="72" t="s">
        <v>168</v>
      </c>
      <c r="C18" s="73"/>
      <c r="D18" s="73"/>
      <c r="E18" s="74"/>
      <c r="F18" s="52">
        <v>1</v>
      </c>
      <c r="G18" s="53"/>
      <c r="H18" s="72">
        <v>0</v>
      </c>
      <c r="I18" s="74"/>
      <c r="J18" s="72">
        <v>1</v>
      </c>
      <c r="K18" s="74"/>
      <c r="L18" s="54">
        <v>1</v>
      </c>
    </row>
    <row r="19" spans="1:12" s="55" customFormat="1" ht="19.5" customHeight="1">
      <c r="A19" s="51" t="s">
        <v>169</v>
      </c>
      <c r="B19" s="72" t="s">
        <v>168</v>
      </c>
      <c r="C19" s="73"/>
      <c r="D19" s="73"/>
      <c r="E19" s="74"/>
      <c r="F19" s="52"/>
      <c r="G19" s="53"/>
      <c r="H19" s="72">
        <v>1</v>
      </c>
      <c r="I19" s="74"/>
      <c r="J19" s="72">
        <v>0</v>
      </c>
      <c r="K19" s="74"/>
      <c r="L19" s="56">
        <v>0</v>
      </c>
    </row>
    <row r="20" spans="1:12" s="55" customFormat="1" ht="19.5" customHeight="1">
      <c r="A20" s="51" t="s">
        <v>170</v>
      </c>
      <c r="B20" s="72" t="s">
        <v>171</v>
      </c>
      <c r="C20" s="73"/>
      <c r="D20" s="73"/>
      <c r="E20" s="74"/>
      <c r="F20" s="52">
        <v>1</v>
      </c>
      <c r="G20" s="53"/>
      <c r="H20" s="72">
        <v>0</v>
      </c>
      <c r="I20" s="74"/>
      <c r="J20" s="72">
        <v>1</v>
      </c>
      <c r="K20" s="74"/>
      <c r="L20" s="54">
        <v>1</v>
      </c>
    </row>
    <row r="21" spans="1:12" s="55" customFormat="1" ht="19.5" customHeight="1">
      <c r="A21" s="51" t="s">
        <v>172</v>
      </c>
      <c r="B21" s="72" t="s">
        <v>171</v>
      </c>
      <c r="C21" s="73"/>
      <c r="D21" s="73"/>
      <c r="E21" s="74"/>
      <c r="F21" s="52"/>
      <c r="G21" s="53"/>
      <c r="H21" s="72">
        <v>1</v>
      </c>
      <c r="I21" s="74"/>
      <c r="J21" s="72">
        <v>0</v>
      </c>
      <c r="K21" s="74"/>
      <c r="L21" s="56">
        <v>0</v>
      </c>
    </row>
    <row r="22" spans="1:12" s="42" customFormat="1">
      <c r="A22" s="43" t="s">
        <v>173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5"/>
    </row>
    <row r="23" spans="1:12" ht="18.95" customHeight="1">
      <c r="A23" s="93"/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</row>
    <row r="24" spans="1:12" s="28" customFormat="1">
      <c r="C24" s="31"/>
      <c r="H24" s="28" t="s">
        <v>174</v>
      </c>
    </row>
    <row r="25" spans="1:12" s="28" customFormat="1">
      <c r="C25" s="31"/>
    </row>
    <row r="26" spans="1:12">
      <c r="H26" s="92" t="s">
        <v>175</v>
      </c>
      <c r="I26" s="92"/>
      <c r="J26" s="92"/>
    </row>
    <row r="27" spans="1:12">
      <c r="H27" s="35" t="s">
        <v>176</v>
      </c>
    </row>
    <row r="28" spans="1:12">
      <c r="H28" s="91" t="s">
        <v>177</v>
      </c>
      <c r="I28" s="91"/>
    </row>
  </sheetData>
  <mergeCells count="38">
    <mergeCell ref="H28:I28"/>
    <mergeCell ref="H26:J26"/>
    <mergeCell ref="A23:L23"/>
    <mergeCell ref="B16:E16"/>
    <mergeCell ref="H16:I16"/>
    <mergeCell ref="J16:K16"/>
    <mergeCell ref="B17:E17"/>
    <mergeCell ref="H17:I17"/>
    <mergeCell ref="J17:K17"/>
    <mergeCell ref="C11:G11"/>
    <mergeCell ref="I11:K11"/>
    <mergeCell ref="I12:K12"/>
    <mergeCell ref="A13:L13"/>
    <mergeCell ref="A14:A15"/>
    <mergeCell ref="B14:K14"/>
    <mergeCell ref="L14:L15"/>
    <mergeCell ref="B15:E15"/>
    <mergeCell ref="F15:G15"/>
    <mergeCell ref="H15:I15"/>
    <mergeCell ref="J15:K15"/>
    <mergeCell ref="A4:L4"/>
    <mergeCell ref="A5:L5"/>
    <mergeCell ref="A6:L6"/>
    <mergeCell ref="A7:L7"/>
    <mergeCell ref="C10:G10"/>
    <mergeCell ref="I10:K10"/>
    <mergeCell ref="B18:E18"/>
    <mergeCell ref="H18:I18"/>
    <mergeCell ref="J18:K18"/>
    <mergeCell ref="B19:E19"/>
    <mergeCell ref="H19:I19"/>
    <mergeCell ref="J19:K19"/>
    <mergeCell ref="B20:E20"/>
    <mergeCell ref="H20:I20"/>
    <mergeCell ref="J20:K20"/>
    <mergeCell ref="B21:E21"/>
    <mergeCell ref="H21:I21"/>
    <mergeCell ref="J21:K21"/>
  </mergeCells>
  <pageMargins left="0.7" right="0.7" top="0.75" bottom="0.75" header="0.3" footer="0.3"/>
  <pageSetup paperSize="9" scale="65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Department of Education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JOCELYN MAMUGAY</cp:lastModifiedBy>
  <cp:revision/>
  <dcterms:created xsi:type="dcterms:W3CDTF">2021-10-07T06:10:00Z</dcterms:created>
  <dcterms:modified xsi:type="dcterms:W3CDTF">2026-01-23T05:07:13Z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BB5D47DD25CD4F9BB3D3A42BD68ED3B1</vt:lpwstr>
  </property>
  <property fmtid="{D5CDD505-2E9C-101B-9397-08002B2CF9AE}" pid="3" name="KSOProductBuildVer">
    <vt:lpwstr>1033-11.2.0.11341</vt:lpwstr>
  </property>
</Properties>
</file>