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CTO 2024-2025" sheetId="8" r:id="rId2"/>
  </sheets>
  <definedNames>
    <definedName name="_xlnm.Print_Area" localSheetId="0">'Leave Card (NE)'!$A$1:$J$120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<sst xmlns="http://schemas.openxmlformats.org/spreadsheetml/2006/main" count="149" uniqueCount="139">
  <si>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</si>
  <si>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</si>
  <si>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</si>
  <si>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</si>
  <si>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</si>
  <si>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</si>
  <si>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</si>
  <si>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</si>
  <si>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</si>
  <si>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</si>
  <si>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</si>
  <si>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</si>
  <si>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</si>
  <si>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</si>
  <si>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</si>
  <si>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</si>
  <si>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</si>
  <si>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</si>
  <si>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</si>
  <si>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</si>
  <si>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</si>
  <si>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03/27/2019 - 03/31/2019</t>
  </si>
  <si>
    <t>ADD: 04/01/2019 - 12/31/2019</t>
  </si>
  <si>
    <t>LESS: 07/30/2019 &amp; 08/08/2019</t>
  </si>
  <si>
    <t>LESS: 08/01 &amp; 02/2019</t>
  </si>
  <si>
    <t>LESS: 08/30/2019</t>
  </si>
  <si>
    <t>LESS: FL 2019</t>
  </si>
  <si>
    <t>ADD: 01/01/2020 - 12/31/2020</t>
  </si>
  <si>
    <t>LESS: 02/19, 20 &amp; 21/2020</t>
  </si>
  <si>
    <t>LESS: 06/02-05,8-12,15-19/2020</t>
  </si>
  <si>
    <t>LESS: MONETIZATION 2020</t>
  </si>
  <si>
    <t>ADD: 01/01/2021 - 12/31/2021</t>
  </si>
  <si>
    <t>LESS: 06/21 - 23/2021</t>
  </si>
  <si>
    <t>LESS: MONETIZATION 2021</t>
  </si>
  <si>
    <t>LESS: 12/01/2021</t>
  </si>
  <si>
    <t>LESS: 12/16 &amp;29/21</t>
  </si>
  <si>
    <t>ADD: disapproved FL 12/16&amp;29/21</t>
  </si>
  <si>
    <t>LESS: 02/10/22</t>
  </si>
  <si>
    <t>ADD: 01/01/22 - 02/28/22</t>
  </si>
  <si>
    <t>LESS: 03/22/22</t>
  </si>
  <si>
    <t>ADD: 03/01/22 - 03/31/22</t>
  </si>
  <si>
    <t>LESS: 04/04/22</t>
  </si>
  <si>
    <t>ADD: 04/01/22 - 04/30/22</t>
  </si>
  <si>
    <t>LESS: 05/11/22</t>
  </si>
  <si>
    <t>LESS: 06/01/22</t>
  </si>
  <si>
    <t>ADD: 05/01/22 - 06/30/22</t>
  </si>
  <si>
    <t>LESS: 07/04/22</t>
  </si>
  <si>
    <t>ADD: 07/01/22 - 07/31/22</t>
  </si>
  <si>
    <t>LESS: 08/08/22</t>
  </si>
  <si>
    <t>ADD: 08/01/22 - 12/31/22</t>
  </si>
  <si>
    <t>LESS: 09/15/22</t>
  </si>
  <si>
    <t>LESS: 09/27/22</t>
  </si>
  <si>
    <t>LESS: MONETIZATION 2022</t>
  </si>
  <si>
    <t>LESS: 10/13/22</t>
  </si>
  <si>
    <t>LESS: 11/29/22</t>
  </si>
  <si>
    <t>LESS: 01/31/23</t>
  </si>
  <si>
    <t>ADD: 01/01/23 - 02/28/23</t>
  </si>
  <si>
    <t>LESS: 02/27 &amp; 28/23</t>
  </si>
  <si>
    <t>ADD: 03/01/23 - 03/31/23</t>
  </si>
  <si>
    <t>LESS: 04/13/23</t>
  </si>
  <si>
    <t>LESS: 05/02 &amp; 3/23</t>
  </si>
  <si>
    <t>ADD: 04/01/23 - 05/31/23</t>
  </si>
  <si>
    <t>LESS: 06/15 &amp; 16/23</t>
  </si>
  <si>
    <t>ADD: 06/01/23 - 06/30/23</t>
  </si>
  <si>
    <t>LESS: 07/25/23</t>
  </si>
  <si>
    <t>ADD: 07/01/23 - 07/31/23</t>
  </si>
  <si>
    <t>LESS: 08/08/23</t>
  </si>
  <si>
    <t>ADD: 08/01/23 - 08/31/23</t>
  </si>
  <si>
    <t>LESS: MONETIZATION 2023</t>
  </si>
  <si>
    <t>LESS: 08/25/2023</t>
  </si>
  <si>
    <t>LESS: 09/15/2023</t>
  </si>
  <si>
    <t>ADD: 09/01/2023-11/30/2023</t>
  </si>
  <si>
    <t>LESS: 12/27-28/2023</t>
  </si>
  <si>
    <t>ADD: 12/01/2023-12/31/2023</t>
  </si>
  <si>
    <t>LESS: 01/02/2024</t>
  </si>
  <si>
    <t>ADD: 01/01/2024-01/31/2024</t>
  </si>
  <si>
    <t>LESS: 01/31/2024</t>
  </si>
  <si>
    <t>ADD: (DISAPPROVED FL-12/27-28/2023)</t>
  </si>
  <si>
    <t>ADD: 02/01-29/2024</t>
  </si>
  <si>
    <t xml:space="preserve">LESS: 03/22/2024  </t>
  </si>
  <si>
    <t>ADD: 03/01-31/2024</t>
  </si>
  <si>
    <t>LESS: 03/27/2024 (UNDERTIME)</t>
  </si>
  <si>
    <t>ADD: 04/1-30/2024</t>
  </si>
  <si>
    <t>LESS: 05/9-10/2024</t>
  </si>
  <si>
    <t>LESS: 05/29/2024</t>
  </si>
  <si>
    <t>ADD: 05/01/2024-06/30/2024</t>
  </si>
  <si>
    <t>LESS: 07/04/2024</t>
  </si>
  <si>
    <t>LESS: 07/22/2024</t>
  </si>
  <si>
    <t>ADD:07/1-31/2024</t>
  </si>
  <si>
    <t>LESS: MONETIZATION 2024</t>
  </si>
  <si>
    <t>LESS: 08/19/2024</t>
  </si>
  <si>
    <t>ADD: 08/1/2024-09/30/2024</t>
  </si>
  <si>
    <t>LESS: 10/9/2024</t>
  </si>
  <si>
    <t>LESS: 10/23/2024</t>
  </si>
  <si>
    <t>ADD: 10/1-31/2024</t>
  </si>
  <si>
    <t>LESS: 11/29/2024</t>
  </si>
  <si>
    <t>LESS: 11/25/2024</t>
  </si>
  <si>
    <t>ADD: 11/1-30/2024</t>
  </si>
  <si>
    <t>LESS: 12/26-27/2024</t>
  </si>
  <si>
    <t>ADD: 12/1-31/2024</t>
  </si>
  <si>
    <t>LESS: 01/3 &amp; 6, 2025</t>
  </si>
  <si>
    <t>LESS: 01/17/2025</t>
  </si>
  <si>
    <t>LESS: 02/28/2025</t>
  </si>
  <si>
    <t>ADD: 01/1-31/2025</t>
  </si>
  <si>
    <t>LESS: 03/14/2025</t>
  </si>
  <si>
    <t>ADD: 02/1/2025-03/31/2025</t>
  </si>
  <si>
    <t>LESS: 04/14-15/2025</t>
  </si>
  <si>
    <t>ADD: 04/1/2025-05/31/2025</t>
  </si>
  <si>
    <t>LESS: 05/30/2025</t>
  </si>
  <si>
    <t>LESS: 07/1/2025 PM</t>
  </si>
  <si>
    <t>ADD: 06/1-30/2025</t>
  </si>
  <si>
    <t>LESS: 08/8/2025</t>
  </si>
  <si>
    <t>ADD: 07/1-31/2025</t>
  </si>
  <si>
    <t>LESS: 09/15/2025</t>
  </si>
  <si>
    <t>LESS: 08/29/2025</t>
  </si>
  <si>
    <t>ADD: 08/01/2025-10/31/2025</t>
  </si>
  <si>
    <t>LESS: MONETIZATION 2025 (30 DAYS)</t>
  </si>
  <si>
    <t>LESS: 11/19/2025</t>
  </si>
  <si>
    <t>ADD: 11/1-30/2025</t>
  </si>
  <si>
    <t>LESS: 11/24/2025-12/5/2025</t>
  </si>
  <si>
    <t>LESS: 12/11/2025</t>
  </si>
  <si>
    <t>Certified Correct:</t>
  </si>
  <si>
    <t>MA. LUISA B. CATIGAN</t>
  </si>
  <si>
    <t>Administrative Officer IV</t>
  </si>
  <si>
    <t xml:space="preserve">                  HRMO</t>
  </si>
  <si>
    <t>REGION VI-WESTERN VISAYAS</t>
  </si>
  <si>
    <t>NAME         : GONZALES, MAE HAZEL</t>
  </si>
  <si>
    <t>DISTRICT             : _______________________</t>
  </si>
  <si>
    <t>EMPLOYEE NO   : __________</t>
  </si>
  <si>
    <t>SCHOOL/OFFICE : OSDS</t>
  </si>
  <si>
    <t>STATION CODE   : __________</t>
  </si>
  <si>
    <t>POSITION   : ADAS II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</si>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</sst>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2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24" applyNumberFormat="0" applyAlignment="0" applyProtection="0">
      <alignment vertical="center"/>
    </xf>
    <xf numFmtId="0" fontId="20" fillId="13" borderId="25" applyNumberFormat="0" applyAlignment="0" applyProtection="0">
      <alignment vertical="center"/>
    </xf>
    <xf numFmtId="0" fontId="21" fillId="13" borderId="24" applyNumberFormat="0" applyAlignment="0" applyProtection="0">
      <alignment vertical="center"/>
    </xf>
    <xf numFmtId="0" fontId="22" fillId="14" borderId="26" applyNumberFormat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8" fillId="0" borderId="0"/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6" fontId="8" fillId="2" borderId="17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76" fontId="8" fillId="2" borderId="12" xfId="0" applyNumberFormat="1" applyFont="1" applyFill="1" applyBorder="1" applyAlignment="1">
      <alignment horizontal="center" vertical="center"/>
    </xf>
    <xf numFmtId="58" fontId="8" fillId="0" borderId="12" xfId="0" applyNumberFormat="1" applyFont="1" applyBorder="1" applyAlignment="1">
      <alignment horizontal="center" vertical="center"/>
    </xf>
    <xf numFmtId="176" fontId="3" fillId="2" borderId="12" xfId="0" applyNumberFormat="1" applyFont="1" applyFill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/>
    </xf>
    <xf numFmtId="176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/>
    <xf numFmtId="0" fontId="0" fillId="0" borderId="12" xfId="0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0" fontId="10" fillId="2" borderId="0" xfId="0" applyFont="1" applyFill="1"/>
    <xf numFmtId="0" fontId="8" fillId="2" borderId="0" xfId="0" applyFont="1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327026</xdr:colOff>
      <xdr:row>0</xdr:row>
      <xdr:rowOff>95250</xdr:rowOff>
    </xdr:from>
    <xdr:to>
      <xdr:col>4</xdr:col>
      <xdr:colOff>152400</xdr:colOff>
      <xdr:row>0</xdr:row>
      <xdr:rowOff>657225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28515" y="95250"/>
          <a:ext cx="619125" cy="5619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GONZALES, MAE HAZEL A.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92239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268775</xdr:colOff>
      <xdr:row>0</xdr:row>
      <xdr:rowOff>9720</xdr:rowOff>
    </xdr:from>
    <xdr:to>
      <xdr:col>6</xdr:col>
      <xdr:colOff>249725</xdr:colOff>
      <xdr:row>0</xdr:row>
      <xdr:rowOff>657420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46930" y="9525"/>
          <a:ext cx="607695" cy="647700"/>
        </a:xfrm>
        <a:prstGeom prst="rect">
          <a:avLst/>
        </a:prstGeom>
        <a:noFill/>
      </xdr:spPr>
    </xdr:pic>
    <xdr:clientData/>
  </xdr:twoCellAnchor>
  <xdr:twoCellAnchor>
    <xdr:from>
      <xdr:col>9</xdr:col>
      <xdr:colOff>304800</xdr:colOff>
      <xdr:row>19</xdr:row>
      <xdr:rowOff>228600</xdr:rowOff>
    </xdr:from>
    <xdr:to>
      <xdr:col>11</xdr:col>
      <xdr:colOff>1171575</xdr:colOff>
      <xdr:row>21</xdr:row>
      <xdr:rowOff>142875</xdr:rowOff>
    </xdr:to>
    <xdr:sp>
      <xdr:nvSpPr>
        <xdr:cNvPr id="3" name="TextBox 2"/>
        <xdr:cNvSpPr txBox="1"/>
      </xdr:nvSpPr>
      <xdr:spPr>
        <a:xfrm>
          <a:off x="7543165" y="5000625"/>
          <a:ext cx="201676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Administrative Officer</a:t>
          </a:r>
          <a:endParaRPr lang="en-US" sz="1100" baseline="0"/>
        </a:p>
        <a:p>
          <a:pPr algn="ctr"/>
          <a:r>
            <a:rPr lang="en-US" sz="1100" baseline="0"/>
            <a:t>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2058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20"/>
  <sheetViews>
    <sheetView tabSelected="1" view="pageBreakPreview" zoomScaleNormal="100" topLeftCell="A93" workbookViewId="0">
      <selection activeCell="F115" sqref="F115"/>
    </sheetView>
  </sheetViews>
  <sheetFormatPr defaultColWidth="9" defaultRowHeight="14.4"/>
  <cols>
    <col min="1" max="1" width="39.5740740740741" customWidth="1"/>
    <col min="2" max="10" width="11.5740740740741" customWidth="1"/>
    <col min="11" max="11" width="26.4259259259259" style="34" customWidth="1"/>
  </cols>
  <sheetData>
    <row r="1" s="1" customFormat="1" ht="52.5" customHeight="1"/>
    <row r="2" s="1" customFormat="1" ht="10.5" customHeight="1" spans="1:10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5.95" customHeight="1" spans="1:10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</row>
    <row r="4" s="1" customFormat="1" ht="15.95" customHeight="1" spans="1:10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15.95" customHeight="1" spans="1:10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</row>
    <row r="6" s="1" customFormat="1" ht="8.25" customHeight="1"/>
    <row r="7" s="1" customFormat="1" ht="12" customHeight="1" spans="1:10">
      <c r="A7" s="1" t="s">
        <v>4</v>
      </c>
      <c r="B7" s="9" t="s">
        <v>5</v>
      </c>
      <c r="C7" s="9"/>
      <c r="D7" s="9"/>
      <c r="H7" s="8" t="s">
        <v>6</v>
      </c>
      <c r="I7" s="53"/>
      <c r="J7" s="8"/>
    </row>
    <row r="8" s="1" customFormat="1" ht="12" customHeight="1" spans="2:10">
      <c r="B8" s="10"/>
      <c r="C8" s="10"/>
      <c r="H8" s="10"/>
      <c r="I8" s="10"/>
      <c r="J8" s="10"/>
    </row>
    <row r="9" s="1" customFormat="1" ht="12" customHeight="1" spans="1:10">
      <c r="A9" s="1" t="s">
        <v>7</v>
      </c>
      <c r="B9" s="9" t="s">
        <v>8</v>
      </c>
      <c r="C9" s="9"/>
      <c r="D9" s="9"/>
      <c r="H9" s="8" t="s">
        <v>9</v>
      </c>
      <c r="I9" s="54"/>
      <c r="J9" s="8"/>
    </row>
    <row r="10" ht="16.5" customHeight="1" spans="1:11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  <c r="K10"/>
    </row>
    <row r="11" ht="18.75" customHeight="1" spans="1:11">
      <c r="A11" s="35" t="s">
        <v>11</v>
      </c>
      <c r="B11" s="36" t="s">
        <v>12</v>
      </c>
      <c r="C11" s="36"/>
      <c r="D11" s="37" t="s">
        <v>13</v>
      </c>
      <c r="E11" s="38"/>
      <c r="F11" s="38"/>
      <c r="G11" s="39"/>
      <c r="H11" s="40" t="s">
        <v>14</v>
      </c>
      <c r="I11" s="40"/>
      <c r="J11" s="55" t="s">
        <v>15</v>
      </c>
      <c r="K11" s="56" t="s">
        <v>16</v>
      </c>
    </row>
    <row r="12" ht="18.75" customHeight="1" spans="1:11">
      <c r="A12" s="41"/>
      <c r="B12" s="42" t="s">
        <v>17</v>
      </c>
      <c r="C12" s="42" t="s">
        <v>18</v>
      </c>
      <c r="D12" s="42" t="s">
        <v>17</v>
      </c>
      <c r="E12" s="42" t="s">
        <v>18</v>
      </c>
      <c r="F12" s="42" t="s">
        <v>19</v>
      </c>
      <c r="G12" s="42" t="s">
        <v>20</v>
      </c>
      <c r="H12" s="42" t="s">
        <v>17</v>
      </c>
      <c r="I12" s="42" t="s">
        <v>18</v>
      </c>
      <c r="J12" s="57"/>
      <c r="K12" s="56"/>
    </row>
    <row r="13" ht="15.95" customHeight="1" spans="1:10">
      <c r="A13" s="43" t="s">
        <v>21</v>
      </c>
      <c r="B13" s="44">
        <v>0.208</v>
      </c>
      <c r="C13" s="44">
        <v>0.208</v>
      </c>
      <c r="D13" s="44"/>
      <c r="E13" s="44"/>
      <c r="F13" s="44"/>
      <c r="G13" s="44"/>
      <c r="H13" s="44">
        <f>B13</f>
        <v>0.208</v>
      </c>
      <c r="I13" s="44">
        <f>C13</f>
        <v>0.208</v>
      </c>
      <c r="J13" s="44">
        <f>SUM(H13:I13)</f>
        <v>0.416</v>
      </c>
    </row>
    <row r="14" ht="15.95" customHeight="1" spans="1:10">
      <c r="A14" s="45" t="s">
        <v>22</v>
      </c>
      <c r="B14" s="46">
        <f>9*1.25</f>
        <v>11.25</v>
      </c>
      <c r="C14" s="46">
        <v>11.25</v>
      </c>
      <c r="D14" s="46"/>
      <c r="E14" s="46"/>
      <c r="F14" s="46"/>
      <c r="G14" s="46"/>
      <c r="H14" s="46">
        <f>H13-F14-D14+B14</f>
        <v>11.458</v>
      </c>
      <c r="I14" s="46">
        <f>I13-E14+C14</f>
        <v>11.458</v>
      </c>
      <c r="J14" s="46">
        <f>SUM(H14:I14)</f>
        <v>22.916</v>
      </c>
    </row>
    <row r="15" ht="15.95" customHeight="1" spans="1:10">
      <c r="A15" s="45" t="s">
        <v>23</v>
      </c>
      <c r="B15" s="46"/>
      <c r="C15" s="46"/>
      <c r="D15" s="46"/>
      <c r="E15" s="46"/>
      <c r="F15" s="46">
        <v>2</v>
      </c>
      <c r="G15" s="46"/>
      <c r="H15" s="46">
        <f t="shared" ref="H15:H17" si="0">H14-F15-D15+B15</f>
        <v>9.458</v>
      </c>
      <c r="I15" s="46">
        <f t="shared" ref="I15:I17" si="1">I14-E15+C15</f>
        <v>11.458</v>
      </c>
      <c r="J15" s="46">
        <f t="shared" ref="J15:J17" si="2">SUM(H15:I15)</f>
        <v>20.916</v>
      </c>
    </row>
    <row r="16" ht="15.95" customHeight="1" spans="1:10">
      <c r="A16" s="45" t="s">
        <v>24</v>
      </c>
      <c r="B16" s="46"/>
      <c r="C16" s="46"/>
      <c r="D16" s="46"/>
      <c r="E16" s="46">
        <v>2</v>
      </c>
      <c r="F16" s="46"/>
      <c r="G16" s="46"/>
      <c r="H16" s="46">
        <f t="shared" si="0"/>
        <v>9.458</v>
      </c>
      <c r="I16" s="46">
        <f t="shared" si="1"/>
        <v>9.458</v>
      </c>
      <c r="J16" s="46">
        <f t="shared" si="2"/>
        <v>18.916</v>
      </c>
    </row>
    <row r="17" ht="15.95" customHeight="1" spans="1:10">
      <c r="A17" s="45" t="s">
        <v>25</v>
      </c>
      <c r="B17" s="46"/>
      <c r="C17" s="46"/>
      <c r="D17" s="46">
        <v>1</v>
      </c>
      <c r="E17" s="46"/>
      <c r="F17" s="46"/>
      <c r="G17" s="46"/>
      <c r="H17" s="46">
        <f t="shared" si="0"/>
        <v>8.458</v>
      </c>
      <c r="I17" s="46">
        <f t="shared" si="1"/>
        <v>9.458</v>
      </c>
      <c r="J17" s="46">
        <f t="shared" si="2"/>
        <v>17.916</v>
      </c>
    </row>
    <row r="18" ht="15.95" customHeight="1" spans="1:10">
      <c r="A18" s="45" t="s">
        <v>26</v>
      </c>
      <c r="B18" s="46"/>
      <c r="C18" s="46"/>
      <c r="D18" s="46"/>
      <c r="E18" s="46"/>
      <c r="F18" s="46">
        <v>3</v>
      </c>
      <c r="G18" s="46"/>
      <c r="H18" s="46">
        <f t="shared" ref="H18:H35" si="3">H17-F18-D18+B18</f>
        <v>5.458</v>
      </c>
      <c r="I18" s="46">
        <f t="shared" ref="I18:I35" si="4">I17-E18+C18</f>
        <v>9.458</v>
      </c>
      <c r="J18" s="46">
        <f t="shared" ref="J18:J35" si="5">SUM(H18:I18)</f>
        <v>14.916</v>
      </c>
    </row>
    <row r="19" ht="15.95" customHeight="1" spans="1:10">
      <c r="A19" s="45" t="s">
        <v>27</v>
      </c>
      <c r="B19" s="46">
        <v>15</v>
      </c>
      <c r="C19" s="46">
        <v>15</v>
      </c>
      <c r="D19" s="46"/>
      <c r="E19" s="46"/>
      <c r="F19" s="46"/>
      <c r="G19" s="46"/>
      <c r="H19" s="46">
        <f t="shared" si="3"/>
        <v>20.458</v>
      </c>
      <c r="I19" s="46">
        <f t="shared" si="4"/>
        <v>24.458</v>
      </c>
      <c r="J19" s="46">
        <f t="shared" si="5"/>
        <v>44.916</v>
      </c>
    </row>
    <row r="20" ht="15.95" customHeight="1" spans="1:10">
      <c r="A20" s="45" t="s">
        <v>28</v>
      </c>
      <c r="B20" s="46"/>
      <c r="C20" s="46"/>
      <c r="D20" s="46"/>
      <c r="E20" s="46"/>
      <c r="F20" s="46">
        <v>3</v>
      </c>
      <c r="G20" s="46"/>
      <c r="H20" s="46">
        <f t="shared" si="3"/>
        <v>17.458</v>
      </c>
      <c r="I20" s="46">
        <f t="shared" si="4"/>
        <v>24.458</v>
      </c>
      <c r="J20" s="46">
        <f t="shared" si="5"/>
        <v>41.916</v>
      </c>
    </row>
    <row r="21" ht="15.95" customHeight="1" spans="1:10">
      <c r="A21" s="45" t="s">
        <v>29</v>
      </c>
      <c r="B21" s="46"/>
      <c r="C21" s="46"/>
      <c r="D21" s="46"/>
      <c r="E21" s="46">
        <v>11</v>
      </c>
      <c r="F21" s="46">
        <v>2</v>
      </c>
      <c r="G21" s="46"/>
      <c r="H21" s="46">
        <f t="shared" si="3"/>
        <v>15.458</v>
      </c>
      <c r="I21" s="46">
        <f t="shared" si="4"/>
        <v>13.458</v>
      </c>
      <c r="J21" s="46">
        <f t="shared" si="5"/>
        <v>28.916</v>
      </c>
    </row>
    <row r="22" ht="15.95" customHeight="1" spans="1:10">
      <c r="A22" s="45" t="s">
        <v>30</v>
      </c>
      <c r="B22" s="46"/>
      <c r="C22" s="46"/>
      <c r="D22" s="46">
        <v>9</v>
      </c>
      <c r="E22" s="46">
        <v>1</v>
      </c>
      <c r="F22" s="46"/>
      <c r="G22" s="46"/>
      <c r="H22" s="46">
        <f t="shared" si="3"/>
        <v>6.458</v>
      </c>
      <c r="I22" s="46">
        <f t="shared" si="4"/>
        <v>12.458</v>
      </c>
      <c r="J22" s="46">
        <f t="shared" si="5"/>
        <v>18.916</v>
      </c>
    </row>
    <row r="23" ht="15.95" customHeight="1" spans="1:10">
      <c r="A23" s="45" t="s">
        <v>31</v>
      </c>
      <c r="B23" s="46">
        <v>15</v>
      </c>
      <c r="C23" s="46">
        <v>15</v>
      </c>
      <c r="D23" s="46"/>
      <c r="E23" s="46"/>
      <c r="F23" s="46"/>
      <c r="G23" s="46"/>
      <c r="H23" s="46">
        <f t="shared" si="3"/>
        <v>21.458</v>
      </c>
      <c r="I23" s="46">
        <f t="shared" si="4"/>
        <v>27.458</v>
      </c>
      <c r="J23" s="46">
        <f t="shared" si="5"/>
        <v>48.916</v>
      </c>
    </row>
    <row r="24" ht="15.95" customHeight="1" spans="1:10">
      <c r="A24" s="45" t="s">
        <v>32</v>
      </c>
      <c r="B24" s="46"/>
      <c r="C24" s="46"/>
      <c r="D24" s="46"/>
      <c r="E24" s="46"/>
      <c r="F24" s="46">
        <v>3</v>
      </c>
      <c r="G24" s="46"/>
      <c r="H24" s="46">
        <f t="shared" si="3"/>
        <v>18.458</v>
      </c>
      <c r="I24" s="46">
        <f t="shared" si="4"/>
        <v>27.458</v>
      </c>
      <c r="J24" s="46">
        <f t="shared" si="5"/>
        <v>45.916</v>
      </c>
    </row>
    <row r="25" ht="15.95" customHeight="1" spans="1:10">
      <c r="A25" s="45" t="s">
        <v>33</v>
      </c>
      <c r="B25" s="46"/>
      <c r="C25" s="46"/>
      <c r="D25" s="46">
        <v>16</v>
      </c>
      <c r="E25" s="46"/>
      <c r="F25" s="46"/>
      <c r="G25" s="46"/>
      <c r="H25" s="46">
        <f t="shared" si="3"/>
        <v>2.458</v>
      </c>
      <c r="I25" s="46">
        <f t="shared" si="4"/>
        <v>27.458</v>
      </c>
      <c r="J25" s="46">
        <f t="shared" si="5"/>
        <v>29.916</v>
      </c>
    </row>
    <row r="26" ht="15.95" customHeight="1" spans="1:10">
      <c r="A26" s="45" t="s">
        <v>34</v>
      </c>
      <c r="B26" s="46"/>
      <c r="C26" s="46"/>
      <c r="D26" s="46"/>
      <c r="E26" s="46"/>
      <c r="F26" s="46"/>
      <c r="G26" s="46">
        <v>1</v>
      </c>
      <c r="H26" s="46">
        <f t="shared" si="3"/>
        <v>2.458</v>
      </c>
      <c r="I26" s="46">
        <f t="shared" si="4"/>
        <v>27.458</v>
      </c>
      <c r="J26" s="46">
        <f t="shared" si="5"/>
        <v>29.916</v>
      </c>
    </row>
    <row r="27" ht="15.95" customHeight="1" spans="1:10">
      <c r="A27" s="45" t="s">
        <v>35</v>
      </c>
      <c r="B27" s="46"/>
      <c r="C27" s="46"/>
      <c r="D27" s="46"/>
      <c r="E27" s="46"/>
      <c r="F27" s="46">
        <v>2</v>
      </c>
      <c r="G27" s="46"/>
      <c r="H27" s="46">
        <f t="shared" si="3"/>
        <v>0.457999999999998</v>
      </c>
      <c r="I27" s="46">
        <f t="shared" si="4"/>
        <v>27.458</v>
      </c>
      <c r="J27" s="46">
        <f t="shared" si="5"/>
        <v>27.916</v>
      </c>
    </row>
    <row r="28" ht="15.95" customHeight="1" spans="1:10">
      <c r="A28" s="45" t="s">
        <v>36</v>
      </c>
      <c r="B28" s="46">
        <v>2</v>
      </c>
      <c r="C28" s="46"/>
      <c r="D28" s="46"/>
      <c r="E28" s="46"/>
      <c r="F28" s="46"/>
      <c r="G28" s="46"/>
      <c r="H28" s="46">
        <f t="shared" si="3"/>
        <v>2.458</v>
      </c>
      <c r="I28" s="46">
        <f t="shared" si="4"/>
        <v>27.458</v>
      </c>
      <c r="J28" s="46">
        <f t="shared" si="5"/>
        <v>29.916</v>
      </c>
    </row>
    <row r="29" ht="15.95" customHeight="1" spans="1:10">
      <c r="A29" s="45" t="s">
        <v>37</v>
      </c>
      <c r="B29" s="46"/>
      <c r="C29" s="46"/>
      <c r="D29" s="46"/>
      <c r="E29" s="46"/>
      <c r="F29" s="46">
        <v>1</v>
      </c>
      <c r="G29" s="46"/>
      <c r="H29" s="46">
        <f t="shared" si="3"/>
        <v>1.458</v>
      </c>
      <c r="I29" s="46">
        <f t="shared" si="4"/>
        <v>27.458</v>
      </c>
      <c r="J29" s="46">
        <f t="shared" si="5"/>
        <v>28.916</v>
      </c>
    </row>
    <row r="30" ht="15.95" customHeight="1" spans="1:10">
      <c r="A30" s="47" t="s">
        <v>38</v>
      </c>
      <c r="B30" s="46">
        <v>2.5</v>
      </c>
      <c r="C30" s="46">
        <v>2.5</v>
      </c>
      <c r="D30" s="46"/>
      <c r="E30" s="46"/>
      <c r="F30" s="46"/>
      <c r="G30" s="46"/>
      <c r="H30" s="46">
        <f t="shared" si="3"/>
        <v>3.958</v>
      </c>
      <c r="I30" s="46">
        <f t="shared" si="4"/>
        <v>29.958</v>
      </c>
      <c r="J30" s="46">
        <f t="shared" si="5"/>
        <v>33.916</v>
      </c>
    </row>
    <row r="31" ht="15.95" customHeight="1" spans="1:10">
      <c r="A31" s="45" t="s">
        <v>39</v>
      </c>
      <c r="B31" s="46"/>
      <c r="C31" s="46"/>
      <c r="D31" s="46"/>
      <c r="E31" s="46"/>
      <c r="F31" s="46"/>
      <c r="G31" s="46">
        <v>1</v>
      </c>
      <c r="H31" s="46">
        <f t="shared" si="3"/>
        <v>3.958</v>
      </c>
      <c r="I31" s="46">
        <f t="shared" si="4"/>
        <v>29.958</v>
      </c>
      <c r="J31" s="46">
        <f t="shared" si="5"/>
        <v>33.916</v>
      </c>
    </row>
    <row r="32" ht="15.95" customHeight="1" spans="1:10">
      <c r="A32" s="47" t="s">
        <v>40</v>
      </c>
      <c r="B32" s="46">
        <v>1.25</v>
      </c>
      <c r="C32" s="46">
        <v>1.25</v>
      </c>
      <c r="D32" s="46"/>
      <c r="E32" s="46"/>
      <c r="F32" s="46"/>
      <c r="G32" s="46"/>
      <c r="H32" s="46">
        <f t="shared" si="3"/>
        <v>5.208</v>
      </c>
      <c r="I32" s="46">
        <f t="shared" si="4"/>
        <v>31.208</v>
      </c>
      <c r="J32" s="46">
        <f t="shared" si="5"/>
        <v>36.416</v>
      </c>
    </row>
    <row r="33" ht="15.95" customHeight="1" spans="1:10">
      <c r="A33" s="45" t="s">
        <v>41</v>
      </c>
      <c r="B33" s="48"/>
      <c r="C33" s="46"/>
      <c r="D33" s="46"/>
      <c r="E33" s="46">
        <v>1</v>
      </c>
      <c r="F33" s="46"/>
      <c r="G33" s="46"/>
      <c r="H33" s="46">
        <f t="shared" si="3"/>
        <v>5.208</v>
      </c>
      <c r="I33" s="46">
        <f t="shared" si="4"/>
        <v>30.208</v>
      </c>
      <c r="J33" s="46">
        <f t="shared" si="5"/>
        <v>35.416</v>
      </c>
    </row>
    <row r="34" ht="15.95" customHeight="1" spans="1:10">
      <c r="A34" s="47" t="s">
        <v>42</v>
      </c>
      <c r="B34" s="46">
        <v>1.25</v>
      </c>
      <c r="C34" s="46">
        <v>1.25</v>
      </c>
      <c r="D34" s="46"/>
      <c r="E34" s="46"/>
      <c r="F34" s="46"/>
      <c r="G34" s="46"/>
      <c r="H34" s="46">
        <f t="shared" si="3"/>
        <v>6.458</v>
      </c>
      <c r="I34" s="46">
        <f t="shared" si="4"/>
        <v>31.458</v>
      </c>
      <c r="J34" s="46">
        <f t="shared" si="5"/>
        <v>37.916</v>
      </c>
    </row>
    <row r="35" ht="15.95" customHeight="1" spans="1:10">
      <c r="A35" s="45" t="s">
        <v>43</v>
      </c>
      <c r="B35" s="46"/>
      <c r="C35" s="46"/>
      <c r="D35" s="46"/>
      <c r="E35" s="46"/>
      <c r="F35" s="46">
        <v>1</v>
      </c>
      <c r="G35" s="46"/>
      <c r="H35" s="46">
        <f t="shared" si="3"/>
        <v>5.458</v>
      </c>
      <c r="I35" s="46">
        <f t="shared" si="4"/>
        <v>31.458</v>
      </c>
      <c r="J35" s="46">
        <f t="shared" si="5"/>
        <v>36.916</v>
      </c>
    </row>
    <row r="36" ht="15.95" customHeight="1" spans="1:10">
      <c r="A36" s="45" t="s">
        <v>44</v>
      </c>
      <c r="B36" s="46"/>
      <c r="C36" s="46"/>
      <c r="D36" s="46"/>
      <c r="E36" s="46"/>
      <c r="F36" s="46">
        <v>1</v>
      </c>
      <c r="G36" s="46"/>
      <c r="H36" s="46">
        <f t="shared" ref="H36:H67" si="6">H35-F36-D36+B36</f>
        <v>4.458</v>
      </c>
      <c r="I36" s="46">
        <f t="shared" ref="I36:I67" si="7">I35-E36+C36</f>
        <v>31.458</v>
      </c>
      <c r="J36" s="46">
        <f t="shared" ref="J36:J67" si="8">SUM(H36:I36)</f>
        <v>35.916</v>
      </c>
    </row>
    <row r="37" ht="15.95" customHeight="1" spans="1:10">
      <c r="A37" s="47" t="s">
        <v>45</v>
      </c>
      <c r="B37" s="46">
        <v>2.5</v>
      </c>
      <c r="C37" s="46">
        <v>2.5</v>
      </c>
      <c r="D37" s="46"/>
      <c r="E37" s="46"/>
      <c r="F37" s="46"/>
      <c r="G37" s="46"/>
      <c r="H37" s="46">
        <f t="shared" si="6"/>
        <v>6.958</v>
      </c>
      <c r="I37" s="46">
        <f t="shared" si="7"/>
        <v>33.958</v>
      </c>
      <c r="J37" s="46">
        <f t="shared" si="8"/>
        <v>40.916</v>
      </c>
    </row>
    <row r="38" ht="15.95" customHeight="1" spans="1:10">
      <c r="A38" s="45" t="s">
        <v>46</v>
      </c>
      <c r="B38" s="46"/>
      <c r="C38" s="46"/>
      <c r="D38" s="46"/>
      <c r="E38" s="46">
        <v>1</v>
      </c>
      <c r="F38" s="46"/>
      <c r="G38" s="46"/>
      <c r="H38" s="46">
        <f t="shared" si="6"/>
        <v>6.958</v>
      </c>
      <c r="I38" s="46">
        <f t="shared" si="7"/>
        <v>32.958</v>
      </c>
      <c r="J38" s="46">
        <f t="shared" si="8"/>
        <v>39.916</v>
      </c>
    </row>
    <row r="39" ht="15.95" customHeight="1" spans="1:10">
      <c r="A39" s="47" t="s">
        <v>47</v>
      </c>
      <c r="B39" s="46">
        <v>1.25</v>
      </c>
      <c r="C39" s="46">
        <v>1.25</v>
      </c>
      <c r="D39" s="46"/>
      <c r="E39" s="46"/>
      <c r="F39" s="46"/>
      <c r="G39" s="46"/>
      <c r="H39" s="46">
        <f t="shared" si="6"/>
        <v>8.208</v>
      </c>
      <c r="I39" s="46">
        <f t="shared" si="7"/>
        <v>34.208</v>
      </c>
      <c r="J39" s="46">
        <f t="shared" si="8"/>
        <v>42.416</v>
      </c>
    </row>
    <row r="40" ht="15.95" customHeight="1" spans="1:10">
      <c r="A40" s="45" t="s">
        <v>48</v>
      </c>
      <c r="B40" s="46"/>
      <c r="C40" s="46"/>
      <c r="D40" s="46"/>
      <c r="E40" s="46"/>
      <c r="F40" s="46"/>
      <c r="G40" s="46">
        <v>1</v>
      </c>
      <c r="H40" s="46">
        <f t="shared" si="6"/>
        <v>8.208</v>
      </c>
      <c r="I40" s="46">
        <f t="shared" si="7"/>
        <v>34.208</v>
      </c>
      <c r="J40" s="46">
        <f t="shared" si="8"/>
        <v>42.416</v>
      </c>
    </row>
    <row r="41" ht="15.95" customHeight="1" spans="1:10">
      <c r="A41" s="47" t="s">
        <v>49</v>
      </c>
      <c r="B41" s="46">
        <f>5*1.25</f>
        <v>6.25</v>
      </c>
      <c r="C41" s="46">
        <v>6.25</v>
      </c>
      <c r="D41" s="46"/>
      <c r="E41" s="46"/>
      <c r="F41" s="46"/>
      <c r="G41" s="46"/>
      <c r="H41" s="46">
        <f t="shared" si="6"/>
        <v>14.458</v>
      </c>
      <c r="I41" s="46">
        <f t="shared" si="7"/>
        <v>40.458</v>
      </c>
      <c r="J41" s="46">
        <f t="shared" si="8"/>
        <v>54.916</v>
      </c>
    </row>
    <row r="42" ht="15.95" customHeight="1" spans="1:10">
      <c r="A42" s="45" t="s">
        <v>50</v>
      </c>
      <c r="B42" s="46"/>
      <c r="C42" s="46"/>
      <c r="D42" s="46"/>
      <c r="E42" s="46"/>
      <c r="F42" s="46"/>
      <c r="G42" s="46">
        <v>1</v>
      </c>
      <c r="H42" s="46">
        <f t="shared" si="6"/>
        <v>14.458</v>
      </c>
      <c r="I42" s="46">
        <f t="shared" si="7"/>
        <v>40.458</v>
      </c>
      <c r="J42" s="46">
        <f t="shared" si="8"/>
        <v>54.916</v>
      </c>
    </row>
    <row r="43" ht="15.95" customHeight="1" spans="1:10">
      <c r="A43" s="45" t="s">
        <v>51</v>
      </c>
      <c r="B43" s="46"/>
      <c r="C43" s="46"/>
      <c r="D43" s="46"/>
      <c r="E43" s="46"/>
      <c r="F43" s="46">
        <v>1</v>
      </c>
      <c r="G43" s="46"/>
      <c r="H43" s="46">
        <f t="shared" si="6"/>
        <v>13.458</v>
      </c>
      <c r="I43" s="46">
        <f t="shared" si="7"/>
        <v>40.458</v>
      </c>
      <c r="J43" s="46">
        <f t="shared" si="8"/>
        <v>53.916</v>
      </c>
    </row>
    <row r="44" ht="15.95" customHeight="1" spans="1:10">
      <c r="A44" s="45" t="s">
        <v>52</v>
      </c>
      <c r="B44" s="46"/>
      <c r="C44" s="46"/>
      <c r="D44" s="46">
        <v>9</v>
      </c>
      <c r="E44" s="46">
        <v>20</v>
      </c>
      <c r="F44" s="46"/>
      <c r="G44" s="46"/>
      <c r="H44" s="46">
        <f t="shared" si="6"/>
        <v>4.458</v>
      </c>
      <c r="I44" s="46">
        <f t="shared" si="7"/>
        <v>20.458</v>
      </c>
      <c r="J44" s="46">
        <f t="shared" si="8"/>
        <v>24.916</v>
      </c>
    </row>
    <row r="45" ht="15.95" customHeight="1" spans="1:10">
      <c r="A45" s="45" t="s">
        <v>53</v>
      </c>
      <c r="B45" s="46"/>
      <c r="C45" s="46"/>
      <c r="D45" s="46"/>
      <c r="E45" s="46"/>
      <c r="F45" s="46">
        <v>1</v>
      </c>
      <c r="G45" s="46"/>
      <c r="H45" s="46">
        <f t="shared" si="6"/>
        <v>3.458</v>
      </c>
      <c r="I45" s="46">
        <f t="shared" si="7"/>
        <v>20.458</v>
      </c>
      <c r="J45" s="46">
        <f t="shared" si="8"/>
        <v>23.916</v>
      </c>
    </row>
    <row r="46" ht="15.95" customHeight="1" spans="1:10">
      <c r="A46" s="45" t="s">
        <v>54</v>
      </c>
      <c r="B46" s="46"/>
      <c r="C46" s="46"/>
      <c r="D46" s="46"/>
      <c r="E46" s="46">
        <v>0.5</v>
      </c>
      <c r="F46" s="46"/>
      <c r="G46" s="46"/>
      <c r="H46" s="46">
        <f t="shared" si="6"/>
        <v>3.458</v>
      </c>
      <c r="I46" s="46">
        <f t="shared" si="7"/>
        <v>19.958</v>
      </c>
      <c r="J46" s="46">
        <f t="shared" si="8"/>
        <v>23.416</v>
      </c>
    </row>
    <row r="47" ht="15.95" customHeight="1" spans="1:10">
      <c r="A47" s="45" t="s">
        <v>55</v>
      </c>
      <c r="B47" s="49"/>
      <c r="C47" s="49"/>
      <c r="D47" s="49"/>
      <c r="E47" s="50">
        <v>0.5</v>
      </c>
      <c r="F47" s="49"/>
      <c r="G47" s="49"/>
      <c r="H47" s="46">
        <f t="shared" si="6"/>
        <v>3.458</v>
      </c>
      <c r="I47" s="46">
        <f t="shared" si="7"/>
        <v>19.458</v>
      </c>
      <c r="J47" s="46">
        <f t="shared" si="8"/>
        <v>22.916</v>
      </c>
    </row>
    <row r="48" ht="15.95" customHeight="1" spans="1:10">
      <c r="A48" s="47" t="s">
        <v>56</v>
      </c>
      <c r="B48" s="50">
        <v>2.5</v>
      </c>
      <c r="C48" s="50">
        <v>2.5</v>
      </c>
      <c r="D48" s="49"/>
      <c r="E48" s="49"/>
      <c r="F48" s="49"/>
      <c r="G48" s="49"/>
      <c r="H48" s="46">
        <f t="shared" si="6"/>
        <v>5.958</v>
      </c>
      <c r="I48" s="46">
        <f t="shared" si="7"/>
        <v>21.958</v>
      </c>
      <c r="J48" s="46">
        <f t="shared" si="8"/>
        <v>27.916</v>
      </c>
    </row>
    <row r="49" ht="15.95" customHeight="1" spans="1:10">
      <c r="A49" s="45" t="s">
        <v>57</v>
      </c>
      <c r="B49" s="49"/>
      <c r="C49" s="49"/>
      <c r="D49" s="49"/>
      <c r="E49" s="50">
        <v>2</v>
      </c>
      <c r="F49" s="49"/>
      <c r="G49" s="49"/>
      <c r="H49" s="46">
        <f t="shared" si="6"/>
        <v>5.958</v>
      </c>
      <c r="I49" s="46">
        <f t="shared" si="7"/>
        <v>19.958</v>
      </c>
      <c r="J49" s="46">
        <f t="shared" si="8"/>
        <v>25.916</v>
      </c>
    </row>
    <row r="50" ht="15.95" customHeight="1" spans="1:10">
      <c r="A50" s="47" t="s">
        <v>58</v>
      </c>
      <c r="B50" s="46">
        <v>1.25</v>
      </c>
      <c r="C50" s="46">
        <v>1.25</v>
      </c>
      <c r="D50" s="49"/>
      <c r="E50" s="49"/>
      <c r="F50" s="49"/>
      <c r="G50" s="49"/>
      <c r="H50" s="46">
        <f t="shared" si="6"/>
        <v>7.208</v>
      </c>
      <c r="I50" s="46">
        <f t="shared" si="7"/>
        <v>21.208</v>
      </c>
      <c r="J50" s="46">
        <f t="shared" si="8"/>
        <v>28.416</v>
      </c>
    </row>
    <row r="51" ht="15.95" customHeight="1" spans="1:10">
      <c r="A51" s="45" t="s">
        <v>59</v>
      </c>
      <c r="B51" s="49"/>
      <c r="C51" s="49"/>
      <c r="D51" s="49"/>
      <c r="E51" s="49"/>
      <c r="F51" s="49"/>
      <c r="G51" s="50">
        <v>1</v>
      </c>
      <c r="H51" s="46">
        <f t="shared" si="6"/>
        <v>7.208</v>
      </c>
      <c r="I51" s="46">
        <f t="shared" si="7"/>
        <v>21.208</v>
      </c>
      <c r="J51" s="46">
        <f t="shared" si="8"/>
        <v>28.416</v>
      </c>
    </row>
    <row r="52" ht="15.95" customHeight="1" spans="1:10">
      <c r="A52" s="45" t="s">
        <v>60</v>
      </c>
      <c r="B52" s="49"/>
      <c r="C52" s="49"/>
      <c r="D52" s="49"/>
      <c r="E52" s="49"/>
      <c r="F52" s="49">
        <v>2</v>
      </c>
      <c r="G52" s="49"/>
      <c r="H52" s="46">
        <f t="shared" si="6"/>
        <v>5.208</v>
      </c>
      <c r="I52" s="46">
        <f t="shared" si="7"/>
        <v>21.208</v>
      </c>
      <c r="J52" s="46">
        <f t="shared" si="8"/>
        <v>26.416</v>
      </c>
    </row>
    <row r="53" ht="15.95" customHeight="1" spans="1:10">
      <c r="A53" s="47" t="s">
        <v>61</v>
      </c>
      <c r="B53" s="50">
        <v>2.5</v>
      </c>
      <c r="C53" s="50">
        <v>2.5</v>
      </c>
      <c r="D53" s="51"/>
      <c r="E53" s="51"/>
      <c r="F53" s="51"/>
      <c r="G53" s="51"/>
      <c r="H53" s="46">
        <f t="shared" si="6"/>
        <v>7.708</v>
      </c>
      <c r="I53" s="46">
        <f t="shared" si="7"/>
        <v>23.708</v>
      </c>
      <c r="J53" s="46">
        <f t="shared" si="8"/>
        <v>31.416</v>
      </c>
    </row>
    <row r="54" ht="15.95" customHeight="1" spans="1:10">
      <c r="A54" s="45" t="s">
        <v>62</v>
      </c>
      <c r="B54" s="51"/>
      <c r="C54" s="51"/>
      <c r="D54" s="51"/>
      <c r="E54" s="50">
        <v>2</v>
      </c>
      <c r="F54" s="51"/>
      <c r="G54" s="51"/>
      <c r="H54" s="46">
        <f t="shared" si="6"/>
        <v>7.708</v>
      </c>
      <c r="I54" s="46">
        <f t="shared" si="7"/>
        <v>21.708</v>
      </c>
      <c r="J54" s="46">
        <f t="shared" si="8"/>
        <v>29.416</v>
      </c>
    </row>
    <row r="55" ht="15.95" customHeight="1" spans="1:10">
      <c r="A55" s="47" t="s">
        <v>63</v>
      </c>
      <c r="B55" s="46">
        <v>1.25</v>
      </c>
      <c r="C55" s="46">
        <v>1.25</v>
      </c>
      <c r="D55" s="51"/>
      <c r="E55" s="51"/>
      <c r="F55" s="51"/>
      <c r="G55" s="51"/>
      <c r="H55" s="46">
        <f t="shared" si="6"/>
        <v>8.958</v>
      </c>
      <c r="I55" s="46">
        <f t="shared" si="7"/>
        <v>22.958</v>
      </c>
      <c r="J55" s="46">
        <f t="shared" si="8"/>
        <v>31.916</v>
      </c>
    </row>
    <row r="56" ht="15.95" customHeight="1" spans="1:10">
      <c r="A56" s="45" t="s">
        <v>64</v>
      </c>
      <c r="B56" s="51"/>
      <c r="C56" s="51"/>
      <c r="D56" s="51"/>
      <c r="E56" s="50">
        <v>1</v>
      </c>
      <c r="F56" s="51"/>
      <c r="G56" s="51"/>
      <c r="H56" s="46">
        <f t="shared" si="6"/>
        <v>8.958</v>
      </c>
      <c r="I56" s="46">
        <f t="shared" si="7"/>
        <v>21.958</v>
      </c>
      <c r="J56" s="46">
        <f t="shared" si="8"/>
        <v>30.916</v>
      </c>
    </row>
    <row r="57" ht="15.95" customHeight="1" spans="1:10">
      <c r="A57" s="47" t="s">
        <v>65</v>
      </c>
      <c r="B57" s="46">
        <v>1.25</v>
      </c>
      <c r="C57" s="46">
        <v>1.25</v>
      </c>
      <c r="D57" s="51"/>
      <c r="E57" s="51"/>
      <c r="F57" s="51"/>
      <c r="G57" s="51"/>
      <c r="H57" s="46">
        <f t="shared" si="6"/>
        <v>10.208</v>
      </c>
      <c r="I57" s="46">
        <f t="shared" si="7"/>
        <v>23.208</v>
      </c>
      <c r="J57" s="46">
        <f t="shared" si="8"/>
        <v>33.416</v>
      </c>
    </row>
    <row r="58" ht="15.95" customHeight="1" spans="1:10">
      <c r="A58" s="45" t="s">
        <v>66</v>
      </c>
      <c r="B58" s="51"/>
      <c r="C58" s="51"/>
      <c r="D58" s="51"/>
      <c r="E58" s="51"/>
      <c r="F58" s="51"/>
      <c r="G58" s="50">
        <v>1</v>
      </c>
      <c r="H58" s="46">
        <f t="shared" si="6"/>
        <v>10.208</v>
      </c>
      <c r="I58" s="46">
        <f t="shared" si="7"/>
        <v>23.208</v>
      </c>
      <c r="J58" s="46">
        <f t="shared" si="8"/>
        <v>33.416</v>
      </c>
    </row>
    <row r="59" ht="15.95" customHeight="1" spans="1:10">
      <c r="A59" s="47" t="s">
        <v>67</v>
      </c>
      <c r="B59" s="46">
        <v>1.25</v>
      </c>
      <c r="C59" s="46">
        <v>1.25</v>
      </c>
      <c r="D59" s="51"/>
      <c r="E59" s="51"/>
      <c r="F59" s="51"/>
      <c r="G59" s="51"/>
      <c r="H59" s="46">
        <f t="shared" si="6"/>
        <v>11.458</v>
      </c>
      <c r="I59" s="46">
        <f t="shared" si="7"/>
        <v>24.458</v>
      </c>
      <c r="J59" s="46">
        <f t="shared" si="8"/>
        <v>35.916</v>
      </c>
    </row>
    <row r="60" ht="15.95" customHeight="1" spans="1:10">
      <c r="A60" s="45" t="s">
        <v>68</v>
      </c>
      <c r="B60" s="51"/>
      <c r="C60" s="51"/>
      <c r="D60" s="50">
        <v>7</v>
      </c>
      <c r="E60" s="50">
        <v>5</v>
      </c>
      <c r="F60" s="51"/>
      <c r="G60" s="51"/>
      <c r="H60" s="46">
        <f t="shared" si="6"/>
        <v>4.458</v>
      </c>
      <c r="I60" s="46">
        <f t="shared" si="7"/>
        <v>19.458</v>
      </c>
      <c r="J60" s="46">
        <f t="shared" si="8"/>
        <v>23.916</v>
      </c>
    </row>
    <row r="61" ht="15.95" customHeight="1" spans="1:10">
      <c r="A61" s="45" t="s">
        <v>69</v>
      </c>
      <c r="B61" s="51"/>
      <c r="C61" s="51"/>
      <c r="D61" s="51"/>
      <c r="E61" s="51"/>
      <c r="F61" s="50">
        <v>1</v>
      </c>
      <c r="G61" s="51"/>
      <c r="H61" s="46">
        <f t="shared" si="6"/>
        <v>3.458</v>
      </c>
      <c r="I61" s="46">
        <f t="shared" si="7"/>
        <v>19.458</v>
      </c>
      <c r="J61" s="46">
        <f t="shared" si="8"/>
        <v>22.916</v>
      </c>
    </row>
    <row r="62" ht="15.95" customHeight="1" spans="1:10">
      <c r="A62" s="45" t="s">
        <v>70</v>
      </c>
      <c r="B62" s="45"/>
      <c r="C62" s="45"/>
      <c r="D62" s="45"/>
      <c r="E62" s="45"/>
      <c r="F62" s="45"/>
      <c r="G62" s="45">
        <v>1</v>
      </c>
      <c r="H62" s="46">
        <f t="shared" si="6"/>
        <v>3.458</v>
      </c>
      <c r="I62" s="46">
        <f t="shared" si="7"/>
        <v>19.458</v>
      </c>
      <c r="J62" s="46">
        <f t="shared" si="8"/>
        <v>22.916</v>
      </c>
    </row>
    <row r="63" ht="15.95" customHeight="1" spans="1:10">
      <c r="A63" s="52" t="s">
        <v>71</v>
      </c>
      <c r="B63" s="52">
        <f>3*1.25</f>
        <v>3.75</v>
      </c>
      <c r="C63" s="52">
        <v>3.75</v>
      </c>
      <c r="D63" s="52"/>
      <c r="E63" s="52"/>
      <c r="F63" s="52"/>
      <c r="G63" s="52"/>
      <c r="H63" s="46">
        <f t="shared" si="6"/>
        <v>7.208</v>
      </c>
      <c r="I63" s="46">
        <f t="shared" si="7"/>
        <v>23.208</v>
      </c>
      <c r="J63" s="46">
        <f t="shared" si="8"/>
        <v>30.416</v>
      </c>
    </row>
    <row r="64" ht="15.95" customHeight="1" spans="1:10">
      <c r="A64" s="52" t="s">
        <v>72</v>
      </c>
      <c r="B64" s="52"/>
      <c r="C64" s="52"/>
      <c r="D64" s="52"/>
      <c r="E64" s="52"/>
      <c r="F64" s="52">
        <v>2</v>
      </c>
      <c r="G64" s="52"/>
      <c r="H64" s="46">
        <f t="shared" si="6"/>
        <v>5.208</v>
      </c>
      <c r="I64" s="46">
        <f t="shared" si="7"/>
        <v>23.208</v>
      </c>
      <c r="J64" s="46">
        <f t="shared" si="8"/>
        <v>28.416</v>
      </c>
    </row>
    <row r="65" ht="15.95" customHeight="1" spans="1:10">
      <c r="A65" s="52" t="s">
        <v>73</v>
      </c>
      <c r="B65" s="50">
        <v>1.25</v>
      </c>
      <c r="C65" s="50">
        <v>1.25</v>
      </c>
      <c r="D65" s="52"/>
      <c r="E65" s="52"/>
      <c r="F65" s="52"/>
      <c r="G65" s="52"/>
      <c r="H65" s="46">
        <f t="shared" si="6"/>
        <v>6.458</v>
      </c>
      <c r="I65" s="46">
        <f t="shared" si="7"/>
        <v>24.458</v>
      </c>
      <c r="J65" s="46">
        <f t="shared" si="8"/>
        <v>30.916</v>
      </c>
    </row>
    <row r="66" ht="15.95" customHeight="1" spans="1:10">
      <c r="A66" s="52" t="s">
        <v>74</v>
      </c>
      <c r="B66" s="52"/>
      <c r="C66" s="52"/>
      <c r="D66" s="52"/>
      <c r="E66" s="52">
        <v>1</v>
      </c>
      <c r="F66" s="52"/>
      <c r="G66" s="52"/>
      <c r="H66" s="46">
        <f t="shared" si="6"/>
        <v>6.458</v>
      </c>
      <c r="I66" s="46">
        <f t="shared" si="7"/>
        <v>23.458</v>
      </c>
      <c r="J66" s="46">
        <f t="shared" si="8"/>
        <v>29.916</v>
      </c>
    </row>
    <row r="67" ht="15.95" customHeight="1" spans="1:10">
      <c r="A67" s="52" t="s">
        <v>75</v>
      </c>
      <c r="B67" s="50">
        <v>1.25</v>
      </c>
      <c r="C67" s="50">
        <v>1.25</v>
      </c>
      <c r="D67" s="52"/>
      <c r="E67" s="52"/>
      <c r="F67" s="52"/>
      <c r="G67" s="52"/>
      <c r="H67" s="46">
        <f t="shared" si="6"/>
        <v>7.708</v>
      </c>
      <c r="I67" s="46">
        <f t="shared" si="7"/>
        <v>24.708</v>
      </c>
      <c r="J67" s="46">
        <f t="shared" si="8"/>
        <v>32.416</v>
      </c>
    </row>
    <row r="68" ht="15.95" customHeight="1" spans="1:10">
      <c r="A68" s="52" t="s">
        <v>76</v>
      </c>
      <c r="B68" s="52"/>
      <c r="C68" s="52"/>
      <c r="D68" s="52"/>
      <c r="E68" s="52"/>
      <c r="F68" s="52"/>
      <c r="G68" s="52">
        <v>1</v>
      </c>
      <c r="H68" s="46">
        <f t="shared" ref="H68:H81" si="9">H67-F68-D68+B68</f>
        <v>7.708</v>
      </c>
      <c r="I68" s="46">
        <f t="shared" ref="I68:I81" si="10">I67-E68+C68</f>
        <v>24.708</v>
      </c>
      <c r="J68" s="46">
        <f t="shared" ref="J68:J81" si="11">SUM(H68:I68)</f>
        <v>32.416</v>
      </c>
    </row>
    <row r="69" ht="15.95" customHeight="1" spans="1:10">
      <c r="A69" s="45" t="s">
        <v>77</v>
      </c>
      <c r="B69" s="52">
        <v>2</v>
      </c>
      <c r="C69" s="52"/>
      <c r="D69" s="52"/>
      <c r="E69" s="52"/>
      <c r="F69" s="52"/>
      <c r="G69" s="52"/>
      <c r="H69" s="46">
        <f t="shared" si="9"/>
        <v>9.708</v>
      </c>
      <c r="I69" s="46">
        <f t="shared" si="10"/>
        <v>24.708</v>
      </c>
      <c r="J69" s="46">
        <f t="shared" si="11"/>
        <v>34.416</v>
      </c>
    </row>
    <row r="70" ht="15.95" customHeight="1" spans="1:10">
      <c r="A70" s="52" t="s">
        <v>78</v>
      </c>
      <c r="B70" s="52">
        <v>1.25</v>
      </c>
      <c r="C70" s="52">
        <v>1.25</v>
      </c>
      <c r="D70" s="52"/>
      <c r="E70" s="52"/>
      <c r="F70" s="52"/>
      <c r="G70" s="52"/>
      <c r="H70" s="46">
        <f t="shared" si="9"/>
        <v>10.958</v>
      </c>
      <c r="I70" s="46">
        <f t="shared" si="10"/>
        <v>25.958</v>
      </c>
      <c r="J70" s="46">
        <f t="shared" si="11"/>
        <v>36.916</v>
      </c>
    </row>
    <row r="71" ht="15.95" customHeight="1" spans="1:10">
      <c r="A71" s="52" t="s">
        <v>79</v>
      </c>
      <c r="B71" s="52"/>
      <c r="C71" s="52"/>
      <c r="D71" s="52"/>
      <c r="E71" s="52"/>
      <c r="F71" s="52"/>
      <c r="G71" s="52">
        <v>1</v>
      </c>
      <c r="H71" s="46">
        <f t="shared" si="9"/>
        <v>10.958</v>
      </c>
      <c r="I71" s="46">
        <f t="shared" si="10"/>
        <v>25.958</v>
      </c>
      <c r="J71" s="46">
        <f t="shared" si="11"/>
        <v>36.916</v>
      </c>
    </row>
    <row r="72" ht="15.95" customHeight="1" spans="1:10">
      <c r="A72" s="52" t="s">
        <v>80</v>
      </c>
      <c r="B72" s="52">
        <v>1.25</v>
      </c>
      <c r="C72" s="52">
        <v>1.25</v>
      </c>
      <c r="D72" s="52"/>
      <c r="E72" s="52"/>
      <c r="F72" s="52"/>
      <c r="G72" s="52"/>
      <c r="H72" s="46">
        <f t="shared" si="9"/>
        <v>12.208</v>
      </c>
      <c r="I72" s="46">
        <f t="shared" si="10"/>
        <v>27.208</v>
      </c>
      <c r="J72" s="46">
        <f t="shared" si="11"/>
        <v>39.416</v>
      </c>
    </row>
    <row r="73" ht="15.95" customHeight="1" spans="1:10">
      <c r="A73" s="52" t="s">
        <v>81</v>
      </c>
      <c r="B73" s="52"/>
      <c r="C73" s="52"/>
      <c r="D73" s="52"/>
      <c r="E73" s="52">
        <v>0.5</v>
      </c>
      <c r="F73" s="52"/>
      <c r="G73" s="52"/>
      <c r="H73" s="46">
        <f t="shared" si="9"/>
        <v>12.208</v>
      </c>
      <c r="I73" s="46">
        <f t="shared" si="10"/>
        <v>26.708</v>
      </c>
      <c r="J73" s="46">
        <f t="shared" si="11"/>
        <v>38.916</v>
      </c>
    </row>
    <row r="74" ht="15.95" customHeight="1" spans="1:10">
      <c r="A74" s="52" t="s">
        <v>82</v>
      </c>
      <c r="B74" s="52">
        <v>1.25</v>
      </c>
      <c r="C74" s="52">
        <v>1.25</v>
      </c>
      <c r="D74" s="52"/>
      <c r="E74" s="52"/>
      <c r="F74" s="52"/>
      <c r="G74" s="52"/>
      <c r="H74" s="46">
        <f t="shared" si="9"/>
        <v>13.458</v>
      </c>
      <c r="I74" s="46">
        <f t="shared" si="10"/>
        <v>27.958</v>
      </c>
      <c r="J74" s="46">
        <f t="shared" si="11"/>
        <v>41.416</v>
      </c>
    </row>
    <row r="75" ht="15.95" customHeight="1" spans="1:10">
      <c r="A75" s="52" t="s">
        <v>83</v>
      </c>
      <c r="B75" s="52"/>
      <c r="C75" s="52"/>
      <c r="D75" s="52"/>
      <c r="E75" s="52"/>
      <c r="F75" s="52">
        <v>2</v>
      </c>
      <c r="G75" s="52"/>
      <c r="H75" s="46">
        <f t="shared" si="9"/>
        <v>11.458</v>
      </c>
      <c r="I75" s="46">
        <f t="shared" si="10"/>
        <v>27.958</v>
      </c>
      <c r="J75" s="46">
        <f t="shared" si="11"/>
        <v>39.416</v>
      </c>
    </row>
    <row r="76" ht="15.95" customHeight="1" spans="1:10">
      <c r="A76" s="52" t="s">
        <v>84</v>
      </c>
      <c r="B76" s="52"/>
      <c r="C76" s="52"/>
      <c r="D76" s="52"/>
      <c r="E76" s="52">
        <v>1</v>
      </c>
      <c r="F76" s="52"/>
      <c r="G76" s="52"/>
      <c r="H76" s="46">
        <f t="shared" si="9"/>
        <v>11.458</v>
      </c>
      <c r="I76" s="46">
        <f t="shared" si="10"/>
        <v>26.958</v>
      </c>
      <c r="J76" s="46">
        <f t="shared" si="11"/>
        <v>38.416</v>
      </c>
    </row>
    <row r="77" ht="15.95" customHeight="1" spans="1:10">
      <c r="A77" s="45" t="s">
        <v>85</v>
      </c>
      <c r="B77" s="52">
        <v>2.5</v>
      </c>
      <c r="C77" s="52">
        <v>2.5</v>
      </c>
      <c r="D77" s="52"/>
      <c r="E77" s="52"/>
      <c r="F77" s="52"/>
      <c r="G77" s="52"/>
      <c r="H77" s="46">
        <f t="shared" si="9"/>
        <v>13.958</v>
      </c>
      <c r="I77" s="46">
        <f t="shared" si="10"/>
        <v>29.458</v>
      </c>
      <c r="J77" s="46">
        <f t="shared" si="11"/>
        <v>43.416</v>
      </c>
    </row>
    <row r="78" ht="15.95" customHeight="1" spans="1:10">
      <c r="A78" s="45" t="s">
        <v>86</v>
      </c>
      <c r="B78" s="52"/>
      <c r="C78" s="52"/>
      <c r="D78" s="52"/>
      <c r="E78" s="52">
        <v>1</v>
      </c>
      <c r="F78" s="52"/>
      <c r="G78" s="52"/>
      <c r="H78" s="46">
        <f t="shared" si="9"/>
        <v>13.958</v>
      </c>
      <c r="I78" s="46">
        <f t="shared" si="10"/>
        <v>28.458</v>
      </c>
      <c r="J78" s="46">
        <f t="shared" si="11"/>
        <v>42.416</v>
      </c>
    </row>
    <row r="79" ht="15.95" customHeight="1" spans="1:10">
      <c r="A79" s="45" t="s">
        <v>87</v>
      </c>
      <c r="B79" s="52"/>
      <c r="C79" s="52"/>
      <c r="D79" s="52"/>
      <c r="E79" s="52">
        <v>1</v>
      </c>
      <c r="F79" s="52"/>
      <c r="G79" s="52"/>
      <c r="H79" s="46">
        <f t="shared" si="9"/>
        <v>13.958</v>
      </c>
      <c r="I79" s="46">
        <f t="shared" si="10"/>
        <v>27.458</v>
      </c>
      <c r="J79" s="46">
        <f t="shared" si="11"/>
        <v>41.416</v>
      </c>
    </row>
    <row r="80" ht="15.95" customHeight="1" spans="1:10">
      <c r="A80" s="45" t="s">
        <v>88</v>
      </c>
      <c r="B80" s="52">
        <v>1.25</v>
      </c>
      <c r="C80" s="52">
        <v>1.25</v>
      </c>
      <c r="D80" s="52"/>
      <c r="E80" s="52"/>
      <c r="F80" s="52"/>
      <c r="G80" s="52"/>
      <c r="H80" s="46">
        <f t="shared" si="9"/>
        <v>15.208</v>
      </c>
      <c r="I80" s="46">
        <f t="shared" si="10"/>
        <v>28.708</v>
      </c>
      <c r="J80" s="46">
        <f t="shared" si="11"/>
        <v>43.916</v>
      </c>
    </row>
    <row r="81" ht="15.95" customHeight="1" spans="1:10">
      <c r="A81" s="45" t="s">
        <v>89</v>
      </c>
      <c r="B81" s="52"/>
      <c r="C81" s="52"/>
      <c r="D81" s="52">
        <v>10</v>
      </c>
      <c r="E81" s="52"/>
      <c r="F81" s="52"/>
      <c r="G81" s="52"/>
      <c r="H81" s="50">
        <f t="shared" si="9"/>
        <v>5.208</v>
      </c>
      <c r="I81" s="50">
        <f t="shared" si="10"/>
        <v>28.708</v>
      </c>
      <c r="J81" s="50">
        <f t="shared" si="11"/>
        <v>33.916</v>
      </c>
    </row>
    <row r="82" ht="15.95" customHeight="1" spans="1:10">
      <c r="A82" s="45" t="s">
        <v>90</v>
      </c>
      <c r="B82" s="52"/>
      <c r="C82" s="52"/>
      <c r="D82" s="52"/>
      <c r="E82" s="52">
        <v>1</v>
      </c>
      <c r="F82" s="52"/>
      <c r="G82" s="52"/>
      <c r="H82" s="50">
        <f t="shared" ref="H82" si="12">H81-F82-D82+B82</f>
        <v>5.208</v>
      </c>
      <c r="I82" s="50">
        <f t="shared" ref="I82" si="13">I81-E82+C82</f>
        <v>27.708</v>
      </c>
      <c r="J82" s="50">
        <f t="shared" ref="J82" si="14">SUM(H82:I82)</f>
        <v>32.916</v>
      </c>
    </row>
    <row r="83" ht="15.95" customHeight="1" spans="1:10">
      <c r="A83" s="45" t="s">
        <v>91</v>
      </c>
      <c r="B83" s="52">
        <v>2.5</v>
      </c>
      <c r="C83" s="52">
        <v>2.5</v>
      </c>
      <c r="D83" s="52"/>
      <c r="E83" s="52"/>
      <c r="F83" s="52"/>
      <c r="G83" s="52"/>
      <c r="H83" s="50">
        <f t="shared" ref="H83:H85" si="15">H82-F83-D83+B83</f>
        <v>7.708</v>
      </c>
      <c r="I83" s="50">
        <f t="shared" ref="I83:I85" si="16">I82-E83+C83</f>
        <v>30.208</v>
      </c>
      <c r="J83" s="50">
        <f t="shared" ref="J83:J85" si="17">SUM(H83:I83)</f>
        <v>37.916</v>
      </c>
    </row>
    <row r="84" ht="15.95" customHeight="1" spans="1:10">
      <c r="A84" s="45" t="s">
        <v>92</v>
      </c>
      <c r="B84" s="52"/>
      <c r="C84" s="52"/>
      <c r="D84" s="52"/>
      <c r="E84" s="52">
        <v>1</v>
      </c>
      <c r="F84" s="52"/>
      <c r="G84" s="52"/>
      <c r="H84" s="50">
        <f t="shared" si="15"/>
        <v>7.708</v>
      </c>
      <c r="I84" s="50">
        <f t="shared" si="16"/>
        <v>29.208</v>
      </c>
      <c r="J84" s="50">
        <f t="shared" si="17"/>
        <v>36.916</v>
      </c>
    </row>
    <row r="85" ht="15.95" customHeight="1" spans="1:10">
      <c r="A85" s="45" t="s">
        <v>93</v>
      </c>
      <c r="B85" s="52"/>
      <c r="C85" s="52"/>
      <c r="D85" s="52"/>
      <c r="E85" s="52">
        <v>1</v>
      </c>
      <c r="F85" s="52"/>
      <c r="G85" s="52"/>
      <c r="H85" s="50">
        <f t="shared" si="15"/>
        <v>7.708</v>
      </c>
      <c r="I85" s="50">
        <f t="shared" si="16"/>
        <v>28.208</v>
      </c>
      <c r="J85" s="50">
        <f t="shared" si="17"/>
        <v>35.916</v>
      </c>
    </row>
    <row r="86" ht="15.95" customHeight="1" spans="1:10">
      <c r="A86" s="45" t="s">
        <v>94</v>
      </c>
      <c r="B86" s="52">
        <v>1.25</v>
      </c>
      <c r="C86" s="52">
        <v>1.25</v>
      </c>
      <c r="D86" s="52"/>
      <c r="E86" s="52"/>
      <c r="F86" s="52"/>
      <c r="G86" s="52"/>
      <c r="H86" s="50">
        <f t="shared" ref="H86:H87" si="18">H85-F86-D86+B86</f>
        <v>8.958</v>
      </c>
      <c r="I86" s="50">
        <f t="shared" ref="I86:I87" si="19">I85-E86+C86</f>
        <v>29.458</v>
      </c>
      <c r="J86" s="50">
        <f t="shared" ref="J86:J87" si="20">SUM(H86:I86)</f>
        <v>38.416</v>
      </c>
    </row>
    <row r="87" ht="15.95" customHeight="1" spans="1:10">
      <c r="A87" s="45" t="s">
        <v>95</v>
      </c>
      <c r="B87" s="52"/>
      <c r="C87" s="52"/>
      <c r="D87" s="52"/>
      <c r="E87" s="52"/>
      <c r="F87" s="52"/>
      <c r="G87" s="52">
        <v>1</v>
      </c>
      <c r="H87" s="50">
        <f t="shared" si="18"/>
        <v>8.958</v>
      </c>
      <c r="I87" s="50">
        <f t="shared" si="19"/>
        <v>29.458</v>
      </c>
      <c r="J87" s="50">
        <f t="shared" si="20"/>
        <v>38.416</v>
      </c>
    </row>
    <row r="88" ht="15.95" customHeight="1" spans="1:10">
      <c r="A88" s="45" t="s">
        <v>96</v>
      </c>
      <c r="B88" s="52"/>
      <c r="C88" s="52"/>
      <c r="D88" s="52"/>
      <c r="E88" s="52"/>
      <c r="F88" s="52">
        <v>1</v>
      </c>
      <c r="G88" s="52"/>
      <c r="H88" s="50">
        <f t="shared" ref="H88" si="21">H87-F88-D88+B88</f>
        <v>7.958</v>
      </c>
      <c r="I88" s="50">
        <f t="shared" ref="I88" si="22">I87-E88+C88</f>
        <v>29.458</v>
      </c>
      <c r="J88" s="50">
        <f t="shared" ref="J88" si="23">SUM(H88:I88)</f>
        <v>37.416</v>
      </c>
    </row>
    <row r="89" ht="15.95" customHeight="1" spans="1:10">
      <c r="A89" s="45" t="s">
        <v>97</v>
      </c>
      <c r="B89" s="52">
        <v>1.25</v>
      </c>
      <c r="C89" s="52">
        <v>1.25</v>
      </c>
      <c r="D89" s="52"/>
      <c r="E89" s="52"/>
      <c r="F89" s="52"/>
      <c r="G89" s="52"/>
      <c r="H89" s="50">
        <f t="shared" ref="H89:H92" si="24">H88-F89-D89+B89</f>
        <v>9.208</v>
      </c>
      <c r="I89" s="50">
        <f t="shared" ref="I89:I90" si="25">I88-E89+C89</f>
        <v>30.708</v>
      </c>
      <c r="J89" s="50">
        <f t="shared" ref="J89:J90" si="26">SUM(H89:I89)</f>
        <v>39.916</v>
      </c>
    </row>
    <row r="90" ht="15.95" customHeight="1" spans="1:10">
      <c r="A90" s="45" t="s">
        <v>98</v>
      </c>
      <c r="B90" s="52"/>
      <c r="C90" s="52"/>
      <c r="D90" s="52"/>
      <c r="E90" s="52"/>
      <c r="F90" s="52">
        <v>2</v>
      </c>
      <c r="G90" s="52"/>
      <c r="H90" s="50">
        <f t="shared" si="24"/>
        <v>7.208</v>
      </c>
      <c r="I90" s="50">
        <f t="shared" si="25"/>
        <v>30.708</v>
      </c>
      <c r="J90" s="50">
        <f t="shared" si="26"/>
        <v>37.916</v>
      </c>
    </row>
    <row r="91" ht="15.95" customHeight="1" spans="1:10">
      <c r="A91" s="45" t="s">
        <v>99</v>
      </c>
      <c r="B91" s="52">
        <v>1.25</v>
      </c>
      <c r="C91" s="52">
        <v>1.25</v>
      </c>
      <c r="D91" s="52"/>
      <c r="E91" s="52"/>
      <c r="F91" s="52"/>
      <c r="G91" s="52"/>
      <c r="H91" s="50">
        <f t="shared" si="24"/>
        <v>8.458</v>
      </c>
      <c r="I91" s="50">
        <f t="shared" ref="I91:I92" si="27">I90-E91+C91</f>
        <v>31.958</v>
      </c>
      <c r="J91" s="50">
        <f t="shared" ref="J91:J92" si="28">SUM(H91:I91)</f>
        <v>40.416</v>
      </c>
    </row>
    <row r="92" ht="15.95" customHeight="1" spans="1:10">
      <c r="A92" s="45" t="s">
        <v>100</v>
      </c>
      <c r="B92" s="52"/>
      <c r="C92" s="52"/>
      <c r="D92" s="52"/>
      <c r="E92" s="52">
        <v>2</v>
      </c>
      <c r="F92" s="52"/>
      <c r="G92" s="52"/>
      <c r="H92" s="50">
        <f t="shared" si="24"/>
        <v>8.458</v>
      </c>
      <c r="I92" s="50">
        <f t="shared" si="27"/>
        <v>29.958</v>
      </c>
      <c r="J92" s="50">
        <f t="shared" si="28"/>
        <v>38.416</v>
      </c>
    </row>
    <row r="93" ht="15.95" customHeight="1" spans="1:10">
      <c r="A93" s="45" t="s">
        <v>101</v>
      </c>
      <c r="B93" s="52"/>
      <c r="C93" s="52"/>
      <c r="D93" s="52"/>
      <c r="E93" s="52"/>
      <c r="F93" s="58">
        <v>1</v>
      </c>
      <c r="G93" s="52"/>
      <c r="H93" s="50">
        <f t="shared" ref="H93:H94" si="29">H92-F93-D93+B93</f>
        <v>7.458</v>
      </c>
      <c r="I93" s="50">
        <f t="shared" ref="I93:I94" si="30">I92-E93+C93</f>
        <v>29.958</v>
      </c>
      <c r="J93" s="50">
        <f t="shared" ref="J93:J94" si="31">SUM(H93:I93)</f>
        <v>37.416</v>
      </c>
    </row>
    <row r="94" ht="15.95" customHeight="1" spans="1:10">
      <c r="A94" s="45" t="s">
        <v>102</v>
      </c>
      <c r="B94" s="52"/>
      <c r="C94" s="52"/>
      <c r="D94" s="52"/>
      <c r="E94" s="52"/>
      <c r="F94" s="52"/>
      <c r="G94" s="59">
        <v>1</v>
      </c>
      <c r="H94" s="50">
        <f t="shared" si="29"/>
        <v>7.458</v>
      </c>
      <c r="I94" s="50">
        <f t="shared" si="30"/>
        <v>29.958</v>
      </c>
      <c r="J94" s="50">
        <f t="shared" si="31"/>
        <v>37.416</v>
      </c>
    </row>
    <row r="95" ht="15.95" customHeight="1" spans="1:10">
      <c r="A95" s="45" t="s">
        <v>103</v>
      </c>
      <c r="B95" s="52">
        <v>1.25</v>
      </c>
      <c r="C95" s="52">
        <v>1.25</v>
      </c>
      <c r="D95" s="52"/>
      <c r="E95" s="52"/>
      <c r="F95" s="52"/>
      <c r="G95" s="52"/>
      <c r="H95" s="50">
        <f t="shared" ref="H95:H96" si="32">H94-F95-D95+B95</f>
        <v>8.708</v>
      </c>
      <c r="I95" s="50">
        <f t="shared" ref="I95:I96" si="33">I94-E95+C95</f>
        <v>31.208</v>
      </c>
      <c r="J95" s="50">
        <f t="shared" ref="J95:J96" si="34">SUM(H95:I95)</f>
        <v>39.916</v>
      </c>
    </row>
    <row r="96" ht="15.95" customHeight="1" spans="1:10">
      <c r="A96" s="45" t="s">
        <v>104</v>
      </c>
      <c r="B96" s="52"/>
      <c r="C96" s="52"/>
      <c r="D96" s="52"/>
      <c r="E96" s="52"/>
      <c r="F96" s="52"/>
      <c r="G96" s="59">
        <v>1</v>
      </c>
      <c r="H96" s="50">
        <f t="shared" si="32"/>
        <v>8.708</v>
      </c>
      <c r="I96" s="50">
        <f t="shared" si="33"/>
        <v>31.208</v>
      </c>
      <c r="J96" s="50">
        <f t="shared" si="34"/>
        <v>39.916</v>
      </c>
    </row>
    <row r="97" ht="15.95" customHeight="1" spans="1:10">
      <c r="A97" s="45" t="s">
        <v>105</v>
      </c>
      <c r="B97" s="52">
        <v>2.5</v>
      </c>
      <c r="C97" s="52">
        <v>2.5</v>
      </c>
      <c r="D97" s="52"/>
      <c r="E97" s="52"/>
      <c r="F97" s="52"/>
      <c r="G97" s="52"/>
      <c r="H97" s="50">
        <f t="shared" ref="H97:H98" si="35">H96-F97-D97+B97</f>
        <v>11.208</v>
      </c>
      <c r="I97" s="50">
        <f t="shared" ref="I97:I98" si="36">I96-E97+C97</f>
        <v>33.708</v>
      </c>
      <c r="J97" s="50">
        <f t="shared" ref="J97:J98" si="37">SUM(H97:I97)</f>
        <v>44.916</v>
      </c>
    </row>
    <row r="98" ht="15.95" customHeight="1" spans="1:10">
      <c r="A98" s="45" t="s">
        <v>106</v>
      </c>
      <c r="B98" s="52"/>
      <c r="C98" s="52"/>
      <c r="D98" s="52"/>
      <c r="E98" s="52">
        <v>2</v>
      </c>
      <c r="F98" s="52"/>
      <c r="G98" s="52"/>
      <c r="H98" s="50">
        <f t="shared" si="35"/>
        <v>11.208</v>
      </c>
      <c r="I98" s="50">
        <f t="shared" si="36"/>
        <v>31.708</v>
      </c>
      <c r="J98" s="50">
        <f t="shared" si="37"/>
        <v>42.916</v>
      </c>
    </row>
    <row r="99" ht="15.95" customHeight="1" spans="1:10">
      <c r="A99" s="45" t="s">
        <v>107</v>
      </c>
      <c r="B99" s="52">
        <v>2.5</v>
      </c>
      <c r="C99" s="52">
        <v>2.5</v>
      </c>
      <c r="D99" s="52"/>
      <c r="E99" s="52"/>
      <c r="F99" s="52"/>
      <c r="G99" s="52"/>
      <c r="H99" s="50">
        <f t="shared" ref="H99:H100" si="38">H98-F99-D99+B99</f>
        <v>13.708</v>
      </c>
      <c r="I99" s="50">
        <f t="shared" ref="I99:I100" si="39">I98-E99+C99</f>
        <v>34.208</v>
      </c>
      <c r="J99" s="50">
        <f t="shared" ref="J99:J100" si="40">SUM(H99:I99)</f>
        <v>47.916</v>
      </c>
    </row>
    <row r="100" ht="15.95" customHeight="1" spans="1:10">
      <c r="A100" s="45" t="s">
        <v>108</v>
      </c>
      <c r="B100" s="52"/>
      <c r="C100" s="52"/>
      <c r="D100" s="52"/>
      <c r="E100" s="52">
        <v>1</v>
      </c>
      <c r="F100" s="52"/>
      <c r="G100" s="52"/>
      <c r="H100" s="50">
        <f t="shared" si="38"/>
        <v>13.708</v>
      </c>
      <c r="I100" s="50">
        <f t="shared" si="39"/>
        <v>33.208</v>
      </c>
      <c r="J100" s="50">
        <f t="shared" si="40"/>
        <v>46.916</v>
      </c>
    </row>
    <row r="101" ht="15.95" customHeight="1" spans="1:10">
      <c r="A101" s="45" t="s">
        <v>109</v>
      </c>
      <c r="B101" s="52"/>
      <c r="C101" s="52"/>
      <c r="D101" s="52">
        <v>0.5</v>
      </c>
      <c r="E101" s="52"/>
      <c r="F101" s="52"/>
      <c r="G101" s="52"/>
      <c r="H101" s="50">
        <f t="shared" ref="H101" si="41">H100-F101-D101+B101</f>
        <v>13.208</v>
      </c>
      <c r="I101" s="50">
        <f t="shared" ref="I101" si="42">I100-E101+C101</f>
        <v>33.208</v>
      </c>
      <c r="J101" s="50">
        <f t="shared" ref="J101" si="43">SUM(H101:I101)</f>
        <v>46.416</v>
      </c>
    </row>
    <row r="102" ht="15.95" customHeight="1" spans="1:10">
      <c r="A102" s="45" t="s">
        <v>110</v>
      </c>
      <c r="B102" s="52">
        <v>1.25</v>
      </c>
      <c r="C102" s="52">
        <v>1.25</v>
      </c>
      <c r="D102" s="52"/>
      <c r="E102" s="52"/>
      <c r="F102" s="52"/>
      <c r="G102" s="52"/>
      <c r="H102" s="50">
        <f t="shared" ref="H102:H103" si="44">H101-F102-D102+B102</f>
        <v>14.458</v>
      </c>
      <c r="I102" s="50">
        <f t="shared" ref="I102:I103" si="45">I101-E102+C102</f>
        <v>34.458</v>
      </c>
      <c r="J102" s="50">
        <f t="shared" ref="J102:J103" si="46">SUM(H102:I102)</f>
        <v>48.916</v>
      </c>
    </row>
    <row r="103" ht="15.95" customHeight="1" spans="1:10">
      <c r="A103" s="45" t="s">
        <v>111</v>
      </c>
      <c r="B103" s="52"/>
      <c r="C103" s="52"/>
      <c r="D103" s="52"/>
      <c r="E103" s="52"/>
      <c r="F103" s="58">
        <v>1</v>
      </c>
      <c r="G103" s="52"/>
      <c r="H103" s="50">
        <f t="shared" si="44"/>
        <v>13.458</v>
      </c>
      <c r="I103" s="50">
        <f t="shared" si="45"/>
        <v>34.458</v>
      </c>
      <c r="J103" s="50">
        <f t="shared" si="46"/>
        <v>47.916</v>
      </c>
    </row>
    <row r="104" ht="15.95" customHeight="1" spans="1:10">
      <c r="A104" s="45" t="s">
        <v>112</v>
      </c>
      <c r="B104" s="52">
        <v>1.25</v>
      </c>
      <c r="C104" s="52">
        <v>1.25</v>
      </c>
      <c r="D104" s="52"/>
      <c r="E104" s="52"/>
      <c r="F104" s="52"/>
      <c r="G104" s="52"/>
      <c r="H104" s="50">
        <f t="shared" ref="H104:H105" si="47">H103-F104-D104+B104</f>
        <v>14.708</v>
      </c>
      <c r="I104" s="50">
        <f t="shared" ref="I104:I105" si="48">I103-E104+C104</f>
        <v>35.708</v>
      </c>
      <c r="J104" s="50">
        <f t="shared" ref="J104:J105" si="49">SUM(H104:I104)</f>
        <v>50.416</v>
      </c>
    </row>
    <row r="105" ht="15.95" customHeight="1" spans="1:10">
      <c r="A105" s="45" t="s">
        <v>113</v>
      </c>
      <c r="B105" s="52"/>
      <c r="C105" s="52"/>
      <c r="D105" s="52"/>
      <c r="E105" s="52"/>
      <c r="F105" s="52"/>
      <c r="G105" s="59">
        <v>1</v>
      </c>
      <c r="H105" s="50">
        <f t="shared" si="47"/>
        <v>14.708</v>
      </c>
      <c r="I105" s="50">
        <f t="shared" si="48"/>
        <v>35.708</v>
      </c>
      <c r="J105" s="50">
        <f t="shared" si="49"/>
        <v>50.416</v>
      </c>
    </row>
    <row r="106" ht="15.95" customHeight="1" spans="1:10">
      <c r="A106" s="45" t="s">
        <v>114</v>
      </c>
      <c r="B106" s="52"/>
      <c r="C106" s="52"/>
      <c r="D106" s="52"/>
      <c r="E106" s="52">
        <v>1</v>
      </c>
      <c r="F106" s="52"/>
      <c r="G106" s="52"/>
      <c r="H106" s="50">
        <f t="shared" ref="H106" si="50">H105-F106-D106+B106</f>
        <v>14.708</v>
      </c>
      <c r="I106" s="50">
        <f t="shared" ref="I106" si="51">I105-E106+C106</f>
        <v>34.708</v>
      </c>
      <c r="J106" s="50">
        <f t="shared" ref="J106" si="52">SUM(H106:I106)</f>
        <v>49.416</v>
      </c>
    </row>
    <row r="107" ht="15.95" customHeight="1" spans="1:10">
      <c r="A107" s="45" t="s">
        <v>115</v>
      </c>
      <c r="B107" s="52">
        <v>3.75</v>
      </c>
      <c r="C107" s="52">
        <v>3.75</v>
      </c>
      <c r="D107" s="52"/>
      <c r="E107" s="52"/>
      <c r="F107" s="52"/>
      <c r="G107" s="52"/>
      <c r="H107" s="50">
        <f t="shared" ref="H107:H108" si="53">H106-F107-D107+B107</f>
        <v>18.458</v>
      </c>
      <c r="I107" s="50">
        <f t="shared" ref="I107:I108" si="54">I106-E107+C107</f>
        <v>38.458</v>
      </c>
      <c r="J107" s="50">
        <f t="shared" ref="J107:J108" si="55">SUM(H107:I107)</f>
        <v>56.916</v>
      </c>
    </row>
    <row r="108" ht="15.95" customHeight="1" spans="1:10">
      <c r="A108" s="45" t="s">
        <v>116</v>
      </c>
      <c r="B108" s="52"/>
      <c r="C108" s="52"/>
      <c r="D108" s="52">
        <v>13.458</v>
      </c>
      <c r="E108" s="52">
        <v>16.542</v>
      </c>
      <c r="F108" s="52"/>
      <c r="G108" s="52"/>
      <c r="H108" s="50">
        <f t="shared" si="53"/>
        <v>5</v>
      </c>
      <c r="I108" s="50">
        <f t="shared" si="54"/>
        <v>21.916</v>
      </c>
      <c r="J108" s="50">
        <f t="shared" si="55"/>
        <v>26.916</v>
      </c>
    </row>
    <row r="109" ht="15.95" customHeight="1" spans="1:10">
      <c r="A109" s="45" t="s">
        <v>117</v>
      </c>
      <c r="B109" s="52"/>
      <c r="C109" s="52"/>
      <c r="D109" s="52"/>
      <c r="E109" s="52">
        <v>1</v>
      </c>
      <c r="F109" s="52"/>
      <c r="G109" s="52"/>
      <c r="H109" s="50">
        <f t="shared" ref="H109" si="56">H108-F109-D109+B109</f>
        <v>5</v>
      </c>
      <c r="I109" s="50">
        <f t="shared" ref="I109" si="57">I108-E109+C109</f>
        <v>20.916</v>
      </c>
      <c r="J109" s="50">
        <f t="shared" ref="J109" si="58">SUM(H109:I109)</f>
        <v>25.916</v>
      </c>
    </row>
    <row r="110" ht="15.95" customHeight="1" spans="1:10">
      <c r="A110" s="60" t="s">
        <v>118</v>
      </c>
      <c r="B110" s="61">
        <v>1.25</v>
      </c>
      <c r="C110" s="61">
        <v>1.25</v>
      </c>
      <c r="D110" s="61"/>
      <c r="E110" s="61"/>
      <c r="F110" s="61"/>
      <c r="G110" s="61"/>
      <c r="H110" s="50">
        <f>H109-F110-D110+B110</f>
        <v>6.25</v>
      </c>
      <c r="I110" s="50">
        <f>I109-E110+C110</f>
        <v>22.166</v>
      </c>
      <c r="J110" s="50">
        <f>SUM(H110:I110)</f>
        <v>28.416</v>
      </c>
    </row>
    <row r="111" ht="15.95" customHeight="1" spans="1:10">
      <c r="A111" s="60" t="s">
        <v>119</v>
      </c>
      <c r="B111" s="61"/>
      <c r="C111" s="61"/>
      <c r="D111" s="61"/>
      <c r="E111" s="61">
        <v>10</v>
      </c>
      <c r="F111" s="61"/>
      <c r="G111" s="61"/>
      <c r="H111" s="50">
        <f>H110-F111-D111+B111</f>
        <v>6.25</v>
      </c>
      <c r="I111" s="50">
        <f>I110-E111+C111</f>
        <v>12.166</v>
      </c>
      <c r="J111" s="50">
        <f>SUM(H111:I111)</f>
        <v>18.416</v>
      </c>
    </row>
    <row r="112" ht="15.95" customHeight="1" spans="1:10">
      <c r="A112" s="60" t="s">
        <v>120</v>
      </c>
      <c r="B112" s="61"/>
      <c r="C112" s="61"/>
      <c r="D112" s="61"/>
      <c r="E112" s="61"/>
      <c r="F112" s="58">
        <v>1</v>
      </c>
      <c r="G112" s="61"/>
      <c r="H112" s="50">
        <f>H111-F112-D112+B112</f>
        <v>5.25</v>
      </c>
      <c r="I112" s="50">
        <f>I111-E112+C112</f>
        <v>12.166</v>
      </c>
      <c r="J112" s="50">
        <f>SUM(H112:I112)</f>
        <v>17.416</v>
      </c>
    </row>
    <row r="113" ht="15.95" customHeight="1" spans="1:10">
      <c r="A113" s="62"/>
      <c r="B113" s="63"/>
      <c r="C113" s="63"/>
      <c r="D113" s="63"/>
      <c r="E113" s="63"/>
      <c r="F113" s="63"/>
      <c r="G113" s="63"/>
      <c r="H113" s="64"/>
      <c r="I113" s="64"/>
      <c r="J113" s="64"/>
    </row>
    <row r="114" ht="15.95" customHeight="1" spans="1:10">
      <c r="A114" s="62"/>
      <c r="B114" s="63"/>
      <c r="C114" s="63"/>
      <c r="D114" s="63"/>
      <c r="E114" s="63"/>
      <c r="F114" s="63"/>
      <c r="G114" s="63"/>
      <c r="H114" s="64"/>
      <c r="I114" s="64"/>
      <c r="J114" s="64"/>
    </row>
    <row r="115" ht="15.95" customHeight="1" spans="1:10">
      <c r="A115" s="63"/>
      <c r="B115" s="63"/>
      <c r="C115" s="63"/>
      <c r="D115" s="63"/>
      <c r="E115" s="63"/>
      <c r="F115" s="63"/>
      <c r="G115" s="63"/>
      <c r="H115" s="65"/>
      <c r="I115" s="65"/>
      <c r="J115" s="65"/>
    </row>
    <row r="116" s="1" customFormat="1" ht="15.95" customHeight="1" spans="7:7">
      <c r="G116" s="1" t="s">
        <v>121</v>
      </c>
    </row>
    <row r="117" s="1" customFormat="1" ht="15.95" customHeight="1"/>
    <row r="118" s="1" customFormat="1" ht="15.95" customHeight="1" spans="8:8">
      <c r="H118" s="66" t="s">
        <v>122</v>
      </c>
    </row>
    <row r="119" s="1" customFormat="1" ht="15.95" customHeight="1" spans="8:8">
      <c r="H119" s="1" t="s">
        <v>123</v>
      </c>
    </row>
    <row r="120" s="1" customFormat="1" ht="15.95" customHeight="1" spans="8:8">
      <c r="H120" s="67" t="s">
        <v>124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196850393700787" right="0.236220472440945" top="0.551181102362205" bottom="0.354330708661417" header="0.31496062992126" footer="0.31496062992126"/>
  <pageSetup paperSize="9" scale="69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2"/>
  <sheetViews>
    <sheetView view="pageBreakPreview" zoomScaleNormal="100" workbookViewId="0">
      <selection activeCell="B18" sqref="B18:E18"/>
    </sheetView>
  </sheetViews>
  <sheetFormatPr defaultColWidth="9.13888888888889" defaultRowHeight="14.4"/>
  <cols>
    <col min="1" max="1" width="28.1388888888889" customWidth="1"/>
    <col min="5" max="5" width="8.28703703703704" customWidth="1"/>
    <col min="7" max="7" width="11.712962962963" customWidth="1"/>
    <col min="9" max="9" width="11.712962962963" customWidth="1"/>
    <col min="10" max="10" width="5" customWidth="1"/>
    <col min="11" max="11" width="12.1388888888889" customWidth="1"/>
    <col min="12" max="12" width="16.712962962963" customWidth="1"/>
  </cols>
  <sheetData>
    <row r="1" s="1" customFormat="1" ht="52.5" customHeight="1" spans="3:8">
      <c r="C1" s="4"/>
      <c r="D1" s="5"/>
      <c r="H1" s="6"/>
    </row>
    <row r="2" s="1" customFormat="1" ht="10.5" customHeight="1" spans="1:1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1" customFormat="1" ht="15.95" customHeight="1" spans="1:1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5.95" customHeight="1" spans="1:12">
      <c r="A4" s="7" t="s">
        <v>125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" customFormat="1" ht="15.95" customHeight="1" spans="1:12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="1" customFormat="1" ht="8.25" customHeight="1" spans="3:8">
      <c r="C6" s="6"/>
      <c r="H6" s="6"/>
    </row>
    <row r="7" s="1" customFormat="1" ht="8.25" customHeight="1" spans="3:8">
      <c r="C7" s="6"/>
      <c r="H7" s="6"/>
    </row>
    <row r="8" s="1" customFormat="1" ht="12" customHeight="1" spans="1:12">
      <c r="A8" s="8" t="s">
        <v>126</v>
      </c>
      <c r="B8" s="8"/>
      <c r="C8" s="9" t="s">
        <v>127</v>
      </c>
      <c r="D8" s="9"/>
      <c r="E8" s="9"/>
      <c r="F8" s="9"/>
      <c r="G8" s="9"/>
      <c r="I8" s="9" t="s">
        <v>128</v>
      </c>
      <c r="J8" s="9"/>
      <c r="K8" s="9"/>
      <c r="L8" s="8"/>
    </row>
    <row r="9" s="1" customFormat="1" ht="12" customHeight="1" spans="2:12">
      <c r="B9" s="10"/>
      <c r="C9" s="9" t="s">
        <v>129</v>
      </c>
      <c r="D9" s="9"/>
      <c r="E9" s="9"/>
      <c r="F9" s="9"/>
      <c r="G9" s="9"/>
      <c r="I9" s="28" t="s">
        <v>130</v>
      </c>
      <c r="J9" s="28"/>
      <c r="K9" s="28"/>
      <c r="L9" s="10"/>
    </row>
    <row r="10" s="1" customFormat="1" ht="12" customHeight="1" spans="1:12">
      <c r="A10" s="8" t="s">
        <v>131</v>
      </c>
      <c r="B10" s="8"/>
      <c r="C10" s="11"/>
      <c r="D10" s="10"/>
      <c r="E10" s="10"/>
      <c r="I10" s="9" t="s">
        <v>132</v>
      </c>
      <c r="J10" s="9"/>
      <c r="K10" s="9"/>
      <c r="L10" s="8"/>
    </row>
    <row r="11" ht="16.5" customHeight="1" spans="1:12">
      <c r="A11" s="12" t="s">
        <v>133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="2" customFormat="1" ht="18.75" customHeight="1" spans="1:12">
      <c r="A12" s="13" t="s">
        <v>11</v>
      </c>
      <c r="B12" s="14" t="s">
        <v>12</v>
      </c>
      <c r="C12" s="15"/>
      <c r="D12" s="15"/>
      <c r="E12" s="15"/>
      <c r="F12" s="15"/>
      <c r="G12" s="15"/>
      <c r="H12" s="15"/>
      <c r="I12" s="15"/>
      <c r="J12" s="15"/>
      <c r="K12" s="15"/>
      <c r="L12" s="29" t="s">
        <v>15</v>
      </c>
    </row>
    <row r="13" s="2" customFormat="1" ht="24" customHeight="1" spans="1:12">
      <c r="A13" s="16"/>
      <c r="B13" s="17" t="s">
        <v>134</v>
      </c>
      <c r="C13" s="18"/>
      <c r="D13" s="18"/>
      <c r="E13" s="19"/>
      <c r="F13" s="17" t="s">
        <v>135</v>
      </c>
      <c r="G13" s="19"/>
      <c r="H13" s="17" t="s">
        <v>136</v>
      </c>
      <c r="I13" s="19"/>
      <c r="J13" s="17" t="s">
        <v>137</v>
      </c>
      <c r="K13" s="19"/>
      <c r="L13" s="30"/>
    </row>
    <row r="14" s="2" customFormat="1" ht="27.75" customHeight="1" spans="1:12">
      <c r="A14" s="20"/>
      <c r="B14" s="21"/>
      <c r="C14" s="22"/>
      <c r="D14" s="22"/>
      <c r="E14" s="23"/>
      <c r="F14" s="21"/>
      <c r="G14" s="23"/>
      <c r="H14" s="21"/>
      <c r="I14" s="23"/>
      <c r="J14" s="21"/>
      <c r="K14" s="23"/>
      <c r="L14" s="31"/>
    </row>
    <row r="15" s="3" customFormat="1" ht="27.75" customHeight="1" spans="1:12">
      <c r="A15" s="24"/>
      <c r="B15" s="21"/>
      <c r="C15" s="22"/>
      <c r="D15" s="22"/>
      <c r="E15" s="23"/>
      <c r="F15" s="21"/>
      <c r="G15" s="23"/>
      <c r="H15" s="21"/>
      <c r="I15" s="23"/>
      <c r="J15" s="21"/>
      <c r="K15" s="23"/>
      <c r="L15" s="31"/>
    </row>
    <row r="16" s="2" customFormat="1" ht="27.75" customHeight="1" spans="1:12">
      <c r="A16" s="20"/>
      <c r="B16" s="21"/>
      <c r="C16" s="22"/>
      <c r="D16" s="22"/>
      <c r="E16" s="23"/>
      <c r="F16" s="21"/>
      <c r="G16" s="23"/>
      <c r="H16" s="21"/>
      <c r="I16" s="23"/>
      <c r="J16" s="21"/>
      <c r="K16" s="23"/>
      <c r="L16" s="31"/>
    </row>
    <row r="17" s="3" customFormat="1" ht="27.75" customHeight="1" spans="1:12">
      <c r="A17" s="24"/>
      <c r="B17" s="21"/>
      <c r="C17" s="22"/>
      <c r="D17" s="22"/>
      <c r="E17" s="23"/>
      <c r="F17" s="21"/>
      <c r="G17" s="23"/>
      <c r="H17" s="21"/>
      <c r="I17" s="23"/>
      <c r="J17" s="21"/>
      <c r="K17" s="23"/>
      <c r="L17" s="31"/>
    </row>
    <row r="18" s="3" customFormat="1" ht="27.75" customHeight="1" spans="1:12">
      <c r="A18" s="20"/>
      <c r="B18" s="21"/>
      <c r="C18" s="22"/>
      <c r="D18" s="22"/>
      <c r="E18" s="23"/>
      <c r="F18" s="21"/>
      <c r="G18" s="23"/>
      <c r="H18" s="21"/>
      <c r="I18" s="23"/>
      <c r="J18" s="21"/>
      <c r="K18" s="23"/>
      <c r="L18" s="32"/>
    </row>
    <row r="19" s="3" customFormat="1" spans="1:12">
      <c r="A19" s="25" t="s">
        <v>138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33"/>
    </row>
    <row r="20" ht="75.75" customHeight="1" spans="1:1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="1" customFormat="1" spans="3:3">
      <c r="C21" s="6"/>
    </row>
    <row r="22" s="1" customFormat="1" spans="3:3">
      <c r="C22" s="6"/>
    </row>
  </sheetData>
  <mergeCells count="38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A20:L20"/>
    <mergeCell ref="A12:A13"/>
    <mergeCell ref="L12:L13"/>
  </mergeCells>
  <pageMargins left="0.75" right="0.75" top="1" bottom="1" header="0.5" footer="0.5"/>
  <pageSetup paperSize="9" scale="62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CTO 2024-2025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2025-12-22T06:44:00Z</cp:lastPrinted>
  <dcterms:modified xsi:type="dcterms:W3CDTF">2026-01-02T08:58:19Z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18C19EE2D40848B38711853E7ECDABE0</vt:lpwstr>
  </property>
  <property fmtid="{D5CDD505-2E9C-101B-9397-08002B2CF9AE}" pid="3" name="KSOProductBuildVer">
    <vt:lpwstr>1033-12.2.0.23196</vt:lpwstr>
  </property>
</Properties>
</file>