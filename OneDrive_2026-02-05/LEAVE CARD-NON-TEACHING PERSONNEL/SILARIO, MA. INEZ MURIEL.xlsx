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  <sheet name="CORRECTED" sheetId="8" r:id="rId2"/>
    <sheet name="CTO-WRONG" sheetId="7" r:id="rId3"/>
  </sheets>
  <definedNames>
    <definedName name="_xlnm.Print_Area" localSheetId="0">'Leave Card (NE)'!$A$1:$J$99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<sst xmlns="http://schemas.openxmlformats.org/spreadsheetml/2006/main" count="233" uniqueCount="151">
  <si>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</si>
  <si>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</si>
  <si>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</si>
  <si>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</si>
  <si>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</si>
  <si>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</si>
  <si>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</si>
  <si>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</si>
  <si>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</si>
  <si>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</si>
  <si>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</si>
  <si>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</si>
  <si>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</si>
  <si>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</si>
  <si>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</si>
  <si>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</si>
  <si>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</si>
  <si>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</si>
  <si>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</si>
  <si>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</si>
  <si>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</si>
  <si>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03/27/2019 - 03/31/2019</t>
  </si>
  <si>
    <t>ADD: 04/01/2019 - 12/31/2019</t>
  </si>
  <si>
    <t>LESS:08/30 &amp; 09/02/2019</t>
  </si>
  <si>
    <t>LESS: 12/27/2019</t>
  </si>
  <si>
    <t>LESS: FL 2019</t>
  </si>
  <si>
    <t>ADD: 01/01/2020 - 12/31/2020</t>
  </si>
  <si>
    <t>LESS: 03/13/2020</t>
  </si>
  <si>
    <t>LESS: 07/02 &amp; 03/2020</t>
  </si>
  <si>
    <t>LESS: 03/08, 09, 10 &amp; 11/2020</t>
  </si>
  <si>
    <t>ADD: 01/01/2021 - 12/31/2021</t>
  </si>
  <si>
    <t>LESS: 05/10 - 28/2021</t>
  </si>
  <si>
    <t>LESS: 07/05 &amp; 08/2021</t>
  </si>
  <si>
    <t>LESS: MONETIZATION 2021</t>
  </si>
  <si>
    <t>ADD: 01/01/22 - 02/28/22</t>
  </si>
  <si>
    <t>LESS: 03/16/22</t>
  </si>
  <si>
    <t>ADD: 03/01/22 - 03/31/22</t>
  </si>
  <si>
    <t>LESS: 04/01/22</t>
  </si>
  <si>
    <t>ADD: 04/01/22 - 04/30/22</t>
  </si>
  <si>
    <t>LESS: 06/06, 07 &amp; 08/22</t>
  </si>
  <si>
    <t>ADD: 05/01/22 - 06/30/22</t>
  </si>
  <si>
    <t>LESS: 07/11/22</t>
  </si>
  <si>
    <t>LESS: 07/25/22</t>
  </si>
  <si>
    <t>ADD: 07/01/22 - 07/31/22</t>
  </si>
  <si>
    <t>LESS: 08/09/22</t>
  </si>
  <si>
    <t>LESS: 08/26 &amp; 30/22</t>
  </si>
  <si>
    <t>ADD: 08/01/22 - 08/31/22</t>
  </si>
  <si>
    <t>LESS: MONETIZATION 2022</t>
  </si>
  <si>
    <t>ADD: 09/01/22 - 10/31/22</t>
  </si>
  <si>
    <t>LESS: 11/14/22</t>
  </si>
  <si>
    <t>LESS: 11/24/2022</t>
  </si>
  <si>
    <t>LESS: 11/25/2022</t>
  </si>
  <si>
    <t>ADD: 11/01/22 - 12/31/22</t>
  </si>
  <si>
    <t>LESS: 01/03 &amp; 04/2023</t>
  </si>
  <si>
    <t>LESS: 01/05 &amp; 06/2023</t>
  </si>
  <si>
    <t>LESS: 01/12/2023</t>
  </si>
  <si>
    <t>ADD: 01/01/23 - 02/28/23</t>
  </si>
  <si>
    <t>LESS: 02/27 &amp; 28/2023</t>
  </si>
  <si>
    <t>ADD: 03/01/23 - 04/30/23</t>
  </si>
  <si>
    <t>LESS: 06/01&amp;02/23</t>
  </si>
  <si>
    <t>LESS: 06/05/2023</t>
  </si>
  <si>
    <t>ADD: 05/01/23 - 06/30/23</t>
  </si>
  <si>
    <t>LESS: 06/29 &amp; 30/2023</t>
  </si>
  <si>
    <t>LESS: 07/07/2023</t>
  </si>
  <si>
    <t>ADD: 07/01/23 - 08/31/23</t>
  </si>
  <si>
    <t>LESS: MONETIZATION 2023</t>
  </si>
  <si>
    <t>LESS: 09/21/2023</t>
  </si>
  <si>
    <t>ADD: 09/01/2023-12/31/2023</t>
  </si>
  <si>
    <t>LESS: 01/03-04/2024</t>
  </si>
  <si>
    <t>LESS: 01/5/2024</t>
  </si>
  <si>
    <t>ADD: 01/1-31/2024</t>
  </si>
  <si>
    <t>ADD: 02/01/2024-02/29/2024</t>
  </si>
  <si>
    <t>LESS: 02/28-29/2024 &amp;3/01/2024</t>
  </si>
  <si>
    <t>ADD: 03/01/2024-07/31/2024</t>
  </si>
  <si>
    <t>LESS: MONETIZATION 2024 (20 DAYS)</t>
  </si>
  <si>
    <t>ADD: 08/1/2024-11/30/2024</t>
  </si>
  <si>
    <t>LESS: 12/23/2024</t>
  </si>
  <si>
    <t>ADD: 12/1-31/2024</t>
  </si>
  <si>
    <t>LESS:  FL 2024</t>
  </si>
  <si>
    <t>LESS: 01/9-10/2025</t>
  </si>
  <si>
    <t>ADD: 1/1-31/2025</t>
  </si>
  <si>
    <t>LESS: 02/17/2025</t>
  </si>
  <si>
    <t>ADD: 02/1/2025-03/31/2025</t>
  </si>
  <si>
    <t>LESS: 03/7/2025</t>
  </si>
  <si>
    <t>ADD: 04/1-30/2025</t>
  </si>
  <si>
    <t>LESS: 05/2/2025</t>
  </si>
  <si>
    <t>LESS: 05/30/2025</t>
  </si>
  <si>
    <t>ADD: 05/1/2025-06/30/2025</t>
  </si>
  <si>
    <t>LESS: 07/14/2025</t>
  </si>
  <si>
    <t>LESS: 08/5 &amp; 6/2025</t>
  </si>
  <si>
    <t>ADD: 07/1-31/2025</t>
  </si>
  <si>
    <t>LESS: 08/15/2025</t>
  </si>
  <si>
    <t>LESS: 08/7, 8, 11/2025</t>
  </si>
  <si>
    <t>ADD: 08/1-31/2025</t>
  </si>
  <si>
    <t>LESS: MONETIZATION 2025</t>
  </si>
  <si>
    <t>ADD: 09/1-30/2025</t>
  </si>
  <si>
    <t>LESS: 11/27/2025</t>
  </si>
  <si>
    <t>date filed- 10/30/2025</t>
  </si>
  <si>
    <t>LESS: 09/8/2025</t>
  </si>
  <si>
    <t>ADD: 10/1/2025-11/30/2025</t>
  </si>
  <si>
    <t>LESS: 12/23 &amp; 26/2025</t>
  </si>
  <si>
    <t>date filed- 12/23,26,29/2025</t>
  </si>
  <si>
    <t>Certified Correct:</t>
  </si>
  <si>
    <t xml:space="preserve"> </t>
  </si>
  <si>
    <t>MA. LUISA B. CATIGAN</t>
  </si>
  <si>
    <t>Administrative Officer IV</t>
  </si>
  <si>
    <t>HRMO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</si>
  <si>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</si>
  <si>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</si>
  <si>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</si>
  <si>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</si>
  <si>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</si>
  <si>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</si>
  <si>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JAN 18, 2023</t>
  </si>
  <si>
    <t>S.O. # 001, S. 2023. 126TH ANNIVERSARY OF THE MARTYRDOM OF DR. JOSE P. RIZAL</t>
  </si>
  <si>
    <t>LESS: 03/20/23</t>
  </si>
  <si>
    <t>ADD: 04/17/2023</t>
  </si>
  <si>
    <t>SO # 048, S.2023, PALARONG PANLALAWIGAN 2023</t>
  </si>
  <si>
    <t>LESS: 05/29 - 30/2023</t>
  </si>
  <si>
    <t>SO # 049, S.2023, CHICKSAA MEET 2023</t>
  </si>
  <si>
    <t>LESS: 05/31/2023</t>
  </si>
  <si>
    <t>ADD: JULY 10, 2023</t>
  </si>
  <si>
    <t>SO # 059, S.2023, BSP DIVISION CAMPOREE</t>
  </si>
  <si>
    <t>LESS: 08/14 &amp; 15/2023</t>
  </si>
  <si>
    <t>LESS: 05/20/2024</t>
  </si>
  <si>
    <t>ADD: 08/30/2023</t>
  </si>
  <si>
    <t>SO # 072, S.2023, 1ST DIVISION GSP ENCAMP MENT</t>
  </si>
  <si>
    <t>LESS: 08/31 &amp; 09/01/2023</t>
  </si>
  <si>
    <t>LESS: 09/19/2023</t>
  </si>
  <si>
    <t>ADD: OCTOBER 17, 2023</t>
  </si>
  <si>
    <t>SO# 159, S. 2023 125TH PHIL.INDEPENDENCE DAY</t>
  </si>
  <si>
    <t>LESS: 11/3/2023</t>
  </si>
  <si>
    <t>ADD: 03/12/2024</t>
  </si>
  <si>
    <t>S.O. #005, S. 2024 DISTRICT SPORTS MEET 2024</t>
  </si>
  <si>
    <t>LESS: 09/20/2023</t>
  </si>
  <si>
    <t>LESS: 04/29/2024</t>
  </si>
  <si>
    <t>LESS: 05/21/2024</t>
  </si>
  <si>
    <t>S.O. #006, S. 2024 DIVISION SPORTS MEET 2024</t>
  </si>
  <si>
    <t>LESS: 11/4/2024</t>
  </si>
  <si>
    <t>LESS: 12/2/2024</t>
  </si>
  <si>
    <t>LESS: 01/8/2025</t>
  </si>
  <si>
    <t>ADD: 07/1/2025</t>
  </si>
  <si>
    <t>S.O. # 044, S. 2025. 127TH PHILIPPINE INDEPENDENCE DAY CELEBRATION</t>
  </si>
  <si>
    <t>LESS: 06/30/2025</t>
  </si>
  <si>
    <t>NOTE:  Valid for one (1) year only</t>
  </si>
  <si>
    <t>LESS: 05/29 - 31/2023</t>
  </si>
  <si>
    <t>LESS: 08/02/2023</t>
  </si>
  <si>
    <t>LESS: 09/19&amp;20/2023</t>
  </si>
  <si>
    <t>ADD: 01/18/2023</t>
  </si>
  <si>
    <t>S.O. #001, S. 2023. 126TH ANNIVERSARY OF MARTYRDOM OF DR. JOSE P. RIZAL</t>
  </si>
  <si>
    <t>LESS: 01/05/2024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</si>
</sst>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4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8"/>
      <name val="Calibri"/>
      <charset val="134"/>
      <scheme val="minor"/>
    </font>
    <font>
      <sz val="9"/>
      <name val="Calibri"/>
      <charset val="134"/>
      <scheme val="minor"/>
    </font>
    <font>
      <sz val="1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23" applyNumberFormat="0" applyAlignment="0" applyProtection="0">
      <alignment vertical="center"/>
    </xf>
    <xf numFmtId="0" fontId="24" fillId="15" borderId="24" applyNumberFormat="0" applyAlignment="0" applyProtection="0">
      <alignment vertical="center"/>
    </xf>
    <xf numFmtId="0" fontId="25" fillId="15" borderId="23" applyNumberFormat="0" applyAlignment="0" applyProtection="0">
      <alignment vertical="center"/>
    </xf>
    <xf numFmtId="0" fontId="26" fillId="16" borderId="25" applyNumberFormat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0" fillId="0" borderId="0"/>
  </cellStyleXfs>
  <cellXfs count="118">
    <xf numFmtId="0" fontId="0" fillId="0" borderId="0" xfId="0"/>
    <xf numFmtId="0" fontId="0" fillId="2" borderId="0" xfId="49" applyFill="1"/>
    <xf numFmtId="0" fontId="1" fillId="0" borderId="0" xfId="49" applyFont="1"/>
    <xf numFmtId="0" fontId="2" fillId="0" borderId="0" xfId="49" applyFont="1"/>
    <xf numFmtId="0" fontId="1" fillId="0" borderId="0" xfId="0" applyFont="1"/>
    <xf numFmtId="0" fontId="2" fillId="0" borderId="0" xfId="0" applyFont="1"/>
    <xf numFmtId="0" fontId="0" fillId="0" borderId="0" xfId="49"/>
    <xf numFmtId="0" fontId="0" fillId="2" borderId="0" xfId="49" applyFill="1" applyAlignment="1">
      <alignment horizontal="center" vertical="center"/>
    </xf>
    <xf numFmtId="0" fontId="3" fillId="2" borderId="0" xfId="49" applyFont="1" applyFill="1" applyAlignment="1">
      <alignment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/>
    <xf numFmtId="0" fontId="3" fillId="2" borderId="1" xfId="49" applyFont="1" applyFill="1" applyBorder="1" applyAlignment="1">
      <alignment vertical="center"/>
    </xf>
    <xf numFmtId="0" fontId="4" fillId="2" borderId="2" xfId="49" applyFont="1" applyFill="1" applyBorder="1" applyAlignment="1">
      <alignment horizontal="center" vertical="center"/>
    </xf>
    <xf numFmtId="0" fontId="5" fillId="3" borderId="3" xfId="49" applyFont="1" applyFill="1" applyBorder="1" applyAlignment="1">
      <alignment horizontal="center" vertical="center"/>
    </xf>
    <xf numFmtId="0" fontId="5" fillId="4" borderId="4" xfId="49" applyFont="1" applyFill="1" applyBorder="1" applyAlignment="1">
      <alignment horizontal="center" vertical="center"/>
    </xf>
    <xf numFmtId="0" fontId="5" fillId="4" borderId="5" xfId="49" applyFont="1" applyFill="1" applyBorder="1" applyAlignment="1">
      <alignment horizontal="center" vertical="center"/>
    </xf>
    <xf numFmtId="0" fontId="5" fillId="3" borderId="6" xfId="49" applyFont="1" applyFill="1" applyBorder="1" applyAlignment="1">
      <alignment horizontal="center" vertical="center"/>
    </xf>
    <xf numFmtId="0" fontId="6" fillId="5" borderId="7" xfId="49" applyFont="1" applyFill="1" applyBorder="1" applyAlignment="1">
      <alignment horizontal="center" vertical="center" wrapText="1"/>
    </xf>
    <xf numFmtId="0" fontId="6" fillId="5" borderId="8" xfId="49" applyFont="1" applyFill="1" applyBorder="1" applyAlignment="1">
      <alignment horizontal="center" vertical="center" wrapText="1"/>
    </xf>
    <xf numFmtId="0" fontId="6" fillId="5" borderId="9" xfId="49" applyFont="1" applyFill="1" applyBorder="1" applyAlignment="1">
      <alignment horizontal="center" vertical="center" wrapText="1"/>
    </xf>
    <xf numFmtId="0" fontId="0" fillId="2" borderId="6" xfId="49" applyFont="1" applyFill="1" applyBorder="1" applyAlignment="1">
      <alignment horizontal="center" vertical="center" wrapText="1"/>
    </xf>
    <xf numFmtId="0" fontId="7" fillId="2" borderId="7" xfId="49" applyFont="1" applyFill="1" applyBorder="1" applyAlignment="1">
      <alignment horizontal="center" vertical="center" wrapText="1"/>
    </xf>
    <xf numFmtId="0" fontId="7" fillId="2" borderId="8" xfId="49" applyFont="1" applyFill="1" applyBorder="1" applyAlignment="1">
      <alignment horizontal="center" vertical="center" wrapText="1"/>
    </xf>
    <xf numFmtId="0" fontId="7" fillId="2" borderId="9" xfId="49" applyFont="1" applyFill="1" applyBorder="1" applyAlignment="1">
      <alignment horizontal="center" vertical="center" wrapText="1"/>
    </xf>
    <xf numFmtId="0" fontId="6" fillId="2" borderId="7" xfId="49" applyFont="1" applyFill="1" applyBorder="1" applyAlignment="1">
      <alignment horizontal="center" vertical="center" wrapText="1"/>
    </xf>
    <xf numFmtId="0" fontId="6" fillId="2" borderId="9" xfId="49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6" fillId="2" borderId="8" xfId="49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6" fillId="6" borderId="7" xfId="49" applyFont="1" applyFill="1" applyBorder="1" applyAlignment="1">
      <alignment horizontal="center" vertical="center" wrapText="1"/>
    </xf>
    <xf numFmtId="0" fontId="6" fillId="6" borderId="8" xfId="49" applyFont="1" applyFill="1" applyBorder="1" applyAlignment="1">
      <alignment horizontal="center" vertical="center" wrapText="1"/>
    </xf>
    <xf numFmtId="0" fontId="6" fillId="6" borderId="9" xfId="49" applyFont="1" applyFill="1" applyBorder="1" applyAlignment="1">
      <alignment horizontal="center" vertical="center" wrapText="1"/>
    </xf>
    <xf numFmtId="0" fontId="0" fillId="0" borderId="0" xfId="49" applyAlignment="1">
      <alignment vertical="center"/>
    </xf>
    <xf numFmtId="0" fontId="6" fillId="2" borderId="0" xfId="49" applyFont="1" applyFill="1" applyAlignment="1">
      <alignment horizontal="center" vertical="center" wrapText="1"/>
    </xf>
    <xf numFmtId="0" fontId="2" fillId="2" borderId="0" xfId="49" applyFont="1" applyFill="1" applyAlignment="1">
      <alignment horizontal="center" vertical="center"/>
    </xf>
    <xf numFmtId="0" fontId="0" fillId="2" borderId="0" xfId="49" applyFill="1" applyAlignment="1">
      <alignment horizontal="center"/>
    </xf>
    <xf numFmtId="0" fontId="3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5" fillId="3" borderId="11" xfId="49" applyFont="1" applyFill="1" applyBorder="1" applyAlignment="1">
      <alignment horizontal="center" vertical="center"/>
    </xf>
    <xf numFmtId="0" fontId="5" fillId="3" borderId="12" xfId="49" applyFont="1" applyFill="1" applyBorder="1" applyAlignment="1">
      <alignment horizontal="center" vertical="center"/>
    </xf>
    <xf numFmtId="0" fontId="0" fillId="2" borderId="13" xfId="49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6" borderId="10" xfId="49" applyFill="1" applyBorder="1" applyAlignment="1">
      <alignment horizontal="center" vertical="center" wrapText="1"/>
    </xf>
    <xf numFmtId="0" fontId="0" fillId="2" borderId="10" xfId="49" applyFill="1" applyBorder="1" applyAlignment="1">
      <alignment horizontal="center" vertical="center" wrapText="1"/>
    </xf>
    <xf numFmtId="0" fontId="0" fillId="2" borderId="0" xfId="49" applyFill="1" applyAlignment="1">
      <alignment horizontal="center" vertical="center" wrapText="1"/>
    </xf>
    <xf numFmtId="0" fontId="3" fillId="0" borderId="6" xfId="49" applyFont="1" applyBorder="1" applyAlignment="1">
      <alignment horizontal="center" vertical="center" wrapText="1"/>
    </xf>
    <xf numFmtId="0" fontId="8" fillId="2" borderId="7" xfId="49" applyFont="1" applyFill="1" applyBorder="1" applyAlignment="1">
      <alignment horizontal="center" vertical="center" wrapText="1"/>
    </xf>
    <xf numFmtId="0" fontId="8" fillId="2" borderId="9" xfId="49" applyFont="1" applyFill="1" applyBorder="1" applyAlignment="1">
      <alignment horizontal="center" vertical="center" wrapText="1"/>
    </xf>
    <xf numFmtId="0" fontId="0" fillId="0" borderId="6" xfId="49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9" fillId="2" borderId="7" xfId="49" applyFont="1" applyFill="1" applyBorder="1" applyAlignment="1">
      <alignment horizontal="center" vertical="center" wrapText="1"/>
    </xf>
    <xf numFmtId="0" fontId="9" fillId="2" borderId="9" xfId="49" applyFont="1" applyFill="1" applyBorder="1" applyAlignment="1">
      <alignment horizontal="center" vertical="center" wrapText="1"/>
    </xf>
    <xf numFmtId="0" fontId="0" fillId="2" borderId="10" xfId="49" applyFont="1" applyFill="1" applyBorder="1" applyAlignment="1">
      <alignment horizontal="center" vertical="center" wrapText="1"/>
    </xf>
    <xf numFmtId="0" fontId="3" fillId="2" borderId="13" xfId="49" applyFont="1" applyFill="1" applyBorder="1" applyAlignment="1">
      <alignment horizontal="center" vertical="center" wrapText="1"/>
    </xf>
    <xf numFmtId="0" fontId="3" fillId="6" borderId="13" xfId="49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2" borderId="10" xfId="49" applyFont="1" applyFill="1" applyBorder="1" applyAlignment="1">
      <alignment horizontal="center" vertical="center" wrapText="1"/>
    </xf>
    <xf numFmtId="0" fontId="3" fillId="0" borderId="10" xfId="49" applyFont="1" applyBorder="1" applyAlignment="1">
      <alignment horizontal="center" vertical="center" wrapText="1"/>
    </xf>
    <xf numFmtId="0" fontId="3" fillId="6" borderId="10" xfId="49" applyFont="1" applyFill="1" applyBorder="1" applyAlignment="1">
      <alignment horizontal="center" vertical="center" wrapText="1"/>
    </xf>
    <xf numFmtId="0" fontId="10" fillId="0" borderId="0" xfId="49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11" fillId="0" borderId="0" xfId="0" applyFont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4" fillId="2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/>
    </xf>
    <xf numFmtId="58" fontId="0" fillId="0" borderId="16" xfId="0" applyNumberFormat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 wrapText="1"/>
    </xf>
    <xf numFmtId="176" fontId="0" fillId="2" borderId="18" xfId="0" applyNumberForma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7" borderId="11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176" fontId="0" fillId="2" borderId="13" xfId="0" applyNumberForma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0" fillId="11" borderId="10" xfId="0" applyNumberFormat="1" applyFill="1" applyBorder="1" applyAlignment="1">
      <alignment horizontal="center" vertical="center"/>
    </xf>
    <xf numFmtId="176" fontId="0" fillId="12" borderId="10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304800</xdr:colOff>
      <xdr:row>0</xdr:row>
      <xdr:rowOff>19049</xdr:rowOff>
    </xdr:from>
    <xdr:to>
      <xdr:col>4</xdr:col>
      <xdr:colOff>299183</xdr:colOff>
      <xdr:row>1</xdr:row>
      <xdr:rowOff>0</xdr:rowOff>
    </xdr:to>
    <xdr:pic>
      <xdr:nvPicPr>
        <xdr:cNvPr id="3" name="Picture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33545" y="18415"/>
          <a:ext cx="788035" cy="648335"/>
        </a:xfrm>
        <a:prstGeom prst="rect">
          <a:avLst/>
        </a:prstGeom>
        <a:noFill/>
      </xdr:spPr>
    </xdr:pic>
    <xdr:clientData/>
  </xdr:twoCellAnchor>
  <xdr:twoCellAnchor>
    <xdr:from>
      <xdr:col>0</xdr:col>
      <xdr:colOff>431067</xdr:colOff>
      <xdr:row>4</xdr:row>
      <xdr:rowOff>199536</xdr:rowOff>
    </xdr:from>
    <xdr:to>
      <xdr:col>1</xdr:col>
      <xdr:colOff>28575</xdr:colOff>
      <xdr:row>6</xdr:row>
      <xdr:rowOff>144585</xdr:rowOff>
    </xdr:to>
    <xdr:sp>
      <xdr:nvSpPr>
        <xdr:cNvPr id="4" name="TextBox 3"/>
        <xdr:cNvSpPr txBox="1"/>
      </xdr:nvSpPr>
      <xdr:spPr>
        <a:xfrm>
          <a:off x="430530" y="1404620"/>
          <a:ext cx="193929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SILARIO, MA. INEZ MURIEL G. G.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5" name="TextBox 4"/>
        <xdr:cNvSpPr txBox="1"/>
      </xdr:nvSpPr>
      <xdr:spPr>
        <a:xfrm>
          <a:off x="616585" y="1725930"/>
          <a:ext cx="172466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NURSE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6" name="TextBox 5"/>
        <xdr:cNvSpPr txBox="1"/>
      </xdr:nvSpPr>
      <xdr:spPr>
        <a:xfrm>
          <a:off x="3549650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4</xdr:col>
      <xdr:colOff>766534</xdr:colOff>
      <xdr:row>0</xdr:row>
      <xdr:rowOff>657678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77285" y="40005"/>
          <a:ext cx="704215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>
      <xdr:nvSpPr>
        <xdr:cNvPr id="3" name="TextBox 2"/>
        <xdr:cNvSpPr txBox="1"/>
      </xdr:nvSpPr>
      <xdr:spPr>
        <a:xfrm>
          <a:off x="573405" y="1376045"/>
          <a:ext cx="184658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SILARIO,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MA. INEZ MURIEL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>
      <xdr:nvSpPr>
        <xdr:cNvPr id="4" name="TextBox 3"/>
        <xdr:cNvSpPr txBox="1"/>
      </xdr:nvSpPr>
      <xdr:spPr>
        <a:xfrm>
          <a:off x="654050" y="1684020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NURSE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>
      <xdr:nvSpPr>
        <xdr:cNvPr id="5" name="TextBox 4"/>
        <xdr:cNvSpPr txBox="1"/>
      </xdr:nvSpPr>
      <xdr:spPr>
        <a:xfrm>
          <a:off x="3543935" y="1706880"/>
          <a:ext cx="1552575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4</xdr:col>
      <xdr:colOff>766534</xdr:colOff>
      <xdr:row>0</xdr:row>
      <xdr:rowOff>657678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77285" y="40005"/>
          <a:ext cx="704215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>
      <xdr:nvSpPr>
        <xdr:cNvPr id="3" name="TextBox 2"/>
        <xdr:cNvSpPr txBox="1"/>
      </xdr:nvSpPr>
      <xdr:spPr>
        <a:xfrm>
          <a:off x="573405" y="1376045"/>
          <a:ext cx="184658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SILARIO,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MA. INEZ MURIEL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>
      <xdr:nvSpPr>
        <xdr:cNvPr id="4" name="TextBox 3"/>
        <xdr:cNvSpPr txBox="1"/>
      </xdr:nvSpPr>
      <xdr:spPr>
        <a:xfrm>
          <a:off x="654050" y="1684020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NURSE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>
      <xdr:nvSpPr>
        <xdr:cNvPr id="5" name="TextBox 4"/>
        <xdr:cNvSpPr txBox="1"/>
      </xdr:nvSpPr>
      <xdr:spPr>
        <a:xfrm>
          <a:off x="3543935" y="1706880"/>
          <a:ext cx="1552575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53"/>
  <sheetViews>
    <sheetView tabSelected="1" view="pageBreakPreview" zoomScaleNormal="100" topLeftCell="A71" workbookViewId="0">
      <selection activeCell="A90" sqref="$A90:$XFD90"/>
    </sheetView>
  </sheetViews>
  <sheetFormatPr defaultColWidth="9" defaultRowHeight="14.4"/>
  <cols>
    <col min="1" max="1" width="34.1388888888889" customWidth="1"/>
    <col min="2" max="10" width="11.5740740740741" customWidth="1"/>
    <col min="11" max="11" width="26.4259259259259" style="79" customWidth="1"/>
  </cols>
  <sheetData>
    <row r="1" s="76" customFormat="1" ht="52.5" customHeight="1"/>
    <row r="2" s="76" customFormat="1" ht="10.5" customHeight="1" spans="1:10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</row>
    <row r="3" s="76" customFormat="1" ht="15.95" customHeight="1" spans="1:10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</row>
    <row r="4" s="76" customFormat="1" ht="15.95" customHeight="1" spans="1:10">
      <c r="A4" s="80" t="s">
        <v>2</v>
      </c>
      <c r="B4" s="80"/>
      <c r="C4" s="80"/>
      <c r="D4" s="80"/>
      <c r="E4" s="80"/>
      <c r="F4" s="80"/>
      <c r="G4" s="80"/>
      <c r="H4" s="80"/>
      <c r="I4" s="80"/>
      <c r="J4" s="80"/>
    </row>
    <row r="5" s="76" customFormat="1" ht="15.95" customHeight="1" spans="1:10">
      <c r="A5" s="80" t="s">
        <v>3</v>
      </c>
      <c r="B5" s="80"/>
      <c r="C5" s="80"/>
      <c r="D5" s="80"/>
      <c r="E5" s="80"/>
      <c r="F5" s="80"/>
      <c r="G5" s="80"/>
      <c r="H5" s="80"/>
      <c r="I5" s="80"/>
      <c r="J5" s="80"/>
    </row>
    <row r="6" s="76" customFormat="1" ht="8.25" customHeight="1"/>
    <row r="7" s="76" customFormat="1" ht="12" customHeight="1" spans="1:10">
      <c r="A7" s="76" t="s">
        <v>4</v>
      </c>
      <c r="B7" s="81" t="s">
        <v>5</v>
      </c>
      <c r="C7" s="81"/>
      <c r="D7" s="81"/>
      <c r="H7" s="82" t="s">
        <v>6</v>
      </c>
      <c r="I7" s="102"/>
      <c r="J7" s="82"/>
    </row>
    <row r="8" s="76" customFormat="1" ht="12" customHeight="1" spans="2:10">
      <c r="B8" s="83"/>
      <c r="C8" s="83"/>
      <c r="H8" s="83"/>
      <c r="I8" s="83"/>
      <c r="J8" s="83"/>
    </row>
    <row r="9" s="76" customFormat="1" ht="12" customHeight="1" spans="1:10">
      <c r="A9" s="76" t="s">
        <v>7</v>
      </c>
      <c r="B9" s="81" t="s">
        <v>8</v>
      </c>
      <c r="C9" s="81"/>
      <c r="D9" s="81"/>
      <c r="H9" s="82" t="s">
        <v>9</v>
      </c>
      <c r="I9" s="103"/>
      <c r="J9" s="82"/>
    </row>
    <row r="10" ht="16.5" customHeight="1" spans="1:11">
      <c r="A10" s="84" t="s">
        <v>10</v>
      </c>
      <c r="B10" s="84"/>
      <c r="C10" s="84"/>
      <c r="D10" s="84"/>
      <c r="E10" s="84"/>
      <c r="F10" s="84"/>
      <c r="G10" s="84"/>
      <c r="H10" s="84"/>
      <c r="I10" s="84"/>
      <c r="J10" s="84"/>
      <c r="K10"/>
    </row>
    <row r="11" ht="18.75" customHeight="1" spans="1:11">
      <c r="A11" s="85" t="s">
        <v>11</v>
      </c>
      <c r="B11" s="86" t="s">
        <v>12</v>
      </c>
      <c r="C11" s="86"/>
      <c r="D11" s="87" t="s">
        <v>13</v>
      </c>
      <c r="E11" s="88"/>
      <c r="F11" s="88"/>
      <c r="G11" s="89"/>
      <c r="H11" s="90" t="s">
        <v>14</v>
      </c>
      <c r="I11" s="90"/>
      <c r="J11" s="104" t="s">
        <v>15</v>
      </c>
      <c r="K11" s="105" t="s">
        <v>16</v>
      </c>
    </row>
    <row r="12" ht="18.75" customHeight="1" spans="1:11">
      <c r="A12" s="91"/>
      <c r="B12" s="92" t="s">
        <v>17</v>
      </c>
      <c r="C12" s="92" t="s">
        <v>18</v>
      </c>
      <c r="D12" s="92" t="s">
        <v>17</v>
      </c>
      <c r="E12" s="92" t="s">
        <v>18</v>
      </c>
      <c r="F12" s="92" t="s">
        <v>19</v>
      </c>
      <c r="G12" s="92" t="s">
        <v>20</v>
      </c>
      <c r="H12" s="92" t="s">
        <v>17</v>
      </c>
      <c r="I12" s="92" t="s">
        <v>18</v>
      </c>
      <c r="J12" s="106"/>
      <c r="K12" s="105"/>
    </row>
    <row r="13" s="77" customFormat="1" ht="15.95" customHeight="1" spans="1:11">
      <c r="A13" s="93" t="s">
        <v>21</v>
      </c>
      <c r="B13" s="94">
        <v>0.208</v>
      </c>
      <c r="C13" s="94">
        <v>0.208</v>
      </c>
      <c r="D13" s="94"/>
      <c r="E13" s="94"/>
      <c r="F13" s="94"/>
      <c r="G13" s="94"/>
      <c r="H13" s="94">
        <f>B13</f>
        <v>0.208</v>
      </c>
      <c r="I13" s="94">
        <f>C13</f>
        <v>0.208</v>
      </c>
      <c r="J13" s="107">
        <f>SUM(H13:I13)</f>
        <v>0.416</v>
      </c>
      <c r="K13" s="108"/>
    </row>
    <row r="14" s="77" customFormat="1" ht="15.95" customHeight="1" spans="1:11">
      <c r="A14" s="93" t="s">
        <v>22</v>
      </c>
      <c r="B14" s="94">
        <f>9*1.25</f>
        <v>11.25</v>
      </c>
      <c r="C14" s="94">
        <v>11.25</v>
      </c>
      <c r="D14" s="94"/>
      <c r="E14" s="94"/>
      <c r="F14" s="94"/>
      <c r="G14" s="94"/>
      <c r="H14" s="94">
        <f>H13-F14-D14+B14</f>
        <v>11.458</v>
      </c>
      <c r="I14" s="94">
        <f>I13-E14+C14</f>
        <v>11.458</v>
      </c>
      <c r="J14" s="107">
        <f>SUM(H14:I14)</f>
        <v>22.916</v>
      </c>
      <c r="K14" s="108"/>
    </row>
    <row r="15" s="77" customFormat="1" ht="15.95" customHeight="1" spans="1:11">
      <c r="A15" s="93" t="s">
        <v>23</v>
      </c>
      <c r="B15" s="94"/>
      <c r="C15" s="94"/>
      <c r="D15" s="94"/>
      <c r="E15" s="94"/>
      <c r="F15" s="94"/>
      <c r="G15" s="94">
        <v>2</v>
      </c>
      <c r="H15" s="94">
        <f t="shared" ref="H15:H16" si="0">H14-F15-D15+B15</f>
        <v>11.458</v>
      </c>
      <c r="I15" s="94">
        <f t="shared" ref="I15:I16" si="1">I14-E15+C15</f>
        <v>11.458</v>
      </c>
      <c r="J15" s="107">
        <f t="shared" ref="J15:J16" si="2">SUM(H15:I15)</f>
        <v>22.916</v>
      </c>
      <c r="K15" s="108"/>
    </row>
    <row r="16" s="77" customFormat="1" ht="15.95" customHeight="1" spans="1:11">
      <c r="A16" s="93" t="s">
        <v>24</v>
      </c>
      <c r="B16" s="94"/>
      <c r="C16" s="94"/>
      <c r="D16" s="94"/>
      <c r="E16" s="94"/>
      <c r="F16" s="94"/>
      <c r="G16" s="94">
        <v>1</v>
      </c>
      <c r="H16" s="94">
        <f t="shared" si="0"/>
        <v>11.458</v>
      </c>
      <c r="I16" s="94">
        <f t="shared" si="1"/>
        <v>11.458</v>
      </c>
      <c r="J16" s="107">
        <f t="shared" si="2"/>
        <v>22.916</v>
      </c>
      <c r="K16" s="108"/>
    </row>
    <row r="17" s="77" customFormat="1" ht="15.95" customHeight="1" spans="1:11">
      <c r="A17" s="93" t="s">
        <v>25</v>
      </c>
      <c r="B17" s="94"/>
      <c r="C17" s="94"/>
      <c r="D17" s="94"/>
      <c r="E17" s="94"/>
      <c r="F17" s="94">
        <v>5</v>
      </c>
      <c r="G17" s="94"/>
      <c r="H17" s="94">
        <f t="shared" ref="H17:H36" si="3">H16-F17-D17+B17</f>
        <v>6.458</v>
      </c>
      <c r="I17" s="94">
        <f t="shared" ref="I17:I36" si="4">I16-E17+C17</f>
        <v>11.458</v>
      </c>
      <c r="J17" s="107">
        <f t="shared" ref="J17:J36" si="5">SUM(H17:I17)</f>
        <v>17.916</v>
      </c>
      <c r="K17" s="108"/>
    </row>
    <row r="18" s="77" customFormat="1" ht="15.95" customHeight="1" spans="1:11">
      <c r="A18" s="93" t="s">
        <v>26</v>
      </c>
      <c r="B18" s="94">
        <v>15</v>
      </c>
      <c r="C18" s="94">
        <v>15</v>
      </c>
      <c r="D18" s="94"/>
      <c r="E18" s="94"/>
      <c r="F18" s="94"/>
      <c r="G18" s="94"/>
      <c r="H18" s="94">
        <f t="shared" si="3"/>
        <v>21.458</v>
      </c>
      <c r="I18" s="94">
        <f t="shared" si="4"/>
        <v>26.458</v>
      </c>
      <c r="J18" s="107">
        <f t="shared" si="5"/>
        <v>47.916</v>
      </c>
      <c r="K18" s="108"/>
    </row>
    <row r="19" s="77" customFormat="1" ht="15.95" customHeight="1" spans="1:11">
      <c r="A19" s="93" t="s">
        <v>27</v>
      </c>
      <c r="B19" s="94"/>
      <c r="C19" s="94"/>
      <c r="D19" s="94"/>
      <c r="E19" s="94"/>
      <c r="F19" s="94">
        <v>1</v>
      </c>
      <c r="G19" s="94"/>
      <c r="H19" s="94">
        <f t="shared" si="3"/>
        <v>20.458</v>
      </c>
      <c r="I19" s="94">
        <f t="shared" si="4"/>
        <v>26.458</v>
      </c>
      <c r="J19" s="107">
        <f t="shared" si="5"/>
        <v>46.916</v>
      </c>
      <c r="K19" s="108"/>
    </row>
    <row r="20" s="77" customFormat="1" ht="15.95" customHeight="1" spans="1:11">
      <c r="A20" s="93" t="s">
        <v>28</v>
      </c>
      <c r="B20" s="94"/>
      <c r="C20" s="94"/>
      <c r="D20" s="94"/>
      <c r="E20" s="94"/>
      <c r="F20" s="94"/>
      <c r="G20" s="94">
        <v>2</v>
      </c>
      <c r="H20" s="94">
        <f t="shared" si="3"/>
        <v>20.458</v>
      </c>
      <c r="I20" s="94">
        <f t="shared" si="4"/>
        <v>26.458</v>
      </c>
      <c r="J20" s="107">
        <f t="shared" si="5"/>
        <v>46.916</v>
      </c>
      <c r="K20" s="108"/>
    </row>
    <row r="21" s="77" customFormat="1" ht="15.95" customHeight="1" spans="1:11">
      <c r="A21" s="93" t="s">
        <v>29</v>
      </c>
      <c r="B21" s="94"/>
      <c r="C21" s="94"/>
      <c r="D21" s="94"/>
      <c r="E21" s="94"/>
      <c r="F21" s="94">
        <v>4</v>
      </c>
      <c r="G21" s="94"/>
      <c r="H21" s="94">
        <f t="shared" si="3"/>
        <v>16.458</v>
      </c>
      <c r="I21" s="94">
        <f t="shared" si="4"/>
        <v>26.458</v>
      </c>
      <c r="J21" s="107">
        <f t="shared" si="5"/>
        <v>42.916</v>
      </c>
      <c r="K21" s="108"/>
    </row>
    <row r="22" s="77" customFormat="1" ht="15.95" customHeight="1" spans="1:11">
      <c r="A22" s="93" t="s">
        <v>30</v>
      </c>
      <c r="B22" s="94">
        <v>15</v>
      </c>
      <c r="C22" s="94">
        <v>15</v>
      </c>
      <c r="D22" s="94"/>
      <c r="E22" s="94"/>
      <c r="F22" s="94"/>
      <c r="G22" s="94"/>
      <c r="H22" s="94">
        <f t="shared" si="3"/>
        <v>31.458</v>
      </c>
      <c r="I22" s="94">
        <f t="shared" si="4"/>
        <v>41.458</v>
      </c>
      <c r="J22" s="107">
        <f t="shared" si="5"/>
        <v>72.916</v>
      </c>
      <c r="K22" s="108"/>
    </row>
    <row r="23" s="77" customFormat="1" ht="15.95" customHeight="1" spans="1:11">
      <c r="A23" s="93" t="s">
        <v>31</v>
      </c>
      <c r="B23" s="94"/>
      <c r="C23" s="94"/>
      <c r="D23" s="94"/>
      <c r="E23" s="94">
        <v>10</v>
      </c>
      <c r="F23" s="94">
        <v>1</v>
      </c>
      <c r="G23" s="94">
        <v>3</v>
      </c>
      <c r="H23" s="94">
        <f t="shared" si="3"/>
        <v>30.458</v>
      </c>
      <c r="I23" s="94">
        <f t="shared" si="4"/>
        <v>31.458</v>
      </c>
      <c r="J23" s="107">
        <f t="shared" si="5"/>
        <v>61.916</v>
      </c>
      <c r="K23" s="108"/>
    </row>
    <row r="24" s="77" customFormat="1" ht="15.95" customHeight="1" spans="1:11">
      <c r="A24" s="93" t="s">
        <v>32</v>
      </c>
      <c r="B24" s="94"/>
      <c r="C24" s="94"/>
      <c r="D24" s="94"/>
      <c r="E24" s="94"/>
      <c r="F24" s="94">
        <v>4</v>
      </c>
      <c r="G24" s="94"/>
      <c r="H24" s="94">
        <f t="shared" si="3"/>
        <v>26.458</v>
      </c>
      <c r="I24" s="94">
        <f t="shared" si="4"/>
        <v>31.458</v>
      </c>
      <c r="J24" s="107">
        <f t="shared" si="5"/>
        <v>57.916</v>
      </c>
      <c r="K24" s="108"/>
    </row>
    <row r="25" s="77" customFormat="1" ht="15.95" customHeight="1" spans="1:11">
      <c r="A25" s="93" t="s">
        <v>33</v>
      </c>
      <c r="B25" s="94"/>
      <c r="C25" s="94"/>
      <c r="D25" s="94">
        <v>26</v>
      </c>
      <c r="E25" s="94">
        <v>1</v>
      </c>
      <c r="F25" s="94"/>
      <c r="G25" s="94"/>
      <c r="H25" s="94">
        <f t="shared" si="3"/>
        <v>0.457999999999998</v>
      </c>
      <c r="I25" s="94">
        <f t="shared" si="4"/>
        <v>30.458</v>
      </c>
      <c r="J25" s="107">
        <f t="shared" si="5"/>
        <v>30.916</v>
      </c>
      <c r="K25" s="108"/>
    </row>
    <row r="26" s="77" customFormat="1" ht="15.95" customHeight="1" spans="1:11">
      <c r="A26" s="93" t="s">
        <v>34</v>
      </c>
      <c r="B26" s="94">
        <v>2.5</v>
      </c>
      <c r="C26" s="94">
        <v>2.5</v>
      </c>
      <c r="D26" s="94"/>
      <c r="E26" s="94"/>
      <c r="F26" s="94"/>
      <c r="G26" s="94"/>
      <c r="H26" s="94">
        <f t="shared" si="3"/>
        <v>2.958</v>
      </c>
      <c r="I26" s="94">
        <f t="shared" si="4"/>
        <v>32.958</v>
      </c>
      <c r="J26" s="107">
        <f t="shared" si="5"/>
        <v>35.916</v>
      </c>
      <c r="K26" s="108"/>
    </row>
    <row r="27" s="77" customFormat="1" ht="15.95" customHeight="1" spans="1:11">
      <c r="A27" s="95" t="s">
        <v>35</v>
      </c>
      <c r="B27" s="94"/>
      <c r="C27" s="94"/>
      <c r="D27" s="94"/>
      <c r="E27" s="94"/>
      <c r="F27" s="94"/>
      <c r="G27" s="96">
        <v>1</v>
      </c>
      <c r="H27" s="94">
        <f t="shared" si="3"/>
        <v>2.958</v>
      </c>
      <c r="I27" s="94">
        <f t="shared" si="4"/>
        <v>32.958</v>
      </c>
      <c r="J27" s="107">
        <f t="shared" si="5"/>
        <v>35.916</v>
      </c>
      <c r="K27" s="108"/>
    </row>
    <row r="28" s="77" customFormat="1" ht="15.95" customHeight="1" spans="1:11">
      <c r="A28" s="93" t="s">
        <v>36</v>
      </c>
      <c r="B28" s="94">
        <v>1.25</v>
      </c>
      <c r="C28" s="94">
        <v>1.25</v>
      </c>
      <c r="D28" s="94"/>
      <c r="E28" s="94"/>
      <c r="F28" s="94"/>
      <c r="G28" s="96"/>
      <c r="H28" s="94">
        <f t="shared" si="3"/>
        <v>4.208</v>
      </c>
      <c r="I28" s="94">
        <f t="shared" si="4"/>
        <v>34.208</v>
      </c>
      <c r="J28" s="107">
        <f t="shared" si="5"/>
        <v>38.416</v>
      </c>
      <c r="K28" s="108"/>
    </row>
    <row r="29" s="77" customFormat="1" ht="15.95" customHeight="1" spans="1:11">
      <c r="A29" s="95" t="s">
        <v>37</v>
      </c>
      <c r="B29" s="94"/>
      <c r="C29" s="94"/>
      <c r="D29" s="94"/>
      <c r="E29" s="94"/>
      <c r="F29" s="94">
        <v>1</v>
      </c>
      <c r="G29" s="96"/>
      <c r="H29" s="94">
        <f t="shared" si="3"/>
        <v>3.208</v>
      </c>
      <c r="I29" s="94">
        <f t="shared" si="4"/>
        <v>34.208</v>
      </c>
      <c r="J29" s="107">
        <f t="shared" si="5"/>
        <v>37.416</v>
      </c>
      <c r="K29" s="108"/>
    </row>
    <row r="30" s="77" customFormat="1" ht="15.95" customHeight="1" spans="1:11">
      <c r="A30" s="93" t="s">
        <v>38</v>
      </c>
      <c r="B30" s="94">
        <v>1.25</v>
      </c>
      <c r="C30" s="94">
        <v>1.25</v>
      </c>
      <c r="D30" s="94"/>
      <c r="E30" s="94"/>
      <c r="F30" s="94"/>
      <c r="G30" s="96"/>
      <c r="H30" s="94">
        <f t="shared" si="3"/>
        <v>4.458</v>
      </c>
      <c r="I30" s="94">
        <f t="shared" si="4"/>
        <v>35.458</v>
      </c>
      <c r="J30" s="107">
        <f t="shared" si="5"/>
        <v>39.916</v>
      </c>
      <c r="K30" s="108"/>
    </row>
    <row r="31" s="77" customFormat="1" ht="15.95" customHeight="1" spans="1:11">
      <c r="A31" s="95" t="s">
        <v>39</v>
      </c>
      <c r="B31" s="94"/>
      <c r="C31" s="94"/>
      <c r="D31" s="94"/>
      <c r="E31" s="94">
        <v>3</v>
      </c>
      <c r="F31" s="94"/>
      <c r="G31" s="96"/>
      <c r="H31" s="94">
        <f t="shared" si="3"/>
        <v>4.458</v>
      </c>
      <c r="I31" s="94">
        <f t="shared" si="4"/>
        <v>32.458</v>
      </c>
      <c r="J31" s="107">
        <f t="shared" si="5"/>
        <v>36.916</v>
      </c>
      <c r="K31" s="108"/>
    </row>
    <row r="32" s="77" customFormat="1" ht="15.95" customHeight="1" spans="1:11">
      <c r="A32" s="93" t="s">
        <v>40</v>
      </c>
      <c r="B32" s="94">
        <v>2.5</v>
      </c>
      <c r="C32" s="94">
        <v>2.5</v>
      </c>
      <c r="D32" s="94"/>
      <c r="E32" s="94"/>
      <c r="F32" s="94"/>
      <c r="G32" s="96"/>
      <c r="H32" s="94">
        <f t="shared" si="3"/>
        <v>6.958</v>
      </c>
      <c r="I32" s="94">
        <f t="shared" si="4"/>
        <v>34.958</v>
      </c>
      <c r="J32" s="107">
        <f t="shared" si="5"/>
        <v>41.916</v>
      </c>
      <c r="K32" s="108"/>
    </row>
    <row r="33" s="77" customFormat="1" ht="15.95" customHeight="1" spans="1:11">
      <c r="A33" s="95" t="s">
        <v>41</v>
      </c>
      <c r="B33" s="94"/>
      <c r="C33" s="94"/>
      <c r="D33" s="94"/>
      <c r="E33" s="94"/>
      <c r="F33" s="94"/>
      <c r="G33" s="96">
        <v>1</v>
      </c>
      <c r="H33" s="94">
        <f t="shared" si="3"/>
        <v>6.958</v>
      </c>
      <c r="I33" s="94">
        <f t="shared" si="4"/>
        <v>34.958</v>
      </c>
      <c r="J33" s="107">
        <f t="shared" si="5"/>
        <v>41.916</v>
      </c>
      <c r="K33" s="108"/>
    </row>
    <row r="34" s="77" customFormat="1" ht="15.95" customHeight="1" spans="1:11">
      <c r="A34" s="95" t="s">
        <v>42</v>
      </c>
      <c r="B34" s="94"/>
      <c r="C34" s="94"/>
      <c r="D34" s="94"/>
      <c r="E34" s="94"/>
      <c r="F34" s="94">
        <v>1</v>
      </c>
      <c r="G34" s="96"/>
      <c r="H34" s="94">
        <f t="shared" si="3"/>
        <v>5.958</v>
      </c>
      <c r="I34" s="94">
        <f t="shared" si="4"/>
        <v>34.958</v>
      </c>
      <c r="J34" s="107">
        <f t="shared" si="5"/>
        <v>40.916</v>
      </c>
      <c r="K34" s="108"/>
    </row>
    <row r="35" s="77" customFormat="1" ht="15.95" customHeight="1" spans="1:11">
      <c r="A35" s="93" t="s">
        <v>43</v>
      </c>
      <c r="B35" s="94">
        <v>1.25</v>
      </c>
      <c r="C35" s="94">
        <v>1.25</v>
      </c>
      <c r="D35" s="94"/>
      <c r="E35" s="94"/>
      <c r="F35" s="94"/>
      <c r="G35" s="96"/>
      <c r="H35" s="94">
        <f t="shared" si="3"/>
        <v>7.208</v>
      </c>
      <c r="I35" s="94">
        <f t="shared" si="4"/>
        <v>36.208</v>
      </c>
      <c r="J35" s="107">
        <f t="shared" si="5"/>
        <v>43.416</v>
      </c>
      <c r="K35" s="108"/>
    </row>
    <row r="36" s="77" customFormat="1" ht="15.95" customHeight="1" spans="1:11">
      <c r="A36" s="95" t="s">
        <v>44</v>
      </c>
      <c r="B36" s="94"/>
      <c r="C36" s="94"/>
      <c r="D36" s="94"/>
      <c r="E36" s="94"/>
      <c r="F36" s="94">
        <v>1</v>
      </c>
      <c r="G36" s="96"/>
      <c r="H36" s="94">
        <f t="shared" si="3"/>
        <v>6.208</v>
      </c>
      <c r="I36" s="94">
        <f t="shared" si="4"/>
        <v>36.208</v>
      </c>
      <c r="J36" s="107">
        <f t="shared" si="5"/>
        <v>42.416</v>
      </c>
      <c r="K36" s="108"/>
    </row>
    <row r="37" s="77" customFormat="1" ht="15.95" customHeight="1" spans="1:11">
      <c r="A37" s="95" t="s">
        <v>45</v>
      </c>
      <c r="B37" s="94"/>
      <c r="C37" s="94"/>
      <c r="D37" s="94"/>
      <c r="E37" s="94"/>
      <c r="F37" s="94">
        <v>2</v>
      </c>
      <c r="G37" s="96"/>
      <c r="H37" s="94">
        <f t="shared" ref="H37:H66" si="6">H36-F37-D37+B37</f>
        <v>4.208</v>
      </c>
      <c r="I37" s="94">
        <f t="shared" ref="I37:I66" si="7">I36-E37+C37</f>
        <v>36.208</v>
      </c>
      <c r="J37" s="107">
        <f t="shared" ref="J37:J66" si="8">SUM(H37:I37)</f>
        <v>40.416</v>
      </c>
      <c r="K37" s="108"/>
    </row>
    <row r="38" s="77" customFormat="1" ht="15.95" customHeight="1" spans="1:11">
      <c r="A38" s="93" t="s">
        <v>46</v>
      </c>
      <c r="B38" s="94">
        <v>1.25</v>
      </c>
      <c r="C38" s="94">
        <v>1.25</v>
      </c>
      <c r="D38" s="94"/>
      <c r="E38" s="94"/>
      <c r="F38" s="94"/>
      <c r="G38" s="96"/>
      <c r="H38" s="94">
        <f t="shared" si="6"/>
        <v>5.458</v>
      </c>
      <c r="I38" s="94">
        <f t="shared" si="7"/>
        <v>37.458</v>
      </c>
      <c r="J38" s="107">
        <f t="shared" si="8"/>
        <v>42.916</v>
      </c>
      <c r="K38" s="108"/>
    </row>
    <row r="39" s="77" customFormat="1" ht="15.95" customHeight="1" spans="1:11">
      <c r="A39" s="93" t="s">
        <v>47</v>
      </c>
      <c r="B39" s="94"/>
      <c r="C39" s="94"/>
      <c r="D39" s="94">
        <v>5</v>
      </c>
      <c r="E39" s="94">
        <v>24</v>
      </c>
      <c r="F39" s="94"/>
      <c r="G39" s="96"/>
      <c r="H39" s="94">
        <f t="shared" si="6"/>
        <v>0.457999999999998</v>
      </c>
      <c r="I39" s="94">
        <f t="shared" si="7"/>
        <v>13.458</v>
      </c>
      <c r="J39" s="107">
        <f t="shared" si="8"/>
        <v>13.916</v>
      </c>
      <c r="K39" s="108"/>
    </row>
    <row r="40" s="77" customFormat="1" ht="15.95" customHeight="1" spans="1:11">
      <c r="A40" s="93" t="s">
        <v>48</v>
      </c>
      <c r="B40" s="94">
        <v>2.5</v>
      </c>
      <c r="C40" s="94">
        <v>2.5</v>
      </c>
      <c r="D40" s="94"/>
      <c r="E40" s="94"/>
      <c r="F40" s="94"/>
      <c r="G40" s="96"/>
      <c r="H40" s="94">
        <f t="shared" si="6"/>
        <v>2.958</v>
      </c>
      <c r="I40" s="94">
        <f t="shared" si="7"/>
        <v>15.958</v>
      </c>
      <c r="J40" s="107">
        <f t="shared" si="8"/>
        <v>18.916</v>
      </c>
      <c r="K40" s="108"/>
    </row>
    <row r="41" s="77" customFormat="1" ht="15.95" customHeight="1" spans="1:11">
      <c r="A41" s="93" t="s">
        <v>49</v>
      </c>
      <c r="B41" s="94"/>
      <c r="C41" s="94"/>
      <c r="D41" s="94"/>
      <c r="E41" s="94">
        <v>1</v>
      </c>
      <c r="F41" s="94"/>
      <c r="G41" s="96"/>
      <c r="H41" s="94">
        <f t="shared" si="6"/>
        <v>2.958</v>
      </c>
      <c r="I41" s="94">
        <f t="shared" si="7"/>
        <v>14.958</v>
      </c>
      <c r="J41" s="107">
        <f t="shared" si="8"/>
        <v>17.916</v>
      </c>
      <c r="K41" s="108"/>
    </row>
    <row r="42" s="77" customFormat="1" ht="15.95" customHeight="1" spans="1:11">
      <c r="A42" s="93" t="s">
        <v>50</v>
      </c>
      <c r="B42" s="94"/>
      <c r="C42" s="94"/>
      <c r="D42" s="94"/>
      <c r="E42" s="94">
        <v>1</v>
      </c>
      <c r="F42" s="94"/>
      <c r="G42" s="96"/>
      <c r="H42" s="94">
        <f t="shared" si="6"/>
        <v>2.958</v>
      </c>
      <c r="I42" s="94">
        <f t="shared" si="7"/>
        <v>13.958</v>
      </c>
      <c r="J42" s="107">
        <f t="shared" si="8"/>
        <v>16.916</v>
      </c>
      <c r="K42" s="108"/>
    </row>
    <row r="43" s="77" customFormat="1" ht="15.95" customHeight="1" spans="1:11">
      <c r="A43" s="93" t="s">
        <v>51</v>
      </c>
      <c r="B43" s="94"/>
      <c r="C43" s="94"/>
      <c r="D43" s="94"/>
      <c r="E43" s="94"/>
      <c r="F43" s="94"/>
      <c r="G43" s="96">
        <v>1</v>
      </c>
      <c r="H43" s="94">
        <f t="shared" si="6"/>
        <v>2.958</v>
      </c>
      <c r="I43" s="94">
        <f t="shared" si="7"/>
        <v>13.958</v>
      </c>
      <c r="J43" s="107">
        <f t="shared" si="8"/>
        <v>16.916</v>
      </c>
      <c r="K43" s="108"/>
    </row>
    <row r="44" s="77" customFormat="1" ht="15.95" customHeight="1" spans="1:11">
      <c r="A44" s="97" t="s">
        <v>52</v>
      </c>
      <c r="B44" s="94">
        <v>2.5</v>
      </c>
      <c r="C44" s="94">
        <v>2.5</v>
      </c>
      <c r="D44" s="98"/>
      <c r="E44" s="98"/>
      <c r="F44" s="98"/>
      <c r="G44" s="99"/>
      <c r="H44" s="94">
        <f t="shared" si="6"/>
        <v>5.458</v>
      </c>
      <c r="I44" s="94">
        <f t="shared" si="7"/>
        <v>16.458</v>
      </c>
      <c r="J44" s="107">
        <f t="shared" si="8"/>
        <v>21.916</v>
      </c>
      <c r="K44" s="108"/>
    </row>
    <row r="45" s="77" customFormat="1" ht="15.95" customHeight="1" spans="1:11">
      <c r="A45" s="100" t="s">
        <v>53</v>
      </c>
      <c r="B45" s="94"/>
      <c r="C45" s="94"/>
      <c r="D45" s="94"/>
      <c r="E45" s="94"/>
      <c r="F45" s="94"/>
      <c r="G45" s="94">
        <v>2</v>
      </c>
      <c r="H45" s="94">
        <f t="shared" si="6"/>
        <v>5.458</v>
      </c>
      <c r="I45" s="94">
        <f t="shared" si="7"/>
        <v>16.458</v>
      </c>
      <c r="J45" s="107">
        <f t="shared" si="8"/>
        <v>21.916</v>
      </c>
      <c r="K45" s="108"/>
    </row>
    <row r="46" s="77" customFormat="1" ht="15.95" customHeight="1" spans="1:11">
      <c r="A46" s="100" t="s">
        <v>54</v>
      </c>
      <c r="B46" s="94"/>
      <c r="C46" s="94"/>
      <c r="D46" s="94"/>
      <c r="E46" s="94"/>
      <c r="F46" s="94">
        <v>2</v>
      </c>
      <c r="G46" s="94"/>
      <c r="H46" s="94">
        <f t="shared" si="6"/>
        <v>3.458</v>
      </c>
      <c r="I46" s="94">
        <f t="shared" si="7"/>
        <v>16.458</v>
      </c>
      <c r="J46" s="107">
        <f t="shared" si="8"/>
        <v>19.916</v>
      </c>
      <c r="K46" s="108"/>
    </row>
    <row r="47" s="77" customFormat="1" ht="15.95" customHeight="1" spans="1:11">
      <c r="A47" s="100" t="s">
        <v>55</v>
      </c>
      <c r="B47" s="94"/>
      <c r="C47" s="94"/>
      <c r="D47" s="94"/>
      <c r="E47" s="94"/>
      <c r="F47" s="94">
        <v>1</v>
      </c>
      <c r="G47" s="94"/>
      <c r="H47" s="94">
        <f t="shared" si="6"/>
        <v>2.458</v>
      </c>
      <c r="I47" s="94">
        <f t="shared" si="7"/>
        <v>16.458</v>
      </c>
      <c r="J47" s="107">
        <f t="shared" si="8"/>
        <v>18.916</v>
      </c>
      <c r="K47" s="108"/>
    </row>
    <row r="48" s="77" customFormat="1" ht="15.95" customHeight="1" spans="1:11">
      <c r="A48" s="97" t="s">
        <v>56</v>
      </c>
      <c r="B48" s="94">
        <v>2.5</v>
      </c>
      <c r="C48" s="94">
        <v>2.5</v>
      </c>
      <c r="D48" s="101"/>
      <c r="E48" s="101"/>
      <c r="F48" s="101"/>
      <c r="G48" s="101"/>
      <c r="H48" s="94">
        <f t="shared" si="6"/>
        <v>4.958</v>
      </c>
      <c r="I48" s="94">
        <f t="shared" si="7"/>
        <v>18.958</v>
      </c>
      <c r="J48" s="107">
        <f t="shared" si="8"/>
        <v>23.916</v>
      </c>
      <c r="K48" s="108"/>
    </row>
    <row r="49" s="77" customFormat="1" ht="15.95" customHeight="1" spans="1:11">
      <c r="A49" s="100" t="s">
        <v>57</v>
      </c>
      <c r="B49" s="101"/>
      <c r="C49" s="101"/>
      <c r="D49" s="101"/>
      <c r="E49" s="101"/>
      <c r="F49" s="101">
        <v>2</v>
      </c>
      <c r="G49" s="101"/>
      <c r="H49" s="94">
        <f t="shared" si="6"/>
        <v>2.958</v>
      </c>
      <c r="I49" s="94">
        <f t="shared" si="7"/>
        <v>18.958</v>
      </c>
      <c r="J49" s="107">
        <f t="shared" si="8"/>
        <v>21.916</v>
      </c>
      <c r="K49" s="108"/>
    </row>
    <row r="50" s="77" customFormat="1" ht="15.95" customHeight="1" spans="1:11">
      <c r="A50" s="97" t="s">
        <v>58</v>
      </c>
      <c r="B50" s="94">
        <v>2.5</v>
      </c>
      <c r="C50" s="94">
        <v>2.5</v>
      </c>
      <c r="D50" s="101"/>
      <c r="E50" s="101"/>
      <c r="F50" s="101"/>
      <c r="G50" s="101"/>
      <c r="H50" s="94">
        <f t="shared" si="6"/>
        <v>5.458</v>
      </c>
      <c r="I50" s="94">
        <f t="shared" si="7"/>
        <v>21.458</v>
      </c>
      <c r="J50" s="107">
        <f t="shared" si="8"/>
        <v>26.916</v>
      </c>
      <c r="K50" s="108"/>
    </row>
    <row r="51" s="77" customFormat="1" ht="15.95" customHeight="1" spans="1:11">
      <c r="A51" s="100" t="s">
        <v>59</v>
      </c>
      <c r="B51" s="101"/>
      <c r="C51" s="101"/>
      <c r="D51" s="101">
        <v>1</v>
      </c>
      <c r="E51" s="101"/>
      <c r="F51" s="101"/>
      <c r="G51" s="101">
        <v>1</v>
      </c>
      <c r="H51" s="94">
        <f t="shared" si="6"/>
        <v>4.458</v>
      </c>
      <c r="I51" s="94">
        <f t="shared" si="7"/>
        <v>21.458</v>
      </c>
      <c r="J51" s="107">
        <f t="shared" si="8"/>
        <v>25.916</v>
      </c>
      <c r="K51" s="108"/>
    </row>
    <row r="52" s="77" customFormat="1" ht="15.95" customHeight="1" spans="1:11">
      <c r="A52" s="100" t="s">
        <v>60</v>
      </c>
      <c r="B52" s="101"/>
      <c r="C52" s="101"/>
      <c r="D52" s="101"/>
      <c r="E52" s="101">
        <v>1</v>
      </c>
      <c r="F52" s="101"/>
      <c r="G52" s="101"/>
      <c r="H52" s="94">
        <f t="shared" si="6"/>
        <v>4.458</v>
      </c>
      <c r="I52" s="94">
        <f t="shared" si="7"/>
        <v>20.458</v>
      </c>
      <c r="J52" s="107">
        <f t="shared" si="8"/>
        <v>24.916</v>
      </c>
      <c r="K52" s="108"/>
    </row>
    <row r="53" s="77" customFormat="1" ht="15.95" customHeight="1" spans="1:11">
      <c r="A53" s="97" t="s">
        <v>61</v>
      </c>
      <c r="B53" s="94">
        <v>2.5</v>
      </c>
      <c r="C53" s="94">
        <v>2.5</v>
      </c>
      <c r="D53" s="101"/>
      <c r="E53" s="101"/>
      <c r="F53" s="101"/>
      <c r="G53" s="101"/>
      <c r="H53" s="94">
        <f t="shared" si="6"/>
        <v>6.958</v>
      </c>
      <c r="I53" s="94">
        <f t="shared" si="7"/>
        <v>22.958</v>
      </c>
      <c r="J53" s="107">
        <f t="shared" si="8"/>
        <v>29.916</v>
      </c>
      <c r="K53" s="108"/>
    </row>
    <row r="54" s="77" customFormat="1" ht="15.95" customHeight="1" spans="1:11">
      <c r="A54" s="100" t="s">
        <v>62</v>
      </c>
      <c r="B54" s="101"/>
      <c r="C54" s="101"/>
      <c r="D54" s="101"/>
      <c r="E54" s="101">
        <v>2</v>
      </c>
      <c r="F54" s="101"/>
      <c r="G54" s="101"/>
      <c r="H54" s="94">
        <f t="shared" si="6"/>
        <v>6.958</v>
      </c>
      <c r="I54" s="94">
        <f t="shared" si="7"/>
        <v>20.958</v>
      </c>
      <c r="J54" s="107">
        <f t="shared" si="8"/>
        <v>27.916</v>
      </c>
      <c r="K54" s="108"/>
    </row>
    <row r="55" s="77" customFormat="1" ht="15.95" customHeight="1" spans="1:11">
      <c r="A55" s="100" t="s">
        <v>63</v>
      </c>
      <c r="B55" s="101"/>
      <c r="C55" s="101"/>
      <c r="D55" s="101"/>
      <c r="E55" s="101">
        <v>1</v>
      </c>
      <c r="F55" s="101"/>
      <c r="G55" s="101"/>
      <c r="H55" s="94">
        <f t="shared" si="6"/>
        <v>6.958</v>
      </c>
      <c r="I55" s="94">
        <f t="shared" si="7"/>
        <v>19.958</v>
      </c>
      <c r="J55" s="107">
        <f t="shared" si="8"/>
        <v>26.916</v>
      </c>
      <c r="K55" s="108"/>
    </row>
    <row r="56" s="77" customFormat="1" ht="15.95" customHeight="1" spans="1:11">
      <c r="A56" s="100" t="s">
        <v>64</v>
      </c>
      <c r="B56" s="94">
        <v>2.5</v>
      </c>
      <c r="C56" s="94">
        <v>2.5</v>
      </c>
      <c r="D56" s="101"/>
      <c r="E56" s="101"/>
      <c r="F56" s="101"/>
      <c r="G56" s="101"/>
      <c r="H56" s="94">
        <f t="shared" si="6"/>
        <v>9.458</v>
      </c>
      <c r="I56" s="94">
        <f t="shared" si="7"/>
        <v>22.458</v>
      </c>
      <c r="J56" s="107">
        <f t="shared" si="8"/>
        <v>31.916</v>
      </c>
      <c r="K56" s="108"/>
    </row>
    <row r="57" s="77" customFormat="1" ht="15.95" customHeight="1" spans="1:11">
      <c r="A57" s="100" t="s">
        <v>65</v>
      </c>
      <c r="B57" s="101"/>
      <c r="C57" s="101"/>
      <c r="D57" s="101">
        <v>4</v>
      </c>
      <c r="E57" s="101">
        <v>16</v>
      </c>
      <c r="F57" s="101"/>
      <c r="G57" s="101"/>
      <c r="H57" s="94">
        <f t="shared" si="6"/>
        <v>5.458</v>
      </c>
      <c r="I57" s="94">
        <f t="shared" si="7"/>
        <v>6.458</v>
      </c>
      <c r="J57" s="107">
        <f t="shared" si="8"/>
        <v>11.916</v>
      </c>
      <c r="K57" s="108"/>
    </row>
    <row r="58" s="77" customFormat="1" ht="15.95" customHeight="1" spans="1:11">
      <c r="A58" s="100" t="s">
        <v>66</v>
      </c>
      <c r="B58" s="101"/>
      <c r="C58" s="101"/>
      <c r="D58" s="101"/>
      <c r="E58" s="101">
        <v>1</v>
      </c>
      <c r="F58" s="101"/>
      <c r="G58" s="101"/>
      <c r="H58" s="94">
        <f t="shared" si="6"/>
        <v>5.458</v>
      </c>
      <c r="I58" s="94">
        <f t="shared" si="7"/>
        <v>5.458</v>
      </c>
      <c r="J58" s="107">
        <f t="shared" si="8"/>
        <v>10.916</v>
      </c>
      <c r="K58" s="108"/>
    </row>
    <row r="59" s="77" customFormat="1" ht="15.95" customHeight="1" spans="1:11">
      <c r="A59" s="100" t="s">
        <v>67</v>
      </c>
      <c r="B59" s="101">
        <f>4*1.25</f>
        <v>5</v>
      </c>
      <c r="C59" s="101">
        <v>5</v>
      </c>
      <c r="D59" s="101"/>
      <c r="E59" s="101"/>
      <c r="F59" s="101"/>
      <c r="G59" s="101"/>
      <c r="H59" s="94">
        <f t="shared" si="6"/>
        <v>10.458</v>
      </c>
      <c r="I59" s="94">
        <f t="shared" si="7"/>
        <v>10.458</v>
      </c>
      <c r="J59" s="107">
        <f t="shared" si="8"/>
        <v>20.916</v>
      </c>
      <c r="K59" s="108"/>
    </row>
    <row r="60" s="77" customFormat="1" ht="15.95" customHeight="1" spans="1:11">
      <c r="A60" s="100" t="s">
        <v>68</v>
      </c>
      <c r="B60" s="101"/>
      <c r="C60" s="101"/>
      <c r="D60" s="101"/>
      <c r="E60" s="101"/>
      <c r="F60" s="101"/>
      <c r="G60" s="101">
        <v>2</v>
      </c>
      <c r="H60" s="94">
        <f t="shared" si="6"/>
        <v>10.458</v>
      </c>
      <c r="I60" s="94">
        <f t="shared" si="7"/>
        <v>10.458</v>
      </c>
      <c r="J60" s="107">
        <f t="shared" si="8"/>
        <v>20.916</v>
      </c>
      <c r="K60" s="108"/>
    </row>
    <row r="61" s="77" customFormat="1" ht="15.95" customHeight="1" spans="1:11">
      <c r="A61" s="100" t="s">
        <v>69</v>
      </c>
      <c r="B61" s="101"/>
      <c r="C61" s="101"/>
      <c r="D61" s="101"/>
      <c r="E61" s="101">
        <v>1</v>
      </c>
      <c r="F61" s="101"/>
      <c r="G61" s="101"/>
      <c r="H61" s="94">
        <f t="shared" si="6"/>
        <v>10.458</v>
      </c>
      <c r="I61" s="94">
        <f t="shared" si="7"/>
        <v>9.458</v>
      </c>
      <c r="J61" s="107">
        <f t="shared" si="8"/>
        <v>19.916</v>
      </c>
      <c r="K61" s="108"/>
    </row>
    <row r="62" s="77" customFormat="1" ht="15.95" customHeight="1" spans="1:11">
      <c r="A62" s="100" t="s">
        <v>70</v>
      </c>
      <c r="B62" s="101">
        <v>1.25</v>
      </c>
      <c r="C62" s="101">
        <v>1.25</v>
      </c>
      <c r="D62" s="101"/>
      <c r="E62" s="101"/>
      <c r="F62" s="101"/>
      <c r="G62" s="101"/>
      <c r="H62" s="94">
        <f t="shared" si="6"/>
        <v>11.708</v>
      </c>
      <c r="I62" s="94">
        <f t="shared" si="7"/>
        <v>10.708</v>
      </c>
      <c r="J62" s="107">
        <f t="shared" si="8"/>
        <v>22.416</v>
      </c>
      <c r="K62" s="108"/>
    </row>
    <row r="63" s="77" customFormat="1" ht="15.95" customHeight="1" spans="1:11">
      <c r="A63" s="100" t="s">
        <v>71</v>
      </c>
      <c r="B63" s="101">
        <v>1.25</v>
      </c>
      <c r="C63" s="101">
        <v>1.25</v>
      </c>
      <c r="D63" s="101"/>
      <c r="E63" s="101"/>
      <c r="F63" s="101"/>
      <c r="G63" s="101"/>
      <c r="H63" s="94">
        <f t="shared" si="6"/>
        <v>12.958</v>
      </c>
      <c r="I63" s="94">
        <f t="shared" si="7"/>
        <v>11.958</v>
      </c>
      <c r="J63" s="107">
        <f t="shared" si="8"/>
        <v>24.916</v>
      </c>
      <c r="K63" s="108"/>
    </row>
    <row r="64" s="77" customFormat="1" ht="15.95" customHeight="1" spans="1:11">
      <c r="A64" s="100" t="s">
        <v>72</v>
      </c>
      <c r="B64" s="101"/>
      <c r="C64" s="101"/>
      <c r="D64" s="101"/>
      <c r="E64" s="101"/>
      <c r="F64" s="101">
        <v>3</v>
      </c>
      <c r="G64" s="101"/>
      <c r="H64" s="94">
        <f t="shared" si="6"/>
        <v>9.958</v>
      </c>
      <c r="I64" s="94">
        <f t="shared" si="7"/>
        <v>11.958</v>
      </c>
      <c r="J64" s="107">
        <f t="shared" si="8"/>
        <v>21.916</v>
      </c>
      <c r="K64" s="108"/>
    </row>
    <row r="65" s="77" customFormat="1" ht="15.95" customHeight="1" spans="1:11">
      <c r="A65" s="100" t="s">
        <v>73</v>
      </c>
      <c r="B65" s="101">
        <v>6.25</v>
      </c>
      <c r="C65" s="101">
        <v>6.25</v>
      </c>
      <c r="D65" s="101"/>
      <c r="E65" s="101"/>
      <c r="F65" s="101"/>
      <c r="G65" s="101"/>
      <c r="H65" s="94">
        <f t="shared" si="6"/>
        <v>16.208</v>
      </c>
      <c r="I65" s="94">
        <f t="shared" si="7"/>
        <v>18.208</v>
      </c>
      <c r="J65" s="107">
        <f t="shared" si="8"/>
        <v>34.416</v>
      </c>
      <c r="K65" s="108"/>
    </row>
    <row r="66" s="77" customFormat="1" ht="15.95" customHeight="1" spans="1:11">
      <c r="A66" s="100" t="s">
        <v>74</v>
      </c>
      <c r="B66" s="101"/>
      <c r="C66" s="101"/>
      <c r="D66" s="101">
        <v>11.208</v>
      </c>
      <c r="E66" s="101">
        <v>8.792</v>
      </c>
      <c r="F66" s="101"/>
      <c r="G66" s="101"/>
      <c r="H66" s="101">
        <f t="shared" si="6"/>
        <v>5</v>
      </c>
      <c r="I66" s="101">
        <f t="shared" si="7"/>
        <v>9.416</v>
      </c>
      <c r="J66" s="116">
        <f t="shared" si="8"/>
        <v>14.416</v>
      </c>
      <c r="K66" s="108"/>
    </row>
    <row r="67" s="77" customFormat="1" ht="15.95" customHeight="1" spans="1:11">
      <c r="A67" s="100" t="s">
        <v>75</v>
      </c>
      <c r="B67" s="101">
        <v>5</v>
      </c>
      <c r="C67" s="101">
        <v>5</v>
      </c>
      <c r="D67" s="101"/>
      <c r="E67" s="101"/>
      <c r="F67" s="101"/>
      <c r="G67" s="101"/>
      <c r="H67" s="101">
        <f t="shared" ref="H67" si="9">H66-F67-D67+B67</f>
        <v>10</v>
      </c>
      <c r="I67" s="101">
        <f t="shared" ref="I67" si="10">I66-E67+C67</f>
        <v>14.416</v>
      </c>
      <c r="J67" s="116">
        <f t="shared" ref="J67" si="11">SUM(H67:I67)</f>
        <v>24.416</v>
      </c>
      <c r="K67" s="108"/>
    </row>
    <row r="68" s="77" customFormat="1" ht="15.95" customHeight="1" spans="1:11">
      <c r="A68" s="100" t="s">
        <v>76</v>
      </c>
      <c r="B68" s="101"/>
      <c r="C68" s="101"/>
      <c r="D68" s="101"/>
      <c r="E68" s="101"/>
      <c r="F68" s="101">
        <v>1</v>
      </c>
      <c r="G68" s="101"/>
      <c r="H68" s="101">
        <f t="shared" ref="H68" si="12">H67-F68-D68+B68</f>
        <v>9</v>
      </c>
      <c r="I68" s="101">
        <f t="shared" ref="I68" si="13">I67-E68+C68</f>
        <v>14.416</v>
      </c>
      <c r="J68" s="116">
        <f t="shared" ref="J68" si="14">SUM(H68:I68)</f>
        <v>23.416</v>
      </c>
      <c r="K68" s="108"/>
    </row>
    <row r="69" s="77" customFormat="1" ht="15.95" customHeight="1" spans="1:11">
      <c r="A69" s="100" t="s">
        <v>77</v>
      </c>
      <c r="B69" s="101">
        <v>1.25</v>
      </c>
      <c r="C69" s="101">
        <v>1.25</v>
      </c>
      <c r="D69" s="101"/>
      <c r="E69" s="101"/>
      <c r="F69" s="101"/>
      <c r="G69" s="101"/>
      <c r="H69" s="101">
        <f t="shared" ref="H69:H71" si="15">H68-F69-D69+B69</f>
        <v>10.25</v>
      </c>
      <c r="I69" s="101">
        <f t="shared" ref="I69:I71" si="16">I68-E69+C69</f>
        <v>15.666</v>
      </c>
      <c r="J69" s="116">
        <f t="shared" ref="J69:J71" si="17">SUM(H69:I69)</f>
        <v>25.916</v>
      </c>
      <c r="K69" s="108"/>
    </row>
    <row r="70" s="77" customFormat="1" ht="15.95" customHeight="1" spans="1:11">
      <c r="A70" s="100" t="s">
        <v>78</v>
      </c>
      <c r="B70" s="101"/>
      <c r="C70" s="101"/>
      <c r="D70" s="101"/>
      <c r="E70" s="101"/>
      <c r="F70" s="101">
        <v>1</v>
      </c>
      <c r="G70" s="101"/>
      <c r="H70" s="101">
        <f t="shared" si="15"/>
        <v>9.25</v>
      </c>
      <c r="I70" s="101">
        <f t="shared" si="16"/>
        <v>15.666</v>
      </c>
      <c r="J70" s="116">
        <f t="shared" si="17"/>
        <v>24.916</v>
      </c>
      <c r="K70" s="108"/>
    </row>
    <row r="71" s="77" customFormat="1" ht="15.95" customHeight="1" spans="1:11">
      <c r="A71" s="100" t="s">
        <v>79</v>
      </c>
      <c r="B71" s="101"/>
      <c r="C71" s="101"/>
      <c r="D71" s="101"/>
      <c r="E71" s="101">
        <v>2</v>
      </c>
      <c r="F71" s="101"/>
      <c r="G71" s="101"/>
      <c r="H71" s="101">
        <f t="shared" si="15"/>
        <v>9.25</v>
      </c>
      <c r="I71" s="101">
        <f t="shared" si="16"/>
        <v>13.666</v>
      </c>
      <c r="J71" s="116">
        <f t="shared" si="17"/>
        <v>22.916</v>
      </c>
      <c r="K71" s="108"/>
    </row>
    <row r="72" s="77" customFormat="1" ht="15.95" customHeight="1" spans="1:11">
      <c r="A72" s="100" t="s">
        <v>80</v>
      </c>
      <c r="B72" s="101">
        <v>1.25</v>
      </c>
      <c r="C72" s="101">
        <v>1.25</v>
      </c>
      <c r="D72" s="101"/>
      <c r="E72" s="101"/>
      <c r="F72" s="101"/>
      <c r="G72" s="101"/>
      <c r="H72" s="101">
        <f t="shared" ref="H72:H73" si="18">H71-F72-D72+B72</f>
        <v>10.5</v>
      </c>
      <c r="I72" s="101">
        <f t="shared" ref="I72:I73" si="19">I71-E72+C72</f>
        <v>14.916</v>
      </c>
      <c r="J72" s="116">
        <f t="shared" ref="J72:J73" si="20">SUM(H72:I72)</f>
        <v>25.416</v>
      </c>
      <c r="K72" s="108"/>
    </row>
    <row r="73" s="77" customFormat="1" ht="15.95" customHeight="1" spans="1:11">
      <c r="A73" s="100" t="s">
        <v>81</v>
      </c>
      <c r="B73" s="101"/>
      <c r="C73" s="101"/>
      <c r="D73" s="101"/>
      <c r="E73" s="101">
        <v>1</v>
      </c>
      <c r="F73" s="101"/>
      <c r="G73" s="101"/>
      <c r="H73" s="101">
        <f t="shared" si="18"/>
        <v>10.5</v>
      </c>
      <c r="I73" s="101">
        <f t="shared" si="19"/>
        <v>13.916</v>
      </c>
      <c r="J73" s="116">
        <f t="shared" si="20"/>
        <v>24.416</v>
      </c>
      <c r="K73" s="108"/>
    </row>
    <row r="74" s="77" customFormat="1" ht="15.95" customHeight="1" spans="1:11">
      <c r="A74" s="100" t="s">
        <v>82</v>
      </c>
      <c r="B74" s="101">
        <v>2.5</v>
      </c>
      <c r="C74" s="101">
        <v>2.5</v>
      </c>
      <c r="D74" s="101"/>
      <c r="E74" s="101"/>
      <c r="F74" s="101"/>
      <c r="G74" s="101"/>
      <c r="H74" s="101">
        <f t="shared" ref="H74:H75" si="21">H73-F74-D74+B74</f>
        <v>13</v>
      </c>
      <c r="I74" s="101">
        <f t="shared" ref="I74:I75" si="22">I73-E74+C74</f>
        <v>16.416</v>
      </c>
      <c r="J74" s="116">
        <f t="shared" ref="J74:J75" si="23">SUM(H74:I74)</f>
        <v>29.416</v>
      </c>
      <c r="K74" s="108"/>
    </row>
    <row r="75" s="77" customFormat="1" ht="15.95" customHeight="1" spans="1:11">
      <c r="A75" s="100" t="s">
        <v>83</v>
      </c>
      <c r="B75" s="101"/>
      <c r="C75" s="101"/>
      <c r="D75" s="101"/>
      <c r="E75" s="101">
        <v>1</v>
      </c>
      <c r="F75" s="101"/>
      <c r="G75" s="101"/>
      <c r="H75" s="101">
        <f t="shared" si="21"/>
        <v>13</v>
      </c>
      <c r="I75" s="101">
        <f t="shared" si="22"/>
        <v>15.416</v>
      </c>
      <c r="J75" s="116">
        <f t="shared" si="23"/>
        <v>28.416</v>
      </c>
      <c r="K75" s="108"/>
    </row>
    <row r="76" s="77" customFormat="1" ht="15.95" customHeight="1" spans="1:11">
      <c r="A76" s="100" t="s">
        <v>84</v>
      </c>
      <c r="B76" s="101">
        <v>1.25</v>
      </c>
      <c r="C76" s="101">
        <v>1.25</v>
      </c>
      <c r="D76" s="101"/>
      <c r="E76" s="101"/>
      <c r="F76" s="101"/>
      <c r="G76" s="101"/>
      <c r="H76" s="101">
        <f t="shared" ref="H76:H78" si="24">H75-F76-D76+B76</f>
        <v>14.25</v>
      </c>
      <c r="I76" s="101">
        <f t="shared" ref="I76:I78" si="25">I75-E76+C76</f>
        <v>16.666</v>
      </c>
      <c r="J76" s="116">
        <f t="shared" ref="J76:J78" si="26">SUM(H76:I76)</f>
        <v>30.916</v>
      </c>
      <c r="K76" s="108"/>
    </row>
    <row r="77" s="77" customFormat="1" ht="15.95" customHeight="1" spans="1:11">
      <c r="A77" s="100" t="s">
        <v>85</v>
      </c>
      <c r="B77" s="101"/>
      <c r="C77" s="101"/>
      <c r="D77" s="101"/>
      <c r="E77" s="101">
        <v>1</v>
      </c>
      <c r="F77" s="101"/>
      <c r="G77" s="101"/>
      <c r="H77" s="101">
        <f t="shared" si="24"/>
        <v>14.25</v>
      </c>
      <c r="I77" s="101">
        <f t="shared" si="25"/>
        <v>15.666</v>
      </c>
      <c r="J77" s="116">
        <f t="shared" si="26"/>
        <v>29.916</v>
      </c>
      <c r="K77" s="108"/>
    </row>
    <row r="78" s="77" customFormat="1" ht="15.95" customHeight="1" spans="1:11">
      <c r="A78" s="100" t="s">
        <v>86</v>
      </c>
      <c r="B78" s="101"/>
      <c r="C78" s="101"/>
      <c r="D78" s="101"/>
      <c r="E78" s="101"/>
      <c r="F78" s="101"/>
      <c r="G78" s="109">
        <v>1</v>
      </c>
      <c r="H78" s="101">
        <f t="shared" si="24"/>
        <v>14.25</v>
      </c>
      <c r="I78" s="101">
        <f t="shared" si="25"/>
        <v>15.666</v>
      </c>
      <c r="J78" s="116">
        <f t="shared" si="26"/>
        <v>29.916</v>
      </c>
      <c r="K78" s="108"/>
    </row>
    <row r="79" s="77" customFormat="1" ht="15.95" customHeight="1" spans="1:11">
      <c r="A79" s="100" t="s">
        <v>87</v>
      </c>
      <c r="B79" s="101">
        <v>2.5</v>
      </c>
      <c r="C79" s="101">
        <v>2.5</v>
      </c>
      <c r="D79" s="101"/>
      <c r="E79" s="101"/>
      <c r="F79" s="101"/>
      <c r="G79" s="101"/>
      <c r="H79" s="101">
        <f t="shared" ref="H79" si="27">H78-F79-D79+B79</f>
        <v>16.75</v>
      </c>
      <c r="I79" s="101">
        <f t="shared" ref="I79" si="28">I78-E79+C79</f>
        <v>18.166</v>
      </c>
      <c r="J79" s="116">
        <f t="shared" ref="J79" si="29">SUM(H79:I79)</f>
        <v>34.916</v>
      </c>
      <c r="K79" s="108"/>
    </row>
    <row r="80" s="77" customFormat="1" ht="15.95" customHeight="1" spans="1:11">
      <c r="A80" s="100" t="s">
        <v>88</v>
      </c>
      <c r="B80" s="101"/>
      <c r="C80" s="101"/>
      <c r="D80" s="101"/>
      <c r="E80" s="101">
        <v>1</v>
      </c>
      <c r="F80" s="101"/>
      <c r="G80" s="101"/>
      <c r="H80" s="101">
        <f t="shared" ref="H80" si="30">H79-F80-D80+B80</f>
        <v>16.75</v>
      </c>
      <c r="I80" s="101">
        <f t="shared" ref="I80" si="31">I79-E80+C80</f>
        <v>17.166</v>
      </c>
      <c r="J80" s="116">
        <f t="shared" ref="J80" si="32">SUM(H80:I80)</f>
        <v>33.916</v>
      </c>
      <c r="K80" s="108"/>
    </row>
    <row r="81" s="77" customFormat="1" ht="15.95" customHeight="1" spans="1:11">
      <c r="A81" s="100" t="s">
        <v>89</v>
      </c>
      <c r="B81" s="101"/>
      <c r="C81" s="101"/>
      <c r="D81" s="101"/>
      <c r="E81" s="101"/>
      <c r="F81" s="110">
        <v>2</v>
      </c>
      <c r="G81" s="101"/>
      <c r="H81" s="101">
        <f t="shared" ref="H81" si="33">H80-F81-D81+B81</f>
        <v>14.75</v>
      </c>
      <c r="I81" s="101">
        <f t="shared" ref="I81" si="34">I80-E81+C81</f>
        <v>17.166</v>
      </c>
      <c r="J81" s="116">
        <f t="shared" ref="J81" si="35">SUM(H81:I81)</f>
        <v>31.916</v>
      </c>
      <c r="K81" s="108"/>
    </row>
    <row r="82" s="77" customFormat="1" ht="15.95" customHeight="1" spans="1:11">
      <c r="A82" s="100" t="s">
        <v>90</v>
      </c>
      <c r="B82" s="101">
        <v>1.25</v>
      </c>
      <c r="C82" s="101">
        <v>1.25</v>
      </c>
      <c r="D82" s="101"/>
      <c r="E82" s="101"/>
      <c r="F82" s="101"/>
      <c r="G82" s="101"/>
      <c r="H82" s="101">
        <f t="shared" ref="H82:H83" si="36">H81-F82-D82+B82</f>
        <v>16</v>
      </c>
      <c r="I82" s="101">
        <f t="shared" ref="I82:I83" si="37">I81-E82+C82</f>
        <v>18.416</v>
      </c>
      <c r="J82" s="116">
        <f t="shared" ref="J82:J83" si="38">SUM(H82:I82)</f>
        <v>34.416</v>
      </c>
      <c r="K82" s="108"/>
    </row>
    <row r="83" s="77" customFormat="1" ht="15.95" customHeight="1" spans="1:11">
      <c r="A83" s="100" t="s">
        <v>91</v>
      </c>
      <c r="B83" s="101"/>
      <c r="C83" s="101"/>
      <c r="D83" s="101"/>
      <c r="E83" s="101"/>
      <c r="F83" s="110">
        <v>1</v>
      </c>
      <c r="G83" s="101"/>
      <c r="H83" s="101">
        <f t="shared" si="36"/>
        <v>15</v>
      </c>
      <c r="I83" s="101">
        <f t="shared" si="37"/>
        <v>18.416</v>
      </c>
      <c r="J83" s="116">
        <f t="shared" si="38"/>
        <v>33.416</v>
      </c>
      <c r="K83" s="108"/>
    </row>
    <row r="84" s="77" customFormat="1" ht="15.95" customHeight="1" spans="1:11">
      <c r="A84" s="100" t="s">
        <v>92</v>
      </c>
      <c r="B84" s="101"/>
      <c r="C84" s="101"/>
      <c r="D84" s="101"/>
      <c r="E84" s="101">
        <v>3</v>
      </c>
      <c r="F84" s="101"/>
      <c r="G84" s="101"/>
      <c r="H84" s="101">
        <f t="shared" ref="H84" si="39">H83-F84-D84+B84</f>
        <v>15</v>
      </c>
      <c r="I84" s="101">
        <f t="shared" ref="I84" si="40">I83-E84+C84</f>
        <v>15.416</v>
      </c>
      <c r="J84" s="116">
        <f t="shared" ref="J84" si="41">SUM(H84:I84)</f>
        <v>30.416</v>
      </c>
      <c r="K84" s="108"/>
    </row>
    <row r="85" s="77" customFormat="1" ht="15.95" customHeight="1" spans="1:11">
      <c r="A85" s="100" t="s">
        <v>93</v>
      </c>
      <c r="B85" s="101">
        <v>1.25</v>
      </c>
      <c r="C85" s="101">
        <v>1.25</v>
      </c>
      <c r="D85" s="101"/>
      <c r="E85" s="101"/>
      <c r="F85" s="101"/>
      <c r="G85" s="101"/>
      <c r="H85" s="101">
        <f t="shared" ref="H85:H86" si="42">H84-F85-D85+B85</f>
        <v>16.25</v>
      </c>
      <c r="I85" s="101">
        <f t="shared" ref="I85:I86" si="43">I84-E85+C85</f>
        <v>16.666</v>
      </c>
      <c r="J85" s="116">
        <f t="shared" ref="J85:J86" si="44">SUM(H85:I85)</f>
        <v>32.916</v>
      </c>
      <c r="K85" s="108"/>
    </row>
    <row r="86" s="77" customFormat="1" ht="15.95" customHeight="1" spans="1:11">
      <c r="A86" s="100" t="s">
        <v>94</v>
      </c>
      <c r="B86" s="101"/>
      <c r="C86" s="101"/>
      <c r="D86" s="101">
        <v>10</v>
      </c>
      <c r="E86" s="101"/>
      <c r="F86" s="101"/>
      <c r="G86" s="101"/>
      <c r="H86" s="101">
        <f t="shared" si="42"/>
        <v>6.25</v>
      </c>
      <c r="I86" s="101">
        <f t="shared" si="43"/>
        <v>16.666</v>
      </c>
      <c r="J86" s="116">
        <f t="shared" si="44"/>
        <v>22.916</v>
      </c>
      <c r="K86" s="108"/>
    </row>
    <row r="87" s="77" customFormat="1" ht="15.95" customHeight="1" spans="1:11">
      <c r="A87" s="100" t="s">
        <v>95</v>
      </c>
      <c r="B87" s="101">
        <v>1.25</v>
      </c>
      <c r="C87" s="101">
        <v>1.25</v>
      </c>
      <c r="D87" s="101"/>
      <c r="E87" s="101"/>
      <c r="F87" s="101"/>
      <c r="G87" s="101"/>
      <c r="H87" s="101">
        <f t="shared" ref="H87:H88" si="45">H86-F87-D87+B87</f>
        <v>7.5</v>
      </c>
      <c r="I87" s="101">
        <f t="shared" ref="I87:I88" si="46">I86-E87+C87</f>
        <v>17.916</v>
      </c>
      <c r="J87" s="116">
        <f t="shared" ref="J87:J88" si="47">SUM(H87:I87)</f>
        <v>25.416</v>
      </c>
      <c r="K87" s="108"/>
    </row>
    <row r="88" s="77" customFormat="1" ht="15.95" customHeight="1" spans="1:11">
      <c r="A88" s="100" t="s">
        <v>96</v>
      </c>
      <c r="B88" s="101"/>
      <c r="C88" s="101"/>
      <c r="D88" s="101"/>
      <c r="E88" s="101"/>
      <c r="F88" s="110">
        <v>1</v>
      </c>
      <c r="G88" s="101"/>
      <c r="H88" s="101">
        <f t="shared" si="45"/>
        <v>6.5</v>
      </c>
      <c r="I88" s="101">
        <f t="shared" si="46"/>
        <v>17.916</v>
      </c>
      <c r="J88" s="116">
        <f t="shared" si="47"/>
        <v>24.416</v>
      </c>
      <c r="K88" s="117" t="s">
        <v>97</v>
      </c>
    </row>
    <row r="89" s="77" customFormat="1" ht="15.95" customHeight="1" spans="1:11">
      <c r="A89" s="100" t="s">
        <v>98</v>
      </c>
      <c r="B89" s="101"/>
      <c r="C89" s="101"/>
      <c r="D89" s="101"/>
      <c r="E89" s="101">
        <v>1</v>
      </c>
      <c r="F89" s="101"/>
      <c r="G89" s="101"/>
      <c r="H89" s="101">
        <f t="shared" ref="H89" si="48">H88-F89-D89+B89</f>
        <v>6.5</v>
      </c>
      <c r="I89" s="101">
        <f t="shared" ref="I89" si="49">I88-E89+C89</f>
        <v>16.916</v>
      </c>
      <c r="J89" s="116">
        <f t="shared" ref="J89" si="50">SUM(H89:I89)</f>
        <v>23.416</v>
      </c>
      <c r="K89" s="108"/>
    </row>
    <row r="90" s="77" customFormat="1" ht="15.95" customHeight="1" spans="1:11">
      <c r="A90" s="111" t="s">
        <v>99</v>
      </c>
      <c r="B90" s="112">
        <v>2.5</v>
      </c>
      <c r="C90" s="112">
        <v>2.5</v>
      </c>
      <c r="D90" s="112"/>
      <c r="E90" s="112"/>
      <c r="F90" s="112"/>
      <c r="G90" s="112"/>
      <c r="H90" s="101">
        <f>H89-F90-D90+B90</f>
        <v>9</v>
      </c>
      <c r="I90" s="101">
        <f>I89-E90+C90</f>
        <v>19.416</v>
      </c>
      <c r="J90" s="116">
        <f>SUM(H90:I90)</f>
        <v>28.416</v>
      </c>
      <c r="K90" s="108"/>
    </row>
    <row r="91" s="77" customFormat="1" ht="15.95" customHeight="1" spans="1:11">
      <c r="A91" s="111" t="s">
        <v>100</v>
      </c>
      <c r="B91" s="112"/>
      <c r="C91" s="112"/>
      <c r="D91" s="112"/>
      <c r="E91" s="112"/>
      <c r="F91" s="112"/>
      <c r="G91" s="109">
        <v>2</v>
      </c>
      <c r="H91" s="101">
        <f>H90-F91-D91+B91</f>
        <v>9</v>
      </c>
      <c r="I91" s="101">
        <f>I90-E91+C91</f>
        <v>19.416</v>
      </c>
      <c r="J91" s="116">
        <f>SUM(H91:I91)</f>
        <v>28.416</v>
      </c>
      <c r="K91" s="117" t="s">
        <v>101</v>
      </c>
    </row>
    <row r="92" s="77" customFormat="1" ht="15.95" customHeight="1" spans="2:11">
      <c r="B92" s="113"/>
      <c r="C92" s="113"/>
      <c r="D92" s="113"/>
      <c r="E92" s="113"/>
      <c r="F92" s="113"/>
      <c r="G92" s="113"/>
      <c r="H92" s="113"/>
      <c r="I92" s="113"/>
      <c r="J92" s="113"/>
      <c r="K92" s="108"/>
    </row>
    <row r="93" s="77" customFormat="1" ht="15.95" customHeight="1" spans="2:11">
      <c r="B93" s="113"/>
      <c r="C93" s="113"/>
      <c r="D93" s="113"/>
      <c r="E93" s="113"/>
      <c r="F93" s="113"/>
      <c r="G93" s="113"/>
      <c r="H93" s="113"/>
      <c r="I93" s="113"/>
      <c r="J93" s="113"/>
      <c r="K93" s="108"/>
    </row>
    <row r="94" s="77" customFormat="1" ht="15.95" customHeight="1" spans="2:11">
      <c r="B94" s="113"/>
      <c r="C94" s="113"/>
      <c r="D94" s="113"/>
      <c r="E94" s="113"/>
      <c r="F94" s="113"/>
      <c r="G94" s="113"/>
      <c r="H94" s="114"/>
      <c r="I94" s="114"/>
      <c r="J94" s="114"/>
      <c r="K94" s="108"/>
    </row>
    <row r="95" s="78" customFormat="1" ht="15" customHeight="1" spans="7:7">
      <c r="G95" s="78" t="s">
        <v>102</v>
      </c>
    </row>
    <row r="96" s="78" customFormat="1" ht="15" customHeight="1" spans="3:3">
      <c r="C96" s="78" t="s">
        <v>103</v>
      </c>
    </row>
    <row r="97" s="78" customFormat="1" ht="15" customHeight="1" spans="8:8">
      <c r="H97" s="115" t="s">
        <v>104</v>
      </c>
    </row>
    <row r="98" s="78" customFormat="1" ht="15" customHeight="1" spans="8:8">
      <c r="H98" s="80" t="s">
        <v>105</v>
      </c>
    </row>
    <row r="99" ht="15" customHeight="1" spans="2:11">
      <c r="B99" s="76"/>
      <c r="C99" s="76"/>
      <c r="D99" s="76"/>
      <c r="E99" s="76"/>
      <c r="F99" s="76"/>
      <c r="H99" s="80" t="s">
        <v>106</v>
      </c>
      <c r="I99" s="76"/>
      <c r="J99" s="76"/>
      <c r="K99" s="76"/>
    </row>
    <row r="100" s="77" customFormat="1" ht="15.95" customHeight="1" spans="2:11">
      <c r="B100" s="113"/>
      <c r="C100" s="113"/>
      <c r="D100" s="113"/>
      <c r="E100" s="113"/>
      <c r="F100" s="113"/>
      <c r="G100" s="113"/>
      <c r="H100" s="113"/>
      <c r="I100" s="113"/>
      <c r="J100" s="113"/>
      <c r="K100" s="108"/>
    </row>
    <row r="101" s="77" customFormat="1" ht="15.95" customHeight="1" spans="2:11">
      <c r="B101" s="113"/>
      <c r="C101" s="113"/>
      <c r="D101" s="113"/>
      <c r="E101" s="113"/>
      <c r="F101" s="113"/>
      <c r="G101" s="113"/>
      <c r="H101" s="113"/>
      <c r="I101" s="113"/>
      <c r="J101" s="113"/>
      <c r="K101" s="108"/>
    </row>
    <row r="102" s="77" customFormat="1" ht="15.95" customHeight="1" spans="2:11">
      <c r="B102" s="113"/>
      <c r="C102" s="113"/>
      <c r="D102" s="113"/>
      <c r="E102" s="113"/>
      <c r="F102" s="113"/>
      <c r="G102" s="113"/>
      <c r="H102" s="113"/>
      <c r="I102" s="113"/>
      <c r="J102" s="113"/>
      <c r="K102" s="108"/>
    </row>
    <row r="103" s="77" customFormat="1" ht="15.95" customHeight="1" spans="2:11">
      <c r="B103" s="113"/>
      <c r="C103" s="113"/>
      <c r="D103" s="113"/>
      <c r="E103" s="113"/>
      <c r="F103" s="113"/>
      <c r="G103" s="113"/>
      <c r="H103" s="113"/>
      <c r="I103" s="113"/>
      <c r="J103" s="113"/>
      <c r="K103" s="108"/>
    </row>
    <row r="104" s="77" customFormat="1" ht="15.95" customHeight="1" spans="2:11">
      <c r="B104" s="113"/>
      <c r="C104" s="113"/>
      <c r="D104" s="113"/>
      <c r="E104" s="113"/>
      <c r="F104" s="113"/>
      <c r="G104" s="113"/>
      <c r="H104" s="113"/>
      <c r="I104" s="113"/>
      <c r="J104" s="113"/>
      <c r="K104" s="108"/>
    </row>
    <row r="105" s="77" customFormat="1" ht="15.95" customHeight="1" spans="2:11">
      <c r="B105" s="113"/>
      <c r="C105" s="113"/>
      <c r="D105" s="113"/>
      <c r="E105" s="113"/>
      <c r="F105" s="113"/>
      <c r="G105" s="113"/>
      <c r="H105" s="113"/>
      <c r="I105" s="113"/>
      <c r="J105" s="113"/>
      <c r="K105" s="108"/>
    </row>
    <row r="106" s="77" customFormat="1" ht="15.95" customHeight="1" spans="2:11">
      <c r="B106" s="113"/>
      <c r="C106" s="113"/>
      <c r="D106" s="113"/>
      <c r="E106" s="113"/>
      <c r="F106" s="113"/>
      <c r="G106" s="113"/>
      <c r="H106" s="113"/>
      <c r="I106" s="113"/>
      <c r="J106" s="113"/>
      <c r="K106" s="108"/>
    </row>
    <row r="107" s="77" customFormat="1" ht="15.95" customHeight="1" spans="2:11">
      <c r="B107" s="113"/>
      <c r="C107" s="113"/>
      <c r="D107" s="113"/>
      <c r="E107" s="113"/>
      <c r="F107" s="113"/>
      <c r="G107" s="113"/>
      <c r="H107" s="113"/>
      <c r="I107" s="113"/>
      <c r="J107" s="113"/>
      <c r="K107" s="108"/>
    </row>
    <row r="108" s="77" customFormat="1" ht="15.95" customHeight="1" spans="2:11">
      <c r="B108" s="113"/>
      <c r="C108" s="113"/>
      <c r="D108" s="113"/>
      <c r="E108" s="113"/>
      <c r="F108" s="113"/>
      <c r="G108" s="113"/>
      <c r="H108" s="113"/>
      <c r="I108" s="113"/>
      <c r="J108" s="113"/>
      <c r="K108" s="108"/>
    </row>
    <row r="109" s="77" customFormat="1" ht="15.95" customHeight="1" spans="2:11">
      <c r="B109" s="113"/>
      <c r="C109" s="113"/>
      <c r="D109" s="113"/>
      <c r="E109" s="113"/>
      <c r="F109" s="113"/>
      <c r="G109" s="113"/>
      <c r="H109" s="113"/>
      <c r="I109" s="113"/>
      <c r="J109" s="113"/>
      <c r="K109" s="108"/>
    </row>
    <row r="110" s="77" customFormat="1" ht="15.95" customHeight="1" spans="2:11">
      <c r="B110" s="113"/>
      <c r="C110" s="113"/>
      <c r="D110" s="113"/>
      <c r="E110" s="113"/>
      <c r="F110" s="113"/>
      <c r="G110" s="113"/>
      <c r="H110" s="113"/>
      <c r="I110" s="113"/>
      <c r="J110" s="113"/>
      <c r="K110" s="108"/>
    </row>
    <row r="111" s="77" customFormat="1" ht="15.95" customHeight="1" spans="2:11">
      <c r="B111" s="113"/>
      <c r="C111" s="113"/>
      <c r="D111" s="113"/>
      <c r="E111" s="113"/>
      <c r="F111" s="113"/>
      <c r="G111" s="113"/>
      <c r="H111" s="113"/>
      <c r="I111" s="113"/>
      <c r="J111" s="113"/>
      <c r="K111" s="108"/>
    </row>
    <row r="112" s="77" customFormat="1" ht="15.95" customHeight="1" spans="2:11">
      <c r="B112" s="113"/>
      <c r="C112" s="113"/>
      <c r="D112" s="113"/>
      <c r="E112" s="113"/>
      <c r="F112" s="113"/>
      <c r="G112" s="113"/>
      <c r="H112" s="113"/>
      <c r="I112" s="113"/>
      <c r="J112" s="113"/>
      <c r="K112" s="108"/>
    </row>
    <row r="113" s="77" customFormat="1" ht="15.95" customHeight="1" spans="2:11">
      <c r="B113" s="113"/>
      <c r="C113" s="113"/>
      <c r="D113" s="113"/>
      <c r="E113" s="113"/>
      <c r="F113" s="113"/>
      <c r="G113" s="113"/>
      <c r="H113" s="113"/>
      <c r="I113" s="113"/>
      <c r="J113" s="113"/>
      <c r="K113" s="108"/>
    </row>
    <row r="114" s="77" customFormat="1" ht="15.95" customHeight="1" spans="2:11">
      <c r="B114" s="113"/>
      <c r="C114" s="113"/>
      <c r="D114" s="113"/>
      <c r="E114" s="113"/>
      <c r="F114" s="113"/>
      <c r="G114" s="113"/>
      <c r="H114" s="113"/>
      <c r="I114" s="113"/>
      <c r="J114" s="113"/>
      <c r="K114" s="108"/>
    </row>
    <row r="115" s="77" customFormat="1" ht="15.95" customHeight="1" spans="2:11">
      <c r="B115" s="113"/>
      <c r="C115" s="113"/>
      <c r="D115" s="113"/>
      <c r="E115" s="113"/>
      <c r="F115" s="113"/>
      <c r="G115" s="113"/>
      <c r="H115" s="113"/>
      <c r="I115" s="113"/>
      <c r="J115" s="113"/>
      <c r="K115" s="108"/>
    </row>
    <row r="116" s="77" customFormat="1" ht="15.95" customHeight="1" spans="2:11">
      <c r="B116" s="113"/>
      <c r="C116" s="113"/>
      <c r="D116" s="113"/>
      <c r="E116" s="113"/>
      <c r="F116" s="113"/>
      <c r="G116" s="113"/>
      <c r="H116" s="113"/>
      <c r="I116" s="113"/>
      <c r="J116" s="113"/>
      <c r="K116" s="108"/>
    </row>
    <row r="117" s="77" customFormat="1" ht="15.95" customHeight="1" spans="2:11">
      <c r="B117" s="113"/>
      <c r="C117" s="113"/>
      <c r="D117" s="113"/>
      <c r="E117" s="113"/>
      <c r="F117" s="113"/>
      <c r="G117" s="113"/>
      <c r="H117" s="113"/>
      <c r="I117" s="113"/>
      <c r="J117" s="113"/>
      <c r="K117" s="108"/>
    </row>
    <row r="118" s="77" customFormat="1" ht="15.95" customHeight="1" spans="2:11">
      <c r="B118" s="113"/>
      <c r="C118" s="113"/>
      <c r="D118" s="113"/>
      <c r="E118" s="113"/>
      <c r="F118" s="113"/>
      <c r="G118" s="113"/>
      <c r="H118" s="113"/>
      <c r="I118" s="113"/>
      <c r="J118" s="113"/>
      <c r="K118" s="108"/>
    </row>
    <row r="119" s="77" customFormat="1" ht="15.95" customHeight="1" spans="2:11">
      <c r="B119" s="113"/>
      <c r="C119" s="113"/>
      <c r="D119" s="113"/>
      <c r="E119" s="113"/>
      <c r="F119" s="113"/>
      <c r="G119" s="113"/>
      <c r="H119" s="113"/>
      <c r="I119" s="113"/>
      <c r="J119" s="113"/>
      <c r="K119" s="108"/>
    </row>
    <row r="120" s="77" customFormat="1" ht="15.95" customHeight="1" spans="2:11">
      <c r="B120" s="113"/>
      <c r="C120" s="113"/>
      <c r="D120" s="113"/>
      <c r="E120" s="113"/>
      <c r="F120" s="113"/>
      <c r="G120" s="113"/>
      <c r="H120" s="113"/>
      <c r="I120" s="113"/>
      <c r="J120" s="113"/>
      <c r="K120" s="108"/>
    </row>
    <row r="121" s="77" customFormat="1" ht="15.95" customHeight="1" spans="2:11">
      <c r="B121" s="113"/>
      <c r="C121" s="113"/>
      <c r="D121" s="113"/>
      <c r="E121" s="113"/>
      <c r="F121" s="113"/>
      <c r="G121" s="113"/>
      <c r="H121" s="113"/>
      <c r="I121" s="113"/>
      <c r="J121" s="113"/>
      <c r="K121" s="108"/>
    </row>
    <row r="122" s="77" customFormat="1" ht="15.95" customHeight="1" spans="2:11">
      <c r="B122" s="113"/>
      <c r="C122" s="113"/>
      <c r="D122" s="113"/>
      <c r="E122" s="113"/>
      <c r="F122" s="113"/>
      <c r="G122" s="113"/>
      <c r="H122" s="113"/>
      <c r="I122" s="113"/>
      <c r="J122" s="113"/>
      <c r="K122" s="108"/>
    </row>
    <row r="123" s="77" customFormat="1" ht="15.95" customHeight="1" spans="2:11">
      <c r="B123" s="113"/>
      <c r="C123" s="113"/>
      <c r="D123" s="113"/>
      <c r="E123" s="113"/>
      <c r="F123" s="113"/>
      <c r="G123" s="113"/>
      <c r="H123" s="113"/>
      <c r="I123" s="113"/>
      <c r="J123" s="113"/>
      <c r="K123" s="108"/>
    </row>
    <row r="124" s="77" customFormat="1" ht="15.95" customHeight="1" spans="2:11">
      <c r="B124" s="113"/>
      <c r="C124" s="113"/>
      <c r="D124" s="113"/>
      <c r="E124" s="113"/>
      <c r="F124" s="113"/>
      <c r="G124" s="113"/>
      <c r="H124" s="113"/>
      <c r="I124" s="113"/>
      <c r="J124" s="113"/>
      <c r="K124" s="108"/>
    </row>
    <row r="125" s="77" customFormat="1" ht="15.95" customHeight="1" spans="2:11">
      <c r="B125" s="113"/>
      <c r="C125" s="113"/>
      <c r="D125" s="113"/>
      <c r="E125" s="113"/>
      <c r="F125" s="113"/>
      <c r="G125" s="113"/>
      <c r="H125" s="113"/>
      <c r="I125" s="113"/>
      <c r="J125" s="113"/>
      <c r="K125" s="108"/>
    </row>
    <row r="126" s="77" customFormat="1" ht="15.95" customHeight="1" spans="2:11">
      <c r="B126" s="113"/>
      <c r="C126" s="113"/>
      <c r="D126" s="113"/>
      <c r="E126" s="113"/>
      <c r="F126" s="113"/>
      <c r="G126" s="113"/>
      <c r="H126" s="113"/>
      <c r="I126" s="113"/>
      <c r="J126" s="113"/>
      <c r="K126" s="108"/>
    </row>
    <row r="127" s="77" customFormat="1" ht="15.95" customHeight="1" spans="2:11">
      <c r="B127" s="113"/>
      <c r="C127" s="113"/>
      <c r="D127" s="113"/>
      <c r="E127" s="113"/>
      <c r="F127" s="113"/>
      <c r="G127" s="113"/>
      <c r="H127" s="113"/>
      <c r="I127" s="113"/>
      <c r="J127" s="113"/>
      <c r="K127" s="108"/>
    </row>
    <row r="128" s="77" customFormat="1" ht="15.95" customHeight="1" spans="2:11">
      <c r="B128" s="113"/>
      <c r="C128" s="113"/>
      <c r="D128" s="113"/>
      <c r="E128" s="113"/>
      <c r="F128" s="113"/>
      <c r="G128" s="113"/>
      <c r="H128" s="113"/>
      <c r="I128" s="113"/>
      <c r="J128" s="113"/>
      <c r="K128" s="108"/>
    </row>
    <row r="129" s="77" customFormat="1" ht="15.95" customHeight="1" spans="2:11">
      <c r="B129" s="113"/>
      <c r="C129" s="113"/>
      <c r="D129" s="113"/>
      <c r="E129" s="113"/>
      <c r="F129" s="113"/>
      <c r="G129" s="113"/>
      <c r="H129" s="113"/>
      <c r="I129" s="113"/>
      <c r="J129" s="113"/>
      <c r="K129" s="108"/>
    </row>
    <row r="130" s="77" customFormat="1" ht="15.95" customHeight="1" spans="2:11">
      <c r="B130" s="113"/>
      <c r="C130" s="113"/>
      <c r="D130" s="113"/>
      <c r="E130" s="113"/>
      <c r="F130" s="113"/>
      <c r="G130" s="113"/>
      <c r="H130" s="113"/>
      <c r="I130" s="113"/>
      <c r="J130" s="113"/>
      <c r="K130" s="108"/>
    </row>
    <row r="131" s="77" customFormat="1" ht="15.95" customHeight="1" spans="2:11">
      <c r="B131" s="113"/>
      <c r="C131" s="113"/>
      <c r="D131" s="113"/>
      <c r="E131" s="113"/>
      <c r="F131" s="113"/>
      <c r="G131" s="113"/>
      <c r="H131" s="113"/>
      <c r="I131" s="113"/>
      <c r="J131" s="113"/>
      <c r="K131" s="108"/>
    </row>
    <row r="132" s="77" customFormat="1" ht="15.95" customHeight="1" spans="2:11">
      <c r="B132" s="113"/>
      <c r="C132" s="113"/>
      <c r="D132" s="113"/>
      <c r="E132" s="113"/>
      <c r="F132" s="113"/>
      <c r="G132" s="113"/>
      <c r="H132" s="113"/>
      <c r="I132" s="113"/>
      <c r="J132" s="113"/>
      <c r="K132" s="108"/>
    </row>
    <row r="133" s="77" customFormat="1" ht="15.95" customHeight="1" spans="2:11">
      <c r="B133" s="113"/>
      <c r="C133" s="113"/>
      <c r="D133" s="113"/>
      <c r="E133" s="113"/>
      <c r="F133" s="113"/>
      <c r="G133" s="113"/>
      <c r="H133" s="113"/>
      <c r="I133" s="113"/>
      <c r="J133" s="113"/>
      <c r="K133" s="108"/>
    </row>
    <row r="134" s="77" customFormat="1" ht="15.95" customHeight="1" spans="2:11">
      <c r="B134" s="113"/>
      <c r="C134" s="113"/>
      <c r="D134" s="113"/>
      <c r="E134" s="113"/>
      <c r="F134" s="113"/>
      <c r="G134" s="113"/>
      <c r="H134" s="113"/>
      <c r="I134" s="113"/>
      <c r="J134" s="113"/>
      <c r="K134" s="108"/>
    </row>
    <row r="135" s="77" customFormat="1" ht="15.95" customHeight="1" spans="2:11">
      <c r="B135" s="113"/>
      <c r="C135" s="113"/>
      <c r="D135" s="113"/>
      <c r="E135" s="113"/>
      <c r="F135" s="113"/>
      <c r="G135" s="113"/>
      <c r="H135" s="113"/>
      <c r="I135" s="113"/>
      <c r="J135" s="113"/>
      <c r="K135" s="108"/>
    </row>
    <row r="136" s="77" customFormat="1" ht="15.95" customHeight="1" spans="2:11">
      <c r="B136" s="113"/>
      <c r="C136" s="113"/>
      <c r="D136" s="113"/>
      <c r="E136" s="113"/>
      <c r="F136" s="113"/>
      <c r="G136" s="113"/>
      <c r="H136" s="113"/>
      <c r="I136" s="113"/>
      <c r="J136" s="113"/>
      <c r="K136" s="108"/>
    </row>
    <row r="137" s="77" customFormat="1" ht="15.95" customHeight="1" spans="2:11">
      <c r="B137" s="113"/>
      <c r="C137" s="113"/>
      <c r="D137" s="113"/>
      <c r="E137" s="113"/>
      <c r="F137" s="113"/>
      <c r="G137" s="113"/>
      <c r="H137" s="113"/>
      <c r="I137" s="113"/>
      <c r="J137" s="113"/>
      <c r="K137" s="108"/>
    </row>
    <row r="138" s="77" customFormat="1" ht="15.95" customHeight="1" spans="2:11">
      <c r="B138" s="113"/>
      <c r="C138" s="113"/>
      <c r="D138" s="113"/>
      <c r="E138" s="113"/>
      <c r="F138" s="113"/>
      <c r="G138" s="113"/>
      <c r="H138" s="113"/>
      <c r="I138" s="113"/>
      <c r="J138" s="113"/>
      <c r="K138" s="108"/>
    </row>
    <row r="139" s="77" customFormat="1" ht="15.95" customHeight="1" spans="2:11">
      <c r="B139" s="113"/>
      <c r="C139" s="113"/>
      <c r="D139" s="113"/>
      <c r="E139" s="113"/>
      <c r="F139" s="113"/>
      <c r="G139" s="113"/>
      <c r="H139" s="113"/>
      <c r="I139" s="113"/>
      <c r="J139" s="113"/>
      <c r="K139" s="108"/>
    </row>
    <row r="140" s="77" customFormat="1" ht="15.95" customHeight="1" spans="2:11">
      <c r="B140" s="113"/>
      <c r="C140" s="113"/>
      <c r="D140" s="113"/>
      <c r="E140" s="113"/>
      <c r="F140" s="113"/>
      <c r="G140" s="113"/>
      <c r="H140" s="113"/>
      <c r="I140" s="113"/>
      <c r="J140" s="113"/>
      <c r="K140" s="108"/>
    </row>
    <row r="141" s="77" customFormat="1" ht="15.95" customHeight="1" spans="2:11">
      <c r="B141" s="113"/>
      <c r="C141" s="113"/>
      <c r="D141" s="113"/>
      <c r="E141" s="113"/>
      <c r="F141" s="113"/>
      <c r="G141" s="113"/>
      <c r="H141" s="113"/>
      <c r="I141" s="113"/>
      <c r="J141" s="113"/>
      <c r="K141" s="108"/>
    </row>
    <row r="142" s="77" customFormat="1" ht="15.95" customHeight="1" spans="2:11">
      <c r="B142" s="113"/>
      <c r="C142" s="113"/>
      <c r="D142" s="113"/>
      <c r="E142" s="113"/>
      <c r="F142" s="113"/>
      <c r="G142" s="113"/>
      <c r="H142" s="113"/>
      <c r="I142" s="113"/>
      <c r="J142" s="113"/>
      <c r="K142" s="108"/>
    </row>
    <row r="143" s="77" customFormat="1" ht="15.95" customHeight="1" spans="2:11">
      <c r="B143" s="113"/>
      <c r="C143" s="113"/>
      <c r="D143" s="113"/>
      <c r="E143" s="113"/>
      <c r="F143" s="113"/>
      <c r="G143" s="113"/>
      <c r="H143" s="113"/>
      <c r="I143" s="113"/>
      <c r="J143" s="113"/>
      <c r="K143" s="108"/>
    </row>
    <row r="144" s="77" customFormat="1" ht="15.95" customHeight="1" spans="2:11">
      <c r="B144" s="113"/>
      <c r="C144" s="113"/>
      <c r="D144" s="113"/>
      <c r="E144" s="113"/>
      <c r="F144" s="113"/>
      <c r="G144" s="113"/>
      <c r="H144" s="113"/>
      <c r="I144" s="113"/>
      <c r="J144" s="113"/>
      <c r="K144" s="108"/>
    </row>
    <row r="145" s="77" customFormat="1" ht="15.95" customHeight="1" spans="2:11">
      <c r="B145" s="113"/>
      <c r="C145" s="113"/>
      <c r="D145" s="113"/>
      <c r="E145" s="113"/>
      <c r="F145" s="113"/>
      <c r="G145" s="113"/>
      <c r="H145" s="113"/>
      <c r="I145" s="113"/>
      <c r="J145" s="113"/>
      <c r="K145" s="108"/>
    </row>
    <row r="146" s="77" customFormat="1" ht="15.95" customHeight="1" spans="2:11">
      <c r="B146" s="113"/>
      <c r="C146" s="113"/>
      <c r="D146" s="113"/>
      <c r="E146" s="113"/>
      <c r="F146" s="113"/>
      <c r="G146" s="113"/>
      <c r="H146" s="113"/>
      <c r="I146" s="113"/>
      <c r="J146" s="113"/>
      <c r="K146" s="108"/>
    </row>
    <row r="147" s="77" customFormat="1" ht="15.95" customHeight="1" spans="2:11">
      <c r="B147" s="113"/>
      <c r="C147" s="113"/>
      <c r="D147" s="113"/>
      <c r="E147" s="113"/>
      <c r="F147" s="113"/>
      <c r="G147" s="113"/>
      <c r="H147" s="113"/>
      <c r="I147" s="113"/>
      <c r="J147" s="113"/>
      <c r="K147" s="108"/>
    </row>
    <row r="148" s="77" customFormat="1" ht="15.95" customHeight="1" spans="2:11">
      <c r="B148" s="113"/>
      <c r="C148" s="113"/>
      <c r="D148" s="113"/>
      <c r="E148" s="113"/>
      <c r="F148" s="113"/>
      <c r="G148" s="113"/>
      <c r="H148" s="113"/>
      <c r="I148" s="113"/>
      <c r="J148" s="113"/>
      <c r="K148" s="108"/>
    </row>
    <row r="149" s="77" customFormat="1" ht="15.95" customHeight="1" spans="2:11">
      <c r="B149" s="113"/>
      <c r="C149" s="113"/>
      <c r="D149" s="113"/>
      <c r="E149" s="113"/>
      <c r="F149" s="113"/>
      <c r="G149" s="113"/>
      <c r="H149" s="113"/>
      <c r="I149" s="113"/>
      <c r="J149" s="113"/>
      <c r="K149" s="108"/>
    </row>
    <row r="150" s="77" customFormat="1" ht="15.95" customHeight="1" spans="2:11">
      <c r="B150" s="113"/>
      <c r="C150" s="113"/>
      <c r="D150" s="113"/>
      <c r="E150" s="113"/>
      <c r="F150" s="113"/>
      <c r="G150" s="113"/>
      <c r="H150" s="113"/>
      <c r="I150" s="113"/>
      <c r="J150" s="113"/>
      <c r="K150" s="108"/>
    </row>
    <row r="151" s="77" customFormat="1" ht="15.95" customHeight="1" spans="2:11">
      <c r="B151" s="113"/>
      <c r="C151" s="113"/>
      <c r="D151" s="113"/>
      <c r="E151" s="113"/>
      <c r="F151" s="113"/>
      <c r="G151" s="113"/>
      <c r="H151" s="113"/>
      <c r="I151" s="113"/>
      <c r="J151" s="113"/>
      <c r="K151" s="108"/>
    </row>
    <row r="152" s="77" customFormat="1" ht="15.95" customHeight="1" spans="2:11">
      <c r="B152" s="113"/>
      <c r="C152" s="113"/>
      <c r="D152" s="113"/>
      <c r="E152" s="113"/>
      <c r="F152" s="113"/>
      <c r="G152" s="113"/>
      <c r="H152" s="113"/>
      <c r="I152" s="113"/>
      <c r="J152" s="113"/>
      <c r="K152" s="108"/>
    </row>
    <row r="153" s="77" customFormat="1" ht="15.95" customHeight="1" spans="2:11">
      <c r="B153" s="113"/>
      <c r="C153" s="113"/>
      <c r="D153" s="113"/>
      <c r="E153" s="113"/>
      <c r="F153" s="113"/>
      <c r="G153" s="113"/>
      <c r="H153" s="113"/>
      <c r="I153" s="113"/>
      <c r="J153" s="113"/>
      <c r="K153" s="108"/>
    </row>
    <row r="154" s="77" customFormat="1" ht="15.95" customHeight="1" spans="2:11">
      <c r="B154" s="113"/>
      <c r="C154" s="113"/>
      <c r="D154" s="113"/>
      <c r="E154" s="113"/>
      <c r="F154" s="113"/>
      <c r="G154" s="113"/>
      <c r="H154" s="113"/>
      <c r="I154" s="113"/>
      <c r="J154" s="113"/>
      <c r="K154" s="108"/>
    </row>
    <row r="155" s="77" customFormat="1" ht="15.95" customHeight="1" spans="2:11">
      <c r="B155" s="113"/>
      <c r="C155" s="113"/>
      <c r="D155" s="113"/>
      <c r="E155" s="113"/>
      <c r="F155" s="113"/>
      <c r="G155" s="113"/>
      <c r="H155" s="113"/>
      <c r="I155" s="113"/>
      <c r="J155" s="113"/>
      <c r="K155" s="108"/>
    </row>
    <row r="156" s="77" customFormat="1" ht="15.95" customHeight="1" spans="2:11">
      <c r="B156" s="113"/>
      <c r="C156" s="113"/>
      <c r="D156" s="113"/>
      <c r="E156" s="113"/>
      <c r="F156" s="113"/>
      <c r="G156" s="113"/>
      <c r="H156" s="113"/>
      <c r="I156" s="113"/>
      <c r="J156" s="113"/>
      <c r="K156" s="108"/>
    </row>
    <row r="157" s="77" customFormat="1" ht="15.95" customHeight="1" spans="2:11">
      <c r="B157" s="113"/>
      <c r="C157" s="113"/>
      <c r="D157" s="113"/>
      <c r="E157" s="113"/>
      <c r="F157" s="113"/>
      <c r="G157" s="113"/>
      <c r="H157" s="113"/>
      <c r="I157" s="113"/>
      <c r="J157" s="113"/>
      <c r="K157" s="108"/>
    </row>
    <row r="158" s="77" customFormat="1" ht="15.95" customHeight="1" spans="2:11">
      <c r="B158" s="113"/>
      <c r="C158" s="113"/>
      <c r="D158" s="113"/>
      <c r="E158" s="113"/>
      <c r="F158" s="113"/>
      <c r="G158" s="113"/>
      <c r="H158" s="113"/>
      <c r="I158" s="113"/>
      <c r="J158" s="113"/>
      <c r="K158" s="108"/>
    </row>
    <row r="159" s="77" customFormat="1" ht="15.95" customHeight="1" spans="2:11">
      <c r="B159" s="113"/>
      <c r="C159" s="113"/>
      <c r="D159" s="113"/>
      <c r="E159" s="113"/>
      <c r="F159" s="113"/>
      <c r="G159" s="113"/>
      <c r="H159" s="113"/>
      <c r="I159" s="113"/>
      <c r="J159" s="113"/>
      <c r="K159" s="108"/>
    </row>
    <row r="160" s="77" customFormat="1" ht="15.95" customHeight="1" spans="2:11">
      <c r="B160" s="113"/>
      <c r="C160" s="113"/>
      <c r="D160" s="113"/>
      <c r="E160" s="113"/>
      <c r="F160" s="113"/>
      <c r="G160" s="113"/>
      <c r="H160" s="113"/>
      <c r="I160" s="113"/>
      <c r="J160" s="113"/>
      <c r="K160" s="108"/>
    </row>
    <row r="161" s="77" customFormat="1" ht="15.95" customHeight="1" spans="2:11">
      <c r="B161" s="113"/>
      <c r="C161" s="113"/>
      <c r="D161" s="113"/>
      <c r="E161" s="113"/>
      <c r="F161" s="113"/>
      <c r="G161" s="113"/>
      <c r="H161" s="113"/>
      <c r="I161" s="113"/>
      <c r="J161" s="113"/>
      <c r="K161" s="108"/>
    </row>
    <row r="162" s="77" customFormat="1" ht="15.95" customHeight="1" spans="2:11">
      <c r="B162" s="113"/>
      <c r="C162" s="113"/>
      <c r="D162" s="113"/>
      <c r="E162" s="113"/>
      <c r="F162" s="113"/>
      <c r="G162" s="113"/>
      <c r="H162" s="113"/>
      <c r="I162" s="113"/>
      <c r="J162" s="113"/>
      <c r="K162" s="108"/>
    </row>
    <row r="163" s="77" customFormat="1" ht="15.95" customHeight="1" spans="2:11">
      <c r="B163" s="113"/>
      <c r="C163" s="113"/>
      <c r="D163" s="113"/>
      <c r="E163" s="113"/>
      <c r="F163" s="113"/>
      <c r="G163" s="113"/>
      <c r="H163" s="113"/>
      <c r="I163" s="113"/>
      <c r="J163" s="113"/>
      <c r="K163" s="108"/>
    </row>
    <row r="164" s="77" customFormat="1" ht="15.95" customHeight="1" spans="2:11">
      <c r="B164" s="113"/>
      <c r="C164" s="113"/>
      <c r="D164" s="113"/>
      <c r="E164" s="113"/>
      <c r="F164" s="113"/>
      <c r="G164" s="113"/>
      <c r="H164" s="113"/>
      <c r="I164" s="113"/>
      <c r="J164" s="113"/>
      <c r="K164" s="108"/>
    </row>
    <row r="165" s="77" customFormat="1" ht="15.95" customHeight="1" spans="2:11">
      <c r="B165" s="113"/>
      <c r="C165" s="113"/>
      <c r="D165" s="113"/>
      <c r="E165" s="113"/>
      <c r="F165" s="113"/>
      <c r="G165" s="113"/>
      <c r="H165" s="113"/>
      <c r="I165" s="113"/>
      <c r="J165" s="113"/>
      <c r="K165" s="108"/>
    </row>
    <row r="166" s="77" customFormat="1" ht="15.95" customHeight="1" spans="2:11">
      <c r="B166" s="113"/>
      <c r="C166" s="113"/>
      <c r="D166" s="113"/>
      <c r="E166" s="113"/>
      <c r="F166" s="113"/>
      <c r="G166" s="113"/>
      <c r="H166" s="113"/>
      <c r="I166" s="113"/>
      <c r="J166" s="113"/>
      <c r="K166" s="108"/>
    </row>
    <row r="167" s="77" customFormat="1" ht="15.95" customHeight="1" spans="2:11">
      <c r="B167" s="113"/>
      <c r="C167" s="113"/>
      <c r="D167" s="113"/>
      <c r="E167" s="113"/>
      <c r="F167" s="113"/>
      <c r="G167" s="113"/>
      <c r="H167" s="113"/>
      <c r="I167" s="113"/>
      <c r="J167" s="113"/>
      <c r="K167" s="108"/>
    </row>
    <row r="168" s="77" customFormat="1" ht="15.95" customHeight="1" spans="2:11">
      <c r="B168" s="113"/>
      <c r="C168" s="113"/>
      <c r="D168" s="113"/>
      <c r="E168" s="113"/>
      <c r="F168" s="113"/>
      <c r="G168" s="113"/>
      <c r="H168" s="113"/>
      <c r="I168" s="113"/>
      <c r="J168" s="113"/>
      <c r="K168" s="108"/>
    </row>
    <row r="169" s="77" customFormat="1" ht="15.95" customHeight="1" spans="2:11">
      <c r="B169" s="113"/>
      <c r="C169" s="113"/>
      <c r="D169" s="113"/>
      <c r="E169" s="113"/>
      <c r="F169" s="113"/>
      <c r="G169" s="113"/>
      <c r="H169" s="113"/>
      <c r="I169" s="113"/>
      <c r="J169" s="113"/>
      <c r="K169" s="108"/>
    </row>
    <row r="170" s="77" customFormat="1" ht="15.95" customHeight="1" spans="11:11">
      <c r="K170" s="108"/>
    </row>
    <row r="171" s="77" customFormat="1" ht="15.95" customHeight="1" spans="11:11">
      <c r="K171" s="108"/>
    </row>
    <row r="172" s="77" customFormat="1" ht="15.95" customHeight="1" spans="11:11">
      <c r="K172" s="108"/>
    </row>
    <row r="173" s="77" customFormat="1" ht="15.95" customHeight="1" spans="11:11">
      <c r="K173" s="108"/>
    </row>
    <row r="174" s="77" customFormat="1" ht="15.95" customHeight="1" spans="11:11">
      <c r="K174" s="108"/>
    </row>
    <row r="175" s="77" customFormat="1" ht="15.95" customHeight="1" spans="11:11">
      <c r="K175" s="108"/>
    </row>
    <row r="176" s="77" customFormat="1" ht="15.95" customHeight="1" spans="11:11">
      <c r="K176" s="108"/>
    </row>
    <row r="177" s="77" customFormat="1" ht="15.95" customHeight="1" spans="11:11">
      <c r="K177" s="108"/>
    </row>
    <row r="178" s="77" customFormat="1" ht="15.95" customHeight="1" spans="11:11">
      <c r="K178" s="108"/>
    </row>
    <row r="179" s="77" customFormat="1" ht="15.95" customHeight="1" spans="11:11">
      <c r="K179" s="108"/>
    </row>
    <row r="180" s="77" customFormat="1" ht="15.95" customHeight="1" spans="11:11">
      <c r="K180" s="108"/>
    </row>
    <row r="181" s="77" customFormat="1" ht="15.95" customHeight="1" spans="11:11">
      <c r="K181" s="108"/>
    </row>
    <row r="182" s="77" customFormat="1" ht="15.95" customHeight="1" spans="11:11">
      <c r="K182" s="108"/>
    </row>
    <row r="183" s="77" customFormat="1" ht="15.95" customHeight="1" spans="11:11">
      <c r="K183" s="108"/>
    </row>
    <row r="184" s="77" customFormat="1" ht="15.95" customHeight="1" spans="11:11">
      <c r="K184" s="108"/>
    </row>
    <row r="185" s="77" customFormat="1" ht="15.95" customHeight="1" spans="11:11">
      <c r="K185" s="108"/>
    </row>
    <row r="186" s="77" customFormat="1" ht="15.95" customHeight="1" spans="11:11">
      <c r="K186" s="108"/>
    </row>
    <row r="187" s="77" customFormat="1" ht="15.95" customHeight="1" spans="11:11">
      <c r="K187" s="108"/>
    </row>
    <row r="188" s="77" customFormat="1" ht="15.95" customHeight="1" spans="11:11">
      <c r="K188" s="108"/>
    </row>
    <row r="189" s="77" customFormat="1" ht="15.95" customHeight="1" spans="11:11">
      <c r="K189" s="108"/>
    </row>
    <row r="190" s="77" customFormat="1" ht="15.95" customHeight="1" spans="11:11">
      <c r="K190" s="108"/>
    </row>
    <row r="191" s="77" customFormat="1" ht="15.95" customHeight="1" spans="11:11">
      <c r="K191" s="108"/>
    </row>
    <row r="192" s="77" customFormat="1" ht="15.95" customHeight="1" spans="11:11">
      <c r="K192" s="108"/>
    </row>
    <row r="193" s="77" customFormat="1" ht="15.95" customHeight="1" spans="11:11">
      <c r="K193" s="108"/>
    </row>
    <row r="194" s="77" customFormat="1" ht="15.95" customHeight="1" spans="11:11">
      <c r="K194" s="108"/>
    </row>
    <row r="195" s="77" customFormat="1" ht="15.95" customHeight="1" spans="11:11">
      <c r="K195" s="108"/>
    </row>
    <row r="196" s="77" customFormat="1" ht="15.95" customHeight="1" spans="11:11">
      <c r="K196" s="108"/>
    </row>
    <row r="197" s="77" customFormat="1" ht="15.95" customHeight="1" spans="11:11">
      <c r="K197" s="108"/>
    </row>
    <row r="198" s="77" customFormat="1" ht="15.95" customHeight="1" spans="11:11">
      <c r="K198" s="108"/>
    </row>
    <row r="199" s="77" customFormat="1" ht="15.95" customHeight="1" spans="11:11">
      <c r="K199" s="108"/>
    </row>
    <row r="200" s="77" customFormat="1" ht="15.95" customHeight="1" spans="11:11">
      <c r="K200" s="108"/>
    </row>
    <row r="201" s="77" customFormat="1" ht="15.95" customHeight="1" spans="11:11">
      <c r="K201" s="108"/>
    </row>
    <row r="202" s="77" customFormat="1" ht="15.95" customHeight="1" spans="11:11">
      <c r="K202" s="108"/>
    </row>
    <row r="203" s="77" customFormat="1" ht="15.95" customHeight="1" spans="11:11">
      <c r="K203" s="108"/>
    </row>
    <row r="204" s="77" customFormat="1" ht="15.95" customHeight="1" spans="11:11">
      <c r="K204" s="108"/>
    </row>
    <row r="205" s="77" customFormat="1" ht="15.95" customHeight="1" spans="11:11">
      <c r="K205" s="108"/>
    </row>
    <row r="206" s="77" customFormat="1" ht="15.95" customHeight="1" spans="11:11">
      <c r="K206" s="108"/>
    </row>
    <row r="207" s="77" customFormat="1" ht="15.95" customHeight="1" spans="11:11">
      <c r="K207" s="108"/>
    </row>
    <row r="208" s="77" customFormat="1" ht="15.95" customHeight="1" spans="11:11">
      <c r="K208" s="108"/>
    </row>
    <row r="209" s="77" customFormat="1" ht="15.95" customHeight="1" spans="11:11">
      <c r="K209" s="108"/>
    </row>
    <row r="210" s="77" customFormat="1" ht="15.95" customHeight="1" spans="11:11">
      <c r="K210" s="108"/>
    </row>
    <row r="211" s="77" customFormat="1" ht="15.95" customHeight="1" spans="11:11">
      <c r="K211" s="108"/>
    </row>
    <row r="212" s="77" customFormat="1" ht="15.95" customHeight="1" spans="11:11">
      <c r="K212" s="108"/>
    </row>
    <row r="213" s="77" customFormat="1" ht="15.95" customHeight="1" spans="11:11">
      <c r="K213" s="108"/>
    </row>
    <row r="214" s="77" customFormat="1" ht="15.95" customHeight="1" spans="11:11">
      <c r="K214" s="108"/>
    </row>
    <row r="215" s="77" customFormat="1" ht="15.95" customHeight="1" spans="11:11">
      <c r="K215" s="108"/>
    </row>
    <row r="216" s="77" customFormat="1" ht="15.95" customHeight="1" spans="11:11">
      <c r="K216" s="108"/>
    </row>
    <row r="217" s="77" customFormat="1" ht="15.95" customHeight="1" spans="11:11">
      <c r="K217" s="108"/>
    </row>
    <row r="218" s="77" customFormat="1" ht="15.95" customHeight="1" spans="11:11">
      <c r="K218" s="108"/>
    </row>
    <row r="219" s="77" customFormat="1" ht="15.95" customHeight="1" spans="11:11">
      <c r="K219" s="108"/>
    </row>
    <row r="220" s="77" customFormat="1" ht="15.95" customHeight="1" spans="11:11">
      <c r="K220" s="108"/>
    </row>
    <row r="221" s="77" customFormat="1" ht="15.95" customHeight="1" spans="11:11">
      <c r="K221" s="108"/>
    </row>
    <row r="222" s="77" customFormat="1" ht="15.95" customHeight="1" spans="11:11">
      <c r="K222" s="108"/>
    </row>
    <row r="223" s="77" customFormat="1" ht="15.95" customHeight="1" spans="11:11">
      <c r="K223" s="108"/>
    </row>
    <row r="224" s="77" customFormat="1" ht="15.95" customHeight="1" spans="11:11">
      <c r="K224" s="108"/>
    </row>
    <row r="225" s="77" customFormat="1" ht="15.95" customHeight="1" spans="11:11">
      <c r="K225" s="108"/>
    </row>
    <row r="226" s="77" customFormat="1" ht="15.95" customHeight="1" spans="11:11">
      <c r="K226" s="108"/>
    </row>
    <row r="227" s="77" customFormat="1" ht="15.95" customHeight="1" spans="11:11">
      <c r="K227" s="108"/>
    </row>
    <row r="228" s="77" customFormat="1" ht="15.95" customHeight="1" spans="11:11">
      <c r="K228" s="108"/>
    </row>
    <row r="229" s="77" customFormat="1" ht="15.95" customHeight="1" spans="11:11">
      <c r="K229" s="108"/>
    </row>
    <row r="230" s="77" customFormat="1" ht="15.95" customHeight="1" spans="11:11">
      <c r="K230" s="108"/>
    </row>
    <row r="231" s="77" customFormat="1" ht="15.95" customHeight="1" spans="11:11">
      <c r="K231" s="108"/>
    </row>
    <row r="232" s="77" customFormat="1" ht="15.95" customHeight="1" spans="11:11">
      <c r="K232" s="108"/>
    </row>
    <row r="233" s="77" customFormat="1" ht="15.95" customHeight="1" spans="11:11">
      <c r="K233" s="108"/>
    </row>
    <row r="234" s="77" customFormat="1" ht="15.95" customHeight="1" spans="11:11">
      <c r="K234" s="108"/>
    </row>
    <row r="235" s="77" customFormat="1" ht="15.95" customHeight="1" spans="11:11">
      <c r="K235" s="108"/>
    </row>
    <row r="236" s="77" customFormat="1" ht="15.95" customHeight="1" spans="11:11">
      <c r="K236" s="108"/>
    </row>
    <row r="237" s="77" customFormat="1" ht="15.95" customHeight="1" spans="11:11">
      <c r="K237" s="108"/>
    </row>
    <row r="238" s="77" customFormat="1" ht="15.95" customHeight="1" spans="11:11">
      <c r="K238" s="108"/>
    </row>
    <row r="239" s="77" customFormat="1" ht="15.95" customHeight="1" spans="11:11">
      <c r="K239" s="108"/>
    </row>
    <row r="240" s="77" customFormat="1" ht="15.95" customHeight="1" spans="11:11">
      <c r="K240" s="108"/>
    </row>
    <row r="241" s="77" customFormat="1" ht="15.95" customHeight="1" spans="11:11">
      <c r="K241" s="108"/>
    </row>
    <row r="242" s="77" customFormat="1" ht="15.95" customHeight="1" spans="11:11">
      <c r="K242" s="108"/>
    </row>
    <row r="243" s="77" customFormat="1" ht="15.95" customHeight="1" spans="11:11">
      <c r="K243" s="108"/>
    </row>
    <row r="244" s="77" customFormat="1" ht="15.95" customHeight="1" spans="11:11">
      <c r="K244" s="108"/>
    </row>
    <row r="245" s="77" customFormat="1" ht="15.95" customHeight="1" spans="11:11">
      <c r="K245" s="108"/>
    </row>
    <row r="246" s="77" customFormat="1" ht="15.95" customHeight="1" spans="11:11">
      <c r="K246" s="108"/>
    </row>
    <row r="247" s="77" customFormat="1" ht="15.95" customHeight="1" spans="11:11">
      <c r="K247" s="108"/>
    </row>
    <row r="248" s="77" customFormat="1" ht="15.95" customHeight="1" spans="11:11">
      <c r="K248" s="108"/>
    </row>
    <row r="249" s="77" customFormat="1" ht="15.95" customHeight="1" spans="11:11">
      <c r="K249" s="108"/>
    </row>
    <row r="250" s="77" customFormat="1" ht="15.95" customHeight="1" spans="11:11">
      <c r="K250" s="108"/>
    </row>
    <row r="251" s="77" customFormat="1" ht="15.95" customHeight="1" spans="11:11">
      <c r="K251" s="108"/>
    </row>
    <row r="252" s="77" customFormat="1" ht="15.95" customHeight="1" spans="11:11">
      <c r="K252" s="108"/>
    </row>
    <row r="253" s="77" customFormat="1" ht="15.95" customHeight="1" spans="11:11">
      <c r="K253" s="108"/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  <mergeCell ref="K11:K12"/>
  </mergeCells>
  <printOptions horizontalCentered="1"/>
  <pageMargins left="0.236220472440945" right="0.236220472440945" top="0.62992125984252" bottom="0.433070866141732" header="0.31496062992126" footer="0.31496062992126"/>
  <pageSetup paperSize="9" scale="72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view="pageBreakPreview" zoomScale="112" zoomScaleNormal="100" topLeftCell="A6" workbookViewId="0">
      <selection activeCell="A36" sqref="$A36:$XFD36"/>
    </sheetView>
  </sheetViews>
  <sheetFormatPr defaultColWidth="8.71296296296296" defaultRowHeight="14.4"/>
  <cols>
    <col min="1" max="1" width="26.5740740740741" style="6" customWidth="1"/>
    <col min="2" max="4" width="8.71296296296296" style="6"/>
    <col min="5" max="5" width="14.8518518518519" style="6" customWidth="1"/>
    <col min="6" max="12" width="8.71296296296296" style="6"/>
    <col min="13" max="13" width="1.42592592592593" style="6" customWidth="1"/>
    <col min="14" max="16384" width="8.71296296296296" style="6"/>
  </cols>
  <sheetData>
    <row r="1" s="1" customFormat="1" ht="52.5" customHeight="1"/>
    <row r="2" s="1" customFormat="1" ht="10.5" customHeight="1" spans="1:1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="1" customFormat="1" ht="15.95" customHeight="1" spans="1:1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="1" customFormat="1" ht="15.95" customHeight="1" spans="1:12">
      <c r="A4" s="7" t="s">
        <v>107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="1" customFormat="1" ht="15.95" customHeight="1" spans="1:12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="1" customFormat="1" ht="8.25" customHeight="1"/>
    <row r="7" s="1" customFormat="1" ht="12" customHeight="1" spans="1:8">
      <c r="A7" s="1" t="s">
        <v>4</v>
      </c>
      <c r="C7" s="8" t="s">
        <v>5</v>
      </c>
      <c r="D7" s="8"/>
      <c r="G7" s="8" t="s">
        <v>6</v>
      </c>
      <c r="H7" s="9"/>
    </row>
    <row r="8" s="1" customFormat="1" ht="12" customHeight="1" spans="3:8">
      <c r="C8" s="10"/>
      <c r="G8" s="10"/>
      <c r="H8" s="10"/>
    </row>
    <row r="9" s="1" customFormat="1" ht="12" customHeight="1" spans="1:8">
      <c r="A9" s="1" t="s">
        <v>7</v>
      </c>
      <c r="C9" s="8" t="s">
        <v>8</v>
      </c>
      <c r="D9" s="8"/>
      <c r="G9" s="8" t="s">
        <v>9</v>
      </c>
      <c r="H9" s="11"/>
    </row>
    <row r="10" ht="16.5" customHeight="1" spans="1:12">
      <c r="A10" s="12" t="s">
        <v>108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="2" customFormat="1" ht="15.95" customHeight="1" spans="1:12">
      <c r="A11" s="13" t="s">
        <v>11</v>
      </c>
      <c r="B11" s="14" t="s">
        <v>12</v>
      </c>
      <c r="C11" s="15"/>
      <c r="D11" s="15"/>
      <c r="E11" s="15"/>
      <c r="F11" s="15"/>
      <c r="G11" s="15"/>
      <c r="H11" s="15"/>
      <c r="I11" s="15"/>
      <c r="J11" s="15"/>
      <c r="K11" s="15"/>
      <c r="L11" s="45" t="s">
        <v>15</v>
      </c>
    </row>
    <row r="12" s="2" customFormat="1" ht="15.95" customHeight="1" spans="1:12">
      <c r="A12" s="16"/>
      <c r="B12" s="17" t="s">
        <v>109</v>
      </c>
      <c r="C12" s="18"/>
      <c r="D12" s="18"/>
      <c r="E12" s="19"/>
      <c r="F12" s="17" t="s">
        <v>110</v>
      </c>
      <c r="G12" s="19"/>
      <c r="H12" s="17" t="s">
        <v>111</v>
      </c>
      <c r="I12" s="19"/>
      <c r="J12" s="17" t="s">
        <v>112</v>
      </c>
      <c r="K12" s="19"/>
      <c r="L12" s="46"/>
    </row>
    <row r="13" s="2" customFormat="1" ht="23.25" hidden="1" customHeight="1" spans="1:12">
      <c r="A13" s="52" t="s">
        <v>113</v>
      </c>
      <c r="B13" s="21" t="s">
        <v>114</v>
      </c>
      <c r="C13" s="22"/>
      <c r="D13" s="22"/>
      <c r="E13" s="23"/>
      <c r="F13" s="53">
        <v>1</v>
      </c>
      <c r="G13" s="54"/>
      <c r="H13" s="53">
        <v>0</v>
      </c>
      <c r="I13" s="54"/>
      <c r="J13" s="53">
        <v>1</v>
      </c>
      <c r="K13" s="54"/>
      <c r="L13" s="65">
        <v>1</v>
      </c>
    </row>
    <row r="14" s="3" customFormat="1" ht="21" hidden="1" customHeight="1" spans="1:12">
      <c r="A14" s="55" t="s">
        <v>115</v>
      </c>
      <c r="B14" s="21" t="s">
        <v>114</v>
      </c>
      <c r="C14" s="22"/>
      <c r="D14" s="22"/>
      <c r="E14" s="23"/>
      <c r="F14" s="53"/>
      <c r="G14" s="54"/>
      <c r="H14" s="53">
        <v>1</v>
      </c>
      <c r="I14" s="54"/>
      <c r="J14" s="53">
        <v>0</v>
      </c>
      <c r="K14" s="54"/>
      <c r="L14" s="66">
        <v>0</v>
      </c>
    </row>
    <row r="15" s="4" customFormat="1" ht="18" hidden="1" customHeight="1" spans="1:12">
      <c r="A15" s="56" t="s">
        <v>116</v>
      </c>
      <c r="B15" s="27" t="s">
        <v>117</v>
      </c>
      <c r="C15" s="28"/>
      <c r="D15" s="28"/>
      <c r="E15" s="29"/>
      <c r="F15" s="57">
        <v>2</v>
      </c>
      <c r="G15" s="58"/>
      <c r="H15" s="57">
        <v>0</v>
      </c>
      <c r="I15" s="58"/>
      <c r="J15" s="57">
        <v>2</v>
      </c>
      <c r="K15" s="58"/>
      <c r="L15" s="67">
        <v>2</v>
      </c>
    </row>
    <row r="16" s="4" customFormat="1" ht="18" hidden="1" customHeight="1" spans="1:12">
      <c r="A16" s="59" t="s">
        <v>118</v>
      </c>
      <c r="B16" s="27" t="s">
        <v>117</v>
      </c>
      <c r="C16" s="28"/>
      <c r="D16" s="28"/>
      <c r="E16" s="29"/>
      <c r="F16" s="57"/>
      <c r="G16" s="58"/>
      <c r="H16" s="57">
        <v>2</v>
      </c>
      <c r="I16" s="58"/>
      <c r="J16" s="57">
        <v>0</v>
      </c>
      <c r="K16" s="58"/>
      <c r="L16" s="68">
        <v>0</v>
      </c>
    </row>
    <row r="17" s="4" customFormat="1" ht="18" hidden="1" customHeight="1" spans="1:12">
      <c r="A17" s="56" t="s">
        <v>116</v>
      </c>
      <c r="B17" s="27" t="s">
        <v>119</v>
      </c>
      <c r="C17" s="28"/>
      <c r="D17" s="28"/>
      <c r="E17" s="29"/>
      <c r="F17" s="57">
        <v>1</v>
      </c>
      <c r="G17" s="58"/>
      <c r="H17" s="57">
        <v>0</v>
      </c>
      <c r="I17" s="58"/>
      <c r="J17" s="57">
        <v>1</v>
      </c>
      <c r="K17" s="58"/>
      <c r="L17" s="67">
        <v>1</v>
      </c>
    </row>
    <row r="18" s="4" customFormat="1" ht="18" hidden="1" customHeight="1" spans="1:12">
      <c r="A18" s="59" t="s">
        <v>120</v>
      </c>
      <c r="B18" s="27" t="s">
        <v>119</v>
      </c>
      <c r="C18" s="28"/>
      <c r="D18" s="28"/>
      <c r="E18" s="29"/>
      <c r="F18" s="57"/>
      <c r="G18" s="58"/>
      <c r="H18" s="57">
        <v>1</v>
      </c>
      <c r="I18" s="58"/>
      <c r="J18" s="57">
        <v>0</v>
      </c>
      <c r="K18" s="58"/>
      <c r="L18" s="68">
        <v>0</v>
      </c>
    </row>
    <row r="19" s="4" customFormat="1" ht="18" hidden="1" customHeight="1" spans="1:12">
      <c r="A19" s="56" t="s">
        <v>121</v>
      </c>
      <c r="B19" s="27" t="s">
        <v>122</v>
      </c>
      <c r="C19" s="28"/>
      <c r="D19" s="28"/>
      <c r="E19" s="29"/>
      <c r="F19" s="57">
        <v>3</v>
      </c>
      <c r="G19" s="58"/>
      <c r="H19" s="57">
        <v>0</v>
      </c>
      <c r="I19" s="58"/>
      <c r="J19" s="57">
        <v>3</v>
      </c>
      <c r="K19" s="58"/>
      <c r="L19" s="67">
        <v>3</v>
      </c>
    </row>
    <row r="20" s="5" customFormat="1" ht="18" hidden="1" customHeight="1" spans="1:12">
      <c r="A20" s="59" t="s">
        <v>123</v>
      </c>
      <c r="B20" s="27" t="s">
        <v>122</v>
      </c>
      <c r="C20" s="28"/>
      <c r="D20" s="28"/>
      <c r="E20" s="29"/>
      <c r="F20" s="57"/>
      <c r="G20" s="58"/>
      <c r="H20" s="57">
        <v>2</v>
      </c>
      <c r="I20" s="58"/>
      <c r="J20" s="57">
        <v>1</v>
      </c>
      <c r="K20" s="58"/>
      <c r="L20" s="69">
        <v>1</v>
      </c>
    </row>
    <row r="21" s="5" customFormat="1" ht="18" hidden="1" customHeight="1" spans="1:12">
      <c r="A21" s="60" t="s">
        <v>124</v>
      </c>
      <c r="B21" s="27" t="s">
        <v>122</v>
      </c>
      <c r="C21" s="28"/>
      <c r="D21" s="28"/>
      <c r="E21" s="29"/>
      <c r="F21" s="57"/>
      <c r="G21" s="58"/>
      <c r="H21" s="57">
        <v>1</v>
      </c>
      <c r="I21" s="58"/>
      <c r="J21" s="57">
        <v>0</v>
      </c>
      <c r="K21" s="58"/>
      <c r="L21" s="68">
        <v>0</v>
      </c>
    </row>
    <row r="22" s="5" customFormat="1" ht="18" hidden="1" customHeight="1" spans="1:12">
      <c r="A22" s="61" t="s">
        <v>125</v>
      </c>
      <c r="B22" s="27" t="s">
        <v>126</v>
      </c>
      <c r="C22" s="28"/>
      <c r="D22" s="28"/>
      <c r="E22" s="29"/>
      <c r="F22" s="57">
        <v>3</v>
      </c>
      <c r="G22" s="58"/>
      <c r="H22" s="57">
        <v>0</v>
      </c>
      <c r="I22" s="58"/>
      <c r="J22" s="57">
        <v>3</v>
      </c>
      <c r="K22" s="58"/>
      <c r="L22" s="70">
        <v>3</v>
      </c>
    </row>
    <row r="23" s="5" customFormat="1" ht="19.5" hidden="1" customHeight="1" spans="1:12">
      <c r="A23" s="60" t="s">
        <v>127</v>
      </c>
      <c r="B23" s="27" t="s">
        <v>126</v>
      </c>
      <c r="C23" s="28"/>
      <c r="D23" s="28"/>
      <c r="E23" s="29"/>
      <c r="F23" s="57"/>
      <c r="G23" s="58"/>
      <c r="H23" s="57">
        <v>2</v>
      </c>
      <c r="I23" s="58"/>
      <c r="J23" s="57">
        <v>1</v>
      </c>
      <c r="K23" s="58"/>
      <c r="L23" s="70">
        <v>1</v>
      </c>
    </row>
    <row r="24" s="5" customFormat="1" ht="21.75" hidden="1" customHeight="1" spans="1:12">
      <c r="A24" s="60" t="s">
        <v>128</v>
      </c>
      <c r="B24" s="27" t="s">
        <v>126</v>
      </c>
      <c r="C24" s="28"/>
      <c r="D24" s="28"/>
      <c r="E24" s="29"/>
      <c r="F24" s="57"/>
      <c r="G24" s="58"/>
      <c r="H24" s="57">
        <v>1</v>
      </c>
      <c r="I24" s="58"/>
      <c r="J24" s="57">
        <v>0</v>
      </c>
      <c r="K24" s="58"/>
      <c r="L24" s="71">
        <v>0</v>
      </c>
    </row>
    <row r="25" s="5" customFormat="1" ht="21.75" hidden="1" customHeight="1" spans="1:12">
      <c r="A25" s="61" t="s">
        <v>129</v>
      </c>
      <c r="B25" s="24" t="s">
        <v>130</v>
      </c>
      <c r="C25" s="33"/>
      <c r="D25" s="33"/>
      <c r="E25" s="25"/>
      <c r="F25" s="57">
        <v>1</v>
      </c>
      <c r="G25" s="58"/>
      <c r="H25" s="57">
        <v>0</v>
      </c>
      <c r="I25" s="58"/>
      <c r="J25" s="57">
        <v>0</v>
      </c>
      <c r="K25" s="58"/>
      <c r="L25" s="61">
        <v>1</v>
      </c>
    </row>
    <row r="26" s="5" customFormat="1" ht="21.75" hidden="1" customHeight="1" spans="1:12">
      <c r="A26" s="60" t="s">
        <v>131</v>
      </c>
      <c r="B26" s="24" t="s">
        <v>130</v>
      </c>
      <c r="C26" s="33"/>
      <c r="D26" s="33"/>
      <c r="E26" s="25"/>
      <c r="F26" s="57"/>
      <c r="G26" s="58"/>
      <c r="H26" s="57">
        <v>1</v>
      </c>
      <c r="I26" s="58"/>
      <c r="J26" s="57">
        <v>0</v>
      </c>
      <c r="K26" s="58"/>
      <c r="L26" s="71">
        <v>0</v>
      </c>
    </row>
    <row r="27" s="5" customFormat="1" ht="21" hidden="1" customHeight="1" spans="1:12">
      <c r="A27" s="61" t="s">
        <v>132</v>
      </c>
      <c r="B27" s="24" t="s">
        <v>133</v>
      </c>
      <c r="C27" s="33"/>
      <c r="D27" s="33"/>
      <c r="E27" s="25"/>
      <c r="F27" s="53">
        <v>3</v>
      </c>
      <c r="G27" s="54"/>
      <c r="H27" s="53">
        <v>0</v>
      </c>
      <c r="I27" s="54"/>
      <c r="J27" s="53">
        <v>3</v>
      </c>
      <c r="K27" s="54"/>
      <c r="L27" s="72">
        <v>3</v>
      </c>
    </row>
    <row r="28" s="5" customFormat="1" ht="21" hidden="1" customHeight="1" spans="1:12">
      <c r="A28" s="32" t="s">
        <v>134</v>
      </c>
      <c r="B28" s="24" t="s">
        <v>133</v>
      </c>
      <c r="C28" s="33"/>
      <c r="D28" s="33"/>
      <c r="E28" s="25"/>
      <c r="F28" s="53"/>
      <c r="G28" s="54"/>
      <c r="H28" s="53">
        <v>1</v>
      </c>
      <c r="I28" s="54"/>
      <c r="J28" s="53">
        <v>2</v>
      </c>
      <c r="K28" s="54"/>
      <c r="L28" s="72">
        <v>2</v>
      </c>
    </row>
    <row r="29" s="5" customFormat="1" ht="20.25" hidden="1" customHeight="1" spans="1:12">
      <c r="A29" s="32" t="s">
        <v>135</v>
      </c>
      <c r="B29" s="24" t="s">
        <v>133</v>
      </c>
      <c r="C29" s="33"/>
      <c r="D29" s="33"/>
      <c r="E29" s="25"/>
      <c r="F29" s="53"/>
      <c r="G29" s="54"/>
      <c r="H29" s="53">
        <v>1</v>
      </c>
      <c r="I29" s="54"/>
      <c r="J29" s="53">
        <v>1</v>
      </c>
      <c r="K29" s="54"/>
      <c r="L29" s="73">
        <v>1</v>
      </c>
    </row>
    <row r="30" s="5" customFormat="1" ht="20.25" hidden="1" customHeight="1" spans="1:12">
      <c r="A30" s="32" t="s">
        <v>136</v>
      </c>
      <c r="B30" s="24" t="s">
        <v>133</v>
      </c>
      <c r="C30" s="33"/>
      <c r="D30" s="33"/>
      <c r="E30" s="25"/>
      <c r="F30" s="53"/>
      <c r="G30" s="54"/>
      <c r="H30" s="53">
        <v>1</v>
      </c>
      <c r="I30" s="54"/>
      <c r="J30" s="53">
        <v>0</v>
      </c>
      <c r="K30" s="54"/>
      <c r="L30" s="74">
        <v>0</v>
      </c>
    </row>
    <row r="31" s="5" customFormat="1" ht="20.25" customHeight="1" spans="1:12">
      <c r="A31" s="61" t="s">
        <v>132</v>
      </c>
      <c r="B31" s="24" t="s">
        <v>137</v>
      </c>
      <c r="C31" s="33"/>
      <c r="D31" s="33"/>
      <c r="E31" s="25"/>
      <c r="F31" s="62">
        <v>3</v>
      </c>
      <c r="G31" s="63"/>
      <c r="H31" s="62">
        <v>0</v>
      </c>
      <c r="I31" s="63"/>
      <c r="J31" s="62">
        <v>3</v>
      </c>
      <c r="K31" s="63"/>
      <c r="L31" s="72">
        <v>3</v>
      </c>
    </row>
    <row r="32" s="5" customFormat="1" ht="20.25" customHeight="1" spans="1:12">
      <c r="A32" s="60" t="s">
        <v>138</v>
      </c>
      <c r="B32" s="24" t="s">
        <v>137</v>
      </c>
      <c r="C32" s="33"/>
      <c r="D32" s="33"/>
      <c r="E32" s="25"/>
      <c r="F32" s="62"/>
      <c r="G32" s="63"/>
      <c r="H32" s="62">
        <v>1</v>
      </c>
      <c r="I32" s="63"/>
      <c r="J32" s="62">
        <v>2</v>
      </c>
      <c r="K32" s="63"/>
      <c r="L32" s="72">
        <v>2</v>
      </c>
    </row>
    <row r="33" s="5" customFormat="1" ht="20.25" customHeight="1" spans="1:12">
      <c r="A33" s="60" t="s">
        <v>139</v>
      </c>
      <c r="B33" s="24" t="s">
        <v>137</v>
      </c>
      <c r="C33" s="33"/>
      <c r="D33" s="33"/>
      <c r="E33" s="25"/>
      <c r="F33" s="62"/>
      <c r="G33" s="63"/>
      <c r="H33" s="62">
        <v>1</v>
      </c>
      <c r="I33" s="63"/>
      <c r="J33" s="62">
        <v>1</v>
      </c>
      <c r="K33" s="63"/>
      <c r="L33" s="72">
        <v>1</v>
      </c>
    </row>
    <row r="34" s="5" customFormat="1" ht="20.25" customHeight="1" spans="1:12">
      <c r="A34" s="60" t="s">
        <v>140</v>
      </c>
      <c r="B34" s="24" t="s">
        <v>137</v>
      </c>
      <c r="C34" s="33"/>
      <c r="D34" s="33"/>
      <c r="E34" s="25"/>
      <c r="F34" s="62"/>
      <c r="G34" s="63"/>
      <c r="H34" s="62">
        <v>1</v>
      </c>
      <c r="I34" s="63"/>
      <c r="J34" s="62">
        <v>0</v>
      </c>
      <c r="K34" s="63"/>
      <c r="L34" s="74">
        <v>0</v>
      </c>
    </row>
    <row r="35" customFormat="1" ht="30" customHeight="1" spans="1:12">
      <c r="A35" s="64" t="s">
        <v>141</v>
      </c>
      <c r="B35" s="24" t="s">
        <v>142</v>
      </c>
      <c r="C35" s="33"/>
      <c r="D35" s="33"/>
      <c r="E35" s="25"/>
      <c r="F35" s="62">
        <v>1</v>
      </c>
      <c r="G35" s="63"/>
      <c r="H35" s="62">
        <v>0</v>
      </c>
      <c r="I35" s="63"/>
      <c r="J35" s="62">
        <v>1</v>
      </c>
      <c r="K35" s="63"/>
      <c r="L35" s="50">
        <v>1</v>
      </c>
    </row>
    <row r="36" customFormat="1" ht="30" customHeight="1" spans="1:12">
      <c r="A36" s="64" t="s">
        <v>143</v>
      </c>
      <c r="B36" s="24" t="s">
        <v>142</v>
      </c>
      <c r="C36" s="33"/>
      <c r="D36" s="33"/>
      <c r="E36" s="25"/>
      <c r="F36" s="62"/>
      <c r="G36" s="63"/>
      <c r="H36" s="62">
        <v>1</v>
      </c>
      <c r="I36" s="63"/>
      <c r="J36" s="62">
        <v>0</v>
      </c>
      <c r="K36" s="63"/>
      <c r="L36" s="49">
        <v>0</v>
      </c>
    </row>
    <row r="37" s="3" customFormat="1" spans="1:12">
      <c r="A37" s="38" t="s">
        <v>144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51"/>
    </row>
    <row r="38" ht="4.5" customHeight="1" spans="1:12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s="1" customFormat="1" spans="3:9">
      <c r="C39" s="41"/>
      <c r="I39" s="1" t="s">
        <v>102</v>
      </c>
    </row>
    <row r="40" s="1" customFormat="1" spans="3:3">
      <c r="C40" s="41"/>
    </row>
    <row r="41" spans="10:12">
      <c r="J41" s="75" t="s">
        <v>104</v>
      </c>
      <c r="K41" s="75"/>
      <c r="L41" s="75"/>
    </row>
    <row r="42" spans="10:12">
      <c r="J42" s="43" t="s">
        <v>105</v>
      </c>
      <c r="K42" s="43"/>
      <c r="L42" s="43"/>
    </row>
    <row r="43" spans="11:12">
      <c r="K43" s="38" t="s">
        <v>106</v>
      </c>
      <c r="L43" s="38"/>
    </row>
  </sheetData>
  <mergeCells count="107">
    <mergeCell ref="A2:L2"/>
    <mergeCell ref="A3:L3"/>
    <mergeCell ref="A4:L4"/>
    <mergeCell ref="A5:L5"/>
    <mergeCell ref="A10:L10"/>
    <mergeCell ref="B11:K11"/>
    <mergeCell ref="B12:E12"/>
    <mergeCell ref="F12:G12"/>
    <mergeCell ref="H12:I12"/>
    <mergeCell ref="J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H26:I26"/>
    <mergeCell ref="J26:K26"/>
    <mergeCell ref="B27:E27"/>
    <mergeCell ref="F27:G27"/>
    <mergeCell ref="H27:I27"/>
    <mergeCell ref="J27:K27"/>
    <mergeCell ref="B28:E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  <mergeCell ref="B34:E34"/>
    <mergeCell ref="F34:G34"/>
    <mergeCell ref="H34:I34"/>
    <mergeCell ref="J34:K34"/>
    <mergeCell ref="B35:E35"/>
    <mergeCell ref="F35:G35"/>
    <mergeCell ref="H35:I35"/>
    <mergeCell ref="J35:K35"/>
    <mergeCell ref="B36:E36"/>
    <mergeCell ref="F36:G36"/>
    <mergeCell ref="H36:I36"/>
    <mergeCell ref="J36:K36"/>
    <mergeCell ref="A38:L38"/>
    <mergeCell ref="J41:L41"/>
    <mergeCell ref="J42:L42"/>
    <mergeCell ref="A11:A12"/>
    <mergeCell ref="L11:L12"/>
  </mergeCells>
  <pageMargins left="0.25" right="0.25" top="0.75" bottom="0.75" header="0.3" footer="0.3"/>
  <pageSetup paperSize="9" scale="72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view="pageBreakPreview" zoomScale="112" zoomScaleNormal="100" topLeftCell="A10" workbookViewId="0">
      <selection activeCell="M26" sqref="M26"/>
    </sheetView>
  </sheetViews>
  <sheetFormatPr defaultColWidth="8.71296296296296" defaultRowHeight="14.4"/>
  <cols>
    <col min="1" max="1" width="26.5740740740741" style="6" customWidth="1"/>
    <col min="2" max="4" width="8.71296296296296" style="6"/>
    <col min="5" max="5" width="14.8518518518519" style="6" customWidth="1"/>
    <col min="6" max="16384" width="8.71296296296296" style="6"/>
  </cols>
  <sheetData>
    <row r="1" s="1" customFormat="1" ht="52.5" customHeight="1"/>
    <row r="2" s="1" customFormat="1" ht="10.5" customHeight="1" spans="1:1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="1" customFormat="1" ht="15.95" customHeight="1" spans="1:1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="1" customFormat="1" ht="15.95" customHeight="1" spans="1:12">
      <c r="A4" s="7" t="s">
        <v>107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="1" customFormat="1" ht="15.95" customHeight="1" spans="1:12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="1" customFormat="1" ht="8.25" customHeight="1"/>
    <row r="7" s="1" customFormat="1" ht="12" customHeight="1" spans="1:8">
      <c r="A7" s="1" t="s">
        <v>4</v>
      </c>
      <c r="C7" s="8" t="s">
        <v>5</v>
      </c>
      <c r="D7" s="8"/>
      <c r="G7" s="8" t="s">
        <v>6</v>
      </c>
      <c r="H7" s="9"/>
    </row>
    <row r="8" s="1" customFormat="1" ht="12" customHeight="1" spans="3:8">
      <c r="C8" s="10"/>
      <c r="G8" s="10"/>
      <c r="H8" s="10"/>
    </row>
    <row r="9" s="1" customFormat="1" ht="12" customHeight="1" spans="1:8">
      <c r="A9" s="1" t="s">
        <v>7</v>
      </c>
      <c r="C9" s="8" t="s">
        <v>8</v>
      </c>
      <c r="D9" s="8"/>
      <c r="G9" s="8" t="s">
        <v>9</v>
      </c>
      <c r="H9" s="11"/>
    </row>
    <row r="10" ht="16.5" customHeight="1" spans="1:12">
      <c r="A10" s="12" t="s">
        <v>108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="2" customFormat="1" ht="15.95" customHeight="1" spans="1:12">
      <c r="A11" s="13" t="s">
        <v>11</v>
      </c>
      <c r="B11" s="14" t="s">
        <v>12</v>
      </c>
      <c r="C11" s="15"/>
      <c r="D11" s="15"/>
      <c r="E11" s="15"/>
      <c r="F11" s="15"/>
      <c r="G11" s="15"/>
      <c r="H11" s="15"/>
      <c r="I11" s="15"/>
      <c r="J11" s="15"/>
      <c r="K11" s="15"/>
      <c r="L11" s="45" t="s">
        <v>15</v>
      </c>
    </row>
    <row r="12" s="2" customFormat="1" ht="15.95" customHeight="1" spans="1:12">
      <c r="A12" s="16"/>
      <c r="B12" s="17" t="s">
        <v>109</v>
      </c>
      <c r="C12" s="18"/>
      <c r="D12" s="18"/>
      <c r="E12" s="19"/>
      <c r="F12" s="17" t="s">
        <v>110</v>
      </c>
      <c r="G12" s="19"/>
      <c r="H12" s="17" t="s">
        <v>111</v>
      </c>
      <c r="I12" s="19"/>
      <c r="J12" s="17" t="s">
        <v>112</v>
      </c>
      <c r="K12" s="19"/>
      <c r="L12" s="46"/>
    </row>
    <row r="13" s="2" customFormat="1" ht="24.75" customHeight="1" spans="1:12">
      <c r="A13" s="20" t="s">
        <v>113</v>
      </c>
      <c r="B13" s="21" t="s">
        <v>114</v>
      </c>
      <c r="C13" s="22"/>
      <c r="D13" s="22"/>
      <c r="E13" s="23"/>
      <c r="F13" s="24">
        <v>1</v>
      </c>
      <c r="G13" s="25"/>
      <c r="H13" s="24">
        <v>0</v>
      </c>
      <c r="I13" s="25"/>
      <c r="J13" s="24">
        <v>1</v>
      </c>
      <c r="K13" s="25"/>
      <c r="L13" s="47">
        <v>1</v>
      </c>
    </row>
    <row r="14" s="3" customFormat="1" ht="23.25" customHeight="1" spans="1:12">
      <c r="A14" s="20" t="s">
        <v>115</v>
      </c>
      <c r="B14" s="21" t="s">
        <v>114</v>
      </c>
      <c r="C14" s="22"/>
      <c r="D14" s="22"/>
      <c r="E14" s="23"/>
      <c r="F14" s="24">
        <v>1</v>
      </c>
      <c r="G14" s="25"/>
      <c r="H14" s="24">
        <v>1</v>
      </c>
      <c r="I14" s="25"/>
      <c r="J14" s="24">
        <f>F14-H14</f>
        <v>0</v>
      </c>
      <c r="K14" s="25"/>
      <c r="L14" s="47">
        <v>0</v>
      </c>
    </row>
    <row r="15" s="4" customFormat="1" ht="18" customHeight="1" spans="1:12">
      <c r="A15" s="26" t="s">
        <v>116</v>
      </c>
      <c r="B15" s="27" t="s">
        <v>117</v>
      </c>
      <c r="C15" s="28"/>
      <c r="D15" s="28"/>
      <c r="E15" s="29"/>
      <c r="F15" s="30">
        <v>2</v>
      </c>
      <c r="G15" s="31"/>
      <c r="H15" s="30">
        <v>0</v>
      </c>
      <c r="I15" s="31"/>
      <c r="J15" s="30">
        <v>2</v>
      </c>
      <c r="K15" s="31"/>
      <c r="L15" s="48">
        <v>2</v>
      </c>
    </row>
    <row r="16" s="4" customFormat="1" ht="18" customHeight="1" spans="1:12">
      <c r="A16" s="26" t="s">
        <v>116</v>
      </c>
      <c r="B16" s="27" t="s">
        <v>119</v>
      </c>
      <c r="C16" s="28"/>
      <c r="D16" s="28"/>
      <c r="E16" s="29"/>
      <c r="F16" s="30">
        <v>1</v>
      </c>
      <c r="G16" s="31"/>
      <c r="H16" s="30">
        <v>0</v>
      </c>
      <c r="I16" s="31"/>
      <c r="J16" s="30">
        <v>3</v>
      </c>
      <c r="K16" s="31"/>
      <c r="L16" s="48">
        <v>3</v>
      </c>
    </row>
    <row r="17" s="4" customFormat="1" ht="18" customHeight="1" spans="1:12">
      <c r="A17" s="26" t="s">
        <v>145</v>
      </c>
      <c r="B17" s="27" t="s">
        <v>117</v>
      </c>
      <c r="C17" s="28"/>
      <c r="D17" s="28"/>
      <c r="E17" s="29"/>
      <c r="F17" s="30">
        <v>3</v>
      </c>
      <c r="G17" s="31"/>
      <c r="H17" s="30">
        <v>3</v>
      </c>
      <c r="I17" s="31"/>
      <c r="J17" s="30">
        <v>0</v>
      </c>
      <c r="K17" s="31"/>
      <c r="L17" s="48">
        <v>0</v>
      </c>
    </row>
    <row r="18" s="5" customFormat="1" ht="18" customHeight="1" spans="1:12">
      <c r="A18" s="26" t="s">
        <v>146</v>
      </c>
      <c r="B18" s="27" t="s">
        <v>122</v>
      </c>
      <c r="C18" s="28"/>
      <c r="D18" s="28"/>
      <c r="E18" s="29"/>
      <c r="F18" s="30">
        <v>3</v>
      </c>
      <c r="G18" s="31"/>
      <c r="H18" s="30">
        <v>0</v>
      </c>
      <c r="I18" s="31"/>
      <c r="J18" s="30">
        <v>3</v>
      </c>
      <c r="K18" s="31"/>
      <c r="L18" s="48">
        <v>3</v>
      </c>
    </row>
    <row r="19" s="5" customFormat="1" ht="18" customHeight="1" spans="1:12">
      <c r="A19" s="26" t="s">
        <v>123</v>
      </c>
      <c r="B19" s="27" t="s">
        <v>122</v>
      </c>
      <c r="C19" s="28"/>
      <c r="D19" s="28"/>
      <c r="E19" s="29"/>
      <c r="F19" s="30">
        <v>3</v>
      </c>
      <c r="G19" s="31"/>
      <c r="H19" s="30">
        <v>2</v>
      </c>
      <c r="I19" s="31"/>
      <c r="J19" s="30">
        <v>1</v>
      </c>
      <c r="K19" s="31"/>
      <c r="L19" s="48">
        <v>1</v>
      </c>
    </row>
    <row r="20" s="5" customFormat="1" ht="18" customHeight="1" spans="1:12">
      <c r="A20" s="32" t="s">
        <v>125</v>
      </c>
      <c r="B20" s="27" t="s">
        <v>126</v>
      </c>
      <c r="C20" s="28"/>
      <c r="D20" s="28"/>
      <c r="E20" s="29"/>
      <c r="F20" s="30">
        <v>3</v>
      </c>
      <c r="G20" s="31"/>
      <c r="H20" s="30">
        <v>0</v>
      </c>
      <c r="I20" s="31"/>
      <c r="J20" s="30">
        <v>4</v>
      </c>
      <c r="K20" s="31"/>
      <c r="L20" s="32">
        <v>4</v>
      </c>
    </row>
    <row r="21" s="5" customFormat="1" ht="18" customHeight="1" spans="1:12">
      <c r="A21" s="32" t="s">
        <v>127</v>
      </c>
      <c r="B21" s="27" t="s">
        <v>126</v>
      </c>
      <c r="C21" s="28"/>
      <c r="D21" s="28"/>
      <c r="E21" s="29"/>
      <c r="F21" s="30">
        <v>4</v>
      </c>
      <c r="G21" s="31"/>
      <c r="H21" s="30">
        <v>2</v>
      </c>
      <c r="I21" s="31"/>
      <c r="J21" s="30">
        <v>2</v>
      </c>
      <c r="K21" s="31"/>
      <c r="L21" s="32">
        <v>2</v>
      </c>
    </row>
    <row r="22" s="5" customFormat="1" ht="18" customHeight="1" spans="1:12">
      <c r="A22" s="32" t="s">
        <v>147</v>
      </c>
      <c r="B22" s="27" t="s">
        <v>126</v>
      </c>
      <c r="C22" s="28"/>
      <c r="D22" s="28"/>
      <c r="E22" s="29"/>
      <c r="F22" s="30">
        <v>2</v>
      </c>
      <c r="G22" s="31"/>
      <c r="H22" s="30">
        <v>2</v>
      </c>
      <c r="I22" s="31"/>
      <c r="J22" s="30">
        <v>0</v>
      </c>
      <c r="K22" s="31"/>
      <c r="L22" s="32">
        <v>0</v>
      </c>
    </row>
    <row r="23" s="5" customFormat="1" ht="24" customHeight="1" spans="1:12">
      <c r="A23" s="32" t="s">
        <v>148</v>
      </c>
      <c r="B23" s="24" t="s">
        <v>149</v>
      </c>
      <c r="C23" s="33"/>
      <c r="D23" s="33"/>
      <c r="E23" s="25"/>
      <c r="F23" s="24">
        <v>1</v>
      </c>
      <c r="G23" s="25"/>
      <c r="H23" s="24">
        <v>0</v>
      </c>
      <c r="I23" s="25"/>
      <c r="J23" s="24">
        <v>1</v>
      </c>
      <c r="K23" s="25"/>
      <c r="L23" s="47">
        <v>1</v>
      </c>
    </row>
    <row r="24" s="5" customFormat="1" ht="24" customHeight="1" spans="1:12">
      <c r="A24" s="34" t="s">
        <v>150</v>
      </c>
      <c r="B24" s="35" t="s">
        <v>149</v>
      </c>
      <c r="C24" s="36"/>
      <c r="D24" s="36"/>
      <c r="E24" s="37"/>
      <c r="F24" s="35">
        <v>1</v>
      </c>
      <c r="G24" s="37"/>
      <c r="H24" s="35">
        <v>1</v>
      </c>
      <c r="I24" s="37"/>
      <c r="J24" s="35">
        <v>0</v>
      </c>
      <c r="K24" s="37"/>
      <c r="L24" s="49">
        <v>0</v>
      </c>
    </row>
    <row r="25" s="5" customFormat="1" ht="24" customHeight="1" spans="1:12">
      <c r="A25" s="32" t="s">
        <v>132</v>
      </c>
      <c r="B25" s="24" t="s">
        <v>133</v>
      </c>
      <c r="C25" s="33"/>
      <c r="D25" s="33"/>
      <c r="E25" s="25"/>
      <c r="F25" s="24">
        <v>3</v>
      </c>
      <c r="G25" s="25"/>
      <c r="H25" s="24">
        <v>0</v>
      </c>
      <c r="I25" s="25"/>
      <c r="J25" s="24">
        <v>3</v>
      </c>
      <c r="K25" s="25"/>
      <c r="L25" s="50">
        <v>3</v>
      </c>
    </row>
    <row r="26" s="5" customFormat="1" ht="24" customHeight="1" spans="1:12">
      <c r="A26" s="32" t="s">
        <v>135</v>
      </c>
      <c r="B26" s="24" t="s">
        <v>133</v>
      </c>
      <c r="C26" s="33"/>
      <c r="D26" s="33"/>
      <c r="E26" s="25"/>
      <c r="F26" s="24">
        <v>3</v>
      </c>
      <c r="G26" s="25"/>
      <c r="H26" s="24">
        <v>1</v>
      </c>
      <c r="I26" s="25"/>
      <c r="J26" s="24">
        <v>2</v>
      </c>
      <c r="K26" s="25"/>
      <c r="L26" s="50">
        <v>2</v>
      </c>
    </row>
    <row r="27" s="3" customFormat="1" spans="1:12">
      <c r="A27" s="38" t="s">
        <v>144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51"/>
    </row>
    <row r="28" ht="4.5" customHeight="1" spans="1:12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s="1" customFormat="1" spans="1:3">
      <c r="A29" s="1" t="s">
        <v>102</v>
      </c>
      <c r="C29" s="41"/>
    </row>
    <row r="30" s="1" customFormat="1" spans="3:3">
      <c r="C30" s="41"/>
    </row>
    <row r="31" spans="1:2">
      <c r="A31" s="42" t="s">
        <v>104</v>
      </c>
      <c r="B31" s="42"/>
    </row>
    <row r="32" spans="1:2">
      <c r="A32" s="43" t="s">
        <v>105</v>
      </c>
      <c r="B32" s="43"/>
    </row>
    <row r="33" spans="1:2">
      <c r="A33" s="44" t="s">
        <v>106</v>
      </c>
      <c r="B33" s="44"/>
    </row>
  </sheetData>
  <mergeCells count="72">
    <mergeCell ref="A2:L2"/>
    <mergeCell ref="A3:L3"/>
    <mergeCell ref="A4:L4"/>
    <mergeCell ref="A5:L5"/>
    <mergeCell ref="A10:L10"/>
    <mergeCell ref="B11:K11"/>
    <mergeCell ref="B12:E12"/>
    <mergeCell ref="F12:G12"/>
    <mergeCell ref="H12:I12"/>
    <mergeCell ref="J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A28:L28"/>
    <mergeCell ref="A31:B31"/>
    <mergeCell ref="A32:B32"/>
    <mergeCell ref="A33:B33"/>
    <mergeCell ref="A11:A12"/>
    <mergeCell ref="L11:L12"/>
  </mergeCells>
  <pageMargins left="0.7" right="0.7" top="0.75" bottom="0.75" header="0.3" footer="0.3"/>
  <pageSetup paperSize="9" scale="8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CORRECTED</vt:lpstr>
      <vt:lpstr>CTO-WRONG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2025-10-29T06:49:00Z</cp:lastPrinted>
  <dcterms:modified xsi:type="dcterms:W3CDTF">2026-01-01T03:48:40Z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35E71D7075D04445A75014E5D98D11BD_12</vt:lpwstr>
  </property>
  <property fmtid="{D5CDD505-2E9C-101B-9397-08002B2CF9AE}" pid="3" name="KSOProductBuildVer">
    <vt:lpwstr>1033-12.2.0.23196</vt:lpwstr>
  </property>
</Properties>
</file>