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CB19EFE0-0F78-4234-8EAF-AFE3256F5D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Sheet1!$A$1:$L$108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1" i="1" l="1"/>
  <c r="L101" i="1" s="1"/>
  <c r="K101" i="1"/>
  <c r="L100" i="1"/>
  <c r="K100" i="1"/>
  <c r="J100" i="1"/>
  <c r="L99" i="1"/>
  <c r="K99" i="1"/>
  <c r="J99" i="1"/>
  <c r="L98" i="1"/>
  <c r="K98" i="1"/>
  <c r="J98" i="1"/>
  <c r="L97" i="1"/>
  <c r="K97" i="1"/>
  <c r="J97" i="1"/>
  <c r="L96" i="1"/>
  <c r="K96" i="1"/>
  <c r="J96" i="1"/>
  <c r="L95" i="1"/>
  <c r="K95" i="1"/>
  <c r="J95" i="1"/>
  <c r="L94" i="1"/>
  <c r="K94" i="1"/>
  <c r="J94" i="1"/>
  <c r="L93" i="1"/>
  <c r="K93" i="1"/>
  <c r="J93" i="1"/>
  <c r="L92" i="1"/>
  <c r="K92" i="1"/>
  <c r="J92" i="1"/>
  <c r="L91" i="1"/>
  <c r="K91" i="1"/>
  <c r="J91" i="1"/>
  <c r="L90" i="1"/>
  <c r="K90" i="1"/>
  <c r="J90" i="1"/>
  <c r="L89" i="1"/>
  <c r="K89" i="1"/>
  <c r="J89" i="1"/>
  <c r="L88" i="1"/>
  <c r="K88" i="1"/>
  <c r="J88" i="1"/>
  <c r="L87" i="1"/>
  <c r="K87" i="1"/>
  <c r="J87" i="1"/>
  <c r="L86" i="1"/>
  <c r="K86" i="1"/>
  <c r="J86" i="1"/>
  <c r="L85" i="1"/>
  <c r="K85" i="1"/>
  <c r="J85" i="1"/>
  <c r="L84" i="1"/>
  <c r="K84" i="1"/>
  <c r="J84" i="1"/>
  <c r="L83" i="1"/>
  <c r="K83" i="1"/>
  <c r="J83" i="1"/>
  <c r="L82" i="1"/>
  <c r="K82" i="1"/>
  <c r="J82" i="1"/>
  <c r="L81" i="1"/>
  <c r="K81" i="1"/>
  <c r="J81" i="1"/>
  <c r="L80" i="1"/>
  <c r="K80" i="1"/>
  <c r="J80" i="1"/>
  <c r="L79" i="1"/>
  <c r="K79" i="1"/>
  <c r="J79" i="1"/>
  <c r="L78" i="1"/>
  <c r="K78" i="1"/>
  <c r="J78" i="1"/>
  <c r="L77" i="1"/>
  <c r="K77" i="1"/>
  <c r="J77" i="1"/>
  <c r="L76" i="1"/>
  <c r="K76" i="1"/>
  <c r="J76" i="1"/>
  <c r="L75" i="1"/>
  <c r="K75" i="1"/>
  <c r="J75" i="1"/>
  <c r="L74" i="1"/>
  <c r="K74" i="1"/>
  <c r="J74" i="1"/>
  <c r="L73" i="1"/>
  <c r="K73" i="1"/>
  <c r="J73" i="1"/>
  <c r="L72" i="1"/>
  <c r="K72" i="1"/>
  <c r="J72" i="1"/>
  <c r="L71" i="1"/>
  <c r="K71" i="1"/>
  <c r="J71" i="1"/>
  <c r="L70" i="1"/>
  <c r="K70" i="1"/>
  <c r="J70" i="1"/>
  <c r="L69" i="1"/>
  <c r="K69" i="1"/>
  <c r="J69" i="1"/>
  <c r="L68" i="1"/>
  <c r="K68" i="1"/>
  <c r="J68" i="1"/>
  <c r="L67" i="1"/>
  <c r="K67" i="1"/>
  <c r="J67" i="1"/>
  <c r="L66" i="1"/>
  <c r="K66" i="1"/>
  <c r="J66" i="1"/>
  <c r="L65" i="1"/>
  <c r="K65" i="1"/>
  <c r="J65" i="1"/>
  <c r="L64" i="1"/>
  <c r="K64" i="1"/>
  <c r="J64" i="1"/>
  <c r="L63" i="1"/>
  <c r="K63" i="1"/>
  <c r="J63" i="1"/>
  <c r="L62" i="1"/>
  <c r="K62" i="1"/>
  <c r="J62" i="1"/>
  <c r="L61" i="1"/>
  <c r="K61" i="1"/>
  <c r="J61" i="1"/>
  <c r="L60" i="1"/>
  <c r="K60" i="1"/>
  <c r="J60" i="1"/>
  <c r="L59" i="1"/>
  <c r="K59" i="1"/>
  <c r="J59" i="1"/>
  <c r="L58" i="1"/>
  <c r="K58" i="1"/>
  <c r="J58" i="1"/>
  <c r="L57" i="1"/>
  <c r="K57" i="1"/>
  <c r="J57" i="1"/>
  <c r="L56" i="1"/>
  <c r="K56" i="1"/>
  <c r="J56" i="1"/>
  <c r="L55" i="1"/>
  <c r="K55" i="1"/>
  <c r="J55" i="1"/>
  <c r="L54" i="1"/>
  <c r="K54" i="1"/>
  <c r="J54" i="1"/>
  <c r="B54" i="1"/>
  <c r="L53" i="1"/>
  <c r="K53" i="1"/>
  <c r="J53" i="1"/>
  <c r="L52" i="1"/>
  <c r="K52" i="1"/>
  <c r="J52" i="1"/>
  <c r="L51" i="1"/>
  <c r="K51" i="1"/>
  <c r="J51" i="1"/>
  <c r="L50" i="1"/>
  <c r="K50" i="1"/>
  <c r="J50" i="1"/>
  <c r="L49" i="1"/>
  <c r="K49" i="1"/>
  <c r="J49" i="1"/>
  <c r="L48" i="1"/>
  <c r="K48" i="1"/>
  <c r="J48" i="1"/>
  <c r="L47" i="1"/>
  <c r="K47" i="1"/>
  <c r="J47" i="1"/>
  <c r="L46" i="1"/>
  <c r="K46" i="1"/>
  <c r="J46" i="1"/>
  <c r="L45" i="1"/>
  <c r="K45" i="1"/>
  <c r="J45" i="1"/>
  <c r="L44" i="1"/>
  <c r="K44" i="1"/>
  <c r="J44" i="1"/>
  <c r="L43" i="1"/>
  <c r="K43" i="1"/>
  <c r="J43" i="1"/>
  <c r="L42" i="1"/>
  <c r="K42" i="1"/>
  <c r="J42" i="1"/>
  <c r="L41" i="1"/>
  <c r="K41" i="1"/>
  <c r="J41" i="1"/>
  <c r="L40" i="1"/>
  <c r="K40" i="1"/>
  <c r="J40" i="1"/>
  <c r="L39" i="1"/>
  <c r="K39" i="1"/>
  <c r="J39" i="1"/>
  <c r="L38" i="1"/>
  <c r="K38" i="1"/>
  <c r="J38" i="1"/>
  <c r="L37" i="1"/>
  <c r="K37" i="1"/>
  <c r="J37" i="1"/>
  <c r="L36" i="1"/>
  <c r="K36" i="1"/>
  <c r="J36" i="1"/>
  <c r="L35" i="1"/>
  <c r="K35" i="1"/>
  <c r="J35" i="1"/>
  <c r="L34" i="1"/>
  <c r="K34" i="1"/>
  <c r="J34" i="1"/>
  <c r="L33" i="1"/>
  <c r="K33" i="1"/>
  <c r="J33" i="1"/>
  <c r="L32" i="1"/>
  <c r="K32" i="1"/>
  <c r="J32" i="1"/>
  <c r="L31" i="1"/>
  <c r="K31" i="1"/>
  <c r="J31" i="1"/>
  <c r="L30" i="1"/>
  <c r="K30" i="1"/>
  <c r="J30" i="1"/>
  <c r="L29" i="1"/>
  <c r="K29" i="1"/>
  <c r="J29" i="1"/>
  <c r="L28" i="1"/>
  <c r="K28" i="1"/>
  <c r="J28" i="1"/>
  <c r="L27" i="1"/>
  <c r="K27" i="1"/>
  <c r="J27" i="1"/>
  <c r="L26" i="1"/>
  <c r="K26" i="1"/>
  <c r="J26" i="1"/>
  <c r="L25" i="1"/>
  <c r="K25" i="1"/>
  <c r="J25" i="1"/>
  <c r="L24" i="1"/>
  <c r="K24" i="1"/>
  <c r="J24" i="1"/>
  <c r="L23" i="1"/>
  <c r="K23" i="1"/>
  <c r="J23" i="1"/>
  <c r="L22" i="1"/>
  <c r="K22" i="1"/>
  <c r="J22" i="1"/>
  <c r="L21" i="1"/>
  <c r="K21" i="1"/>
  <c r="J21" i="1"/>
  <c r="L20" i="1"/>
  <c r="K20" i="1"/>
  <c r="J20" i="1"/>
  <c r="L19" i="1"/>
  <c r="K19" i="1"/>
  <c r="J19" i="1"/>
  <c r="L18" i="1"/>
  <c r="K18" i="1"/>
  <c r="J18" i="1"/>
  <c r="L17" i="1"/>
  <c r="K17" i="1"/>
  <c r="J17" i="1"/>
  <c r="L16" i="1"/>
  <c r="K16" i="1"/>
  <c r="J16" i="1"/>
</calcChain>
</file>

<file path=xl/sharedStrings.xml><?xml version="1.0" encoding="utf-8"?>
<sst xmlns="http://schemas.openxmlformats.org/spreadsheetml/2006/main" count="119" uniqueCount="115">
  <si>
    <t>Republic of the Philippines</t>
  </si>
  <si>
    <t>Department of Education</t>
  </si>
  <si>
    <t>REGION VI-WESTERN VISAYAS</t>
  </si>
  <si>
    <t>SCHOOLS DIVISION OF SIPALAY CITY</t>
  </si>
  <si>
    <t>NAME: JENNIFER S. VILLO</t>
  </si>
  <si>
    <t xml:space="preserve">DISTRICT </t>
  </si>
  <si>
    <t>: ______________________</t>
  </si>
  <si>
    <t xml:space="preserve">EMP. NO  : </t>
  </si>
  <si>
    <t xml:space="preserve">STATION CODE: </t>
  </si>
  <si>
    <t>POSITION: ADA III-UTILITY</t>
  </si>
  <si>
    <t>SCHOOL/OFFICE: GMNHS-JHS</t>
  </si>
  <si>
    <t>LEAVE CARD</t>
  </si>
  <si>
    <t xml:space="preserve">DATE OF APPOINTMENT: </t>
  </si>
  <si>
    <t>PERIOD COVERED</t>
  </si>
  <si>
    <t>LEAVE EARNED</t>
  </si>
  <si>
    <t>LEAVE SPENT</t>
  </si>
  <si>
    <t>BALANCE</t>
  </si>
  <si>
    <t>TOTAL</t>
  </si>
  <si>
    <t>VACATION</t>
  </si>
  <si>
    <t>SICK</t>
  </si>
  <si>
    <t>SPECIAL PRIVILEGE</t>
  </si>
  <si>
    <t>OTHER LEAVE</t>
  </si>
  <si>
    <t>FORCED</t>
  </si>
  <si>
    <t>SPECIAL</t>
  </si>
  <si>
    <t>DATE OF ORIGINAL APPOINTMENT: 10/01/2001`</t>
  </si>
  <si>
    <t>ADD: 10/01/2001-12/31/2001</t>
  </si>
  <si>
    <t>ADD: 01/01/2002-12/31/2002</t>
  </si>
  <si>
    <t>ADD: 01/01/2003-12/31/2003</t>
  </si>
  <si>
    <t>ADD:01/01/2004-12/31/2004</t>
  </si>
  <si>
    <t>LESS: MONETIZATION 2004</t>
  </si>
  <si>
    <t>ADD:01/01/2005- 11/30/2005</t>
  </si>
  <si>
    <t>LESS: MONETIZATION 2005</t>
  </si>
  <si>
    <t>ADD: 12/01/2005-12/31/2005</t>
  </si>
  <si>
    <t>ADD:01/01/2006-12/31/2006</t>
  </si>
  <si>
    <t>ADD: 01/01/2007-12/31/2007</t>
  </si>
  <si>
    <t>ADD: 01/01/2008-12/31/2008</t>
  </si>
  <si>
    <t>ADD: 01/01/2007-12/31/2009</t>
  </si>
  <si>
    <t>ADD: 01/01/2007-12/31/2010</t>
  </si>
  <si>
    <t>ADD: 01/01/2007-12/31/2011</t>
  </si>
  <si>
    <t>LESS: MONETIZATION CY 2011 (12/06/2011)</t>
  </si>
  <si>
    <t>ADD:01/01/2012-12/31/2012</t>
  </si>
  <si>
    <t>LESS: MONETIZATION FY 2012 (11/27/2012)</t>
  </si>
  <si>
    <t>ADD: 01/01/2013-12/31/2013</t>
  </si>
  <si>
    <t>ADD:01/01/2014-12/31/2014</t>
  </si>
  <si>
    <t>LESS: MONETIZATION 2014</t>
  </si>
  <si>
    <t>add:01/01/2015-12/31/2015</t>
  </si>
  <si>
    <t>LESS: MONETIZATION 2015</t>
  </si>
  <si>
    <t>ADD: 01/01/2016-12/31/2016</t>
  </si>
  <si>
    <t>LESS: MONETIZATION 2016</t>
  </si>
  <si>
    <t>ADD: 01/01/2017-09/30/2017</t>
  </si>
  <si>
    <t>LESS: MONETIZATION 2017</t>
  </si>
  <si>
    <t>ADD: 10/01/2017-12/31/2017</t>
  </si>
  <si>
    <t>ADD: 01/01/2018-10/31/2018</t>
  </si>
  <si>
    <t>LESS: MONETIZATION 2018</t>
  </si>
  <si>
    <t>ADD: 11/01/2018- 12/31/2018</t>
  </si>
  <si>
    <t>ADD: 01/01/2019-11/30/2019</t>
  </si>
  <si>
    <t>LESS: MONETIZATION 2019</t>
  </si>
  <si>
    <t>ADD: 12/01/2019-12/31/2019</t>
  </si>
  <si>
    <t>ADD: 01/01/2020-12/31/2020</t>
  </si>
  <si>
    <t>LESS: MONETIZATION 2020</t>
  </si>
  <si>
    <t>ADD:01/01/2021-09/30/2021</t>
  </si>
  <si>
    <t>LESS: MONETIZATION 2021</t>
  </si>
  <si>
    <t>ADD: 10/01/2021-12/31/2021</t>
  </si>
  <si>
    <t>ADD: 01/01/2022-09/30/2022</t>
  </si>
  <si>
    <t>LESS: MONETIZATION 2022</t>
  </si>
  <si>
    <t>ADD: 10/01/2022 - 12/31/2022</t>
  </si>
  <si>
    <t>LESS: FL 2022</t>
  </si>
  <si>
    <t>ADD: 01/01/2023-03/31/2023</t>
  </si>
  <si>
    <t>LESS: 01/09/2023</t>
  </si>
  <si>
    <t>LESS: 01/16-17/2023</t>
  </si>
  <si>
    <t>ADD: 04/01/2023-06/30/2023</t>
  </si>
  <si>
    <t>LESS: 07/25/2023</t>
  </si>
  <si>
    <t>ADD: 07/01/2023-08/31/2023</t>
  </si>
  <si>
    <t>LESS: MONETIZATION 2023</t>
  </si>
  <si>
    <t>ADD: 09/01/2023-09/30/2023</t>
  </si>
  <si>
    <t>LESS: 10/20/2023</t>
  </si>
  <si>
    <t>ADD: 10/01/2023-10/31/2023</t>
  </si>
  <si>
    <t>LESS: 11/22/2023</t>
  </si>
  <si>
    <t>ADD: 11/01/2023-11/30/2023</t>
  </si>
  <si>
    <t>LESS: 12/28-29/2023</t>
  </si>
  <si>
    <t>ADD: 12/1-31/2023</t>
  </si>
  <si>
    <t>ADD: JANUARY-MARCH 31, 2024</t>
  </si>
  <si>
    <t>LESS: 04/12/2024</t>
  </si>
  <si>
    <t>ADD: APRIL-JULY 31, 2024</t>
  </si>
  <si>
    <t>LESS: MONETIZATION 2024</t>
  </si>
  <si>
    <t>ADD: 08/1/2024-09/30/2024</t>
  </si>
  <si>
    <t>LESS: 10/04/2024</t>
  </si>
  <si>
    <t>ADD: 10/1-31/2024</t>
  </si>
  <si>
    <t>LESS: 11/22/2024</t>
  </si>
  <si>
    <t>ADD: 11/1-30/2024</t>
  </si>
  <si>
    <t>LESS: 12/23/2024</t>
  </si>
  <si>
    <t>ADD: 12/1-31/2024</t>
  </si>
  <si>
    <t>LESS: MANDATORY FL 2024</t>
  </si>
  <si>
    <t>ADD: 01/1-31/2025</t>
  </si>
  <si>
    <t>LESS: 01/24/2025</t>
  </si>
  <si>
    <t>LESS: 02/14/2025</t>
  </si>
  <si>
    <t>ADD: 02/1/2025-03/31/2025</t>
  </si>
  <si>
    <t>LESS: 03/28/2025</t>
  </si>
  <si>
    <t>ADD: 04/1-30/2025</t>
  </si>
  <si>
    <t>LESS: 05/20/2025</t>
  </si>
  <si>
    <t>ADD: 05/1/2025-06/30/2025</t>
  </si>
  <si>
    <t>LESS: MONETIZATION 2025</t>
  </si>
  <si>
    <t>LESS: 05/30/2025</t>
  </si>
  <si>
    <t>ADD: 07/1-31/2025</t>
  </si>
  <si>
    <t>LESS: 08/1/2025</t>
  </si>
  <si>
    <t>LESS: 08/8/2025</t>
  </si>
  <si>
    <t>ADD: 08/1-31/2025</t>
  </si>
  <si>
    <t>LESS: 09/12/2025</t>
  </si>
  <si>
    <t>ADD: 09/1/2025-11/30/2025</t>
  </si>
  <si>
    <t>LESS: 12/18-19/2025</t>
  </si>
  <si>
    <t>Certified Correct:</t>
  </si>
  <si>
    <t>MA. LUISA B. CATIGAN</t>
  </si>
  <si>
    <t>Administrative Officer IV</t>
  </si>
  <si>
    <t>HRMO</t>
  </si>
  <si>
    <t>LESS: 12/26/2025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</si>
</sst>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u/>
      <sz val="12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164" fontId="0" fillId="2" borderId="0" xfId="0" applyNumberFormat="1" applyFill="1"/>
    <xf numFmtId="164" fontId="1" fillId="0" borderId="0" xfId="0" applyNumberFormat="1" applyFont="1"/>
    <xf numFmtId="164" fontId="2" fillId="2" borderId="0" xfId="0" applyNumberFormat="1" applyFont="1" applyFill="1"/>
    <xf numFmtId="164" fontId="1" fillId="2" borderId="0" xfId="0" applyNumberFormat="1" applyFont="1" applyFill="1"/>
    <xf numFmtId="164" fontId="0" fillId="2" borderId="0" xfId="0" applyNumberFormat="1" applyFill="1" applyAlignment="1">
      <alignment vertical="center"/>
    </xf>
    <xf numFmtId="164" fontId="0" fillId="0" borderId="0" xfId="0" applyNumberFormat="1"/>
    <xf numFmtId="164" fontId="0" fillId="3" borderId="0" xfId="0" applyNumberFormat="1" applyFill="1"/>
    <xf numFmtId="164" fontId="0" fillId="4" borderId="0" xfId="0" applyNumberFormat="1" applyFill="1"/>
    <xf numFmtId="164" fontId="0" fillId="0" borderId="0" xfId="0" applyNumberFormat="1" applyAlignment="1">
      <alignment horizontal="center"/>
    </xf>
    <xf numFmtId="164" fontId="0" fillId="5" borderId="0" xfId="0" applyNumberFormat="1" applyFill="1"/>
    <xf numFmtId="164" fontId="3" fillId="2" borderId="0" xfId="0" applyNumberFormat="1" applyFont="1" applyFill="1" applyAlignment="1">
      <alignment horizontal="center" wrapText="1"/>
    </xf>
    <xf numFmtId="164" fontId="3" fillId="2" borderId="0" xfId="0" applyNumberFormat="1" applyFont="1" applyFill="1" applyAlignment="1">
      <alignment wrapText="1"/>
    </xf>
    <xf numFmtId="164" fontId="0" fillId="2" borderId="0" xfId="0" applyNumberFormat="1" applyFill="1" applyAlignment="1">
      <alignment horizontal="center" vertical="center"/>
    </xf>
    <xf numFmtId="164" fontId="0" fillId="2" borderId="0" xfId="0" applyNumberFormat="1" applyFill="1" applyAlignment="1">
      <alignment horizontal="center"/>
    </xf>
    <xf numFmtId="164" fontId="4" fillId="2" borderId="1" xfId="0" applyNumberFormat="1" applyFont="1" applyFill="1" applyBorder="1"/>
    <xf numFmtId="164" fontId="4" fillId="2" borderId="0" xfId="0" applyNumberFormat="1" applyFont="1" applyFill="1" applyAlignment="1">
      <alignment vertical="center"/>
    </xf>
    <xf numFmtId="164" fontId="5" fillId="2" borderId="0" xfId="0" applyNumberFormat="1" applyFont="1" applyFill="1" applyAlignment="1">
      <alignment horizontal="left" vertical="center"/>
    </xf>
    <xf numFmtId="164" fontId="4" fillId="2" borderId="0" xfId="0" applyNumberFormat="1" applyFont="1" applyFill="1"/>
    <xf numFmtId="164" fontId="4" fillId="2" borderId="0" xfId="0" applyNumberFormat="1" applyFont="1" applyFill="1" applyAlignment="1">
      <alignment horizontal="center"/>
    </xf>
    <xf numFmtId="164" fontId="4" fillId="2" borderId="0" xfId="0" applyNumberFormat="1" applyFont="1" applyFill="1" applyAlignment="1">
      <alignment horizontal="left" vertical="center"/>
    </xf>
    <xf numFmtId="164" fontId="5" fillId="2" borderId="0" xfId="0" applyNumberFormat="1" applyFont="1" applyFill="1"/>
    <xf numFmtId="164" fontId="7" fillId="6" borderId="2" xfId="0" applyNumberFormat="1" applyFont="1" applyFill="1" applyBorder="1" applyAlignment="1">
      <alignment horizontal="center" vertical="center"/>
    </xf>
    <xf numFmtId="164" fontId="7" fillId="8" borderId="2" xfId="0" applyNumberFormat="1" applyFont="1" applyFill="1" applyBorder="1" applyAlignment="1">
      <alignment horizontal="center" vertical="center"/>
    </xf>
    <xf numFmtId="164" fontId="7" fillId="3" borderId="2" xfId="0" applyNumberFormat="1" applyFont="1" applyFill="1" applyBorder="1" applyAlignment="1">
      <alignment horizontal="center" vertical="center"/>
    </xf>
    <xf numFmtId="164" fontId="7" fillId="4" borderId="2" xfId="0" applyNumberFormat="1" applyFont="1" applyFill="1" applyBorder="1" applyAlignment="1">
      <alignment horizontal="center" vertical="center"/>
    </xf>
    <xf numFmtId="164" fontId="7" fillId="2" borderId="2" xfId="0" applyNumberFormat="1" applyFont="1" applyFill="1" applyBorder="1" applyAlignment="1">
      <alignment horizontal="center" vertical="center" wrapText="1"/>
    </xf>
    <xf numFmtId="164" fontId="7" fillId="5" borderId="2" xfId="0" applyNumberFormat="1" applyFon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 wrapText="1"/>
    </xf>
    <xf numFmtId="164" fontId="0" fillId="2" borderId="2" xfId="0" applyNumberForma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 wrapText="1"/>
    </xf>
    <xf numFmtId="164" fontId="8" fillId="0" borderId="2" xfId="0" applyNumberFormat="1" applyFon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 wrapText="1"/>
    </xf>
    <xf numFmtId="164" fontId="0" fillId="2" borderId="3" xfId="0" applyNumberFormat="1" applyFill="1" applyBorder="1" applyAlignment="1">
      <alignment horizontal="center" vertical="center"/>
    </xf>
    <xf numFmtId="164" fontId="0" fillId="2" borderId="4" xfId="0" applyNumberForma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164" fontId="3" fillId="2" borderId="0" xfId="0" applyNumberFormat="1" applyFont="1" applyFill="1" applyAlignment="1">
      <alignment vertical="center"/>
    </xf>
    <xf numFmtId="0" fontId="4" fillId="2" borderId="5" xfId="0" applyFont="1" applyFill="1" applyBorder="1"/>
    <xf numFmtId="164" fontId="3" fillId="2" borderId="0" xfId="0" applyNumberFormat="1" applyFont="1" applyFill="1"/>
    <xf numFmtId="164" fontId="7" fillId="2" borderId="2" xfId="0" applyNumberFormat="1" applyFont="1" applyFill="1" applyBorder="1" applyAlignment="1">
      <alignment horizontal="center" vertical="center"/>
    </xf>
    <xf numFmtId="164" fontId="0" fillId="10" borderId="2" xfId="0" applyNumberForma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64" fontId="0" fillId="2" borderId="0" xfId="0" applyNumberFormat="1" applyFill="1" applyAlignment="1">
      <alignment horizontal="center" vertical="center" wrapText="1"/>
    </xf>
    <xf numFmtId="164" fontId="9" fillId="2" borderId="0" xfId="0" applyNumberFormat="1" applyFon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5" fillId="2" borderId="0" xfId="0" applyNumberFormat="1" applyFont="1" applyFill="1" applyAlignment="1">
      <alignment horizontal="left" vertical="center"/>
    </xf>
    <xf numFmtId="164" fontId="4" fillId="2" borderId="1" xfId="0" applyNumberFormat="1" applyFont="1" applyFill="1" applyBorder="1" applyAlignment="1">
      <alignment horizontal="left" vertical="center"/>
    </xf>
    <xf numFmtId="164" fontId="6" fillId="2" borderId="0" xfId="0" applyNumberFormat="1" applyFont="1" applyFill="1" applyAlignment="1">
      <alignment horizontal="center" vertical="center"/>
    </xf>
    <xf numFmtId="164" fontId="4" fillId="6" borderId="2" xfId="0" applyNumberFormat="1" applyFont="1" applyFill="1" applyBorder="1" applyAlignment="1">
      <alignment horizontal="left" vertical="center"/>
    </xf>
    <xf numFmtId="164" fontId="7" fillId="7" borderId="2" xfId="0" applyNumberFormat="1" applyFont="1" applyFill="1" applyBorder="1" applyAlignment="1">
      <alignment horizontal="center" vertical="center"/>
    </xf>
    <xf numFmtId="164" fontId="7" fillId="8" borderId="2" xfId="0" applyNumberFormat="1" applyFont="1" applyFill="1" applyBorder="1" applyAlignment="1">
      <alignment horizontal="center" vertical="center"/>
    </xf>
    <xf numFmtId="164" fontId="7" fillId="9" borderId="2" xfId="0" applyNumberFormat="1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164" fontId="7" fillId="6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360940</xdr:colOff>
      <xdr:row>0</xdr:row>
      <xdr:rowOff>62523</xdr:rowOff>
    </xdr:from>
    <xdr:to>
      <xdr:col>6</xdr:col>
      <xdr:colOff>210717</xdr:colOff>
      <xdr:row>0</xdr:row>
      <xdr:rowOff>647700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24630" y="62230"/>
          <a:ext cx="633095" cy="58547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9"/>
  <sheetViews>
    <sheetView tabSelected="1" view="pageBreakPreview" topLeftCell="A79" zoomScale="98" zoomScaleNormal="85" workbookViewId="0">
      <selection activeCell="A100" sqref="A100:XFD100"/>
    </sheetView>
  </sheetViews>
  <sheetFormatPr defaultColWidth="9.140625" defaultRowHeight="15"/>
  <cols>
    <col min="1" max="1" width="31.5703125" style="6" customWidth="1"/>
    <col min="2" max="2" width="11" style="7" customWidth="1"/>
    <col min="3" max="3" width="10.85546875" style="8" customWidth="1"/>
    <col min="4" max="4" width="8.42578125" style="9" hidden="1" customWidth="1"/>
    <col min="5" max="5" width="8.140625" style="6" hidden="1" customWidth="1"/>
    <col min="6" max="6" width="11.42578125" style="7" customWidth="1"/>
    <col min="7" max="7" width="10" style="8" customWidth="1"/>
    <col min="8" max="8" width="10.85546875" style="10" customWidth="1"/>
    <col min="9" max="9" width="9" style="10" customWidth="1"/>
    <col min="10" max="10" width="13.28515625" style="7" customWidth="1"/>
    <col min="11" max="11" width="10.140625" style="8" customWidth="1"/>
    <col min="12" max="12" width="9.140625" style="6" customWidth="1"/>
    <col min="13" max="16384" width="9.140625" style="6"/>
  </cols>
  <sheetData>
    <row r="1" spans="1:12" s="1" customFormat="1" ht="52.5" customHeight="1">
      <c r="D1" s="11"/>
      <c r="E1" s="12"/>
    </row>
    <row r="2" spans="1:12" s="1" customFormat="1" ht="10.5" customHeight="1">
      <c r="A2" s="46" t="s">
        <v>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1:12" s="1" customFormat="1" ht="15.95" customHeight="1">
      <c r="A3" s="46" t="s">
        <v>1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2" s="1" customFormat="1" ht="15.95" customHeight="1">
      <c r="A4" s="46" t="s">
        <v>2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2" s="1" customFormat="1" ht="15.95" customHeight="1">
      <c r="A5" s="46" t="s">
        <v>3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2" s="1" customFormat="1" ht="8.25" customHeight="1">
      <c r="D6" s="14"/>
    </row>
    <row r="7" spans="1:12" s="1" customFormat="1" ht="12" customHeight="1">
      <c r="A7" s="15" t="s">
        <v>4</v>
      </c>
      <c r="B7" s="16"/>
      <c r="C7" s="16" t="s">
        <v>5</v>
      </c>
      <c r="D7" s="47" t="s">
        <v>6</v>
      </c>
      <c r="E7" s="47"/>
      <c r="F7" s="47"/>
      <c r="G7" s="47"/>
      <c r="H7" s="16"/>
      <c r="I7" s="16"/>
      <c r="J7" s="16" t="s">
        <v>7</v>
      </c>
      <c r="K7" s="36"/>
      <c r="L7" s="37"/>
    </row>
    <row r="8" spans="1:12" s="1" customFormat="1" ht="12" customHeight="1">
      <c r="A8" s="18"/>
      <c r="B8" s="18"/>
      <c r="C8" s="18"/>
      <c r="D8" s="19"/>
      <c r="E8" s="18"/>
      <c r="F8" s="18"/>
      <c r="G8" s="18"/>
      <c r="H8" s="18"/>
      <c r="I8" s="18"/>
      <c r="J8" s="18" t="s">
        <v>8</v>
      </c>
      <c r="K8" s="38">
        <v>529</v>
      </c>
      <c r="L8" s="39"/>
    </row>
    <row r="9" spans="1:12" s="1" customFormat="1" ht="12" customHeight="1">
      <c r="A9" s="15" t="s">
        <v>9</v>
      </c>
      <c r="B9" s="20"/>
      <c r="C9" s="18" t="s">
        <v>10</v>
      </c>
      <c r="D9" s="19"/>
      <c r="E9" s="18"/>
      <c r="F9" s="15"/>
      <c r="G9" s="15"/>
      <c r="H9" s="18"/>
      <c r="I9" s="18"/>
      <c r="J9" s="48"/>
      <c r="K9" s="48"/>
      <c r="L9" s="37"/>
    </row>
    <row r="10" spans="1:12" s="1" customFormat="1" ht="12" customHeight="1">
      <c r="A10" s="21"/>
      <c r="B10" s="20"/>
      <c r="C10" s="18"/>
      <c r="D10" s="19"/>
      <c r="E10" s="18"/>
      <c r="F10" s="18"/>
      <c r="G10" s="18"/>
      <c r="H10" s="18"/>
      <c r="I10" s="18"/>
      <c r="J10" s="17"/>
      <c r="K10" s="17"/>
      <c r="L10" s="37"/>
    </row>
    <row r="11" spans="1:12" ht="16.5" customHeight="1">
      <c r="A11" s="49" t="s">
        <v>11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</row>
    <row r="12" spans="1:12" s="2" customFormat="1" ht="15.95" customHeight="1">
      <c r="A12" s="50" t="s">
        <v>12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2" s="2" customFormat="1" ht="15.95" customHeight="1">
      <c r="A13" s="56" t="s">
        <v>13</v>
      </c>
      <c r="B13" s="51" t="s">
        <v>14</v>
      </c>
      <c r="C13" s="51"/>
      <c r="D13" s="51"/>
      <c r="E13" s="51"/>
      <c r="F13" s="52" t="s">
        <v>15</v>
      </c>
      <c r="G13" s="52"/>
      <c r="H13" s="52"/>
      <c r="I13" s="23"/>
      <c r="J13" s="53" t="s">
        <v>16</v>
      </c>
      <c r="K13" s="53"/>
      <c r="L13" s="56" t="s">
        <v>17</v>
      </c>
    </row>
    <row r="14" spans="1:12" s="2" customFormat="1" ht="15.95" customHeight="1">
      <c r="A14" s="56"/>
      <c r="B14" s="24" t="s">
        <v>18</v>
      </c>
      <c r="C14" s="25" t="s">
        <v>19</v>
      </c>
      <c r="D14" s="26" t="s">
        <v>20</v>
      </c>
      <c r="E14" s="26" t="s">
        <v>21</v>
      </c>
      <c r="F14" s="24" t="s">
        <v>18</v>
      </c>
      <c r="G14" s="25" t="s">
        <v>19</v>
      </c>
      <c r="H14" s="27" t="s">
        <v>22</v>
      </c>
      <c r="I14" s="40" t="s">
        <v>23</v>
      </c>
      <c r="J14" s="24" t="s">
        <v>18</v>
      </c>
      <c r="K14" s="25" t="s">
        <v>19</v>
      </c>
      <c r="L14" s="56"/>
    </row>
    <row r="15" spans="1:12" s="2" customFormat="1" ht="15.95" customHeight="1">
      <c r="A15" s="22"/>
      <c r="B15" s="54" t="s">
        <v>24</v>
      </c>
      <c r="C15" s="55"/>
      <c r="D15" s="55"/>
      <c r="E15" s="55"/>
      <c r="F15" s="55"/>
      <c r="G15" s="55"/>
      <c r="H15" s="55"/>
      <c r="I15" s="55"/>
      <c r="J15" s="55"/>
      <c r="K15" s="55"/>
      <c r="L15" s="55"/>
    </row>
    <row r="16" spans="1:12" s="3" customFormat="1" ht="15.95" customHeight="1">
      <c r="A16" s="28" t="s">
        <v>25</v>
      </c>
      <c r="B16" s="29">
        <v>3.75</v>
      </c>
      <c r="C16" s="29">
        <v>3.75</v>
      </c>
      <c r="D16" s="28"/>
      <c r="E16" s="28"/>
      <c r="F16" s="29"/>
      <c r="G16" s="29"/>
      <c r="H16" s="29"/>
      <c r="I16" s="29"/>
      <c r="J16" s="29">
        <f>B16</f>
        <v>3.75</v>
      </c>
      <c r="K16" s="29">
        <f>C16</f>
        <v>3.75</v>
      </c>
      <c r="L16" s="28">
        <f>J16+K16</f>
        <v>7.5</v>
      </c>
    </row>
    <row r="17" spans="1:12" s="3" customFormat="1" ht="15.95" customHeight="1">
      <c r="A17" s="28" t="s">
        <v>26</v>
      </c>
      <c r="B17" s="29">
        <v>15</v>
      </c>
      <c r="C17" s="29">
        <v>15</v>
      </c>
      <c r="D17" s="28"/>
      <c r="E17" s="28"/>
      <c r="F17" s="29"/>
      <c r="G17" s="29"/>
      <c r="H17" s="29">
        <v>5</v>
      </c>
      <c r="I17" s="29"/>
      <c r="J17" s="29">
        <f>J16-H17-F17+B17</f>
        <v>13.75</v>
      </c>
      <c r="K17" s="29">
        <f>K16-G17+C17</f>
        <v>18.75</v>
      </c>
      <c r="L17" s="28">
        <f t="shared" ref="L17" si="0">J17+K17</f>
        <v>32.5</v>
      </c>
    </row>
    <row r="18" spans="1:12" s="4" customFormat="1" ht="15.95" customHeight="1">
      <c r="A18" s="29" t="s">
        <v>27</v>
      </c>
      <c r="B18" s="29">
        <v>15</v>
      </c>
      <c r="C18" s="29">
        <v>15</v>
      </c>
      <c r="D18" s="28"/>
      <c r="E18" s="28"/>
      <c r="F18" s="29"/>
      <c r="G18" s="29"/>
      <c r="H18" s="29">
        <v>5</v>
      </c>
      <c r="I18" s="29"/>
      <c r="J18" s="29">
        <f t="shared" ref="J18:J68" si="1">J17-H18-F18+B18</f>
        <v>23.75</v>
      </c>
      <c r="K18" s="29">
        <f t="shared" ref="K18:K68" si="2">K17-G18+C18</f>
        <v>33.75</v>
      </c>
      <c r="L18" s="28">
        <f t="shared" ref="L18:L68" si="3">J18+K18</f>
        <v>57.5</v>
      </c>
    </row>
    <row r="19" spans="1:12" s="3" customFormat="1" ht="15.95" customHeight="1">
      <c r="A19" s="28" t="s">
        <v>28</v>
      </c>
      <c r="B19" s="29">
        <v>15</v>
      </c>
      <c r="C19" s="29">
        <v>15</v>
      </c>
      <c r="D19" s="28"/>
      <c r="E19" s="28"/>
      <c r="F19" s="29"/>
      <c r="G19" s="29"/>
      <c r="H19" s="29">
        <v>5</v>
      </c>
      <c r="I19" s="29"/>
      <c r="J19" s="29">
        <f t="shared" si="1"/>
        <v>33.75</v>
      </c>
      <c r="K19" s="29">
        <f t="shared" si="2"/>
        <v>48.75</v>
      </c>
      <c r="L19" s="28">
        <f t="shared" si="3"/>
        <v>82.5</v>
      </c>
    </row>
    <row r="20" spans="1:12" s="3" customFormat="1" ht="15.95" customHeight="1">
      <c r="A20" s="30" t="s">
        <v>29</v>
      </c>
      <c r="B20" s="29"/>
      <c r="C20" s="29"/>
      <c r="D20" s="28"/>
      <c r="E20" s="28"/>
      <c r="F20" s="29">
        <v>10</v>
      </c>
      <c r="G20" s="29"/>
      <c r="H20" s="29"/>
      <c r="I20" s="29"/>
      <c r="J20" s="29">
        <f t="shared" si="1"/>
        <v>23.75</v>
      </c>
      <c r="K20" s="29">
        <f t="shared" si="2"/>
        <v>48.75</v>
      </c>
      <c r="L20" s="28">
        <f t="shared" si="3"/>
        <v>72.5</v>
      </c>
    </row>
    <row r="21" spans="1:12" s="3" customFormat="1" ht="15.95" customHeight="1">
      <c r="A21" s="30" t="s">
        <v>30</v>
      </c>
      <c r="B21" s="29">
        <v>13.75</v>
      </c>
      <c r="C21" s="29">
        <v>13.75</v>
      </c>
      <c r="D21" s="28"/>
      <c r="E21" s="28"/>
      <c r="F21" s="29"/>
      <c r="G21" s="29"/>
      <c r="H21" s="29">
        <v>5</v>
      </c>
      <c r="I21" s="29"/>
      <c r="J21" s="29">
        <f t="shared" si="1"/>
        <v>32.5</v>
      </c>
      <c r="K21" s="29">
        <f t="shared" si="2"/>
        <v>62.5</v>
      </c>
      <c r="L21" s="28">
        <f t="shared" si="3"/>
        <v>95</v>
      </c>
    </row>
    <row r="22" spans="1:12" s="3" customFormat="1" ht="15.95" customHeight="1">
      <c r="A22" s="30" t="s">
        <v>31</v>
      </c>
      <c r="B22" s="29"/>
      <c r="C22" s="29"/>
      <c r="D22" s="28"/>
      <c r="E22" s="28"/>
      <c r="F22" s="29">
        <v>5</v>
      </c>
      <c r="G22" s="29">
        <v>10</v>
      </c>
      <c r="H22" s="29"/>
      <c r="I22" s="29"/>
      <c r="J22" s="29">
        <f t="shared" si="1"/>
        <v>27.5</v>
      </c>
      <c r="K22" s="29">
        <f t="shared" si="2"/>
        <v>52.5</v>
      </c>
      <c r="L22" s="28">
        <f t="shared" si="3"/>
        <v>80</v>
      </c>
    </row>
    <row r="23" spans="1:12" s="3" customFormat="1" ht="15.95" customHeight="1">
      <c r="A23" s="30" t="s">
        <v>32</v>
      </c>
      <c r="B23" s="29">
        <v>1.25</v>
      </c>
      <c r="C23" s="29">
        <v>1.25</v>
      </c>
      <c r="D23" s="28"/>
      <c r="E23" s="28"/>
      <c r="F23" s="29"/>
      <c r="G23" s="29"/>
      <c r="H23" s="29"/>
      <c r="I23" s="29"/>
      <c r="J23" s="29">
        <f t="shared" si="1"/>
        <v>28.75</v>
      </c>
      <c r="K23" s="29">
        <f t="shared" si="2"/>
        <v>53.75</v>
      </c>
      <c r="L23" s="28">
        <f t="shared" si="3"/>
        <v>82.5</v>
      </c>
    </row>
    <row r="24" spans="1:12" s="3" customFormat="1" ht="15.95" customHeight="1">
      <c r="A24" s="30" t="s">
        <v>33</v>
      </c>
      <c r="B24" s="29">
        <v>15</v>
      </c>
      <c r="C24" s="29">
        <v>15</v>
      </c>
      <c r="D24" s="28"/>
      <c r="E24" s="28"/>
      <c r="F24" s="29"/>
      <c r="G24" s="29"/>
      <c r="H24" s="29">
        <v>5</v>
      </c>
      <c r="I24" s="29"/>
      <c r="J24" s="29">
        <f t="shared" si="1"/>
        <v>38.75</v>
      </c>
      <c r="K24" s="29">
        <f t="shared" si="2"/>
        <v>68.75</v>
      </c>
      <c r="L24" s="28">
        <f t="shared" si="3"/>
        <v>107.5</v>
      </c>
    </row>
    <row r="25" spans="1:12" s="3" customFormat="1" ht="15.95" customHeight="1">
      <c r="A25" s="30" t="s">
        <v>34</v>
      </c>
      <c r="B25" s="29">
        <v>15</v>
      </c>
      <c r="C25" s="29">
        <v>15</v>
      </c>
      <c r="D25" s="28"/>
      <c r="E25" s="28"/>
      <c r="F25" s="29"/>
      <c r="G25" s="29"/>
      <c r="H25" s="29">
        <v>5</v>
      </c>
      <c r="I25" s="29"/>
      <c r="J25" s="29">
        <f t="shared" si="1"/>
        <v>48.75</v>
      </c>
      <c r="K25" s="29">
        <f t="shared" si="2"/>
        <v>83.75</v>
      </c>
      <c r="L25" s="28">
        <f t="shared" si="3"/>
        <v>132.5</v>
      </c>
    </row>
    <row r="26" spans="1:12" s="3" customFormat="1" ht="15.95" customHeight="1">
      <c r="A26" s="30" t="s">
        <v>35</v>
      </c>
      <c r="B26" s="29">
        <v>15</v>
      </c>
      <c r="C26" s="29">
        <v>15</v>
      </c>
      <c r="D26" s="28"/>
      <c r="E26" s="28"/>
      <c r="F26" s="29"/>
      <c r="G26" s="29"/>
      <c r="H26" s="29">
        <v>5</v>
      </c>
      <c r="I26" s="29"/>
      <c r="J26" s="29">
        <f t="shared" si="1"/>
        <v>58.75</v>
      </c>
      <c r="K26" s="29">
        <f t="shared" si="2"/>
        <v>98.75</v>
      </c>
      <c r="L26" s="28">
        <f t="shared" si="3"/>
        <v>157.5</v>
      </c>
    </row>
    <row r="27" spans="1:12" s="3" customFormat="1" ht="15.95" customHeight="1">
      <c r="A27" s="30" t="s">
        <v>36</v>
      </c>
      <c r="B27" s="29">
        <v>15</v>
      </c>
      <c r="C27" s="29">
        <v>15</v>
      </c>
      <c r="D27" s="28"/>
      <c r="E27" s="28"/>
      <c r="F27" s="29"/>
      <c r="G27" s="29"/>
      <c r="H27" s="29">
        <v>5</v>
      </c>
      <c r="I27" s="29"/>
      <c r="J27" s="29">
        <f t="shared" si="1"/>
        <v>68.75</v>
      </c>
      <c r="K27" s="29">
        <f t="shared" si="2"/>
        <v>113.75</v>
      </c>
      <c r="L27" s="28">
        <f t="shared" si="3"/>
        <v>182.5</v>
      </c>
    </row>
    <row r="28" spans="1:12" s="3" customFormat="1" ht="15.95" customHeight="1">
      <c r="A28" s="30" t="s">
        <v>37</v>
      </c>
      <c r="B28" s="29">
        <v>15</v>
      </c>
      <c r="C28" s="29">
        <v>15</v>
      </c>
      <c r="D28" s="28"/>
      <c r="E28" s="28"/>
      <c r="F28" s="29"/>
      <c r="G28" s="29"/>
      <c r="H28" s="29">
        <v>5</v>
      </c>
      <c r="I28" s="29"/>
      <c r="J28" s="29">
        <f t="shared" si="1"/>
        <v>78.75</v>
      </c>
      <c r="K28" s="29">
        <f t="shared" si="2"/>
        <v>128.75</v>
      </c>
      <c r="L28" s="28">
        <f t="shared" si="3"/>
        <v>207.5</v>
      </c>
    </row>
    <row r="29" spans="1:12" s="3" customFormat="1" ht="15.95" customHeight="1">
      <c r="A29" s="30" t="s">
        <v>38</v>
      </c>
      <c r="B29" s="29">
        <v>15</v>
      </c>
      <c r="C29" s="29">
        <v>15</v>
      </c>
      <c r="D29" s="28"/>
      <c r="E29" s="28"/>
      <c r="F29" s="29"/>
      <c r="G29" s="29"/>
      <c r="H29" s="29">
        <v>5</v>
      </c>
      <c r="I29" s="29"/>
      <c r="J29" s="29">
        <f t="shared" si="1"/>
        <v>88.75</v>
      </c>
      <c r="K29" s="29">
        <f t="shared" si="2"/>
        <v>143.75</v>
      </c>
      <c r="L29" s="28">
        <f t="shared" si="3"/>
        <v>232.5</v>
      </c>
    </row>
    <row r="30" spans="1:12" s="3" customFormat="1" ht="18" customHeight="1">
      <c r="A30" s="31" t="s">
        <v>39</v>
      </c>
      <c r="B30" s="29"/>
      <c r="C30" s="29"/>
      <c r="D30" s="28"/>
      <c r="E30" s="28"/>
      <c r="F30" s="29">
        <v>40</v>
      </c>
      <c r="G30" s="29">
        <v>20</v>
      </c>
      <c r="H30" s="29"/>
      <c r="I30" s="29"/>
      <c r="J30" s="29">
        <f t="shared" si="1"/>
        <v>48.75</v>
      </c>
      <c r="K30" s="29">
        <f t="shared" si="2"/>
        <v>123.75</v>
      </c>
      <c r="L30" s="28">
        <f t="shared" si="3"/>
        <v>172.5</v>
      </c>
    </row>
    <row r="31" spans="1:12" s="3" customFormat="1" ht="15.95" customHeight="1">
      <c r="A31" s="32" t="s">
        <v>40</v>
      </c>
      <c r="B31" s="29">
        <v>15</v>
      </c>
      <c r="C31" s="29">
        <v>15</v>
      </c>
      <c r="D31" s="28"/>
      <c r="E31" s="28"/>
      <c r="F31" s="29"/>
      <c r="G31" s="29"/>
      <c r="H31" s="29">
        <v>5</v>
      </c>
      <c r="I31" s="29"/>
      <c r="J31" s="29">
        <f t="shared" si="1"/>
        <v>58.75</v>
      </c>
      <c r="K31" s="29">
        <f t="shared" si="2"/>
        <v>138.75</v>
      </c>
      <c r="L31" s="28">
        <f t="shared" si="3"/>
        <v>197.5</v>
      </c>
    </row>
    <row r="32" spans="1:12" s="3" customFormat="1" ht="24.75" customHeight="1">
      <c r="A32" s="33" t="s">
        <v>41</v>
      </c>
      <c r="B32" s="29"/>
      <c r="C32" s="29"/>
      <c r="D32" s="28"/>
      <c r="E32" s="28"/>
      <c r="F32" s="29">
        <v>20</v>
      </c>
      <c r="G32" s="29">
        <v>25</v>
      </c>
      <c r="H32" s="29"/>
      <c r="I32" s="29"/>
      <c r="J32" s="29">
        <f t="shared" si="1"/>
        <v>38.75</v>
      </c>
      <c r="K32" s="29">
        <f t="shared" si="2"/>
        <v>113.75</v>
      </c>
      <c r="L32" s="28">
        <f t="shared" si="3"/>
        <v>152.5</v>
      </c>
    </row>
    <row r="33" spans="1:12" s="3" customFormat="1" ht="15.95" customHeight="1">
      <c r="A33" s="32" t="s">
        <v>42</v>
      </c>
      <c r="B33" s="29">
        <v>15</v>
      </c>
      <c r="C33" s="29">
        <v>15</v>
      </c>
      <c r="D33" s="28"/>
      <c r="E33" s="28"/>
      <c r="F33" s="29"/>
      <c r="G33" s="29"/>
      <c r="H33" s="29">
        <v>5</v>
      </c>
      <c r="I33" s="29"/>
      <c r="J33" s="29">
        <f t="shared" si="1"/>
        <v>48.75</v>
      </c>
      <c r="K33" s="29">
        <f t="shared" si="2"/>
        <v>128.75</v>
      </c>
      <c r="L33" s="28">
        <f t="shared" si="3"/>
        <v>177.5</v>
      </c>
    </row>
    <row r="34" spans="1:12" s="3" customFormat="1" ht="15.95" customHeight="1">
      <c r="A34" s="32" t="s">
        <v>43</v>
      </c>
      <c r="B34" s="29">
        <v>15</v>
      </c>
      <c r="C34" s="29">
        <v>15</v>
      </c>
      <c r="D34" s="28"/>
      <c r="E34" s="28"/>
      <c r="F34" s="29"/>
      <c r="G34" s="29"/>
      <c r="H34" s="29">
        <v>5</v>
      </c>
      <c r="I34" s="29"/>
      <c r="J34" s="29">
        <f t="shared" si="1"/>
        <v>58.75</v>
      </c>
      <c r="K34" s="29">
        <f t="shared" si="2"/>
        <v>143.75</v>
      </c>
      <c r="L34" s="28">
        <f t="shared" si="3"/>
        <v>202.5</v>
      </c>
    </row>
    <row r="35" spans="1:12" s="3" customFormat="1" ht="15.95" customHeight="1">
      <c r="A35" s="32" t="s">
        <v>44</v>
      </c>
      <c r="B35" s="29"/>
      <c r="C35" s="29"/>
      <c r="D35" s="28"/>
      <c r="E35" s="28"/>
      <c r="F35" s="29">
        <v>20</v>
      </c>
      <c r="G35" s="29">
        <v>8</v>
      </c>
      <c r="H35" s="29"/>
      <c r="I35" s="29"/>
      <c r="J35" s="29">
        <f t="shared" si="1"/>
        <v>38.75</v>
      </c>
      <c r="K35" s="29">
        <f t="shared" si="2"/>
        <v>135.75</v>
      </c>
      <c r="L35" s="28">
        <f t="shared" si="3"/>
        <v>174.5</v>
      </c>
    </row>
    <row r="36" spans="1:12" s="3" customFormat="1" ht="15.95" customHeight="1">
      <c r="A36" s="32" t="s">
        <v>45</v>
      </c>
      <c r="B36" s="29">
        <v>15</v>
      </c>
      <c r="C36" s="29">
        <v>15</v>
      </c>
      <c r="D36" s="28"/>
      <c r="E36" s="28"/>
      <c r="F36" s="29"/>
      <c r="G36" s="29"/>
      <c r="H36" s="29">
        <v>5</v>
      </c>
      <c r="I36" s="29"/>
      <c r="J36" s="29">
        <f t="shared" si="1"/>
        <v>48.75</v>
      </c>
      <c r="K36" s="29">
        <f t="shared" si="2"/>
        <v>150.75</v>
      </c>
      <c r="L36" s="28">
        <f t="shared" si="3"/>
        <v>199.5</v>
      </c>
    </row>
    <row r="37" spans="1:12" s="3" customFormat="1" ht="15.95" customHeight="1">
      <c r="A37" s="32" t="s">
        <v>46</v>
      </c>
      <c r="B37" s="29"/>
      <c r="C37" s="29"/>
      <c r="D37" s="28"/>
      <c r="E37" s="28"/>
      <c r="F37" s="29">
        <v>15</v>
      </c>
      <c r="G37" s="29">
        <v>10</v>
      </c>
      <c r="H37" s="29"/>
      <c r="I37" s="29"/>
      <c r="J37" s="29">
        <f t="shared" si="1"/>
        <v>33.75</v>
      </c>
      <c r="K37" s="29">
        <f t="shared" si="2"/>
        <v>140.75</v>
      </c>
      <c r="L37" s="28">
        <f t="shared" si="3"/>
        <v>174.5</v>
      </c>
    </row>
    <row r="38" spans="1:12" s="3" customFormat="1" ht="15.95" customHeight="1">
      <c r="A38" s="32" t="s">
        <v>47</v>
      </c>
      <c r="B38" s="29">
        <v>15</v>
      </c>
      <c r="C38" s="29">
        <v>15</v>
      </c>
      <c r="D38" s="28"/>
      <c r="E38" s="28"/>
      <c r="F38" s="29"/>
      <c r="G38" s="29"/>
      <c r="H38" s="29">
        <v>5</v>
      </c>
      <c r="I38" s="29"/>
      <c r="J38" s="29">
        <f t="shared" si="1"/>
        <v>43.75</v>
      </c>
      <c r="K38" s="29">
        <f t="shared" si="2"/>
        <v>155.75</v>
      </c>
      <c r="L38" s="28">
        <f t="shared" si="3"/>
        <v>199.5</v>
      </c>
    </row>
    <row r="39" spans="1:12" s="3" customFormat="1" ht="15.95" customHeight="1">
      <c r="A39" s="32" t="s">
        <v>48</v>
      </c>
      <c r="B39" s="29"/>
      <c r="C39" s="29"/>
      <c r="D39" s="28"/>
      <c r="E39" s="28"/>
      <c r="F39" s="29">
        <v>8</v>
      </c>
      <c r="G39" s="29">
        <v>21</v>
      </c>
      <c r="H39" s="29"/>
      <c r="I39" s="29"/>
      <c r="J39" s="29">
        <f t="shared" si="1"/>
        <v>35.75</v>
      </c>
      <c r="K39" s="29">
        <f t="shared" si="2"/>
        <v>134.75</v>
      </c>
      <c r="L39" s="28">
        <f t="shared" si="3"/>
        <v>170.5</v>
      </c>
    </row>
    <row r="40" spans="1:12" s="3" customFormat="1" ht="15.95" customHeight="1">
      <c r="A40" s="32" t="s">
        <v>49</v>
      </c>
      <c r="B40" s="29">
        <v>11.25</v>
      </c>
      <c r="C40" s="29">
        <v>11.25</v>
      </c>
      <c r="D40" s="28"/>
      <c r="E40" s="28"/>
      <c r="F40" s="29"/>
      <c r="G40" s="29"/>
      <c r="H40" s="29"/>
      <c r="I40" s="29"/>
      <c r="J40" s="29">
        <f t="shared" si="1"/>
        <v>47</v>
      </c>
      <c r="K40" s="29">
        <f t="shared" si="2"/>
        <v>146</v>
      </c>
      <c r="L40" s="28">
        <f t="shared" si="3"/>
        <v>193</v>
      </c>
    </row>
    <row r="41" spans="1:12" s="3" customFormat="1" ht="15.95" customHeight="1">
      <c r="A41" s="32" t="s">
        <v>50</v>
      </c>
      <c r="B41" s="29"/>
      <c r="C41" s="29"/>
      <c r="D41" s="28"/>
      <c r="E41" s="28"/>
      <c r="F41" s="29">
        <v>12</v>
      </c>
      <c r="G41" s="29">
        <v>17</v>
      </c>
      <c r="H41" s="29"/>
      <c r="I41" s="29"/>
      <c r="J41" s="29">
        <f t="shared" si="1"/>
        <v>35</v>
      </c>
      <c r="K41" s="29">
        <f t="shared" si="2"/>
        <v>129</v>
      </c>
      <c r="L41" s="28">
        <f t="shared" si="3"/>
        <v>164</v>
      </c>
    </row>
    <row r="42" spans="1:12" s="3" customFormat="1" ht="15.95" customHeight="1">
      <c r="A42" s="32" t="s">
        <v>51</v>
      </c>
      <c r="B42" s="29">
        <v>3.75</v>
      </c>
      <c r="C42" s="29">
        <v>3.75</v>
      </c>
      <c r="D42" s="28"/>
      <c r="E42" s="28"/>
      <c r="F42" s="29"/>
      <c r="G42" s="29"/>
      <c r="H42" s="29">
        <v>5</v>
      </c>
      <c r="I42" s="29"/>
      <c r="J42" s="29">
        <f t="shared" si="1"/>
        <v>33.75</v>
      </c>
      <c r="K42" s="29">
        <f t="shared" si="2"/>
        <v>132.75</v>
      </c>
      <c r="L42" s="28">
        <f t="shared" si="3"/>
        <v>166.5</v>
      </c>
    </row>
    <row r="43" spans="1:12" s="3" customFormat="1" ht="15.95" customHeight="1">
      <c r="A43" s="32" t="s">
        <v>52</v>
      </c>
      <c r="B43" s="29">
        <v>12.5</v>
      </c>
      <c r="C43" s="29">
        <v>12.5</v>
      </c>
      <c r="D43" s="28"/>
      <c r="E43" s="28"/>
      <c r="F43" s="29"/>
      <c r="G43" s="29"/>
      <c r="H43" s="29">
        <v>5</v>
      </c>
      <c r="I43" s="29"/>
      <c r="J43" s="29">
        <f t="shared" si="1"/>
        <v>41.25</v>
      </c>
      <c r="K43" s="29">
        <f t="shared" si="2"/>
        <v>145.25</v>
      </c>
      <c r="L43" s="28">
        <f t="shared" si="3"/>
        <v>186.5</v>
      </c>
    </row>
    <row r="44" spans="1:12" s="3" customFormat="1" ht="15.95" customHeight="1">
      <c r="A44" s="32" t="s">
        <v>53</v>
      </c>
      <c r="B44" s="29"/>
      <c r="C44" s="29"/>
      <c r="D44" s="28"/>
      <c r="E44" s="28"/>
      <c r="F44" s="29">
        <v>11</v>
      </c>
      <c r="G44" s="29">
        <v>18</v>
      </c>
      <c r="H44" s="29"/>
      <c r="I44" s="29"/>
      <c r="J44" s="29">
        <f t="shared" si="1"/>
        <v>30.25</v>
      </c>
      <c r="K44" s="29">
        <f t="shared" si="2"/>
        <v>127.25</v>
      </c>
      <c r="L44" s="28">
        <f t="shared" si="3"/>
        <v>157.5</v>
      </c>
    </row>
    <row r="45" spans="1:12" s="3" customFormat="1" ht="15.95" customHeight="1">
      <c r="A45" s="32" t="s">
        <v>54</v>
      </c>
      <c r="B45" s="29">
        <v>2.5</v>
      </c>
      <c r="C45" s="29">
        <v>2.5</v>
      </c>
      <c r="D45" s="28"/>
      <c r="E45" s="28"/>
      <c r="F45" s="29"/>
      <c r="G45" s="29"/>
      <c r="H45" s="29"/>
      <c r="I45" s="29"/>
      <c r="J45" s="29">
        <f t="shared" si="1"/>
        <v>32.75</v>
      </c>
      <c r="K45" s="29">
        <f t="shared" si="2"/>
        <v>129.75</v>
      </c>
      <c r="L45" s="28">
        <f t="shared" si="3"/>
        <v>162.5</v>
      </c>
    </row>
    <row r="46" spans="1:12" s="3" customFormat="1" ht="15.95" customHeight="1">
      <c r="A46" s="32" t="s">
        <v>55</v>
      </c>
      <c r="B46" s="29">
        <v>13.75</v>
      </c>
      <c r="C46" s="29">
        <v>13.75</v>
      </c>
      <c r="D46" s="28"/>
      <c r="E46" s="28"/>
      <c r="F46" s="29"/>
      <c r="G46" s="29"/>
      <c r="H46" s="29">
        <v>5</v>
      </c>
      <c r="I46" s="29"/>
      <c r="J46" s="29">
        <f t="shared" si="1"/>
        <v>41.5</v>
      </c>
      <c r="K46" s="29">
        <f t="shared" si="2"/>
        <v>143.5</v>
      </c>
      <c r="L46" s="28">
        <f t="shared" si="3"/>
        <v>185</v>
      </c>
    </row>
    <row r="47" spans="1:12" s="3" customFormat="1" ht="15.95" customHeight="1">
      <c r="A47" s="32" t="s">
        <v>56</v>
      </c>
      <c r="B47" s="29"/>
      <c r="C47" s="29"/>
      <c r="D47" s="28"/>
      <c r="E47" s="28"/>
      <c r="F47" s="29">
        <v>16</v>
      </c>
      <c r="G47" s="29">
        <v>13</v>
      </c>
      <c r="H47" s="29"/>
      <c r="I47" s="29"/>
      <c r="J47" s="29">
        <f t="shared" si="1"/>
        <v>25.5</v>
      </c>
      <c r="K47" s="29">
        <f t="shared" si="2"/>
        <v>130.5</v>
      </c>
      <c r="L47" s="28">
        <f t="shared" si="3"/>
        <v>156</v>
      </c>
    </row>
    <row r="48" spans="1:12" s="3" customFormat="1" ht="15.95" customHeight="1">
      <c r="A48" s="32" t="s">
        <v>57</v>
      </c>
      <c r="B48" s="29">
        <v>1.25</v>
      </c>
      <c r="C48" s="29">
        <v>1.25</v>
      </c>
      <c r="D48" s="28"/>
      <c r="E48" s="28"/>
      <c r="F48" s="29"/>
      <c r="G48" s="29"/>
      <c r="H48" s="29"/>
      <c r="I48" s="29"/>
      <c r="J48" s="29">
        <f t="shared" si="1"/>
        <v>26.75</v>
      </c>
      <c r="K48" s="29">
        <f t="shared" si="2"/>
        <v>131.75</v>
      </c>
      <c r="L48" s="28">
        <f t="shared" si="3"/>
        <v>158.5</v>
      </c>
    </row>
    <row r="49" spans="1:12" s="3" customFormat="1" ht="15.95" customHeight="1">
      <c r="A49" s="32" t="s">
        <v>58</v>
      </c>
      <c r="B49" s="29">
        <v>15</v>
      </c>
      <c r="C49" s="29">
        <v>15</v>
      </c>
      <c r="D49" s="28"/>
      <c r="E49" s="28"/>
      <c r="F49" s="29"/>
      <c r="G49" s="29"/>
      <c r="H49" s="29">
        <v>5</v>
      </c>
      <c r="I49" s="29"/>
      <c r="J49" s="29">
        <f t="shared" si="1"/>
        <v>36.75</v>
      </c>
      <c r="K49" s="29">
        <f t="shared" si="2"/>
        <v>146.75</v>
      </c>
      <c r="L49" s="28">
        <f t="shared" si="3"/>
        <v>183.5</v>
      </c>
    </row>
    <row r="50" spans="1:12" s="3" customFormat="1" ht="15.95" customHeight="1">
      <c r="A50" s="32" t="s">
        <v>59</v>
      </c>
      <c r="B50" s="29"/>
      <c r="C50" s="29"/>
      <c r="D50" s="28"/>
      <c r="E50" s="28"/>
      <c r="F50" s="29">
        <v>15</v>
      </c>
      <c r="G50" s="29">
        <v>14</v>
      </c>
      <c r="H50" s="29"/>
      <c r="I50" s="29"/>
      <c r="J50" s="29">
        <f t="shared" si="1"/>
        <v>21.75</v>
      </c>
      <c r="K50" s="29">
        <f t="shared" si="2"/>
        <v>132.75</v>
      </c>
      <c r="L50" s="28">
        <f t="shared" si="3"/>
        <v>154.5</v>
      </c>
    </row>
    <row r="51" spans="1:12" s="3" customFormat="1" ht="15.95" customHeight="1">
      <c r="A51" s="32" t="s">
        <v>60</v>
      </c>
      <c r="B51" s="29">
        <v>11.25</v>
      </c>
      <c r="C51" s="29">
        <v>11.25</v>
      </c>
      <c r="D51" s="28"/>
      <c r="E51" s="28"/>
      <c r="F51" s="29"/>
      <c r="G51" s="29"/>
      <c r="H51" s="29"/>
      <c r="I51" s="29"/>
      <c r="J51" s="29">
        <f t="shared" si="1"/>
        <v>33</v>
      </c>
      <c r="K51" s="29">
        <f t="shared" si="2"/>
        <v>144</v>
      </c>
      <c r="L51" s="28">
        <f t="shared" si="3"/>
        <v>177</v>
      </c>
    </row>
    <row r="52" spans="1:12" s="3" customFormat="1" ht="15.95" customHeight="1">
      <c r="A52" s="32" t="s">
        <v>61</v>
      </c>
      <c r="B52" s="29"/>
      <c r="C52" s="29"/>
      <c r="D52" s="28"/>
      <c r="E52" s="28"/>
      <c r="F52" s="29">
        <v>28</v>
      </c>
      <c r="G52" s="29">
        <v>1</v>
      </c>
      <c r="H52" s="29"/>
      <c r="I52" s="29"/>
      <c r="J52" s="29">
        <f t="shared" si="1"/>
        <v>5</v>
      </c>
      <c r="K52" s="29">
        <f t="shared" si="2"/>
        <v>143</v>
      </c>
      <c r="L52" s="28">
        <f t="shared" si="3"/>
        <v>148</v>
      </c>
    </row>
    <row r="53" spans="1:12" s="3" customFormat="1" ht="15.95" customHeight="1">
      <c r="A53" s="32" t="s">
        <v>62</v>
      </c>
      <c r="B53" s="29">
        <v>3.75</v>
      </c>
      <c r="C53" s="29">
        <v>3.75</v>
      </c>
      <c r="D53" s="28"/>
      <c r="E53" s="28"/>
      <c r="F53" s="29"/>
      <c r="G53" s="29"/>
      <c r="H53" s="29">
        <v>5</v>
      </c>
      <c r="I53" s="29"/>
      <c r="J53" s="29">
        <f t="shared" si="1"/>
        <v>3.75</v>
      </c>
      <c r="K53" s="29">
        <f t="shared" si="2"/>
        <v>146.75</v>
      </c>
      <c r="L53" s="28">
        <f t="shared" si="3"/>
        <v>150.5</v>
      </c>
    </row>
    <row r="54" spans="1:12" s="3" customFormat="1" ht="15.95" customHeight="1">
      <c r="A54" s="29" t="s">
        <v>63</v>
      </c>
      <c r="B54" s="29">
        <f>9*1.25</f>
        <v>11.25</v>
      </c>
      <c r="C54" s="29">
        <v>11.25</v>
      </c>
      <c r="D54" s="28"/>
      <c r="E54" s="28"/>
      <c r="F54" s="29"/>
      <c r="G54" s="29"/>
      <c r="H54" s="29"/>
      <c r="I54" s="29"/>
      <c r="J54" s="29">
        <f t="shared" si="1"/>
        <v>15</v>
      </c>
      <c r="K54" s="29">
        <f t="shared" si="2"/>
        <v>158</v>
      </c>
      <c r="L54" s="28">
        <f t="shared" si="3"/>
        <v>173</v>
      </c>
    </row>
    <row r="55" spans="1:12" s="3" customFormat="1" ht="15.95" customHeight="1">
      <c r="A55" s="29" t="s">
        <v>64</v>
      </c>
      <c r="B55" s="29"/>
      <c r="C55" s="29"/>
      <c r="D55" s="28"/>
      <c r="E55" s="28"/>
      <c r="F55" s="29">
        <v>5</v>
      </c>
      <c r="G55" s="29">
        <v>24</v>
      </c>
      <c r="H55" s="29"/>
      <c r="I55" s="29"/>
      <c r="J55" s="29">
        <f t="shared" si="1"/>
        <v>10</v>
      </c>
      <c r="K55" s="29">
        <f t="shared" si="2"/>
        <v>134</v>
      </c>
      <c r="L55" s="28">
        <f t="shared" si="3"/>
        <v>144</v>
      </c>
    </row>
    <row r="56" spans="1:12" s="3" customFormat="1" ht="15.95" customHeight="1">
      <c r="A56" s="29" t="s">
        <v>65</v>
      </c>
      <c r="B56" s="29">
        <v>3.75</v>
      </c>
      <c r="C56" s="29">
        <v>3.75</v>
      </c>
      <c r="D56" s="28"/>
      <c r="E56" s="28"/>
      <c r="F56" s="29"/>
      <c r="G56" s="29"/>
      <c r="H56" s="29"/>
      <c r="I56" s="29"/>
      <c r="J56" s="29">
        <f t="shared" si="1"/>
        <v>13.75</v>
      </c>
      <c r="K56" s="29">
        <f t="shared" si="2"/>
        <v>137.75</v>
      </c>
      <c r="L56" s="28">
        <f t="shared" si="3"/>
        <v>151.5</v>
      </c>
    </row>
    <row r="57" spans="1:12" s="3" customFormat="1" ht="15.95" customHeight="1">
      <c r="A57" s="29" t="s">
        <v>66</v>
      </c>
      <c r="B57" s="29"/>
      <c r="C57" s="29"/>
      <c r="D57" s="28"/>
      <c r="E57" s="28"/>
      <c r="F57" s="29"/>
      <c r="G57" s="29"/>
      <c r="H57" s="29">
        <v>5</v>
      </c>
      <c r="I57" s="29"/>
      <c r="J57" s="29">
        <f t="shared" si="1"/>
        <v>8.75</v>
      </c>
      <c r="K57" s="29">
        <f t="shared" si="2"/>
        <v>137.75</v>
      </c>
      <c r="L57" s="28">
        <f t="shared" si="3"/>
        <v>146.5</v>
      </c>
    </row>
    <row r="58" spans="1:12" s="3" customFormat="1" ht="15.95" customHeight="1">
      <c r="A58" s="34" t="s">
        <v>67</v>
      </c>
      <c r="B58" s="35">
        <v>3.75</v>
      </c>
      <c r="C58" s="35">
        <v>3.75</v>
      </c>
      <c r="D58" s="28"/>
      <c r="E58" s="28"/>
      <c r="F58" s="29"/>
      <c r="G58" s="29"/>
      <c r="H58" s="29"/>
      <c r="I58" s="29"/>
      <c r="J58" s="29">
        <f t="shared" si="1"/>
        <v>12.5</v>
      </c>
      <c r="K58" s="29">
        <f t="shared" si="2"/>
        <v>141.5</v>
      </c>
      <c r="L58" s="28">
        <f t="shared" si="3"/>
        <v>154</v>
      </c>
    </row>
    <row r="59" spans="1:12" s="3" customFormat="1" ht="15.95" customHeight="1">
      <c r="A59" s="34" t="s">
        <v>68</v>
      </c>
      <c r="B59" s="35"/>
      <c r="C59" s="35"/>
      <c r="D59" s="28"/>
      <c r="E59" s="28"/>
      <c r="F59" s="29"/>
      <c r="G59" s="29"/>
      <c r="H59" s="29">
        <v>1</v>
      </c>
      <c r="I59" s="29"/>
      <c r="J59" s="29">
        <f t="shared" si="1"/>
        <v>11.5</v>
      </c>
      <c r="K59" s="29">
        <f t="shared" si="2"/>
        <v>141.5</v>
      </c>
      <c r="L59" s="28">
        <f t="shared" si="3"/>
        <v>153</v>
      </c>
    </row>
    <row r="60" spans="1:12" s="3" customFormat="1" ht="15.95" customHeight="1">
      <c r="A60" s="34" t="s">
        <v>69</v>
      </c>
      <c r="B60" s="35"/>
      <c r="C60" s="35"/>
      <c r="D60" s="28"/>
      <c r="E60" s="28"/>
      <c r="F60" s="29"/>
      <c r="G60" s="29">
        <v>2</v>
      </c>
      <c r="H60" s="29"/>
      <c r="I60" s="29"/>
      <c r="J60" s="29">
        <f t="shared" si="1"/>
        <v>11.5</v>
      </c>
      <c r="K60" s="29">
        <f t="shared" si="2"/>
        <v>139.5</v>
      </c>
      <c r="L60" s="28">
        <f t="shared" si="3"/>
        <v>151</v>
      </c>
    </row>
    <row r="61" spans="1:12" s="3" customFormat="1" ht="15.95" customHeight="1">
      <c r="A61" s="34" t="s">
        <v>70</v>
      </c>
      <c r="B61" s="29">
        <v>3.75</v>
      </c>
      <c r="C61" s="29">
        <v>3.75</v>
      </c>
      <c r="D61" s="28"/>
      <c r="E61" s="28"/>
      <c r="F61" s="29"/>
      <c r="G61" s="29"/>
      <c r="H61" s="29"/>
      <c r="I61" s="29"/>
      <c r="J61" s="29">
        <f t="shared" si="1"/>
        <v>15.25</v>
      </c>
      <c r="K61" s="29">
        <f t="shared" si="2"/>
        <v>143.25</v>
      </c>
      <c r="L61" s="28">
        <f t="shared" si="3"/>
        <v>158.5</v>
      </c>
    </row>
    <row r="62" spans="1:12" s="3" customFormat="1" ht="15.95" customHeight="1">
      <c r="A62" s="34" t="s">
        <v>71</v>
      </c>
      <c r="B62" s="29"/>
      <c r="C62" s="29"/>
      <c r="D62" s="28"/>
      <c r="E62" s="28"/>
      <c r="F62" s="29"/>
      <c r="G62" s="29"/>
      <c r="H62" s="29"/>
      <c r="I62" s="29">
        <v>1</v>
      </c>
      <c r="J62" s="29">
        <f t="shared" si="1"/>
        <v>15.25</v>
      </c>
      <c r="K62" s="29">
        <f t="shared" si="2"/>
        <v>143.25</v>
      </c>
      <c r="L62" s="28">
        <f t="shared" si="3"/>
        <v>158.5</v>
      </c>
    </row>
    <row r="63" spans="1:12" s="3" customFormat="1" ht="15.95" customHeight="1">
      <c r="A63" s="34" t="s">
        <v>72</v>
      </c>
      <c r="B63" s="29">
        <v>2.5</v>
      </c>
      <c r="C63" s="29">
        <v>2.5</v>
      </c>
      <c r="D63" s="28"/>
      <c r="E63" s="28"/>
      <c r="F63" s="29"/>
      <c r="G63" s="29"/>
      <c r="H63" s="29"/>
      <c r="I63" s="29"/>
      <c r="J63" s="29">
        <f t="shared" si="1"/>
        <v>17.75</v>
      </c>
      <c r="K63" s="29">
        <f t="shared" si="2"/>
        <v>145.75</v>
      </c>
      <c r="L63" s="28">
        <f t="shared" si="3"/>
        <v>163.5</v>
      </c>
    </row>
    <row r="64" spans="1:12" s="3" customFormat="1" ht="15.95" customHeight="1">
      <c r="A64" s="29" t="s">
        <v>73</v>
      </c>
      <c r="B64" s="29"/>
      <c r="C64" s="29"/>
      <c r="D64" s="28"/>
      <c r="E64" s="28"/>
      <c r="F64" s="29">
        <v>8</v>
      </c>
      <c r="G64" s="29">
        <v>21</v>
      </c>
      <c r="H64" s="29"/>
      <c r="I64" s="29"/>
      <c r="J64" s="29">
        <f t="shared" si="1"/>
        <v>9.75</v>
      </c>
      <c r="K64" s="29">
        <f t="shared" si="2"/>
        <v>124.75</v>
      </c>
      <c r="L64" s="28">
        <f t="shared" si="3"/>
        <v>134.5</v>
      </c>
    </row>
    <row r="65" spans="1:12" s="3" customFormat="1" ht="15.95" customHeight="1">
      <c r="A65" s="29" t="s">
        <v>74</v>
      </c>
      <c r="B65" s="29">
        <v>1.25</v>
      </c>
      <c r="C65" s="29">
        <v>1.25</v>
      </c>
      <c r="D65" s="28"/>
      <c r="E65" s="28"/>
      <c r="F65" s="29"/>
      <c r="G65" s="29"/>
      <c r="H65" s="29"/>
      <c r="I65" s="29"/>
      <c r="J65" s="29">
        <f t="shared" si="1"/>
        <v>11</v>
      </c>
      <c r="K65" s="29">
        <f t="shared" si="2"/>
        <v>126</v>
      </c>
      <c r="L65" s="28">
        <f t="shared" si="3"/>
        <v>137</v>
      </c>
    </row>
    <row r="66" spans="1:12" s="3" customFormat="1" ht="15.95" customHeight="1">
      <c r="A66" s="29" t="s">
        <v>75</v>
      </c>
      <c r="B66" s="29"/>
      <c r="C66" s="29"/>
      <c r="D66" s="28"/>
      <c r="E66" s="28"/>
      <c r="F66" s="29"/>
      <c r="G66" s="29"/>
      <c r="H66" s="29">
        <v>1</v>
      </c>
      <c r="I66" s="29"/>
      <c r="J66" s="29">
        <f t="shared" si="1"/>
        <v>10</v>
      </c>
      <c r="K66" s="29">
        <f t="shared" si="2"/>
        <v>126</v>
      </c>
      <c r="L66" s="28">
        <f t="shared" si="3"/>
        <v>136</v>
      </c>
    </row>
    <row r="67" spans="1:12" s="3" customFormat="1" ht="15.95" customHeight="1">
      <c r="A67" s="29" t="s">
        <v>76</v>
      </c>
      <c r="B67" s="29">
        <v>1.25</v>
      </c>
      <c r="C67" s="29">
        <v>1.25</v>
      </c>
      <c r="D67" s="28"/>
      <c r="E67" s="28"/>
      <c r="F67" s="29"/>
      <c r="G67" s="29"/>
      <c r="H67" s="29"/>
      <c r="I67" s="29"/>
      <c r="J67" s="29">
        <f t="shared" si="1"/>
        <v>11.25</v>
      </c>
      <c r="K67" s="29">
        <f t="shared" si="2"/>
        <v>127.25</v>
      </c>
      <c r="L67" s="28">
        <f t="shared" si="3"/>
        <v>138.5</v>
      </c>
    </row>
    <row r="68" spans="1:12" s="3" customFormat="1" ht="15.95" customHeight="1">
      <c r="A68" s="29" t="s">
        <v>77</v>
      </c>
      <c r="B68" s="29"/>
      <c r="C68" s="29"/>
      <c r="D68" s="28"/>
      <c r="E68" s="28"/>
      <c r="F68" s="29"/>
      <c r="G68" s="29"/>
      <c r="H68" s="29">
        <v>1</v>
      </c>
      <c r="I68" s="29"/>
      <c r="J68" s="29">
        <f t="shared" si="1"/>
        <v>10.25</v>
      </c>
      <c r="K68" s="29">
        <f t="shared" si="2"/>
        <v>127.25</v>
      </c>
      <c r="L68" s="28">
        <f t="shared" si="3"/>
        <v>137.5</v>
      </c>
    </row>
    <row r="69" spans="1:12" s="3" customFormat="1" ht="15.95" customHeight="1">
      <c r="A69" s="29" t="s">
        <v>78</v>
      </c>
      <c r="B69" s="29">
        <v>1.25</v>
      </c>
      <c r="C69" s="29">
        <v>1.25</v>
      </c>
      <c r="D69" s="28"/>
      <c r="E69" s="28"/>
      <c r="F69" s="29"/>
      <c r="G69" s="29"/>
      <c r="H69" s="29"/>
      <c r="I69" s="29"/>
      <c r="J69" s="29">
        <f t="shared" ref="J69:J70" si="4">J68-H69-F69+B69</f>
        <v>11.5</v>
      </c>
      <c r="K69" s="29">
        <f t="shared" ref="K69:K70" si="5">K68-G69+C69</f>
        <v>128.5</v>
      </c>
      <c r="L69" s="28">
        <f t="shared" ref="L69:L70" si="6">J69+K69</f>
        <v>140</v>
      </c>
    </row>
    <row r="70" spans="1:12" s="3" customFormat="1" ht="15.95" customHeight="1">
      <c r="A70" s="29" t="s">
        <v>79</v>
      </c>
      <c r="B70" s="29"/>
      <c r="C70" s="29"/>
      <c r="D70" s="28"/>
      <c r="E70" s="28"/>
      <c r="F70" s="29"/>
      <c r="G70" s="29"/>
      <c r="H70" s="29">
        <v>2</v>
      </c>
      <c r="I70" s="29"/>
      <c r="J70" s="29">
        <f t="shared" si="4"/>
        <v>9.5</v>
      </c>
      <c r="K70" s="29">
        <f t="shared" si="5"/>
        <v>128.5</v>
      </c>
      <c r="L70" s="28">
        <f t="shared" si="6"/>
        <v>138</v>
      </c>
    </row>
    <row r="71" spans="1:12" s="3" customFormat="1" ht="15.95" customHeight="1">
      <c r="A71" s="29" t="s">
        <v>80</v>
      </c>
      <c r="B71" s="29">
        <v>1.25</v>
      </c>
      <c r="C71" s="29">
        <v>1.25</v>
      </c>
      <c r="D71" s="28"/>
      <c r="E71" s="28"/>
      <c r="F71" s="29"/>
      <c r="G71" s="29"/>
      <c r="H71" s="29"/>
      <c r="I71" s="29"/>
      <c r="J71" s="29">
        <f t="shared" ref="J71" si="7">J70-H71-F71+B71</f>
        <v>10.75</v>
      </c>
      <c r="K71" s="29">
        <f t="shared" ref="K71" si="8">K70-G71+C71</f>
        <v>129.75</v>
      </c>
      <c r="L71" s="28">
        <f t="shared" ref="L71" si="9">J71+K71</f>
        <v>140.5</v>
      </c>
    </row>
    <row r="72" spans="1:12" s="3" customFormat="1" ht="15.95" customHeight="1">
      <c r="A72" s="29" t="s">
        <v>81</v>
      </c>
      <c r="B72" s="29">
        <v>3.75</v>
      </c>
      <c r="C72" s="29">
        <v>3.75</v>
      </c>
      <c r="D72" s="28"/>
      <c r="E72" s="28"/>
      <c r="F72" s="29"/>
      <c r="G72" s="29"/>
      <c r="H72" s="29"/>
      <c r="I72" s="29"/>
      <c r="J72" s="29">
        <f t="shared" ref="J72:J74" si="10">J71-H72-F72+B72</f>
        <v>14.5</v>
      </c>
      <c r="K72" s="29">
        <f t="shared" ref="K72:K74" si="11">K71-G72+C72</f>
        <v>133.5</v>
      </c>
      <c r="L72" s="28">
        <f t="shared" ref="L72:L74" si="12">J72+K72</f>
        <v>148</v>
      </c>
    </row>
    <row r="73" spans="1:12" s="3" customFormat="1" ht="15.95" customHeight="1">
      <c r="A73" s="29" t="s">
        <v>82</v>
      </c>
      <c r="B73" s="29"/>
      <c r="C73" s="29"/>
      <c r="D73" s="28"/>
      <c r="E73" s="28"/>
      <c r="F73" s="29"/>
      <c r="G73" s="29"/>
      <c r="H73" s="32">
        <v>1</v>
      </c>
      <c r="I73" s="29"/>
      <c r="J73" s="29">
        <f t="shared" si="10"/>
        <v>13.5</v>
      </c>
      <c r="K73" s="29">
        <f t="shared" si="11"/>
        <v>133.5</v>
      </c>
      <c r="L73" s="28">
        <f t="shared" si="12"/>
        <v>147</v>
      </c>
    </row>
    <row r="74" spans="1:12" s="3" customFormat="1" ht="15.95" customHeight="1">
      <c r="A74" s="32" t="s">
        <v>83</v>
      </c>
      <c r="B74" s="32">
        <v>5</v>
      </c>
      <c r="C74" s="32">
        <v>5</v>
      </c>
      <c r="D74" s="30"/>
      <c r="E74" s="30"/>
      <c r="F74" s="32"/>
      <c r="G74" s="32"/>
      <c r="H74" s="32"/>
      <c r="I74" s="32"/>
      <c r="J74" s="29">
        <f t="shared" si="10"/>
        <v>18.5</v>
      </c>
      <c r="K74" s="29">
        <f t="shared" si="11"/>
        <v>138.5</v>
      </c>
      <c r="L74" s="28">
        <f t="shared" si="12"/>
        <v>157</v>
      </c>
    </row>
    <row r="75" spans="1:12" s="3" customFormat="1" ht="15.95" customHeight="1">
      <c r="A75" s="32" t="s">
        <v>84</v>
      </c>
      <c r="B75" s="32"/>
      <c r="C75" s="32"/>
      <c r="D75" s="30"/>
      <c r="E75" s="30"/>
      <c r="F75" s="32">
        <v>10</v>
      </c>
      <c r="G75" s="32"/>
      <c r="H75" s="32"/>
      <c r="I75" s="32"/>
      <c r="J75" s="32">
        <f t="shared" ref="J75" si="13">J74-H75-F75+B75</f>
        <v>8.5</v>
      </c>
      <c r="K75" s="32">
        <f t="shared" ref="K75" si="14">K74-G75+C75</f>
        <v>138.5</v>
      </c>
      <c r="L75" s="30">
        <f t="shared" ref="L75" si="15">J75+K75</f>
        <v>147</v>
      </c>
    </row>
    <row r="76" spans="1:12" s="3" customFormat="1" ht="15.95" customHeight="1">
      <c r="A76" s="32" t="s">
        <v>85</v>
      </c>
      <c r="B76" s="32">
        <v>2.5</v>
      </c>
      <c r="C76" s="32">
        <v>2.5</v>
      </c>
      <c r="D76" s="30"/>
      <c r="E76" s="30"/>
      <c r="F76" s="32"/>
      <c r="G76" s="32"/>
      <c r="H76" s="32"/>
      <c r="I76" s="32"/>
      <c r="J76" s="32">
        <f t="shared" ref="J76:J77" si="16">J75-H76-F76+B76</f>
        <v>11</v>
      </c>
      <c r="K76" s="32">
        <f t="shared" ref="K76:K77" si="17">K75-G76+C76</f>
        <v>141</v>
      </c>
      <c r="L76" s="30">
        <f t="shared" ref="L76:L77" si="18">J76+K76</f>
        <v>152</v>
      </c>
    </row>
    <row r="77" spans="1:12" s="3" customFormat="1" ht="15.95" customHeight="1">
      <c r="A77" s="32" t="s">
        <v>86</v>
      </c>
      <c r="B77" s="32"/>
      <c r="C77" s="32"/>
      <c r="D77" s="30"/>
      <c r="E77" s="30"/>
      <c r="F77" s="32"/>
      <c r="G77" s="32"/>
      <c r="H77" s="32">
        <v>1</v>
      </c>
      <c r="I77" s="32"/>
      <c r="J77" s="32">
        <f t="shared" si="16"/>
        <v>10</v>
      </c>
      <c r="K77" s="32">
        <f t="shared" si="17"/>
        <v>141</v>
      </c>
      <c r="L77" s="30">
        <f t="shared" si="18"/>
        <v>151</v>
      </c>
    </row>
    <row r="78" spans="1:12" s="3" customFormat="1" ht="15.95" customHeight="1">
      <c r="A78" s="32" t="s">
        <v>87</v>
      </c>
      <c r="B78" s="32">
        <v>1.25</v>
      </c>
      <c r="C78" s="32">
        <v>1.25</v>
      </c>
      <c r="D78" s="30"/>
      <c r="E78" s="30"/>
      <c r="F78" s="32"/>
      <c r="G78" s="32"/>
      <c r="H78" s="32"/>
      <c r="I78" s="32"/>
      <c r="J78" s="32">
        <f t="shared" ref="J78:J79" si="19">J77-H78-F78+B78</f>
        <v>11.25</v>
      </c>
      <c r="K78" s="32">
        <f t="shared" ref="K78:K79" si="20">K77-G78+C78</f>
        <v>142.25</v>
      </c>
      <c r="L78" s="30">
        <f t="shared" ref="L78:L79" si="21">J78+K78</f>
        <v>153.5</v>
      </c>
    </row>
    <row r="79" spans="1:12" s="3" customFormat="1" ht="15.95" customHeight="1">
      <c r="A79" s="32" t="s">
        <v>88</v>
      </c>
      <c r="B79" s="32"/>
      <c r="C79" s="32"/>
      <c r="D79" s="30"/>
      <c r="E79" s="30"/>
      <c r="F79" s="32"/>
      <c r="G79" s="32"/>
      <c r="H79" s="32">
        <v>1</v>
      </c>
      <c r="I79" s="32"/>
      <c r="J79" s="32">
        <f t="shared" si="19"/>
        <v>10.25</v>
      </c>
      <c r="K79" s="32">
        <f t="shared" si="20"/>
        <v>142.25</v>
      </c>
      <c r="L79" s="30">
        <f t="shared" si="21"/>
        <v>152.5</v>
      </c>
    </row>
    <row r="80" spans="1:12" s="3" customFormat="1" ht="15.95" customHeight="1">
      <c r="A80" s="32" t="s">
        <v>89</v>
      </c>
      <c r="B80" s="32">
        <v>1.25</v>
      </c>
      <c r="C80" s="32">
        <v>1.25</v>
      </c>
      <c r="D80" s="30"/>
      <c r="E80" s="30"/>
      <c r="F80" s="32"/>
      <c r="G80" s="32"/>
      <c r="H80" s="32"/>
      <c r="I80" s="32"/>
      <c r="J80" s="32">
        <f t="shared" ref="J80:J81" si="22">J79-H80-F80+B80</f>
        <v>11.5</v>
      </c>
      <c r="K80" s="32">
        <f t="shared" ref="K80:K81" si="23">K79-G80+C80</f>
        <v>143.5</v>
      </c>
      <c r="L80" s="30">
        <f t="shared" ref="L80:L81" si="24">J80+K80</f>
        <v>155</v>
      </c>
    </row>
    <row r="81" spans="1:12" s="3" customFormat="1" ht="15.95" customHeight="1">
      <c r="A81" s="32" t="s">
        <v>90</v>
      </c>
      <c r="B81" s="32"/>
      <c r="C81" s="32"/>
      <c r="D81" s="30"/>
      <c r="E81" s="30"/>
      <c r="F81" s="32"/>
      <c r="G81" s="32"/>
      <c r="H81" s="32">
        <v>1</v>
      </c>
      <c r="I81" s="32"/>
      <c r="J81" s="32">
        <f t="shared" si="22"/>
        <v>10.5</v>
      </c>
      <c r="K81" s="32">
        <f t="shared" si="23"/>
        <v>143.5</v>
      </c>
      <c r="L81" s="30">
        <f t="shared" si="24"/>
        <v>154</v>
      </c>
    </row>
    <row r="82" spans="1:12" s="3" customFormat="1" ht="15.95" customHeight="1">
      <c r="A82" s="32" t="s">
        <v>91</v>
      </c>
      <c r="B82" s="32">
        <v>1.25</v>
      </c>
      <c r="C82" s="32">
        <v>1.25</v>
      </c>
      <c r="D82" s="30"/>
      <c r="E82" s="30"/>
      <c r="F82" s="32"/>
      <c r="G82" s="32"/>
      <c r="H82" s="32"/>
      <c r="I82" s="32"/>
      <c r="J82" s="32">
        <f t="shared" ref="J82:J85" si="25">J81-H82-F82+B82</f>
        <v>11.75</v>
      </c>
      <c r="K82" s="32">
        <f t="shared" ref="K82:K85" si="26">K81-G82+C82</f>
        <v>144.75</v>
      </c>
      <c r="L82" s="30">
        <f t="shared" ref="L82:L85" si="27">J82+K82</f>
        <v>156.5</v>
      </c>
    </row>
    <row r="83" spans="1:12" s="3" customFormat="1" ht="15.95" customHeight="1">
      <c r="A83" s="32" t="s">
        <v>92</v>
      </c>
      <c r="B83" s="32"/>
      <c r="C83" s="32"/>
      <c r="D83" s="30"/>
      <c r="E83" s="30"/>
      <c r="F83" s="32"/>
      <c r="G83" s="32"/>
      <c r="H83" s="32">
        <v>1</v>
      </c>
      <c r="I83" s="32"/>
      <c r="J83" s="32">
        <f t="shared" si="25"/>
        <v>10.75</v>
      </c>
      <c r="K83" s="32">
        <f t="shared" si="26"/>
        <v>144.75</v>
      </c>
      <c r="L83" s="30">
        <f t="shared" si="27"/>
        <v>155.5</v>
      </c>
    </row>
    <row r="84" spans="1:12" s="3" customFormat="1" ht="15.95" customHeight="1">
      <c r="A84" s="32" t="s">
        <v>93</v>
      </c>
      <c r="B84" s="32">
        <v>1.25</v>
      </c>
      <c r="C84" s="32">
        <v>1.25</v>
      </c>
      <c r="D84" s="30"/>
      <c r="E84" s="30"/>
      <c r="F84" s="32"/>
      <c r="G84" s="32"/>
      <c r="H84" s="32"/>
      <c r="I84" s="32"/>
      <c r="J84" s="32">
        <f t="shared" si="25"/>
        <v>12</v>
      </c>
      <c r="K84" s="32">
        <f t="shared" si="26"/>
        <v>146</v>
      </c>
      <c r="L84" s="30">
        <f t="shared" si="27"/>
        <v>158</v>
      </c>
    </row>
    <row r="85" spans="1:12" s="3" customFormat="1" ht="15.95" customHeight="1">
      <c r="A85" s="32" t="s">
        <v>94</v>
      </c>
      <c r="B85" s="32"/>
      <c r="C85" s="32"/>
      <c r="D85" s="30"/>
      <c r="E85" s="30"/>
      <c r="F85" s="32"/>
      <c r="G85" s="32">
        <v>1</v>
      </c>
      <c r="H85" s="32"/>
      <c r="I85" s="32"/>
      <c r="J85" s="32">
        <f t="shared" si="25"/>
        <v>12</v>
      </c>
      <c r="K85" s="32">
        <f t="shared" si="26"/>
        <v>145</v>
      </c>
      <c r="L85" s="30">
        <f t="shared" si="27"/>
        <v>157</v>
      </c>
    </row>
    <row r="86" spans="1:12" s="3" customFormat="1" ht="15.95" customHeight="1">
      <c r="A86" s="32" t="s">
        <v>95</v>
      </c>
      <c r="B86" s="32"/>
      <c r="C86" s="32"/>
      <c r="D86" s="30"/>
      <c r="E86" s="30"/>
      <c r="F86" s="32"/>
      <c r="G86" s="32">
        <v>1</v>
      </c>
      <c r="H86" s="32"/>
      <c r="I86" s="32"/>
      <c r="J86" s="32">
        <f t="shared" ref="J86" si="28">J85-H86-F86+B86</f>
        <v>12</v>
      </c>
      <c r="K86" s="32">
        <f t="shared" ref="K86" si="29">K85-G86+C86</f>
        <v>144</v>
      </c>
      <c r="L86" s="30">
        <f t="shared" ref="L86" si="30">J86+K86</f>
        <v>156</v>
      </c>
    </row>
    <row r="87" spans="1:12" s="3" customFormat="1" ht="15.95" customHeight="1">
      <c r="A87" s="32" t="s">
        <v>96</v>
      </c>
      <c r="B87" s="32">
        <v>2.5</v>
      </c>
      <c r="C87" s="32">
        <v>2.5</v>
      </c>
      <c r="D87" s="30"/>
      <c r="E87" s="30"/>
      <c r="F87" s="32"/>
      <c r="G87" s="32"/>
      <c r="H87" s="32"/>
      <c r="I87" s="32"/>
      <c r="J87" s="32">
        <f t="shared" ref="J87:J88" si="31">J86-H87-F87+B87</f>
        <v>14.5</v>
      </c>
      <c r="K87" s="32">
        <f t="shared" ref="K87:K88" si="32">K86-G87+C87</f>
        <v>146.5</v>
      </c>
      <c r="L87" s="30">
        <f t="shared" ref="L87:L88" si="33">J87+K87</f>
        <v>161</v>
      </c>
    </row>
    <row r="88" spans="1:12" s="3" customFormat="1" ht="15.95" customHeight="1">
      <c r="A88" s="32" t="s">
        <v>97</v>
      </c>
      <c r="B88" s="32"/>
      <c r="C88" s="32"/>
      <c r="D88" s="30"/>
      <c r="E88" s="30"/>
      <c r="F88" s="32"/>
      <c r="G88" s="32">
        <v>1</v>
      </c>
      <c r="H88" s="32"/>
      <c r="I88" s="32"/>
      <c r="J88" s="32">
        <f t="shared" si="31"/>
        <v>14.5</v>
      </c>
      <c r="K88" s="32">
        <f t="shared" si="32"/>
        <v>145.5</v>
      </c>
      <c r="L88" s="30">
        <f t="shared" si="33"/>
        <v>160</v>
      </c>
    </row>
    <row r="89" spans="1:12" s="3" customFormat="1" ht="15.95" customHeight="1">
      <c r="A89" s="32" t="s">
        <v>98</v>
      </c>
      <c r="B89" s="32">
        <v>1.25</v>
      </c>
      <c r="C89" s="32">
        <v>1.25</v>
      </c>
      <c r="D89" s="30"/>
      <c r="E89" s="30"/>
      <c r="F89" s="32"/>
      <c r="G89" s="32"/>
      <c r="H89" s="32"/>
      <c r="I89" s="32"/>
      <c r="J89" s="32">
        <f t="shared" ref="J89:J90" si="34">J88-H89-F89+B89</f>
        <v>15.75</v>
      </c>
      <c r="K89" s="32">
        <f t="shared" ref="K89:K90" si="35">K88-G89+C89</f>
        <v>146.75</v>
      </c>
      <c r="L89" s="30">
        <f t="shared" ref="L89:L90" si="36">J89+K89</f>
        <v>162.5</v>
      </c>
    </row>
    <row r="90" spans="1:12" s="3" customFormat="1" ht="15.95" customHeight="1">
      <c r="A90" s="32" t="s">
        <v>99</v>
      </c>
      <c r="B90" s="32"/>
      <c r="C90" s="32"/>
      <c r="D90" s="30"/>
      <c r="E90" s="30"/>
      <c r="F90" s="32"/>
      <c r="G90" s="32">
        <v>1</v>
      </c>
      <c r="H90" s="32"/>
      <c r="I90" s="32"/>
      <c r="J90" s="32">
        <f t="shared" si="34"/>
        <v>15.75</v>
      </c>
      <c r="K90" s="32">
        <f t="shared" si="35"/>
        <v>145.75</v>
      </c>
      <c r="L90" s="30">
        <f t="shared" si="36"/>
        <v>161.5</v>
      </c>
    </row>
    <row r="91" spans="1:12" s="3" customFormat="1" ht="15.95" customHeight="1">
      <c r="A91" s="32" t="s">
        <v>100</v>
      </c>
      <c r="B91" s="32">
        <v>2.5</v>
      </c>
      <c r="C91" s="32">
        <v>2.5</v>
      </c>
      <c r="D91" s="30"/>
      <c r="E91" s="30"/>
      <c r="F91" s="32"/>
      <c r="G91" s="32"/>
      <c r="H91" s="32"/>
      <c r="I91" s="32"/>
      <c r="J91" s="32">
        <f t="shared" ref="J91" si="37">J90-H91-F91+B91</f>
        <v>18.25</v>
      </c>
      <c r="K91" s="32">
        <f t="shared" ref="K91" si="38">K90-G91+C91</f>
        <v>148.25</v>
      </c>
      <c r="L91" s="30">
        <f t="shared" ref="L91" si="39">J91+K91</f>
        <v>166.5</v>
      </c>
    </row>
    <row r="92" spans="1:12" s="3" customFormat="1" ht="15.95" customHeight="1">
      <c r="A92" s="32" t="s">
        <v>101</v>
      </c>
      <c r="B92" s="32"/>
      <c r="C92" s="32"/>
      <c r="D92" s="30"/>
      <c r="E92" s="30"/>
      <c r="F92" s="32">
        <v>10</v>
      </c>
      <c r="G92" s="32"/>
      <c r="H92" s="32"/>
      <c r="I92" s="32"/>
      <c r="J92" s="32">
        <f t="shared" ref="J92" si="40">J91-H92-F92+B92</f>
        <v>8.25</v>
      </c>
      <c r="K92" s="32">
        <f t="shared" ref="K92" si="41">K91-G92+C92</f>
        <v>148.25</v>
      </c>
      <c r="L92" s="30">
        <f t="shared" ref="L92" si="42">J92+K92</f>
        <v>156.5</v>
      </c>
    </row>
    <row r="93" spans="1:12" s="3" customFormat="1" ht="15.95" customHeight="1">
      <c r="A93" s="32" t="s">
        <v>102</v>
      </c>
      <c r="B93" s="32"/>
      <c r="C93" s="32"/>
      <c r="D93" s="30"/>
      <c r="E93" s="30"/>
      <c r="F93" s="32"/>
      <c r="G93" s="32">
        <v>1</v>
      </c>
      <c r="H93" s="32"/>
      <c r="I93" s="32"/>
      <c r="J93" s="32">
        <f t="shared" ref="J93" si="43">J92-H93-F93+B93</f>
        <v>8.25</v>
      </c>
      <c r="K93" s="32">
        <f t="shared" ref="K93" si="44">K92-G93+C93</f>
        <v>147.25</v>
      </c>
      <c r="L93" s="30">
        <f t="shared" ref="L93" si="45">J93+K93</f>
        <v>155.5</v>
      </c>
    </row>
    <row r="94" spans="1:12" s="3" customFormat="1" ht="15.95" customHeight="1">
      <c r="A94" s="32" t="s">
        <v>103</v>
      </c>
      <c r="B94" s="32">
        <v>1.25</v>
      </c>
      <c r="C94" s="32">
        <v>1.25</v>
      </c>
      <c r="D94" s="30"/>
      <c r="E94" s="30"/>
      <c r="F94" s="32"/>
      <c r="G94" s="32"/>
      <c r="H94" s="32"/>
      <c r="I94" s="32"/>
      <c r="J94" s="32">
        <f t="shared" ref="J94:J95" si="46">J93-H94-F94+B94</f>
        <v>9.5</v>
      </c>
      <c r="K94" s="32">
        <f t="shared" ref="K94:K95" si="47">K93-G94+C94</f>
        <v>148.5</v>
      </c>
      <c r="L94" s="30">
        <f t="shared" ref="L94:L95" si="48">J94+K94</f>
        <v>158</v>
      </c>
    </row>
    <row r="95" spans="1:12" s="3" customFormat="1" ht="15.95" customHeight="1">
      <c r="A95" s="32" t="s">
        <v>104</v>
      </c>
      <c r="B95" s="32"/>
      <c r="C95" s="32"/>
      <c r="D95" s="30"/>
      <c r="E95" s="30"/>
      <c r="F95" s="32"/>
      <c r="G95" s="32">
        <v>1</v>
      </c>
      <c r="H95" s="32"/>
      <c r="I95" s="32"/>
      <c r="J95" s="32">
        <f t="shared" si="46"/>
        <v>9.5</v>
      </c>
      <c r="K95" s="32">
        <f t="shared" si="47"/>
        <v>147.5</v>
      </c>
      <c r="L95" s="30">
        <f t="shared" si="48"/>
        <v>157</v>
      </c>
    </row>
    <row r="96" spans="1:12" s="3" customFormat="1" ht="15.95" customHeight="1">
      <c r="A96" s="32" t="s">
        <v>105</v>
      </c>
      <c r="B96" s="32"/>
      <c r="C96" s="32"/>
      <c r="D96" s="30"/>
      <c r="E96" s="30"/>
      <c r="F96" s="32"/>
      <c r="G96" s="32">
        <v>1</v>
      </c>
      <c r="H96" s="32"/>
      <c r="I96" s="32"/>
      <c r="J96" s="32">
        <f t="shared" ref="J96" si="49">J95-H96-F96+B96</f>
        <v>9.5</v>
      </c>
      <c r="K96" s="32">
        <f t="shared" ref="K96" si="50">K95-G96+C96</f>
        <v>146.5</v>
      </c>
      <c r="L96" s="30">
        <f t="shared" ref="L96" si="51">J96+K96</f>
        <v>156</v>
      </c>
    </row>
    <row r="97" spans="1:12" s="3" customFormat="1" ht="15.95" customHeight="1">
      <c r="A97" s="32" t="s">
        <v>106</v>
      </c>
      <c r="B97" s="32">
        <v>1.25</v>
      </c>
      <c r="C97" s="32">
        <v>1.25</v>
      </c>
      <c r="D97" s="30"/>
      <c r="E97" s="30"/>
      <c r="F97" s="32"/>
      <c r="G97" s="32"/>
      <c r="H97" s="32"/>
      <c r="I97" s="32"/>
      <c r="J97" s="32">
        <f t="shared" ref="J97:J98" si="52">J96-H97-F97+B97</f>
        <v>10.75</v>
      </c>
      <c r="K97" s="32">
        <f t="shared" ref="K97:K98" si="53">K96-G97+C97</f>
        <v>147.75</v>
      </c>
      <c r="L97" s="30">
        <f t="shared" ref="L97:L98" si="54">J97+K97</f>
        <v>158.5</v>
      </c>
    </row>
    <row r="98" spans="1:12" s="3" customFormat="1" ht="15.95" customHeight="1">
      <c r="A98" s="32" t="s">
        <v>107</v>
      </c>
      <c r="B98" s="32"/>
      <c r="C98" s="32"/>
      <c r="D98" s="30"/>
      <c r="E98" s="30"/>
      <c r="F98" s="32"/>
      <c r="G98" s="32">
        <v>1</v>
      </c>
      <c r="H98" s="32"/>
      <c r="I98" s="32"/>
      <c r="J98" s="32">
        <f t="shared" si="52"/>
        <v>10.75</v>
      </c>
      <c r="K98" s="32">
        <f t="shared" si="53"/>
        <v>146.75</v>
      </c>
      <c r="L98" s="30">
        <f t="shared" si="54"/>
        <v>157.5</v>
      </c>
    </row>
    <row r="99" spans="1:12" s="3" customFormat="1" ht="15.95" customHeight="1">
      <c r="A99" s="32" t="s">
        <v>108</v>
      </c>
      <c r="B99" s="32">
        <v>3.75</v>
      </c>
      <c r="C99" s="32">
        <v>3.75</v>
      </c>
      <c r="D99" s="30"/>
      <c r="E99" s="30"/>
      <c r="F99" s="32"/>
      <c r="G99" s="32"/>
      <c r="H99" s="32"/>
      <c r="I99" s="32"/>
      <c r="J99" s="32">
        <f>J98-H99-F99+B99</f>
        <v>14.5</v>
      </c>
      <c r="K99" s="32">
        <f>K98-G99+C99</f>
        <v>150.5</v>
      </c>
      <c r="L99" s="30">
        <f>J99+K99</f>
        <v>165</v>
      </c>
    </row>
    <row r="100" spans="1:12" s="3" customFormat="1" ht="15.95" customHeight="1">
      <c r="A100" s="32" t="s">
        <v>109</v>
      </c>
      <c r="B100" s="32"/>
      <c r="C100" s="32"/>
      <c r="D100" s="30"/>
      <c r="E100" s="30"/>
      <c r="F100" s="32"/>
      <c r="G100" s="32"/>
      <c r="H100" s="41">
        <v>2</v>
      </c>
      <c r="I100" s="32"/>
      <c r="J100" s="32">
        <f>J99-H100-F100+B100</f>
        <v>12.5</v>
      </c>
      <c r="K100" s="32">
        <f>K99-G100+C100</f>
        <v>150.5</v>
      </c>
      <c r="L100" s="30">
        <f>J100+K100</f>
        <v>163</v>
      </c>
    </row>
    <row r="101" spans="1:12" s="3" customFormat="1" ht="15.95" customHeight="1">
      <c r="A101" s="32" t="s">
        <v>114</v>
      </c>
      <c r="B101" s="32"/>
      <c r="C101" s="32"/>
      <c r="D101" s="30"/>
      <c r="E101" s="30"/>
      <c r="F101" s="32"/>
      <c r="G101" s="32"/>
      <c r="H101" s="41">
        <v>1</v>
      </c>
      <c r="I101" s="32"/>
      <c r="J101" s="32">
        <f>J100-H101-F101+B101</f>
        <v>11.5</v>
      </c>
      <c r="K101" s="32">
        <f>K100-G101+C101</f>
        <v>150.5</v>
      </c>
      <c r="L101" s="30">
        <f>J101+K101</f>
        <v>162</v>
      </c>
    </row>
    <row r="102" spans="1:12" s="3" customFormat="1" ht="15.95" customHeight="1">
      <c r="A102" s="42"/>
      <c r="B102" s="42"/>
      <c r="C102" s="42"/>
      <c r="D102" s="43"/>
      <c r="E102" s="43"/>
      <c r="F102" s="42"/>
      <c r="G102" s="42"/>
      <c r="H102" s="42"/>
      <c r="I102" s="42"/>
      <c r="J102" s="42"/>
      <c r="K102" s="42"/>
      <c r="L102" s="43"/>
    </row>
    <row r="103" spans="1:12" s="3" customFormat="1" ht="15.95" customHeight="1">
      <c r="A103" s="5"/>
      <c r="B103" s="13"/>
      <c r="C103" s="13"/>
      <c r="D103" s="44"/>
      <c r="E103" s="44"/>
      <c r="F103" s="13"/>
      <c r="G103" s="13"/>
      <c r="H103" s="13"/>
      <c r="I103" s="13"/>
      <c r="J103" s="13"/>
      <c r="K103" s="13"/>
      <c r="L103" s="44"/>
    </row>
    <row r="104" spans="1:12" s="5" customFormat="1" ht="15.95" customHeight="1">
      <c r="I104" s="5" t="s">
        <v>110</v>
      </c>
    </row>
    <row r="105" spans="1:12" s="5" customFormat="1" ht="15.95" customHeight="1"/>
    <row r="106" spans="1:12" s="5" customFormat="1" ht="15.95" customHeight="1">
      <c r="J106" s="45" t="s">
        <v>111</v>
      </c>
    </row>
    <row r="107" spans="1:12" s="5" customFormat="1" ht="15.95" customHeight="1">
      <c r="J107" s="13" t="s">
        <v>112</v>
      </c>
    </row>
    <row r="108" spans="1:12" s="1" customFormat="1" ht="15.95" customHeight="1">
      <c r="D108" s="14"/>
      <c r="J108" s="13" t="s">
        <v>113</v>
      </c>
    </row>
    <row r="109" spans="1:12" s="1" customFormat="1" ht="15.95" customHeight="1">
      <c r="D109" s="14"/>
    </row>
  </sheetData>
  <mergeCells count="14">
    <mergeCell ref="B15:L15"/>
    <mergeCell ref="A13:A14"/>
    <mergeCell ref="L13:L14"/>
    <mergeCell ref="J9:K9"/>
    <mergeCell ref="A11:L11"/>
    <mergeCell ref="A12:L12"/>
    <mergeCell ref="B13:E13"/>
    <mergeCell ref="F13:H13"/>
    <mergeCell ref="J13:K13"/>
    <mergeCell ref="A2:L2"/>
    <mergeCell ref="A3:L3"/>
    <mergeCell ref="A4:L4"/>
    <mergeCell ref="A5:L5"/>
    <mergeCell ref="D7:G7"/>
  </mergeCells>
  <printOptions horizontalCentered="1"/>
  <pageMargins left="0.196850393700787" right="0.196850393700787" top="0.62992125984252001" bottom="0.23622047244094499" header="0.31496062992126" footer="0.31496062992126"/>
  <pageSetup paperSize="9" scale="7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JOCELYN MAMUGAY</cp:lastModifiedBy>
  <cp:lastPrinted>2026-01-07T07:29:13Z</cp:lastPrinted>
  <dcterms:created xsi:type="dcterms:W3CDTF">2022-10-11T08:36:00Z</dcterms:created>
  <dcterms:modified xsi:type="dcterms:W3CDTF">2026-01-07T07:34:40Z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12B5E587F1FF4B08AA07BEE410901E10_12</vt:lpwstr>
  </property>
  <property fmtid="{D5CDD505-2E9C-101B-9397-08002B2CF9AE}" pid="3" name="KSOProductBuildVer">
    <vt:lpwstr>1033-12.2.0.23196</vt:lpwstr>
  </property>
</Properties>
</file>