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A06F1C7-AA38-4F5F-9D52-DFE8FFA48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8" r:id="rId1"/>
    <sheet name="CTO" sheetId="7" r:id="rId2"/>
    <sheet name="Leave Card (NE)" sheetId="6" r:id="rId3"/>
  </sheets>
  <definedNames>
    <definedName name="_xlnm.Print_Area" localSheetId="0">CORRECTED!$A$1:$J$93</definedName>
    <definedName name="_xlnm.Print_Area" localSheetId="2">'Leave Card (NE)'!$A$1:$J$71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8" l="1"/>
  <c r="I85" i="8"/>
  <c r="J85" i="8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B15" i="6"/>
  <c r="J14" i="6"/>
  <c r="I14" i="6"/>
  <c r="H14" i="6"/>
  <c r="J14" i="7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B15" i="8"/>
  <c r="J14" i="8"/>
  <c r="I14" i="8"/>
  <c r="H14" i="8"/>
</calcChain>
</file>

<file path=xl/sharedStrings.xml><?xml version="1.0" encoding="utf-8"?>
<sst xmlns="http://schemas.openxmlformats.org/spreadsheetml/2006/main" count="228" uniqueCount="128">
  <si>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</si>
  <si>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</si>
  <si>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</si>
  <si>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</si>
  <si>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</si>
  <si>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</si>
  <si>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</si>
  <si>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</si>
  <si>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</si>
  <si>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</si>
  <si>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</si>
  <si>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</si>
  <si>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</si>
  <si>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</si>
  <si>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</si>
  <si>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</si>
  <si>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</si>
  <si>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</si>
  <si>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</si>
  <si>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</si>
  <si>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LEAVE</t>
  </si>
  <si>
    <t>APPOINTMENT DATE: MARCH 15, 2021</t>
  </si>
  <si>
    <t>ADD: 03/15/21 - 03/31/21</t>
  </si>
  <si>
    <t>ADD: 04/1/21 - 12/31/21</t>
  </si>
  <si>
    <t>LESS: 12/27 &amp; 29/21</t>
  </si>
  <si>
    <t>LESS: 12/28/21</t>
  </si>
  <si>
    <t>LESS: FL 2021</t>
  </si>
  <si>
    <t>ADD: 01/01/22 - 02/28/22</t>
  </si>
  <si>
    <t>LESS: 03/25/22</t>
  </si>
  <si>
    <t>ADD: 03/01/22 - 07/31/22</t>
  </si>
  <si>
    <t>LESS: 08/08/22</t>
  </si>
  <si>
    <t>LESS: 08/19/22</t>
  </si>
  <si>
    <t>ADD: 08/01/22 - 08/31/22</t>
  </si>
  <si>
    <t>LESS: 09/20/22</t>
  </si>
  <si>
    <t>LESS: 10/20/22</t>
  </si>
  <si>
    <t>ADD: 09/01/22 - 09/30/22</t>
  </si>
  <si>
    <t>LESS: 10/05/2022</t>
  </si>
  <si>
    <t>LESS: 10/21/2022</t>
  </si>
  <si>
    <t>ADD: 10/01/22 - 10/31/22</t>
  </si>
  <si>
    <t>LESS: 11/16/22</t>
  </si>
  <si>
    <t>LESS: 11/07/2022 PM</t>
  </si>
  <si>
    <t>LESS: 12/28/2022</t>
  </si>
  <si>
    <t>ADD: 11/01/22 - 11/30/22</t>
  </si>
  <si>
    <t>LESS: 12/09/2022 PM</t>
  </si>
  <si>
    <t>ADD: 12/01/22 - 12/31/22</t>
  </si>
  <si>
    <t>LESS: 01/09/2023</t>
  </si>
  <si>
    <t>LESS: 01/19/2023 PM</t>
  </si>
  <si>
    <t xml:space="preserve">LESS: 01/24/2023 </t>
  </si>
  <si>
    <t>ADD: 01/01/23 - 02/28/23</t>
  </si>
  <si>
    <t xml:space="preserve">LESS: 03/03/23 </t>
  </si>
  <si>
    <t>LESS: 03/09/2023</t>
  </si>
  <si>
    <t>ADD: 03/01/23 - 04/30/23</t>
  </si>
  <si>
    <t>LESS: 05/19/2023</t>
  </si>
  <si>
    <t>ADD: 05/01/23 - 06/30/23</t>
  </si>
  <si>
    <t>LESS: 06/29/23 AM</t>
  </si>
  <si>
    <t>LESS: 07/05/23</t>
  </si>
  <si>
    <t>LESS: 07/04/23 PM</t>
  </si>
  <si>
    <t>ADD: 07/01/23 - 08/31/23</t>
  </si>
  <si>
    <t>LESS: MONETIZATION 2023</t>
  </si>
  <si>
    <t>LESS: 09/18/2023</t>
  </si>
  <si>
    <t>ADD: 09/01/2023-10/31/2023</t>
  </si>
  <si>
    <t>ADD:11/01/2023-12/31/2023</t>
  </si>
  <si>
    <t>ADD: 01/01/2024 to 03/31/2024</t>
  </si>
  <si>
    <t>LESS: 04/02-03/2024</t>
  </si>
  <si>
    <t>LESS: 04/04-05/2024</t>
  </si>
  <si>
    <t>LESS: 04/01/2024</t>
  </si>
  <si>
    <t>ADD: 04/01/2024-06/30/2024</t>
  </si>
  <si>
    <t>LESS: 07/04/2024</t>
  </si>
  <si>
    <t>ADD: 07/1/2024-08/31/2024</t>
  </si>
  <si>
    <t>LESS: MONETIZATION 2024</t>
  </si>
  <si>
    <t>LESS: 08/20/2024</t>
  </si>
  <si>
    <t>ADD: 09/1/2024-10/31/2024</t>
  </si>
  <si>
    <t>LESS: 11/21-22/2024</t>
  </si>
  <si>
    <t>ADD: 11/1/2024-12/31/2024</t>
  </si>
  <si>
    <t>ADD: 01/1/2025-03/31/2025</t>
  </si>
  <si>
    <t>LESS: 05/16/2025</t>
  </si>
  <si>
    <t>ADD: 04/1-30/2025</t>
  </si>
  <si>
    <t>LESS: 08/22/2025</t>
  </si>
  <si>
    <t>ADD: 05/1/2025-06/30/2025</t>
  </si>
  <si>
    <t>LESS: MONETIZATION 2025</t>
  </si>
  <si>
    <t>LESS: 08/1/2025</t>
  </si>
  <si>
    <t>ADD: 07/1-31/2025</t>
  </si>
  <si>
    <t>LESS: 08/8/2025</t>
  </si>
  <si>
    <t>ADD: 08/1-31/2025</t>
  </si>
  <si>
    <t>LESS: 09/8/2025</t>
  </si>
  <si>
    <t>LESS: 09/15-16/2025</t>
  </si>
  <si>
    <t>ADD: 08/1/2025 Exigency of Service</t>
  </si>
  <si>
    <t>ADD: 09/1-30/2025</t>
  </si>
  <si>
    <t>LESS: 11/17/2025</t>
  </si>
  <si>
    <t>LESS: 10/23/2025</t>
  </si>
  <si>
    <t>LESS: 10/24/2025 AM-UNDERTIME</t>
  </si>
  <si>
    <t>ADD: 10/1/2025-11/30/2025</t>
  </si>
  <si>
    <t>LESS: 12/15/2025</t>
  </si>
  <si>
    <t>Certified Correct:</t>
  </si>
  <si>
    <t>MA. LUISA B. CATIGAN</t>
  </si>
  <si>
    <t>Administrative Officer IV</t>
  </si>
  <si>
    <t xml:space="preserve">               HRMO</t>
  </si>
  <si>
    <t xml:space="preserve">  </t>
  </si>
  <si>
    <t>DISTRICT: ___________________________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</si>
  <si>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</si>
  <si>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</si>
  <si>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</si>
  <si>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</si>
  <si>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</si>
  <si>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</si>
  <si>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</si>
  <si>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LESS: 07/07/23</t>
  </si>
  <si>
    <t>ADD: 10/17/2023</t>
  </si>
  <si>
    <t>S.O. # 159, S. 2023. 125TH PHILIPPINE INDEPENDENCE DAY CELEBRATION</t>
  </si>
  <si>
    <t>LESS: 11/34/2023</t>
  </si>
  <si>
    <t>ADD: 06/26/2024</t>
  </si>
  <si>
    <t>S.O. # 024, S. 2024. 126TH PHILIPPINE INDEPENDENCE DAY CELEBRATION</t>
  </si>
  <si>
    <t>LESS: 08/01/2024</t>
  </si>
  <si>
    <t>ADD: 07/1/2025</t>
  </si>
  <si>
    <t>S.O. # 044, S. 2025 127 PHIL. IND. DAY</t>
  </si>
  <si>
    <t>LESS: 07/25/2025</t>
  </si>
  <si>
    <t>NOTE:  Valid for one (1) year only</t>
  </si>
  <si>
    <t>HRMO</t>
  </si>
  <si>
    <t>LESS: 11/07/2022</t>
  </si>
  <si>
    <t>LESS: 12/09/2022</t>
  </si>
  <si>
    <t>LESS: 01/19/2023</t>
  </si>
  <si>
    <t>LESS: 01/24/2023 (AM)</t>
  </si>
  <si>
    <t>LESS: 03/03/23 (AM)</t>
  </si>
  <si>
    <t>LESS: 03/09/23 (pM)</t>
  </si>
  <si>
    <t>03/09/2023 (am)</t>
  </si>
  <si>
    <t>LESS: MANDATORY FORCED LEAVE 2023</t>
  </si>
  <si>
    <t>ADD: 07/01-31/2024</t>
  </si>
  <si>
    <t>LESS: 12/23,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</si>
</sst>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8" borderId="9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164" fontId="1" fillId="9" borderId="9" xfId="0" applyNumberFormat="1" applyFont="1" applyFill="1" applyBorder="1" applyAlignment="1">
      <alignment horizontal="center" vertical="center"/>
    </xf>
    <xf numFmtId="164" fontId="1" fillId="10" borderId="9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8" borderId="18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0" fontId="1" fillId="2" borderId="0" xfId="1" applyFill="1"/>
    <xf numFmtId="0" fontId="7" fillId="0" borderId="0" xfId="1" applyFont="1"/>
    <xf numFmtId="0" fontId="8" fillId="0" borderId="0" xfId="1" applyFont="1"/>
    <xf numFmtId="0" fontId="8" fillId="0" borderId="0" xfId="0" applyFont="1"/>
    <xf numFmtId="0" fontId="1" fillId="0" borderId="0" xfId="1"/>
    <xf numFmtId="0" fontId="3" fillId="2" borderId="0" xfId="1" applyFont="1" applyFill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1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center" vertical="center" wrapText="1"/>
    </xf>
    <xf numFmtId="0" fontId="0" fillId="2" borderId="9" xfId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" fillId="0" borderId="0" xfId="1" applyAlignment="1">
      <alignment vertical="center"/>
    </xf>
    <xf numFmtId="0" fontId="1" fillId="2" borderId="0" xfId="1" applyFill="1" applyAlignment="1">
      <alignment horizontal="center"/>
    </xf>
    <xf numFmtId="0" fontId="1" fillId="2" borderId="18" xfId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0" fontId="1" fillId="8" borderId="9" xfId="1" applyFill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9" fillId="11" borderId="5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/>
    </xf>
    <xf numFmtId="0" fontId="10" fillId="12" borderId="19" xfId="1" applyFont="1" applyFill="1" applyBorder="1" applyAlignment="1">
      <alignment horizontal="center" vertical="center" wrapText="1"/>
    </xf>
    <xf numFmtId="0" fontId="10" fillId="12" borderId="11" xfId="1" applyFont="1" applyFill="1" applyBorder="1" applyAlignment="1">
      <alignment horizontal="center" vertical="center" wrapText="1"/>
    </xf>
    <xf numFmtId="0" fontId="10" fillId="12" borderId="20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469900</xdr:colOff>
      <xdr:row>0</xdr:row>
      <xdr:rowOff>63499</xdr:rowOff>
    </xdr:from>
    <xdr:to>
      <xdr:col>3</xdr:col>
      <xdr:colOff>501650</xdr:colOff>
      <xdr:row>0</xdr:row>
      <xdr:rowOff>654050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1900" y="62865"/>
          <a:ext cx="756920" cy="5911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200342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BAYOT, MELISSA O.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196024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438149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16655" y="1715770"/>
          <a:ext cx="147320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TUGAS 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7345" y="40005"/>
          <a:ext cx="68897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BAYOT, MELISSA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023995" y="1706880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469900</xdr:colOff>
      <xdr:row>0</xdr:row>
      <xdr:rowOff>63499</xdr:rowOff>
    </xdr:from>
    <xdr:to>
      <xdr:col>3</xdr:col>
      <xdr:colOff>501650</xdr:colOff>
      <xdr:row>0</xdr:row>
      <xdr:rowOff>654050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1900" y="62865"/>
          <a:ext cx="756920" cy="5911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73405" y="1376045"/>
          <a:ext cx="200342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BAYOT, MELISSA O.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616585" y="1725930"/>
          <a:ext cx="196024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438149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3716655" y="1715770"/>
          <a:ext cx="147320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TUGAS IS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2"/>
  <sheetViews>
    <sheetView tabSelected="1" view="pageBreakPreview" topLeftCell="A59" zoomScaleNormal="100" workbookViewId="0">
      <selection activeCell="D85" sqref="D85"/>
    </sheetView>
  </sheetViews>
  <sheetFormatPr defaultColWidth="9" defaultRowHeight="15"/>
  <cols>
    <col min="1" max="1" width="37.5703125" style="4" customWidth="1"/>
    <col min="2" max="9" width="10.5703125" customWidth="1"/>
    <col min="10" max="10" width="15.140625" customWidth="1"/>
    <col min="11" max="11" width="26.42578125" style="5" customWidth="1"/>
  </cols>
  <sheetData>
    <row r="1" spans="1:11" s="1" customFormat="1" ht="52.5" customHeight="1">
      <c r="A1" s="6"/>
    </row>
    <row r="2" spans="1:11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</row>
    <row r="3" spans="1:11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</row>
    <row r="4" spans="1:11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</row>
    <row r="5" spans="1:11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</row>
    <row r="6" spans="1:11" s="1" customFormat="1" ht="8.25" customHeight="1">
      <c r="A6" s="6"/>
    </row>
    <row r="7" spans="1:11" s="1" customFormat="1" ht="12" customHeight="1">
      <c r="A7" s="7" t="s">
        <v>4</v>
      </c>
      <c r="B7" s="8" t="s">
        <v>5</v>
      </c>
      <c r="C7" s="8"/>
      <c r="G7" s="8" t="s">
        <v>6</v>
      </c>
      <c r="H7" s="9"/>
      <c r="I7" s="8"/>
    </row>
    <row r="8" spans="1:11" s="1" customFormat="1" ht="12" customHeight="1">
      <c r="A8" s="7"/>
      <c r="B8" s="10"/>
      <c r="C8" s="10"/>
      <c r="G8" s="10"/>
      <c r="H8" s="10"/>
      <c r="I8" s="10"/>
    </row>
    <row r="9" spans="1:11" s="1" customFormat="1" ht="12" customHeight="1">
      <c r="A9" s="7" t="s">
        <v>7</v>
      </c>
      <c r="B9" s="8" t="s">
        <v>8</v>
      </c>
      <c r="C9" s="8"/>
      <c r="G9" s="8" t="s">
        <v>9</v>
      </c>
      <c r="H9" s="11"/>
      <c r="I9" s="8"/>
    </row>
    <row r="10" spans="1:11" ht="16.5" customHeight="1">
      <c r="A10" s="62" t="s">
        <v>10</v>
      </c>
      <c r="B10" s="62"/>
      <c r="C10" s="62"/>
      <c r="D10" s="62"/>
      <c r="E10" s="62"/>
      <c r="F10" s="62"/>
      <c r="G10" s="62"/>
      <c r="H10" s="62"/>
      <c r="I10" s="62"/>
      <c r="J10" s="62"/>
      <c r="K10"/>
    </row>
    <row r="11" spans="1:11" ht="18.75" customHeight="1">
      <c r="A11" s="12" t="s">
        <v>11</v>
      </c>
      <c r="B11" s="63" t="s">
        <v>12</v>
      </c>
      <c r="C11" s="63"/>
      <c r="D11" s="64" t="s">
        <v>13</v>
      </c>
      <c r="E11" s="65"/>
      <c r="F11" s="65"/>
      <c r="G11" s="66"/>
      <c r="H11" s="67" t="s">
        <v>14</v>
      </c>
      <c r="I11" s="67"/>
      <c r="J11" s="71" t="s">
        <v>15</v>
      </c>
      <c r="K11" s="73" t="s">
        <v>16</v>
      </c>
    </row>
    <row r="12" spans="1:11" ht="31.5" customHeight="1">
      <c r="A12" s="13"/>
      <c r="B12" s="14" t="s">
        <v>17</v>
      </c>
      <c r="C12" s="14" t="s">
        <v>18</v>
      </c>
      <c r="D12" s="14" t="s">
        <v>17</v>
      </c>
      <c r="E12" s="14" t="s">
        <v>18</v>
      </c>
      <c r="F12" s="14" t="s">
        <v>19</v>
      </c>
      <c r="G12" s="15" t="s">
        <v>20</v>
      </c>
      <c r="H12" s="14" t="s">
        <v>17</v>
      </c>
      <c r="I12" s="14" t="s">
        <v>18</v>
      </c>
      <c r="J12" s="72"/>
      <c r="K12" s="73"/>
    </row>
    <row r="13" spans="1:11" s="2" customFormat="1" ht="18" customHeight="1">
      <c r="A13" s="68" t="s">
        <v>21</v>
      </c>
      <c r="B13" s="69"/>
      <c r="C13" s="69"/>
      <c r="D13" s="69"/>
      <c r="E13" s="69"/>
      <c r="F13" s="69"/>
      <c r="G13" s="69"/>
      <c r="H13" s="69"/>
      <c r="I13" s="69"/>
      <c r="J13" s="70"/>
      <c r="K13" s="5"/>
    </row>
    <row r="14" spans="1:11" s="2" customFormat="1" ht="15.95" customHeight="1">
      <c r="A14" s="16" t="s">
        <v>22</v>
      </c>
      <c r="B14" s="17">
        <v>0.70799999999999996</v>
      </c>
      <c r="C14" s="17">
        <v>0.70799999999999996</v>
      </c>
      <c r="D14" s="17"/>
      <c r="E14" s="17"/>
      <c r="F14" s="17"/>
      <c r="G14" s="17"/>
      <c r="H14" s="17">
        <f>B14</f>
        <v>0.70799999999999996</v>
      </c>
      <c r="I14" s="17">
        <f>C14</f>
        <v>0.70799999999999996</v>
      </c>
      <c r="J14" s="26">
        <f>H14+I14</f>
        <v>1.4159999999999999</v>
      </c>
      <c r="K14" s="5"/>
    </row>
    <row r="15" spans="1:11" s="2" customFormat="1" ht="15.95" customHeight="1">
      <c r="A15" s="16" t="s">
        <v>23</v>
      </c>
      <c r="B15" s="17">
        <f>9*1.25</f>
        <v>11.25</v>
      </c>
      <c r="C15" s="17">
        <v>11.25</v>
      </c>
      <c r="D15" s="17"/>
      <c r="E15" s="17"/>
      <c r="F15" s="17"/>
      <c r="G15" s="17"/>
      <c r="H15" s="17">
        <f>H14-F15-D15+B15</f>
        <v>11.958</v>
      </c>
      <c r="I15" s="17">
        <f>I14-E15+C15</f>
        <v>11.958</v>
      </c>
      <c r="J15" s="26">
        <f t="shared" ref="J15:J16" si="0">H15+I15</f>
        <v>23.916</v>
      </c>
      <c r="K15" s="5"/>
    </row>
    <row r="16" spans="1:11" s="2" customFormat="1" ht="15.95" customHeight="1">
      <c r="A16" s="16" t="s">
        <v>24</v>
      </c>
      <c r="B16" s="17"/>
      <c r="C16" s="17"/>
      <c r="D16" s="17"/>
      <c r="E16" s="17"/>
      <c r="F16" s="17">
        <v>2</v>
      </c>
      <c r="G16" s="17"/>
      <c r="H16" s="17">
        <f t="shared" ref="H16" si="1">H15-F16-D16+B16</f>
        <v>9.9580000000000002</v>
      </c>
      <c r="I16" s="17">
        <f t="shared" ref="I16" si="2">I15-E16+C16</f>
        <v>11.958</v>
      </c>
      <c r="J16" s="26">
        <f t="shared" si="0"/>
        <v>21.916</v>
      </c>
      <c r="K16" s="5"/>
    </row>
    <row r="17" spans="1:11" s="2" customFormat="1" ht="15.95" customHeight="1">
      <c r="A17" s="16" t="s">
        <v>25</v>
      </c>
      <c r="B17" s="17"/>
      <c r="C17" s="17"/>
      <c r="D17" s="17"/>
      <c r="E17" s="17"/>
      <c r="F17" s="17"/>
      <c r="G17" s="17">
        <v>1</v>
      </c>
      <c r="H17" s="17">
        <f t="shared" ref="H17" si="3">H16-F17-D17+B17</f>
        <v>9.9580000000000002</v>
      </c>
      <c r="I17" s="17">
        <f t="shared" ref="I17" si="4">I16-E17+C17</f>
        <v>11.958</v>
      </c>
      <c r="J17" s="26">
        <f t="shared" ref="J17" si="5">H17+I17</f>
        <v>21.916</v>
      </c>
      <c r="K17" s="5"/>
    </row>
    <row r="18" spans="1:11" s="2" customFormat="1" ht="15.95" customHeight="1">
      <c r="A18" s="16" t="s">
        <v>26</v>
      </c>
      <c r="B18" s="17"/>
      <c r="C18" s="17"/>
      <c r="D18" s="17"/>
      <c r="E18" s="17"/>
      <c r="F18" s="17">
        <v>3</v>
      </c>
      <c r="G18" s="17"/>
      <c r="H18" s="17">
        <f t="shared" ref="H18:H37" si="6">H17-F18-D18+B18</f>
        <v>6.9580000000000002</v>
      </c>
      <c r="I18" s="17">
        <f t="shared" ref="I18:I37" si="7">I17-E18+C18</f>
        <v>11.958</v>
      </c>
      <c r="J18" s="26">
        <f t="shared" ref="J18:J37" si="8">H18+I18</f>
        <v>18.916</v>
      </c>
      <c r="K18" s="5"/>
    </row>
    <row r="19" spans="1:11" s="2" customFormat="1" ht="15.95" customHeight="1">
      <c r="A19" s="16" t="s">
        <v>27</v>
      </c>
      <c r="B19" s="17">
        <v>2.5</v>
      </c>
      <c r="C19" s="17">
        <v>2.5</v>
      </c>
      <c r="D19" s="17"/>
      <c r="E19" s="17"/>
      <c r="F19" s="17"/>
      <c r="G19" s="17"/>
      <c r="H19" s="17">
        <f t="shared" si="6"/>
        <v>9.4580000000000002</v>
      </c>
      <c r="I19" s="17">
        <f t="shared" si="7"/>
        <v>14.458</v>
      </c>
      <c r="J19" s="26">
        <f t="shared" si="8"/>
        <v>23.916</v>
      </c>
      <c r="K19" s="5"/>
    </row>
    <row r="20" spans="1:11" s="2" customFormat="1" ht="15.95" customHeight="1">
      <c r="A20" s="16" t="s">
        <v>28</v>
      </c>
      <c r="B20" s="17"/>
      <c r="C20" s="17"/>
      <c r="D20" s="17"/>
      <c r="E20" s="17">
        <v>1</v>
      </c>
      <c r="F20" s="17"/>
      <c r="G20" s="17"/>
      <c r="H20" s="17">
        <f t="shared" si="6"/>
        <v>9.4580000000000002</v>
      </c>
      <c r="I20" s="17">
        <f t="shared" si="7"/>
        <v>13.458</v>
      </c>
      <c r="J20" s="26">
        <f t="shared" si="8"/>
        <v>22.916</v>
      </c>
      <c r="K20" s="5"/>
    </row>
    <row r="21" spans="1:11" s="2" customFormat="1" ht="15.95" customHeight="1">
      <c r="A21" s="16" t="s">
        <v>29</v>
      </c>
      <c r="B21" s="17">
        <v>6.25</v>
      </c>
      <c r="C21" s="17">
        <v>6.25</v>
      </c>
      <c r="D21" s="17"/>
      <c r="E21" s="17"/>
      <c r="F21" s="17"/>
      <c r="G21" s="17"/>
      <c r="H21" s="17">
        <f t="shared" si="6"/>
        <v>15.708</v>
      </c>
      <c r="I21" s="17">
        <f t="shared" si="7"/>
        <v>19.707999999999998</v>
      </c>
      <c r="J21" s="26">
        <f t="shared" si="8"/>
        <v>35.415999999999997</v>
      </c>
      <c r="K21" s="5"/>
    </row>
    <row r="22" spans="1:11" s="2" customFormat="1" ht="15.95" customHeight="1">
      <c r="A22" s="16" t="s">
        <v>30</v>
      </c>
      <c r="B22" s="17"/>
      <c r="C22" s="17"/>
      <c r="D22" s="17"/>
      <c r="E22" s="17"/>
      <c r="F22" s="17">
        <v>1</v>
      </c>
      <c r="G22" s="17"/>
      <c r="H22" s="17">
        <f t="shared" si="6"/>
        <v>14.708</v>
      </c>
      <c r="I22" s="17">
        <f t="shared" si="7"/>
        <v>19.707999999999998</v>
      </c>
      <c r="J22" s="26">
        <f t="shared" si="8"/>
        <v>34.415999999999997</v>
      </c>
      <c r="K22" s="5"/>
    </row>
    <row r="23" spans="1:11" s="2" customFormat="1" ht="15.95" customHeight="1">
      <c r="A23" s="16" t="s">
        <v>31</v>
      </c>
      <c r="B23" s="17"/>
      <c r="C23" s="17"/>
      <c r="D23" s="17"/>
      <c r="E23" s="17"/>
      <c r="F23" s="17"/>
      <c r="G23" s="17">
        <v>1</v>
      </c>
      <c r="H23" s="17">
        <f t="shared" si="6"/>
        <v>14.708</v>
      </c>
      <c r="I23" s="17">
        <f t="shared" si="7"/>
        <v>19.707999999999998</v>
      </c>
      <c r="J23" s="26">
        <f t="shared" si="8"/>
        <v>34.415999999999997</v>
      </c>
      <c r="K23" s="5"/>
    </row>
    <row r="24" spans="1:11" s="2" customFormat="1" ht="15.95" customHeight="1">
      <c r="A24" s="16" t="s">
        <v>32</v>
      </c>
      <c r="B24" s="17">
        <v>1.25</v>
      </c>
      <c r="C24" s="17">
        <v>1.25</v>
      </c>
      <c r="D24" s="17"/>
      <c r="E24" s="17"/>
      <c r="F24" s="17"/>
      <c r="G24" s="17"/>
      <c r="H24" s="17">
        <f t="shared" si="6"/>
        <v>15.958</v>
      </c>
      <c r="I24" s="17">
        <f t="shared" si="7"/>
        <v>20.957999999999998</v>
      </c>
      <c r="J24" s="26">
        <f t="shared" si="8"/>
        <v>36.915999999999997</v>
      </c>
      <c r="K24" s="5"/>
    </row>
    <row r="25" spans="1:11" s="2" customFormat="1" ht="15.95" customHeight="1">
      <c r="A25" s="16" t="s">
        <v>33</v>
      </c>
      <c r="B25" s="17"/>
      <c r="C25" s="17"/>
      <c r="D25" s="17"/>
      <c r="E25" s="17"/>
      <c r="F25" s="17">
        <v>1</v>
      </c>
      <c r="G25" s="17"/>
      <c r="H25" s="17">
        <f t="shared" si="6"/>
        <v>14.958</v>
      </c>
      <c r="I25" s="17">
        <f t="shared" si="7"/>
        <v>20.957999999999998</v>
      </c>
      <c r="J25" s="26">
        <f t="shared" si="8"/>
        <v>35.915999999999997</v>
      </c>
      <c r="K25" s="5"/>
    </row>
    <row r="26" spans="1:11" s="2" customFormat="1" ht="15.95" customHeight="1">
      <c r="A26" s="16" t="s">
        <v>34</v>
      </c>
      <c r="B26" s="17"/>
      <c r="C26" s="17"/>
      <c r="D26" s="17"/>
      <c r="E26" s="17"/>
      <c r="F26" s="17"/>
      <c r="G26" s="17">
        <v>1</v>
      </c>
      <c r="H26" s="17">
        <f t="shared" si="6"/>
        <v>14.958</v>
      </c>
      <c r="I26" s="17">
        <f t="shared" si="7"/>
        <v>20.957999999999998</v>
      </c>
      <c r="J26" s="26">
        <f t="shared" si="8"/>
        <v>35.915999999999997</v>
      </c>
      <c r="K26" s="5"/>
    </row>
    <row r="27" spans="1:11" s="2" customFormat="1" ht="15.95" customHeight="1">
      <c r="A27" s="16" t="s">
        <v>35</v>
      </c>
      <c r="B27" s="17">
        <v>1.25</v>
      </c>
      <c r="C27" s="17">
        <v>1.25</v>
      </c>
      <c r="D27" s="17"/>
      <c r="E27" s="17"/>
      <c r="F27" s="17"/>
      <c r="G27" s="17"/>
      <c r="H27" s="17">
        <f t="shared" si="6"/>
        <v>16.207999999999998</v>
      </c>
      <c r="I27" s="17">
        <f t="shared" si="7"/>
        <v>22.207999999999998</v>
      </c>
      <c r="J27" s="26">
        <f t="shared" si="8"/>
        <v>38.415999999999997</v>
      </c>
      <c r="K27" s="5"/>
    </row>
    <row r="28" spans="1:11" s="3" customFormat="1" ht="15.95" customHeight="1">
      <c r="A28" s="16" t="s">
        <v>36</v>
      </c>
      <c r="B28" s="17"/>
      <c r="C28" s="17"/>
      <c r="D28" s="17"/>
      <c r="E28" s="17"/>
      <c r="F28" s="17">
        <v>1</v>
      </c>
      <c r="G28" s="17"/>
      <c r="H28" s="17">
        <f t="shared" si="6"/>
        <v>15.208</v>
      </c>
      <c r="I28" s="17">
        <f t="shared" si="7"/>
        <v>22.207999999999998</v>
      </c>
      <c r="J28" s="26">
        <f t="shared" si="8"/>
        <v>37.415999999999997</v>
      </c>
      <c r="K28" s="27"/>
    </row>
    <row r="29" spans="1:11" s="2" customFormat="1" ht="15.95" customHeight="1">
      <c r="A29" s="16" t="s">
        <v>37</v>
      </c>
      <c r="B29" s="17"/>
      <c r="C29" s="17"/>
      <c r="D29" s="17"/>
      <c r="E29" s="17"/>
      <c r="F29" s="17">
        <v>1</v>
      </c>
      <c r="G29" s="17"/>
      <c r="H29" s="17">
        <f t="shared" si="6"/>
        <v>14.208</v>
      </c>
      <c r="I29" s="17">
        <f t="shared" si="7"/>
        <v>22.207999999999998</v>
      </c>
      <c r="J29" s="26">
        <f t="shared" si="8"/>
        <v>36.415999999999997</v>
      </c>
      <c r="K29" s="5"/>
    </row>
    <row r="30" spans="1:11" s="2" customFormat="1" ht="15.95" customHeight="1">
      <c r="A30" s="16" t="s">
        <v>38</v>
      </c>
      <c r="B30" s="17">
        <v>1.25</v>
      </c>
      <c r="C30" s="17">
        <v>1.25</v>
      </c>
      <c r="D30" s="17"/>
      <c r="E30" s="17"/>
      <c r="F30" s="17"/>
      <c r="G30" s="17"/>
      <c r="H30" s="17">
        <f t="shared" si="6"/>
        <v>15.458</v>
      </c>
      <c r="I30" s="17">
        <f t="shared" si="7"/>
        <v>23.457999999999998</v>
      </c>
      <c r="J30" s="26">
        <f t="shared" si="8"/>
        <v>38.915999999999997</v>
      </c>
      <c r="K30" s="5"/>
    </row>
    <row r="31" spans="1:11" s="2" customFormat="1" ht="15.95" customHeight="1">
      <c r="A31" s="16" t="s">
        <v>39</v>
      </c>
      <c r="B31" s="17"/>
      <c r="C31" s="17"/>
      <c r="D31" s="17"/>
      <c r="E31" s="17"/>
      <c r="F31" s="17"/>
      <c r="G31" s="17">
        <v>1</v>
      </c>
      <c r="H31" s="17">
        <f t="shared" si="6"/>
        <v>15.458</v>
      </c>
      <c r="I31" s="17">
        <f t="shared" si="7"/>
        <v>23.457999999999998</v>
      </c>
      <c r="J31" s="26">
        <f t="shared" si="8"/>
        <v>38.915999999999997</v>
      </c>
      <c r="K31" s="5"/>
    </row>
    <row r="32" spans="1:11" s="2" customFormat="1" ht="15.95" customHeight="1">
      <c r="A32" s="16" t="s">
        <v>40</v>
      </c>
      <c r="B32" s="17"/>
      <c r="C32" s="17"/>
      <c r="D32" s="17">
        <v>0.5</v>
      </c>
      <c r="E32" s="17"/>
      <c r="F32" s="17"/>
      <c r="G32" s="17"/>
      <c r="H32" s="17">
        <f t="shared" si="6"/>
        <v>14.958</v>
      </c>
      <c r="I32" s="17">
        <f t="shared" si="7"/>
        <v>23.457999999999998</v>
      </c>
      <c r="J32" s="26">
        <f t="shared" si="8"/>
        <v>38.415999999999997</v>
      </c>
      <c r="K32" s="5"/>
    </row>
    <row r="33" spans="1:11" s="2" customFormat="1" ht="15.95" customHeight="1">
      <c r="A33" s="16" t="s">
        <v>41</v>
      </c>
      <c r="B33" s="17"/>
      <c r="C33" s="17"/>
      <c r="D33" s="17"/>
      <c r="E33" s="17"/>
      <c r="F33" s="17">
        <v>1</v>
      </c>
      <c r="G33" s="17"/>
      <c r="H33" s="17">
        <f t="shared" si="6"/>
        <v>13.958</v>
      </c>
      <c r="I33" s="17">
        <f t="shared" si="7"/>
        <v>23.457999999999998</v>
      </c>
      <c r="J33" s="26">
        <f t="shared" si="8"/>
        <v>37.415999999999997</v>
      </c>
      <c r="K33" s="5"/>
    </row>
    <row r="34" spans="1:11" s="2" customFormat="1" ht="15.95" customHeight="1">
      <c r="A34" s="16" t="s">
        <v>42</v>
      </c>
      <c r="B34" s="17">
        <v>1.25</v>
      </c>
      <c r="C34" s="17">
        <v>1.25</v>
      </c>
      <c r="D34" s="17"/>
      <c r="E34" s="17"/>
      <c r="F34" s="17"/>
      <c r="G34" s="17"/>
      <c r="H34" s="17">
        <f t="shared" si="6"/>
        <v>15.208</v>
      </c>
      <c r="I34" s="17">
        <f t="shared" si="7"/>
        <v>24.707999999999998</v>
      </c>
      <c r="J34" s="26">
        <f t="shared" si="8"/>
        <v>39.915999999999997</v>
      </c>
      <c r="K34" s="5"/>
    </row>
    <row r="35" spans="1:11" s="2" customFormat="1" ht="15.95" customHeight="1">
      <c r="A35" s="19" t="s">
        <v>43</v>
      </c>
      <c r="B35" s="20"/>
      <c r="C35" s="20"/>
      <c r="D35" s="20"/>
      <c r="E35" s="20">
        <v>0.5</v>
      </c>
      <c r="F35" s="20"/>
      <c r="G35" s="20"/>
      <c r="H35" s="17">
        <f t="shared" si="6"/>
        <v>15.208</v>
      </c>
      <c r="I35" s="17">
        <f t="shared" si="7"/>
        <v>24.207999999999998</v>
      </c>
      <c r="J35" s="26">
        <f t="shared" si="8"/>
        <v>39.415999999999997</v>
      </c>
      <c r="K35" s="5"/>
    </row>
    <row r="36" spans="1:11" s="2" customFormat="1" ht="15.95" customHeight="1">
      <c r="A36" s="16" t="s">
        <v>44</v>
      </c>
      <c r="B36" s="17">
        <v>1.25</v>
      </c>
      <c r="C36" s="17">
        <v>1.25</v>
      </c>
      <c r="D36" s="21"/>
      <c r="E36" s="21"/>
      <c r="F36" s="21"/>
      <c r="G36" s="21"/>
      <c r="H36" s="17">
        <f t="shared" si="6"/>
        <v>16.457999999999998</v>
      </c>
      <c r="I36" s="17">
        <f t="shared" si="7"/>
        <v>25.457999999999998</v>
      </c>
      <c r="J36" s="26">
        <f t="shared" si="8"/>
        <v>41.915999999999997</v>
      </c>
      <c r="K36" s="5"/>
    </row>
    <row r="37" spans="1:11" s="2" customFormat="1" ht="15.95" customHeight="1">
      <c r="A37" s="19" t="s">
        <v>45</v>
      </c>
      <c r="B37" s="21"/>
      <c r="C37" s="21"/>
      <c r="D37" s="21"/>
      <c r="E37" s="21"/>
      <c r="F37" s="21"/>
      <c r="G37" s="21">
        <v>1</v>
      </c>
      <c r="H37" s="17">
        <f t="shared" si="6"/>
        <v>16.457999999999998</v>
      </c>
      <c r="I37" s="17">
        <f t="shared" si="7"/>
        <v>25.457999999999998</v>
      </c>
      <c r="J37" s="26">
        <f t="shared" si="8"/>
        <v>41.915999999999997</v>
      </c>
      <c r="K37" s="5"/>
    </row>
    <row r="38" spans="1:11" s="2" customFormat="1" ht="15.95" customHeight="1">
      <c r="A38" s="19" t="s">
        <v>46</v>
      </c>
      <c r="B38" s="21"/>
      <c r="C38" s="21"/>
      <c r="D38" s="21">
        <v>0.5</v>
      </c>
      <c r="E38" s="21"/>
      <c r="F38" s="21"/>
      <c r="G38" s="21"/>
      <c r="H38" s="17">
        <f t="shared" ref="H38:H71" si="9">H37-F38-D38+B38</f>
        <v>15.958</v>
      </c>
      <c r="I38" s="17">
        <f t="shared" ref="I38:I71" si="10">I37-E38+C38</f>
        <v>25.457999999999998</v>
      </c>
      <c r="J38" s="26">
        <f t="shared" ref="J38:J71" si="11">H38+I38</f>
        <v>41.415999999999997</v>
      </c>
      <c r="K38" s="5"/>
    </row>
    <row r="39" spans="1:11" s="2" customFormat="1" ht="15.95" customHeight="1">
      <c r="A39" s="19" t="s">
        <v>47</v>
      </c>
      <c r="B39" s="21"/>
      <c r="C39" s="21"/>
      <c r="D39" s="21"/>
      <c r="E39" s="21"/>
      <c r="F39" s="21">
        <v>1</v>
      </c>
      <c r="G39" s="21"/>
      <c r="H39" s="17">
        <f t="shared" si="9"/>
        <v>14.958</v>
      </c>
      <c r="I39" s="17">
        <f t="shared" si="10"/>
        <v>25.457999999999998</v>
      </c>
      <c r="J39" s="26">
        <f t="shared" si="11"/>
        <v>40.415999999999997</v>
      </c>
      <c r="K39" s="5"/>
    </row>
    <row r="40" spans="1:11" s="2" customFormat="1" ht="15.95" customHeight="1">
      <c r="A40" s="22" t="s">
        <v>48</v>
      </c>
      <c r="B40" s="21">
        <v>2.5</v>
      </c>
      <c r="C40" s="21">
        <v>2.5</v>
      </c>
      <c r="D40" s="21"/>
      <c r="E40" s="21"/>
      <c r="F40" s="21"/>
      <c r="G40" s="21"/>
      <c r="H40" s="17">
        <f t="shared" si="9"/>
        <v>17.457999999999998</v>
      </c>
      <c r="I40" s="17">
        <f t="shared" si="10"/>
        <v>27.957999999999998</v>
      </c>
      <c r="J40" s="26">
        <f t="shared" si="11"/>
        <v>45.415999999999997</v>
      </c>
      <c r="K40" s="5"/>
    </row>
    <row r="41" spans="1:11" s="2" customFormat="1" ht="15.95" customHeight="1">
      <c r="A41" s="22" t="s">
        <v>49</v>
      </c>
      <c r="B41" s="21"/>
      <c r="C41" s="21"/>
      <c r="D41" s="21"/>
      <c r="E41" s="21"/>
      <c r="F41" s="21">
        <v>1</v>
      </c>
      <c r="G41" s="21"/>
      <c r="H41" s="17">
        <f t="shared" si="9"/>
        <v>16.457999999999998</v>
      </c>
      <c r="I41" s="17">
        <f t="shared" si="10"/>
        <v>27.957999999999998</v>
      </c>
      <c r="J41" s="26">
        <f t="shared" si="11"/>
        <v>44.415999999999997</v>
      </c>
      <c r="K41" s="5"/>
    </row>
    <row r="42" spans="1:11" s="2" customFormat="1" ht="15.95" customHeight="1">
      <c r="A42" s="22" t="s">
        <v>50</v>
      </c>
      <c r="B42" s="21"/>
      <c r="C42" s="21"/>
      <c r="D42" s="21"/>
      <c r="E42" s="21"/>
      <c r="F42" s="21">
        <v>1</v>
      </c>
      <c r="G42" s="21"/>
      <c r="H42" s="17">
        <f t="shared" si="9"/>
        <v>15.458</v>
      </c>
      <c r="I42" s="17">
        <f t="shared" si="10"/>
        <v>27.957999999999998</v>
      </c>
      <c r="J42" s="26">
        <f t="shared" si="11"/>
        <v>43.415999999999997</v>
      </c>
      <c r="K42" s="5"/>
    </row>
    <row r="43" spans="1:11" s="2" customFormat="1" ht="15.95" customHeight="1">
      <c r="A43" s="22" t="s">
        <v>51</v>
      </c>
      <c r="B43" s="21">
        <v>2.5</v>
      </c>
      <c r="C43" s="21">
        <v>2.5</v>
      </c>
      <c r="D43" s="21"/>
      <c r="E43" s="21"/>
      <c r="F43" s="21"/>
      <c r="G43" s="21"/>
      <c r="H43" s="17">
        <f t="shared" si="9"/>
        <v>17.957999999999998</v>
      </c>
      <c r="I43" s="17">
        <f t="shared" si="10"/>
        <v>30.457999999999998</v>
      </c>
      <c r="J43" s="26">
        <f t="shared" si="11"/>
        <v>48.415999999999997</v>
      </c>
      <c r="K43" s="5"/>
    </row>
    <row r="44" spans="1:11" s="2" customFormat="1" ht="15.95" customHeight="1">
      <c r="A44" s="22" t="s">
        <v>52</v>
      </c>
      <c r="B44" s="21"/>
      <c r="C44" s="21"/>
      <c r="D44" s="21"/>
      <c r="E44" s="21"/>
      <c r="F44" s="21"/>
      <c r="G44" s="21">
        <v>1</v>
      </c>
      <c r="H44" s="17">
        <f t="shared" si="9"/>
        <v>17.957999999999998</v>
      </c>
      <c r="I44" s="17">
        <f t="shared" si="10"/>
        <v>30.457999999999998</v>
      </c>
      <c r="J44" s="26">
        <f t="shared" si="11"/>
        <v>48.415999999999997</v>
      </c>
      <c r="K44" s="5"/>
    </row>
    <row r="45" spans="1:11" s="2" customFormat="1" ht="15.95" customHeight="1">
      <c r="A45" s="22" t="s">
        <v>53</v>
      </c>
      <c r="B45" s="21">
        <v>2.5</v>
      </c>
      <c r="C45" s="21">
        <v>2.5</v>
      </c>
      <c r="D45" s="21"/>
      <c r="E45" s="21"/>
      <c r="F45" s="21"/>
      <c r="G45" s="21"/>
      <c r="H45" s="17">
        <f t="shared" si="9"/>
        <v>20.457999999999998</v>
      </c>
      <c r="I45" s="17">
        <f t="shared" si="10"/>
        <v>32.957999999999998</v>
      </c>
      <c r="J45" s="26">
        <f t="shared" si="11"/>
        <v>53.415999999999997</v>
      </c>
      <c r="K45" s="5"/>
    </row>
    <row r="46" spans="1:11" s="2" customFormat="1" ht="15.95" customHeight="1">
      <c r="A46" s="22" t="s">
        <v>54</v>
      </c>
      <c r="B46" s="21"/>
      <c r="C46" s="21"/>
      <c r="D46" s="21">
        <v>0.5</v>
      </c>
      <c r="E46" s="21"/>
      <c r="F46" s="21"/>
      <c r="G46" s="21"/>
      <c r="H46" s="17">
        <f t="shared" si="9"/>
        <v>19.957999999999998</v>
      </c>
      <c r="I46" s="17">
        <f t="shared" si="10"/>
        <v>32.957999999999998</v>
      </c>
      <c r="J46" s="26">
        <f t="shared" si="11"/>
        <v>52.915999999999997</v>
      </c>
      <c r="K46" s="5"/>
    </row>
    <row r="47" spans="1:11" s="2" customFormat="1" ht="15.95" customHeight="1">
      <c r="A47" s="22" t="s">
        <v>55</v>
      </c>
      <c r="B47" s="21"/>
      <c r="C47" s="21"/>
      <c r="D47" s="21"/>
      <c r="E47" s="21"/>
      <c r="F47" s="21">
        <v>1</v>
      </c>
      <c r="G47" s="21"/>
      <c r="H47" s="17">
        <f t="shared" si="9"/>
        <v>18.957999999999998</v>
      </c>
      <c r="I47" s="17">
        <f t="shared" si="10"/>
        <v>32.957999999999998</v>
      </c>
      <c r="J47" s="26">
        <f t="shared" si="11"/>
        <v>51.915999999999997</v>
      </c>
      <c r="K47" s="5"/>
    </row>
    <row r="48" spans="1:11" s="2" customFormat="1" ht="15.95" customHeight="1">
      <c r="A48" s="22" t="s">
        <v>56</v>
      </c>
      <c r="B48" s="21"/>
      <c r="C48" s="21"/>
      <c r="D48" s="21">
        <v>0.5</v>
      </c>
      <c r="E48" s="21"/>
      <c r="F48" s="21"/>
      <c r="G48" s="21"/>
      <c r="H48" s="17">
        <f t="shared" si="9"/>
        <v>18.457999999999998</v>
      </c>
      <c r="I48" s="17">
        <f t="shared" si="10"/>
        <v>32.957999999999998</v>
      </c>
      <c r="J48" s="26">
        <f t="shared" si="11"/>
        <v>51.415999999999997</v>
      </c>
      <c r="K48" s="5"/>
    </row>
    <row r="49" spans="1:11" s="2" customFormat="1" ht="15.95" customHeight="1">
      <c r="A49" s="22" t="s">
        <v>57</v>
      </c>
      <c r="B49" s="21">
        <v>2.5</v>
      </c>
      <c r="C49" s="21">
        <v>2.5</v>
      </c>
      <c r="D49" s="21"/>
      <c r="E49" s="21"/>
      <c r="F49" s="21"/>
      <c r="G49" s="21"/>
      <c r="H49" s="17">
        <f t="shared" si="9"/>
        <v>20.957999999999998</v>
      </c>
      <c r="I49" s="17">
        <f t="shared" si="10"/>
        <v>35.457999999999998</v>
      </c>
      <c r="J49" s="26">
        <f t="shared" si="11"/>
        <v>56.415999999999997</v>
      </c>
      <c r="K49" s="5"/>
    </row>
    <row r="50" spans="1:11" s="2" customFormat="1" ht="15.95" customHeight="1">
      <c r="A50" s="22" t="s">
        <v>58</v>
      </c>
      <c r="B50" s="21"/>
      <c r="C50" s="21"/>
      <c r="D50" s="21">
        <v>16</v>
      </c>
      <c r="E50" s="21">
        <v>13</v>
      </c>
      <c r="F50" s="21"/>
      <c r="G50" s="21"/>
      <c r="H50" s="17">
        <f t="shared" si="9"/>
        <v>4.9580000000000002</v>
      </c>
      <c r="I50" s="17">
        <f t="shared" si="10"/>
        <v>22.457999999999998</v>
      </c>
      <c r="J50" s="26">
        <f t="shared" si="11"/>
        <v>27.416</v>
      </c>
      <c r="K50" s="5"/>
    </row>
    <row r="51" spans="1:11" s="2" customFormat="1" ht="15.95" customHeight="1">
      <c r="A51" s="22" t="s">
        <v>59</v>
      </c>
      <c r="B51" s="21"/>
      <c r="C51" s="21"/>
      <c r="D51" s="21"/>
      <c r="E51" s="21"/>
      <c r="F51" s="21">
        <v>1</v>
      </c>
      <c r="G51" s="21"/>
      <c r="H51" s="17">
        <f t="shared" si="9"/>
        <v>3.9580000000000002</v>
      </c>
      <c r="I51" s="17">
        <f t="shared" si="10"/>
        <v>22.457999999999998</v>
      </c>
      <c r="J51" s="26">
        <f t="shared" si="11"/>
        <v>26.416</v>
      </c>
      <c r="K51" s="5"/>
    </row>
    <row r="52" spans="1:11" s="2" customFormat="1" ht="15.95" customHeight="1">
      <c r="A52" s="22" t="s">
        <v>60</v>
      </c>
      <c r="B52" s="21">
        <v>2.5</v>
      </c>
      <c r="C52" s="21">
        <v>2.5</v>
      </c>
      <c r="D52" s="21"/>
      <c r="E52" s="21"/>
      <c r="F52" s="21"/>
      <c r="G52" s="21"/>
      <c r="H52" s="17">
        <f t="shared" si="9"/>
        <v>6.4580000000000002</v>
      </c>
      <c r="I52" s="17">
        <f t="shared" si="10"/>
        <v>24.957999999999998</v>
      </c>
      <c r="J52" s="26">
        <f t="shared" si="11"/>
        <v>31.416</v>
      </c>
      <c r="K52" s="5"/>
    </row>
    <row r="53" spans="1:11" s="2" customFormat="1" ht="15.95" customHeight="1">
      <c r="A53" s="22" t="s">
        <v>61</v>
      </c>
      <c r="B53" s="21">
        <v>2.5</v>
      </c>
      <c r="C53" s="21">
        <v>2.5</v>
      </c>
      <c r="D53" s="21"/>
      <c r="E53" s="21"/>
      <c r="F53" s="21"/>
      <c r="G53" s="21"/>
      <c r="H53" s="17">
        <f t="shared" si="9"/>
        <v>8.9580000000000002</v>
      </c>
      <c r="I53" s="17">
        <f t="shared" si="10"/>
        <v>27.457999999999998</v>
      </c>
      <c r="J53" s="26">
        <f t="shared" si="11"/>
        <v>36.415999999999997</v>
      </c>
      <c r="K53" s="5"/>
    </row>
    <row r="54" spans="1:11" s="2" customFormat="1" ht="15.95" customHeight="1">
      <c r="A54" s="22" t="s">
        <v>62</v>
      </c>
      <c r="B54" s="21">
        <v>3.75</v>
      </c>
      <c r="C54" s="21">
        <v>3.75</v>
      </c>
      <c r="D54" s="21"/>
      <c r="E54" s="21"/>
      <c r="F54" s="21"/>
      <c r="G54" s="21"/>
      <c r="H54" s="17">
        <f t="shared" si="9"/>
        <v>12.708</v>
      </c>
      <c r="I54" s="17">
        <f t="shared" si="10"/>
        <v>31.207999999999998</v>
      </c>
      <c r="J54" s="26">
        <f t="shared" si="11"/>
        <v>43.915999999999997</v>
      </c>
      <c r="K54" s="5"/>
    </row>
    <row r="55" spans="1:11" s="2" customFormat="1" ht="15.95" customHeight="1">
      <c r="A55" s="22" t="s">
        <v>63</v>
      </c>
      <c r="B55" s="21"/>
      <c r="C55" s="21"/>
      <c r="D55" s="21"/>
      <c r="E55" s="21"/>
      <c r="F55" s="21">
        <v>2</v>
      </c>
      <c r="G55" s="21"/>
      <c r="H55" s="17">
        <f t="shared" si="9"/>
        <v>10.708</v>
      </c>
      <c r="I55" s="17">
        <f t="shared" si="10"/>
        <v>31.207999999999998</v>
      </c>
      <c r="J55" s="26">
        <f t="shared" si="11"/>
        <v>41.915999999999997</v>
      </c>
      <c r="K55" s="5"/>
    </row>
    <row r="56" spans="1:11" s="2" customFormat="1" ht="15.95" customHeight="1">
      <c r="A56" s="22" t="s">
        <v>64</v>
      </c>
      <c r="B56" s="21"/>
      <c r="C56" s="21"/>
      <c r="D56" s="21"/>
      <c r="E56" s="21"/>
      <c r="F56" s="21"/>
      <c r="G56" s="21">
        <v>2</v>
      </c>
      <c r="H56" s="17">
        <f t="shared" si="9"/>
        <v>10.708</v>
      </c>
      <c r="I56" s="17">
        <f t="shared" si="10"/>
        <v>31.207999999999998</v>
      </c>
      <c r="J56" s="26">
        <f t="shared" si="11"/>
        <v>41.915999999999997</v>
      </c>
      <c r="K56" s="5"/>
    </row>
    <row r="57" spans="1:11" s="2" customFormat="1" ht="15.95" customHeight="1">
      <c r="A57" s="22" t="s">
        <v>65</v>
      </c>
      <c r="B57" s="21"/>
      <c r="C57" s="21"/>
      <c r="D57" s="21"/>
      <c r="E57" s="21">
        <v>1</v>
      </c>
      <c r="F57" s="21"/>
      <c r="G57" s="21"/>
      <c r="H57" s="17">
        <f t="shared" si="9"/>
        <v>10.708</v>
      </c>
      <c r="I57" s="17">
        <f t="shared" si="10"/>
        <v>30.207999999999998</v>
      </c>
      <c r="J57" s="26">
        <f t="shared" si="11"/>
        <v>40.915999999999997</v>
      </c>
      <c r="K57" s="5"/>
    </row>
    <row r="58" spans="1:11" s="2" customFormat="1" ht="15.95" customHeight="1">
      <c r="A58" s="22" t="s">
        <v>66</v>
      </c>
      <c r="B58" s="21">
        <v>3.75</v>
      </c>
      <c r="C58" s="21">
        <v>3.75</v>
      </c>
      <c r="D58" s="21"/>
      <c r="E58" s="21"/>
      <c r="F58" s="21"/>
      <c r="G58" s="21"/>
      <c r="H58" s="17">
        <f t="shared" si="9"/>
        <v>14.458</v>
      </c>
      <c r="I58" s="17">
        <f t="shared" si="10"/>
        <v>33.957999999999998</v>
      </c>
      <c r="J58" s="26">
        <f t="shared" si="11"/>
        <v>48.415999999999997</v>
      </c>
      <c r="K58" s="5"/>
    </row>
    <row r="59" spans="1:11" s="2" customFormat="1" ht="15.95" customHeight="1">
      <c r="A59" s="22" t="s">
        <v>67</v>
      </c>
      <c r="B59" s="21"/>
      <c r="C59" s="21"/>
      <c r="D59" s="21"/>
      <c r="E59" s="21"/>
      <c r="F59" s="21"/>
      <c r="G59" s="21">
        <v>1</v>
      </c>
      <c r="H59" s="17">
        <f t="shared" si="9"/>
        <v>14.458</v>
      </c>
      <c r="I59" s="17">
        <f t="shared" si="10"/>
        <v>33.957999999999998</v>
      </c>
      <c r="J59" s="26">
        <f t="shared" si="11"/>
        <v>48.415999999999997</v>
      </c>
      <c r="K59" s="5"/>
    </row>
    <row r="60" spans="1:11" s="2" customFormat="1" ht="15" customHeight="1">
      <c r="A60" s="22" t="s">
        <v>68</v>
      </c>
      <c r="B60" s="21">
        <v>2.5</v>
      </c>
      <c r="C60" s="21">
        <v>2.5</v>
      </c>
      <c r="D60" s="21"/>
      <c r="E60" s="21"/>
      <c r="F60" s="21"/>
      <c r="G60" s="21"/>
      <c r="H60" s="17">
        <f t="shared" si="9"/>
        <v>16.957999999999998</v>
      </c>
      <c r="I60" s="17">
        <f t="shared" si="10"/>
        <v>36.457999999999998</v>
      </c>
      <c r="J60" s="26">
        <f t="shared" si="11"/>
        <v>53.415999999999997</v>
      </c>
      <c r="K60" s="5"/>
    </row>
    <row r="61" spans="1:11" s="2" customFormat="1" ht="15" customHeight="1">
      <c r="A61" s="22" t="s">
        <v>69</v>
      </c>
      <c r="B61" s="21"/>
      <c r="C61" s="21"/>
      <c r="D61" s="21">
        <v>10</v>
      </c>
      <c r="E61" s="21"/>
      <c r="F61" s="21"/>
      <c r="G61" s="21"/>
      <c r="H61" s="17">
        <f t="shared" si="9"/>
        <v>6.9580000000000002</v>
      </c>
      <c r="I61" s="17">
        <f t="shared" si="10"/>
        <v>36.457999999999998</v>
      </c>
      <c r="J61" s="26">
        <f t="shared" si="11"/>
        <v>43.415999999999997</v>
      </c>
      <c r="K61" s="5"/>
    </row>
    <row r="62" spans="1:11" s="2" customFormat="1" ht="15.95" customHeight="1">
      <c r="A62" s="22" t="s">
        <v>70</v>
      </c>
      <c r="B62" s="21"/>
      <c r="C62" s="21"/>
      <c r="D62" s="21"/>
      <c r="E62" s="21"/>
      <c r="F62" s="21">
        <v>1</v>
      </c>
      <c r="G62" s="21"/>
      <c r="H62" s="17">
        <f t="shared" si="9"/>
        <v>5.9580000000000002</v>
      </c>
      <c r="I62" s="17">
        <f t="shared" si="10"/>
        <v>36.457999999999998</v>
      </c>
      <c r="J62" s="26">
        <f t="shared" si="11"/>
        <v>42.415999999999997</v>
      </c>
      <c r="K62" s="5"/>
    </row>
    <row r="63" spans="1:11" s="2" customFormat="1" ht="15.95" customHeight="1">
      <c r="A63" s="22" t="s">
        <v>71</v>
      </c>
      <c r="B63" s="21">
        <v>2.5</v>
      </c>
      <c r="C63" s="21">
        <v>2.5</v>
      </c>
      <c r="D63" s="21"/>
      <c r="E63" s="21"/>
      <c r="F63" s="21"/>
      <c r="G63" s="21"/>
      <c r="H63" s="17">
        <f t="shared" si="9"/>
        <v>8.4580000000000002</v>
      </c>
      <c r="I63" s="17">
        <f t="shared" si="10"/>
        <v>38.957999999999998</v>
      </c>
      <c r="J63" s="26">
        <f t="shared" si="11"/>
        <v>47.415999999999997</v>
      </c>
      <c r="K63" s="5"/>
    </row>
    <row r="64" spans="1:11" s="2" customFormat="1" ht="15.95" customHeight="1">
      <c r="A64" s="22" t="s">
        <v>72</v>
      </c>
      <c r="B64" s="21"/>
      <c r="C64" s="21"/>
      <c r="D64" s="21"/>
      <c r="E64" s="21"/>
      <c r="F64" s="21">
        <v>2</v>
      </c>
      <c r="G64" s="21"/>
      <c r="H64" s="17">
        <f t="shared" si="9"/>
        <v>6.4580000000000002</v>
      </c>
      <c r="I64" s="17">
        <f t="shared" si="10"/>
        <v>38.957999999999998</v>
      </c>
      <c r="J64" s="26">
        <f t="shared" si="11"/>
        <v>45.415999999999997</v>
      </c>
      <c r="K64" s="5"/>
    </row>
    <row r="65" spans="1:11" s="2" customFormat="1" ht="15.95" customHeight="1">
      <c r="A65" s="22" t="s">
        <v>73</v>
      </c>
      <c r="B65" s="21">
        <v>2.5</v>
      </c>
      <c r="C65" s="21">
        <v>2.5</v>
      </c>
      <c r="D65" s="21"/>
      <c r="E65" s="21"/>
      <c r="F65" s="21"/>
      <c r="G65" s="21"/>
      <c r="H65" s="17">
        <f t="shared" si="9"/>
        <v>8.9580000000000002</v>
      </c>
      <c r="I65" s="17">
        <f t="shared" si="10"/>
        <v>41.457999999999998</v>
      </c>
      <c r="J65" s="26">
        <f t="shared" si="11"/>
        <v>50.415999999999997</v>
      </c>
      <c r="K65" s="5"/>
    </row>
    <row r="66" spans="1:11" s="2" customFormat="1" ht="15.95" customHeight="1">
      <c r="A66" s="22" t="s">
        <v>74</v>
      </c>
      <c r="B66" s="21">
        <v>3.75</v>
      </c>
      <c r="C66" s="21">
        <v>3.75</v>
      </c>
      <c r="D66" s="21"/>
      <c r="E66" s="21"/>
      <c r="F66" s="21"/>
      <c r="G66" s="21"/>
      <c r="H66" s="17">
        <f t="shared" si="9"/>
        <v>12.708</v>
      </c>
      <c r="I66" s="17">
        <f t="shared" si="10"/>
        <v>45.207999999999998</v>
      </c>
      <c r="J66" s="26">
        <f t="shared" si="11"/>
        <v>57.915999999999997</v>
      </c>
      <c r="K66" s="5"/>
    </row>
    <row r="67" spans="1:11" s="2" customFormat="1" ht="15.95" customHeight="1">
      <c r="A67" s="22" t="s">
        <v>75</v>
      </c>
      <c r="B67" s="21"/>
      <c r="C67" s="21"/>
      <c r="D67" s="21"/>
      <c r="E67" s="21"/>
      <c r="F67" s="21"/>
      <c r="G67" s="25">
        <v>1</v>
      </c>
      <c r="H67" s="17">
        <f t="shared" si="9"/>
        <v>12.708</v>
      </c>
      <c r="I67" s="17">
        <f t="shared" si="10"/>
        <v>45.207999999999998</v>
      </c>
      <c r="J67" s="26">
        <f t="shared" si="11"/>
        <v>57.915999999999997</v>
      </c>
      <c r="K67" s="5"/>
    </row>
    <row r="68" spans="1:11" s="2" customFormat="1" ht="15.95" customHeight="1">
      <c r="A68" s="22" t="s">
        <v>76</v>
      </c>
      <c r="B68" s="21">
        <v>1.25</v>
      </c>
      <c r="C68" s="21">
        <v>1.25</v>
      </c>
      <c r="D68" s="21"/>
      <c r="E68" s="21"/>
      <c r="F68" s="21"/>
      <c r="G68" s="21"/>
      <c r="H68" s="17">
        <f t="shared" si="9"/>
        <v>13.958</v>
      </c>
      <c r="I68" s="17">
        <f t="shared" si="10"/>
        <v>46.457999999999998</v>
      </c>
      <c r="J68" s="26">
        <f t="shared" si="11"/>
        <v>60.415999999999997</v>
      </c>
      <c r="K68" s="5"/>
    </row>
    <row r="69" spans="1:11" s="2" customFormat="1" ht="15.95" customHeight="1">
      <c r="A69" s="22" t="s">
        <v>77</v>
      </c>
      <c r="B69" s="21"/>
      <c r="C69" s="21"/>
      <c r="D69" s="21"/>
      <c r="E69" s="21"/>
      <c r="F69" s="24">
        <v>1</v>
      </c>
      <c r="G69" s="21"/>
      <c r="H69" s="17">
        <f t="shared" si="9"/>
        <v>12.958</v>
      </c>
      <c r="I69" s="17">
        <f t="shared" si="10"/>
        <v>46.457999999999998</v>
      </c>
      <c r="J69" s="26">
        <f t="shared" si="11"/>
        <v>59.415999999999997</v>
      </c>
      <c r="K69" s="5"/>
    </row>
    <row r="70" spans="1:11" s="2" customFormat="1" ht="15.95" customHeight="1">
      <c r="A70" s="22" t="s">
        <v>78</v>
      </c>
      <c r="B70" s="21">
        <v>2.5</v>
      </c>
      <c r="C70" s="21">
        <v>2.5</v>
      </c>
      <c r="D70" s="21"/>
      <c r="E70" s="21"/>
      <c r="F70" s="21"/>
      <c r="G70" s="21"/>
      <c r="H70" s="17">
        <f t="shared" si="9"/>
        <v>15.458</v>
      </c>
      <c r="I70" s="17">
        <f t="shared" si="10"/>
        <v>48.957999999999998</v>
      </c>
      <c r="J70" s="26">
        <f t="shared" si="11"/>
        <v>64.415999999999997</v>
      </c>
      <c r="K70" s="5"/>
    </row>
    <row r="71" spans="1:11" s="2" customFormat="1" ht="15.95" customHeight="1">
      <c r="A71" s="22" t="s">
        <v>79</v>
      </c>
      <c r="B71" s="21"/>
      <c r="C71" s="21"/>
      <c r="D71" s="21">
        <v>10</v>
      </c>
      <c r="E71" s="21"/>
      <c r="F71" s="21"/>
      <c r="G71" s="21"/>
      <c r="H71" s="17">
        <f t="shared" si="9"/>
        <v>5.4580000000000002</v>
      </c>
      <c r="I71" s="17">
        <f t="shared" si="10"/>
        <v>48.957999999999998</v>
      </c>
      <c r="J71" s="26">
        <f t="shared" si="11"/>
        <v>54.415999999999997</v>
      </c>
      <c r="K71" s="5"/>
    </row>
    <row r="72" spans="1:11" s="2" customFormat="1" ht="15.95" customHeight="1">
      <c r="A72" s="22" t="s">
        <v>80</v>
      </c>
      <c r="B72" s="21"/>
      <c r="C72" s="21"/>
      <c r="D72" s="21"/>
      <c r="E72" s="21"/>
      <c r="F72" s="24">
        <v>1</v>
      </c>
      <c r="G72" s="21"/>
      <c r="H72" s="17">
        <f t="shared" ref="H72" si="12">H71-F72-D72+B72</f>
        <v>4.4580000000000002</v>
      </c>
      <c r="I72" s="17">
        <f t="shared" ref="I72" si="13">I71-E72+C72</f>
        <v>48.957999999999998</v>
      </c>
      <c r="J72" s="26">
        <f t="shared" ref="J72" si="14">H72+I72</f>
        <v>53.415999999999997</v>
      </c>
      <c r="K72" s="5"/>
    </row>
    <row r="73" spans="1:11" s="2" customFormat="1" ht="15.95" customHeight="1">
      <c r="A73" s="22" t="s">
        <v>81</v>
      </c>
      <c r="B73" s="21">
        <v>1.25</v>
      </c>
      <c r="C73" s="21">
        <v>1.25</v>
      </c>
      <c r="D73" s="21"/>
      <c r="E73" s="21"/>
      <c r="F73" s="21"/>
      <c r="G73" s="21"/>
      <c r="H73" s="17">
        <f t="shared" ref="H73:H74" si="15">H72-F73-D73+B73</f>
        <v>5.7080000000000002</v>
      </c>
      <c r="I73" s="17">
        <f t="shared" ref="I73:I74" si="16">I72-E73+C73</f>
        <v>50.207999999999998</v>
      </c>
      <c r="J73" s="26">
        <f t="shared" ref="J73:J74" si="17">H73+I73</f>
        <v>55.915999999999997</v>
      </c>
      <c r="K73" s="5"/>
    </row>
    <row r="74" spans="1:11" s="2" customFormat="1" ht="15.95" customHeight="1">
      <c r="A74" s="22" t="s">
        <v>82</v>
      </c>
      <c r="B74" s="21"/>
      <c r="C74" s="21"/>
      <c r="D74" s="21"/>
      <c r="E74" s="21"/>
      <c r="F74" s="24">
        <v>1</v>
      </c>
      <c r="G74" s="21"/>
      <c r="H74" s="17">
        <f t="shared" si="15"/>
        <v>4.7080000000000002</v>
      </c>
      <c r="I74" s="17">
        <f t="shared" si="16"/>
        <v>50.207999999999998</v>
      </c>
      <c r="J74" s="26">
        <f t="shared" si="17"/>
        <v>54.915999999999997</v>
      </c>
      <c r="K74" s="5"/>
    </row>
    <row r="75" spans="1:11" s="2" customFormat="1" ht="15.95" customHeight="1">
      <c r="A75" s="22" t="s">
        <v>83</v>
      </c>
      <c r="B75" s="21">
        <v>1.25</v>
      </c>
      <c r="C75" s="21">
        <v>1.25</v>
      </c>
      <c r="D75" s="21"/>
      <c r="E75" s="21"/>
      <c r="F75" s="21"/>
      <c r="G75" s="21"/>
      <c r="H75" s="17">
        <f t="shared" ref="H75:H78" si="18">H74-F75-D75+B75</f>
        <v>5.9580000000000002</v>
      </c>
      <c r="I75" s="17">
        <f t="shared" ref="I75:I78" si="19">I74-E75+C75</f>
        <v>51.457999999999998</v>
      </c>
      <c r="J75" s="26">
        <f t="shared" ref="J75:J78" si="20">H75+I75</f>
        <v>57.415999999999997</v>
      </c>
      <c r="K75" s="5"/>
    </row>
    <row r="76" spans="1:11" s="2" customFormat="1" ht="15.95" customHeight="1">
      <c r="A76" s="22" t="s">
        <v>84</v>
      </c>
      <c r="B76" s="21"/>
      <c r="C76" s="21"/>
      <c r="D76" s="21"/>
      <c r="E76" s="21">
        <v>1</v>
      </c>
      <c r="F76" s="21"/>
      <c r="G76" s="21"/>
      <c r="H76" s="17">
        <f t="shared" si="18"/>
        <v>5.9580000000000002</v>
      </c>
      <c r="I76" s="17">
        <f t="shared" si="19"/>
        <v>50.457999999999998</v>
      </c>
      <c r="J76" s="26">
        <f t="shared" si="20"/>
        <v>56.415999999999997</v>
      </c>
      <c r="K76" s="5"/>
    </row>
    <row r="77" spans="1:11" s="2" customFormat="1" ht="15.95" customHeight="1">
      <c r="A77" s="22" t="s">
        <v>85</v>
      </c>
      <c r="B77" s="21"/>
      <c r="C77" s="21"/>
      <c r="D77" s="21"/>
      <c r="E77" s="21">
        <v>2</v>
      </c>
      <c r="F77" s="21"/>
      <c r="G77" s="21"/>
      <c r="H77" s="17">
        <f t="shared" si="18"/>
        <v>5.9580000000000002</v>
      </c>
      <c r="I77" s="17">
        <f t="shared" si="19"/>
        <v>48.457999999999998</v>
      </c>
      <c r="J77" s="26">
        <f t="shared" si="20"/>
        <v>54.415999999999997</v>
      </c>
      <c r="K77" s="5"/>
    </row>
    <row r="78" spans="1:11" s="2" customFormat="1" ht="15.95" customHeight="1">
      <c r="A78" s="22" t="s">
        <v>86</v>
      </c>
      <c r="B78" s="21">
        <v>1</v>
      </c>
      <c r="C78" s="21"/>
      <c r="D78" s="21"/>
      <c r="E78" s="21"/>
      <c r="F78" s="21"/>
      <c r="G78" s="21"/>
      <c r="H78" s="17">
        <f t="shared" si="18"/>
        <v>6.9580000000000002</v>
      </c>
      <c r="I78" s="17">
        <f t="shared" si="19"/>
        <v>48.457999999999998</v>
      </c>
      <c r="J78" s="26">
        <f t="shared" si="20"/>
        <v>55.415999999999997</v>
      </c>
      <c r="K78" s="5"/>
    </row>
    <row r="79" spans="1:11" s="2" customFormat="1" ht="15.95" customHeight="1">
      <c r="A79" s="22" t="s">
        <v>87</v>
      </c>
      <c r="B79" s="21">
        <v>1.25</v>
      </c>
      <c r="C79" s="21">
        <v>1.25</v>
      </c>
      <c r="D79" s="21"/>
      <c r="E79" s="21"/>
      <c r="F79" s="21"/>
      <c r="G79" s="21"/>
      <c r="H79" s="17">
        <f t="shared" ref="H79:H80" si="21">H78-F79-D79+B79</f>
        <v>8.2080000000000002</v>
      </c>
      <c r="I79" s="17">
        <f t="shared" ref="I79:I80" si="22">I78-E79+C79</f>
        <v>49.707999999999998</v>
      </c>
      <c r="J79" s="26">
        <f t="shared" ref="J79:J80" si="23">H79+I79</f>
        <v>57.915999999999997</v>
      </c>
      <c r="K79" s="5"/>
    </row>
    <row r="80" spans="1:11" s="2" customFormat="1" ht="15.95" customHeight="1">
      <c r="A80" s="22" t="s">
        <v>88</v>
      </c>
      <c r="B80" s="21"/>
      <c r="C80" s="21"/>
      <c r="D80" s="21"/>
      <c r="E80" s="21"/>
      <c r="F80" s="24">
        <v>1</v>
      </c>
      <c r="G80" s="21"/>
      <c r="H80" s="17">
        <f t="shared" si="21"/>
        <v>7.2080000000000002</v>
      </c>
      <c r="I80" s="17">
        <f t="shared" si="22"/>
        <v>49.707999999999998</v>
      </c>
      <c r="J80" s="26">
        <f t="shared" si="23"/>
        <v>56.915999999999997</v>
      </c>
      <c r="K80" s="5"/>
    </row>
    <row r="81" spans="1:11" s="2" customFormat="1" ht="15.95" customHeight="1">
      <c r="A81" s="22" t="s">
        <v>89</v>
      </c>
      <c r="B81" s="21"/>
      <c r="C81" s="21"/>
      <c r="D81" s="21"/>
      <c r="E81" s="21">
        <v>1</v>
      </c>
      <c r="F81" s="21"/>
      <c r="G81" s="21"/>
      <c r="H81" s="17">
        <f t="shared" ref="H81:H82" si="24">H80-F81-D81+B81</f>
        <v>7.2080000000000002</v>
      </c>
      <c r="I81" s="17">
        <f t="shared" ref="I81:I82" si="25">I80-E81+C81</f>
        <v>48.707999999999998</v>
      </c>
      <c r="J81" s="26">
        <f t="shared" ref="J81:J82" si="26">H81+I81</f>
        <v>55.915999999999997</v>
      </c>
      <c r="K81" s="5"/>
    </row>
    <row r="82" spans="1:11" s="2" customFormat="1" ht="15.95" customHeight="1">
      <c r="A82" s="22" t="s">
        <v>90</v>
      </c>
      <c r="B82" s="21"/>
      <c r="C82" s="21"/>
      <c r="D82" s="21">
        <v>0.5</v>
      </c>
      <c r="E82" s="21"/>
      <c r="F82" s="21"/>
      <c r="G82" s="21"/>
      <c r="H82" s="17">
        <f t="shared" si="24"/>
        <v>6.7080000000000002</v>
      </c>
      <c r="I82" s="17">
        <f t="shared" si="25"/>
        <v>48.707999999999998</v>
      </c>
      <c r="J82" s="26">
        <f t="shared" si="26"/>
        <v>55.415999999999997</v>
      </c>
      <c r="K82" s="5"/>
    </row>
    <row r="83" spans="1:11" s="2" customFormat="1" ht="15.95" customHeight="1">
      <c r="A83" s="22" t="s">
        <v>91</v>
      </c>
      <c r="B83" s="21">
        <v>2.5</v>
      </c>
      <c r="C83" s="21">
        <v>2.5</v>
      </c>
      <c r="D83" s="21"/>
      <c r="E83" s="21"/>
      <c r="F83" s="21"/>
      <c r="G83" s="21"/>
      <c r="H83" s="17">
        <f>H82-F83-D83+B83</f>
        <v>9.2080000000000002</v>
      </c>
      <c r="I83" s="17">
        <f>I82-E83+C83</f>
        <v>51.207999999999998</v>
      </c>
      <c r="J83" s="26">
        <f>H83+I83</f>
        <v>60.415999999999997</v>
      </c>
      <c r="K83" s="5"/>
    </row>
    <row r="84" spans="1:11" s="2" customFormat="1" ht="15.95" customHeight="1">
      <c r="A84" s="22" t="s">
        <v>92</v>
      </c>
      <c r="B84" s="21"/>
      <c r="C84" s="21"/>
      <c r="D84" s="21"/>
      <c r="E84" s="21"/>
      <c r="F84" s="24">
        <v>1</v>
      </c>
      <c r="G84" s="21"/>
      <c r="H84" s="17">
        <f>H83-F84-D84+B84</f>
        <v>8.2080000000000002</v>
      </c>
      <c r="I84" s="17">
        <f>I83-E84+C84</f>
        <v>51.207999999999998</v>
      </c>
      <c r="J84" s="26">
        <f>H84+I84</f>
        <v>59.415999999999997</v>
      </c>
      <c r="K84" s="5"/>
    </row>
    <row r="85" spans="1:11" s="2" customFormat="1" ht="15.95" customHeight="1">
      <c r="A85" s="95" t="s">
        <v>127</v>
      </c>
      <c r="B85" s="21"/>
      <c r="C85" s="21"/>
      <c r="D85" s="21"/>
      <c r="E85" s="21"/>
      <c r="F85" s="21"/>
      <c r="G85" s="25">
        <v>2</v>
      </c>
      <c r="H85" s="17">
        <f>H84-F85-D85+B85</f>
        <v>8.2080000000000002</v>
      </c>
      <c r="I85" s="17">
        <f>I84-E85+C85</f>
        <v>51.207999999999998</v>
      </c>
      <c r="J85" s="26">
        <f>H85+I85</f>
        <v>59.415999999999997</v>
      </c>
      <c r="K85" s="5"/>
    </row>
    <row r="86" spans="1:11" s="2" customFormat="1" ht="15.95" customHeight="1">
      <c r="A86" s="30"/>
      <c r="B86" s="31"/>
      <c r="C86" s="31"/>
      <c r="D86" s="31"/>
      <c r="E86" s="31"/>
      <c r="F86" s="31"/>
      <c r="G86" s="31"/>
      <c r="H86" s="32"/>
      <c r="I86" s="32"/>
      <c r="J86" s="32"/>
      <c r="K86" s="5"/>
    </row>
    <row r="87" spans="1:11" s="2" customFormat="1" ht="15.95" customHeight="1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5"/>
    </row>
    <row r="88" spans="1:11" s="2" customFormat="1" ht="15.95" customHeight="1">
      <c r="A88" s="30"/>
      <c r="B88" s="31"/>
      <c r="C88" s="31"/>
      <c r="D88" s="31"/>
      <c r="E88" s="31"/>
      <c r="F88" s="31"/>
      <c r="G88" s="31"/>
      <c r="H88" s="32"/>
      <c r="I88" s="32"/>
      <c r="J88" s="32"/>
      <c r="K88" s="5"/>
    </row>
    <row r="89" spans="1:11" s="1" customFormat="1">
      <c r="G89" s="1" t="s">
        <v>93</v>
      </c>
    </row>
    <row r="90" spans="1:11" s="1" customFormat="1"/>
    <row r="91" spans="1:11" s="1" customFormat="1">
      <c r="H91" s="33" t="s">
        <v>94</v>
      </c>
    </row>
    <row r="92" spans="1:11" s="1" customFormat="1">
      <c r="H92" s="1" t="s">
        <v>95</v>
      </c>
    </row>
    <row r="93" spans="1:11" s="1" customFormat="1">
      <c r="H93" s="1" t="s">
        <v>96</v>
      </c>
    </row>
    <row r="94" spans="1:11" s="2" customFormat="1" ht="15.95" customHeight="1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5"/>
    </row>
    <row r="95" spans="1:11" s="2" customFormat="1" ht="15.95" customHeight="1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5"/>
    </row>
    <row r="96" spans="1:11" s="2" customFormat="1" ht="15.95" customHeight="1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5"/>
    </row>
    <row r="97" spans="1:11" s="2" customFormat="1" ht="15.95" customHeight="1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5"/>
    </row>
    <row r="98" spans="1:11" s="2" customFormat="1" ht="15.95" customHeigh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5"/>
    </row>
    <row r="99" spans="1:11" s="2" customFormat="1" ht="15.95" customHeight="1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5"/>
    </row>
    <row r="100" spans="1:11" s="2" customFormat="1" ht="15.95" customHeight="1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5"/>
    </row>
    <row r="101" spans="1:11" s="2" customFormat="1" ht="15.95" customHeight="1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5" t="s">
        <v>97</v>
      </c>
    </row>
    <row r="102" spans="1:11" s="2" customFormat="1" ht="15.95" customHeight="1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5"/>
    </row>
    <row r="103" spans="1:11" s="2" customFormat="1" ht="15.95" customHeight="1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5"/>
    </row>
    <row r="104" spans="1:11" s="2" customFormat="1" ht="15.95" customHeight="1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5"/>
    </row>
    <row r="105" spans="1:11" s="2" customFormat="1" ht="15.95" customHeight="1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5"/>
    </row>
    <row r="106" spans="1:11" s="2" customFormat="1" ht="15.95" customHeight="1">
      <c r="A106" s="30"/>
      <c r="B106" s="31"/>
      <c r="C106" s="31"/>
      <c r="D106" s="31"/>
      <c r="E106" s="31"/>
      <c r="F106" s="31"/>
      <c r="G106" s="31"/>
      <c r="H106" s="31"/>
      <c r="I106" s="31"/>
      <c r="J106" s="31"/>
      <c r="K106" s="5"/>
    </row>
    <row r="107" spans="1:11" s="2" customFormat="1" ht="15.95" customHeight="1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5"/>
    </row>
    <row r="108" spans="1:11" s="2" customFormat="1" ht="15.95" customHeight="1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5"/>
    </row>
    <row r="109" spans="1:11" s="2" customFormat="1" ht="15.95" customHeight="1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5"/>
    </row>
    <row r="110" spans="1:11" s="2" customFormat="1" ht="15.95" customHeight="1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5"/>
    </row>
    <row r="111" spans="1:11" s="2" customFormat="1" ht="15.95" customHeight="1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5"/>
    </row>
    <row r="112" spans="1:11" s="2" customFormat="1" ht="15.95" customHeight="1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5"/>
    </row>
    <row r="113" spans="1:11" s="2" customFormat="1" ht="15.95" customHeight="1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5"/>
    </row>
    <row r="114" spans="1:11" s="2" customFormat="1" ht="15.95" customHeight="1">
      <c r="A114" s="30"/>
      <c r="B114" s="31"/>
      <c r="C114" s="31"/>
      <c r="D114" s="31"/>
      <c r="E114" s="31"/>
      <c r="F114" s="31"/>
      <c r="G114" s="31"/>
      <c r="H114" s="31"/>
      <c r="I114" s="31"/>
      <c r="J114" s="31"/>
      <c r="K114" s="5"/>
    </row>
    <row r="115" spans="1:11" s="2" customFormat="1" ht="15.95" customHeight="1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5"/>
    </row>
    <row r="116" spans="1:11" s="2" customFormat="1" ht="15.95" customHeight="1">
      <c r="A116" s="30"/>
      <c r="B116" s="31"/>
      <c r="C116" s="31"/>
      <c r="D116" s="31"/>
      <c r="E116" s="31"/>
      <c r="F116" s="31"/>
      <c r="G116" s="31"/>
      <c r="H116" s="31"/>
      <c r="I116" s="31"/>
      <c r="J116" s="31"/>
      <c r="K116" s="5"/>
    </row>
    <row r="117" spans="1:11" s="2" customFormat="1" ht="15.95" customHeight="1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5"/>
    </row>
    <row r="118" spans="1:11" s="2" customFormat="1" ht="15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5"/>
    </row>
    <row r="119" spans="1:11" s="2" customFormat="1" ht="15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5"/>
    </row>
    <row r="120" spans="1:11" s="2" customFormat="1" ht="15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5"/>
    </row>
    <row r="121" spans="1:11" s="2" customFormat="1" ht="15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5"/>
    </row>
    <row r="122" spans="1:11" s="2" customFormat="1" ht="15.9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5"/>
    </row>
    <row r="123" spans="1:11" s="2" customFormat="1" ht="15.9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5"/>
    </row>
    <row r="124" spans="1:11" s="2" customFormat="1" ht="15.9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5"/>
    </row>
    <row r="125" spans="1:11" s="2" customFormat="1" ht="15.9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5"/>
    </row>
    <row r="126" spans="1:11" s="2" customFormat="1" ht="15.9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5"/>
    </row>
    <row r="127" spans="1:11" s="2" customFormat="1" ht="15.9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5"/>
    </row>
    <row r="128" spans="1:11" s="2" customFormat="1" ht="15.9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5"/>
    </row>
    <row r="129" spans="1:11" s="2" customFormat="1" ht="15.9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5"/>
    </row>
    <row r="130" spans="1:11" s="2" customFormat="1" ht="15.9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5"/>
    </row>
    <row r="131" spans="1:11" s="2" customFormat="1" ht="15.9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5"/>
    </row>
    <row r="132" spans="1:11" s="2" customFormat="1" ht="15.9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5"/>
    </row>
    <row r="133" spans="1:11" s="2" customFormat="1" ht="15.9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5"/>
    </row>
    <row r="134" spans="1:11" s="2" customFormat="1" ht="15.9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5"/>
    </row>
    <row r="135" spans="1:11" s="2" customFormat="1" ht="15.9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5"/>
    </row>
    <row r="136" spans="1:11" s="2" customFormat="1" ht="15.9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5"/>
    </row>
    <row r="137" spans="1:11" s="2" customFormat="1" ht="15.9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5"/>
    </row>
    <row r="138" spans="1:11" s="2" customFormat="1" ht="15.9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5"/>
    </row>
    <row r="139" spans="1:11" s="2" customFormat="1" ht="15.9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5"/>
    </row>
    <row r="140" spans="1:11" s="2" customFormat="1" ht="15.9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5"/>
    </row>
    <row r="141" spans="1:11" s="2" customFormat="1" ht="15.9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5"/>
    </row>
    <row r="142" spans="1:11" s="2" customFormat="1" ht="15.9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5"/>
    </row>
    <row r="143" spans="1:11" s="2" customFormat="1" ht="15.9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5"/>
    </row>
    <row r="144" spans="1:11" s="2" customFormat="1" ht="15.9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5"/>
    </row>
    <row r="145" spans="1:11" s="2" customFormat="1" ht="15.9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5"/>
    </row>
    <row r="146" spans="1:11" s="2" customFormat="1" ht="15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5"/>
    </row>
    <row r="147" spans="1:11" s="2" customFormat="1" ht="15.9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5"/>
    </row>
    <row r="148" spans="1:11" s="2" customFormat="1" ht="15.9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5"/>
    </row>
    <row r="149" spans="1:11" s="2" customFormat="1" ht="15.9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5"/>
    </row>
    <row r="150" spans="1:11" s="2" customFormat="1" ht="15.9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5"/>
    </row>
    <row r="151" spans="1:11" s="2" customFormat="1" ht="15.9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5"/>
    </row>
    <row r="152" spans="1:11" s="2" customFormat="1" ht="15.9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5"/>
    </row>
    <row r="153" spans="1:11" s="2" customFormat="1" ht="15.9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5"/>
    </row>
    <row r="154" spans="1:11" s="2" customFormat="1" ht="15.9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5"/>
    </row>
    <row r="155" spans="1:11" s="2" customFormat="1" ht="15.9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5"/>
    </row>
    <row r="156" spans="1:11" s="2" customFormat="1" ht="15.9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5"/>
    </row>
    <row r="157" spans="1:11" s="2" customFormat="1" ht="15.9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5"/>
    </row>
    <row r="158" spans="1:11" s="2" customFormat="1" ht="15.9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5"/>
    </row>
    <row r="159" spans="1:11" s="2" customFormat="1" ht="15.9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5"/>
    </row>
    <row r="160" spans="1:11" s="2" customFormat="1" ht="15.9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5"/>
    </row>
    <row r="161" spans="1:11" s="2" customFormat="1" ht="15.9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5"/>
    </row>
    <row r="162" spans="1:11" s="2" customFormat="1" ht="15.9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5"/>
    </row>
    <row r="163" spans="1:11" s="2" customFormat="1" ht="15.9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5"/>
    </row>
    <row r="164" spans="1:11" s="2" customFormat="1" ht="15.9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5"/>
    </row>
    <row r="165" spans="1:11" s="2" customFormat="1" ht="15.9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5"/>
    </row>
    <row r="166" spans="1:11" s="2" customFormat="1" ht="15.9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5"/>
    </row>
    <row r="167" spans="1:11" s="2" customFormat="1" ht="15.9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5"/>
    </row>
    <row r="168" spans="1:11" s="2" customFormat="1" ht="15.9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5"/>
    </row>
    <row r="169" spans="1:11" s="2" customFormat="1" ht="15.9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5"/>
    </row>
    <row r="170" spans="1:11" s="2" customFormat="1" ht="15.9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5"/>
    </row>
    <row r="171" spans="1:11" s="2" customFormat="1" ht="15.9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5"/>
    </row>
    <row r="172" spans="1:11" s="2" customFormat="1" ht="15.9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5"/>
    </row>
    <row r="173" spans="1:11" s="2" customFormat="1" ht="15.9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5"/>
    </row>
    <row r="174" spans="1:11" s="2" customFormat="1" ht="15.9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5"/>
    </row>
    <row r="175" spans="1:11" s="2" customFormat="1" ht="15.9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5"/>
    </row>
    <row r="176" spans="1:11" s="2" customFormat="1" ht="15.9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5"/>
    </row>
    <row r="177" spans="1:11" s="2" customFormat="1" ht="15.9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5"/>
    </row>
    <row r="178" spans="1:11" s="2" customFormat="1" ht="15.9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5"/>
    </row>
    <row r="179" spans="1:11" s="2" customFormat="1" ht="15.9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5"/>
    </row>
    <row r="180" spans="1:11" s="2" customFormat="1" ht="15.9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5"/>
    </row>
    <row r="181" spans="1:11" s="2" customFormat="1" ht="15.9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5"/>
    </row>
    <row r="182" spans="1:11" s="2" customFormat="1" ht="15.9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5"/>
    </row>
    <row r="183" spans="1:11" s="2" customFormat="1" ht="15.9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5"/>
    </row>
    <row r="184" spans="1:11" s="2" customFormat="1" ht="15.9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5"/>
    </row>
    <row r="185" spans="1:11" s="2" customFormat="1" ht="15.9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5"/>
    </row>
    <row r="186" spans="1:11" s="2" customFormat="1" ht="15.9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5"/>
    </row>
    <row r="187" spans="1:11" s="2" customFormat="1" ht="15.9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5"/>
    </row>
    <row r="188" spans="1:11" s="2" customFormat="1" ht="15.9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5"/>
    </row>
    <row r="189" spans="1:11" s="2" customFormat="1" ht="15.9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5"/>
    </row>
    <row r="190" spans="1:11" s="2" customFormat="1" ht="15.9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5"/>
    </row>
    <row r="191" spans="1:11" s="2" customFormat="1" ht="15.9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5"/>
    </row>
    <row r="192" spans="1:11" s="2" customFormat="1" ht="15.9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5"/>
    </row>
    <row r="193" spans="1:11" s="2" customFormat="1" ht="15.9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5"/>
    </row>
    <row r="194" spans="1:11" s="2" customFormat="1" ht="15.9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5"/>
    </row>
    <row r="195" spans="1:11" s="2" customFormat="1" ht="15.9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5"/>
    </row>
    <row r="196" spans="1:11" s="2" customFormat="1" ht="15.9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5"/>
    </row>
    <row r="197" spans="1:11" s="2" customFormat="1" ht="15.9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5"/>
    </row>
    <row r="198" spans="1:11" s="2" customFormat="1" ht="15.9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5"/>
    </row>
    <row r="199" spans="1:11" s="2" customFormat="1" ht="15.9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5"/>
    </row>
    <row r="200" spans="1:11" s="2" customFormat="1" ht="15.9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5"/>
    </row>
    <row r="201" spans="1:11" s="2" customFormat="1" ht="15.9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5"/>
    </row>
    <row r="202" spans="1:11" s="2" customFormat="1" ht="15.9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5"/>
    </row>
    <row r="203" spans="1:11" s="2" customFormat="1" ht="15.9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5"/>
    </row>
    <row r="204" spans="1:11" s="2" customFormat="1" ht="15.9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5"/>
    </row>
    <row r="205" spans="1:11" s="2" customFormat="1" ht="15.9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5"/>
    </row>
    <row r="206" spans="1:11" s="2" customFormat="1" ht="15.9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5"/>
    </row>
    <row r="207" spans="1:11" s="2" customFormat="1" ht="15.9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5"/>
    </row>
    <row r="208" spans="1:11" s="2" customFormat="1" ht="15.9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5"/>
    </row>
    <row r="209" spans="1:11" s="2" customFormat="1" ht="15.9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5"/>
    </row>
    <row r="210" spans="1:11" s="2" customFormat="1" ht="15.9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5"/>
    </row>
    <row r="211" spans="1:11" s="2" customFormat="1" ht="15.9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5"/>
    </row>
    <row r="212" spans="1:11" s="2" customFormat="1" ht="15.9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5"/>
    </row>
    <row r="213" spans="1:11" s="2" customFormat="1" ht="15.9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5"/>
    </row>
    <row r="214" spans="1:11" s="2" customFormat="1" ht="15.9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5"/>
    </row>
    <row r="215" spans="1:11" s="2" customFormat="1" ht="15.9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5"/>
    </row>
    <row r="216" spans="1:11" s="2" customFormat="1" ht="15.9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5"/>
    </row>
    <row r="217" spans="1:11" s="2" customFormat="1" ht="15.9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5"/>
    </row>
    <row r="218" spans="1:11" s="2" customFormat="1" ht="15.9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5"/>
    </row>
    <row r="219" spans="1:11" s="2" customFormat="1" ht="15.9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5"/>
    </row>
    <row r="220" spans="1:11" s="2" customFormat="1" ht="15.9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5"/>
    </row>
    <row r="221" spans="1:11" s="2" customFormat="1" ht="15.9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5"/>
    </row>
    <row r="222" spans="1:11" s="2" customFormat="1" ht="15.9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5"/>
    </row>
    <row r="223" spans="1:11" s="2" customFormat="1" ht="15.9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5"/>
    </row>
    <row r="224" spans="1:11" s="2" customFormat="1" ht="15.9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5"/>
    </row>
    <row r="225" spans="1:11" s="2" customFormat="1" ht="15.9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5"/>
    </row>
    <row r="226" spans="1:11" s="2" customFormat="1" ht="15.9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5"/>
    </row>
    <row r="227" spans="1:11" s="2" customFormat="1" ht="15.9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5"/>
    </row>
    <row r="228" spans="1:11" s="2" customFormat="1" ht="15.9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5"/>
    </row>
    <row r="229" spans="1:11" s="2" customFormat="1" ht="15.9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5"/>
    </row>
    <row r="230" spans="1:11" s="2" customFormat="1" ht="15.9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5"/>
    </row>
    <row r="231" spans="1:11" s="2" customFormat="1" ht="15.9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5"/>
    </row>
    <row r="232" spans="1:11" s="2" customFormat="1" ht="15.9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5"/>
    </row>
    <row r="233" spans="1:11" s="2" customFormat="1" ht="15.9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5"/>
    </row>
    <row r="234" spans="1:11" s="2" customFormat="1" ht="15.9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5"/>
    </row>
    <row r="235" spans="1:11" s="2" customFormat="1" ht="15.9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5"/>
    </row>
    <row r="236" spans="1:11" s="2" customFormat="1" ht="15.9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5"/>
    </row>
    <row r="237" spans="1:11" s="2" customFormat="1" ht="15.9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5"/>
    </row>
    <row r="238" spans="1:11" s="2" customFormat="1" ht="15.9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5"/>
    </row>
    <row r="239" spans="1:11" s="2" customFormat="1" ht="15.9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5"/>
    </row>
    <row r="240" spans="1:11" s="2" customFormat="1" ht="15.9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5"/>
    </row>
    <row r="241" spans="1:11" s="2" customFormat="1" ht="15.9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5"/>
    </row>
    <row r="242" spans="1:11" s="2" customFormat="1" ht="15.9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5"/>
    </row>
    <row r="243" spans="1:11" s="2" customFormat="1" ht="15.9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5"/>
    </row>
    <row r="244" spans="1:11" s="2" customFormat="1" ht="15.9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5"/>
    </row>
    <row r="245" spans="1:11" s="2" customFormat="1" ht="15.9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5"/>
    </row>
    <row r="246" spans="1:11" s="2" customFormat="1" ht="15.9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5"/>
    </row>
    <row r="247" spans="1:11" s="2" customFormat="1" ht="15.9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5"/>
    </row>
    <row r="248" spans="1:11" s="2" customFormat="1" ht="15.9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5"/>
    </row>
    <row r="249" spans="1:11" s="2" customFormat="1" ht="15.9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5"/>
    </row>
    <row r="250" spans="1:11" s="2" customFormat="1" ht="15.9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5"/>
    </row>
    <row r="251" spans="1:11" s="2" customFormat="1" ht="15.9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5"/>
    </row>
    <row r="252" spans="1:11" s="2" customFormat="1" ht="15.9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5"/>
    </row>
    <row r="253" spans="1:11" s="2" customFormat="1" ht="15.9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5"/>
    </row>
    <row r="254" spans="1:11" s="2" customFormat="1" ht="15.9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5"/>
    </row>
    <row r="255" spans="1:11" s="2" customFormat="1" ht="15.9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5"/>
    </row>
    <row r="256" spans="1:11" s="2" customFormat="1" ht="15.9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5"/>
    </row>
    <row r="257" spans="1:11" s="2" customFormat="1" ht="15.9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5"/>
    </row>
    <row r="258" spans="1:11" s="2" customFormat="1" ht="15.9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5"/>
    </row>
    <row r="259" spans="1:11" s="2" customFormat="1" ht="15.9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5"/>
    </row>
    <row r="260" spans="1:11" s="2" customFormat="1" ht="15.9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5"/>
    </row>
    <row r="261" spans="1:11" s="2" customFormat="1" ht="15.9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5"/>
    </row>
    <row r="262" spans="1:11" s="2" customFormat="1" ht="15.9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5"/>
    </row>
    <row r="263" spans="1:11" s="2" customFormat="1" ht="15.9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5"/>
    </row>
    <row r="264" spans="1:11" s="2" customFormat="1" ht="15.9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5"/>
    </row>
    <row r="265" spans="1:11" s="2" customFormat="1" ht="15.9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5"/>
    </row>
    <row r="266" spans="1:11" s="2" customFormat="1" ht="15.9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5"/>
    </row>
    <row r="267" spans="1:11" s="2" customFormat="1" ht="15.9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5"/>
    </row>
    <row r="268" spans="1:11" s="2" customFormat="1" ht="15.9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5"/>
    </row>
    <row r="269" spans="1:11" s="2" customFormat="1" ht="15.9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5"/>
    </row>
    <row r="270" spans="1:11" s="2" customFormat="1" ht="15.9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5"/>
    </row>
    <row r="271" spans="1:11" s="2" customFormat="1" ht="15.9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5"/>
    </row>
    <row r="272" spans="1:11" s="2" customFormat="1" ht="15.9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5"/>
    </row>
    <row r="273" spans="1:11" s="2" customFormat="1" ht="15.9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5"/>
    </row>
    <row r="274" spans="1:11" s="2" customFormat="1" ht="15.9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5"/>
    </row>
    <row r="275" spans="1:11" s="2" customFormat="1" ht="15.9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5"/>
    </row>
    <row r="276" spans="1:11" s="2" customFormat="1" ht="15.9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5"/>
    </row>
    <row r="277" spans="1:11" s="2" customFormat="1" ht="15.9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5"/>
    </row>
    <row r="278" spans="1:11" s="2" customFormat="1" ht="15.9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5"/>
    </row>
    <row r="279" spans="1:11" s="2" customFormat="1" ht="15.9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5"/>
    </row>
    <row r="280" spans="1:11" s="2" customFormat="1" ht="15.9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5"/>
    </row>
    <row r="281" spans="1:11" s="2" customFormat="1" ht="15.9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5"/>
    </row>
    <row r="282" spans="1:11" s="2" customFormat="1" ht="15.9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5"/>
    </row>
    <row r="283" spans="1:11" s="2" customFormat="1" ht="15.9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5"/>
    </row>
    <row r="284" spans="1:11" s="2" customFormat="1" ht="15.9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5"/>
    </row>
    <row r="285" spans="1:11" s="2" customFormat="1" ht="15.9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5"/>
    </row>
    <row r="286" spans="1:11" s="2" customFormat="1" ht="15.9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5"/>
    </row>
    <row r="287" spans="1:11" s="2" customFormat="1" ht="15.9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5"/>
    </row>
    <row r="288" spans="1:11" s="2" customFormat="1" ht="15.9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5"/>
    </row>
    <row r="289" spans="1:11" s="2" customFormat="1" ht="15.9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5"/>
    </row>
    <row r="290" spans="1:11" s="2" customFormat="1" ht="15.9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5"/>
    </row>
    <row r="291" spans="1:11" s="2" customFormat="1" ht="15.9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5"/>
    </row>
    <row r="292" spans="1:11" s="2" customFormat="1" ht="15.9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5"/>
    </row>
    <row r="293" spans="1:11" s="2" customFormat="1" ht="15.9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5"/>
    </row>
    <row r="294" spans="1:11" s="2" customFormat="1" ht="15.9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5"/>
    </row>
    <row r="295" spans="1:11" s="2" customFormat="1" ht="15.9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5"/>
    </row>
    <row r="296" spans="1:11" s="2" customFormat="1" ht="15.9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5"/>
    </row>
    <row r="297" spans="1:11" s="2" customFormat="1" ht="15.9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5"/>
    </row>
    <row r="298" spans="1:11" s="2" customFormat="1" ht="15.9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5"/>
    </row>
    <row r="299" spans="1:11" s="2" customFormat="1" ht="15.9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5"/>
    </row>
    <row r="300" spans="1:11" s="2" customFormat="1" ht="15.9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5"/>
    </row>
    <row r="301" spans="1:11" s="2" customFormat="1" ht="15.9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5"/>
    </row>
    <row r="302" spans="1:11" s="2" customFormat="1" ht="15.95" customHeight="1">
      <c r="A302" s="30"/>
      <c r="K302" s="5"/>
    </row>
    <row r="303" spans="1:11" s="2" customFormat="1" ht="15.95" customHeight="1">
      <c r="A303" s="30"/>
      <c r="K303" s="5"/>
    </row>
    <row r="304" spans="1:11" s="2" customFormat="1" ht="15.95" customHeight="1">
      <c r="A304" s="30"/>
      <c r="K304" s="5"/>
    </row>
    <row r="305" spans="1:11" s="2" customFormat="1" ht="15.95" customHeight="1">
      <c r="A305" s="30"/>
      <c r="K305" s="5"/>
    </row>
    <row r="306" spans="1:11" s="2" customFormat="1" ht="15.95" customHeight="1">
      <c r="A306" s="30"/>
      <c r="K306" s="5"/>
    </row>
    <row r="307" spans="1:11" s="2" customFormat="1" ht="15.95" customHeight="1">
      <c r="A307" s="30"/>
      <c r="K307" s="5"/>
    </row>
    <row r="308" spans="1:11" s="2" customFormat="1" ht="15.95" customHeight="1">
      <c r="A308" s="30"/>
      <c r="K308" s="5"/>
    </row>
    <row r="309" spans="1:11" s="2" customFormat="1" ht="15.95" customHeight="1">
      <c r="A309" s="30"/>
      <c r="K309" s="5"/>
    </row>
    <row r="310" spans="1:11" s="2" customFormat="1" ht="15.95" customHeight="1">
      <c r="A310" s="30"/>
      <c r="K310" s="5"/>
    </row>
    <row r="311" spans="1:11" s="2" customFormat="1" ht="15.95" customHeight="1">
      <c r="A311" s="30"/>
      <c r="K311" s="5"/>
    </row>
    <row r="312" spans="1:11" s="2" customFormat="1" ht="15.95" customHeight="1">
      <c r="A312" s="30"/>
      <c r="K312" s="5"/>
    </row>
  </sheetData>
  <mergeCells count="11">
    <mergeCell ref="K11:K12"/>
    <mergeCell ref="B11:C11"/>
    <mergeCell ref="D11:G11"/>
    <mergeCell ref="H11:I11"/>
    <mergeCell ref="A13:J13"/>
    <mergeCell ref="J11:J12"/>
    <mergeCell ref="A2:I2"/>
    <mergeCell ref="A3:I3"/>
    <mergeCell ref="A4:I4"/>
    <mergeCell ref="A5:I5"/>
    <mergeCell ref="A10:J10"/>
  </mergeCells>
  <printOptions horizontalCentered="1"/>
  <pageMargins left="0.23622047244094499" right="0.23622047244094499" top="0.62992125984252001" bottom="0.62992125984252001" header="0.31496062992126" footer="0.31496062992126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0"/>
  <sheetViews>
    <sheetView view="pageBreakPreview" topLeftCell="A4" zoomScale="112" zoomScaleNormal="100" workbookViewId="0">
      <selection activeCell="B11" sqref="B11:K11"/>
    </sheetView>
  </sheetViews>
  <sheetFormatPr defaultColWidth="8.7109375" defaultRowHeight="15"/>
  <cols>
    <col min="1" max="1" width="33.5703125" style="38" customWidth="1"/>
    <col min="2" max="16384" width="8.7109375" style="38"/>
  </cols>
  <sheetData>
    <row r="1" spans="1:12" s="34" customFormat="1" ht="52.5" customHeight="1"/>
    <row r="2" spans="1:12" s="34" customFormat="1" ht="10.5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s="34" customFormat="1" ht="15.95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s="34" customFormat="1" ht="15.95" customHeight="1">
      <c r="A4" s="74" t="s">
        <v>2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s="34" customFormat="1" ht="15.95" customHeight="1">
      <c r="A5" s="74" t="s">
        <v>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s="34" customFormat="1" ht="8.25" customHeight="1"/>
    <row r="7" spans="1:12" s="34" customFormat="1" ht="12" customHeight="1">
      <c r="A7" s="34" t="s">
        <v>4</v>
      </c>
      <c r="C7" s="39" t="s">
        <v>98</v>
      </c>
      <c r="D7" s="39"/>
      <c r="G7" s="39" t="s">
        <v>6</v>
      </c>
      <c r="H7" s="40"/>
    </row>
    <row r="8" spans="1:12" s="34" customFormat="1" ht="12" customHeight="1">
      <c r="C8" s="41"/>
      <c r="G8" s="41"/>
      <c r="H8" s="41"/>
    </row>
    <row r="9" spans="1:12" s="34" customFormat="1" ht="12" customHeight="1">
      <c r="A9" s="34" t="s">
        <v>7</v>
      </c>
      <c r="C9" s="39" t="s">
        <v>8</v>
      </c>
      <c r="D9" s="39"/>
      <c r="G9" s="39" t="s">
        <v>9</v>
      </c>
      <c r="H9" s="42"/>
    </row>
    <row r="10" spans="1:12" ht="16.5" customHeight="1">
      <c r="A10" s="75" t="s">
        <v>99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s="35" customFormat="1" ht="18.75" customHeight="1">
      <c r="A11" s="91" t="s">
        <v>11</v>
      </c>
      <c r="B11" s="76" t="s">
        <v>12</v>
      </c>
      <c r="C11" s="77"/>
      <c r="D11" s="77"/>
      <c r="E11" s="77"/>
      <c r="F11" s="77"/>
      <c r="G11" s="77"/>
      <c r="H11" s="77"/>
      <c r="I11" s="77"/>
      <c r="J11" s="77"/>
      <c r="K11" s="77"/>
      <c r="L11" s="93" t="s">
        <v>15</v>
      </c>
    </row>
    <row r="12" spans="1:12" s="35" customFormat="1" ht="24" customHeight="1">
      <c r="A12" s="92"/>
      <c r="B12" s="78" t="s">
        <v>100</v>
      </c>
      <c r="C12" s="79"/>
      <c r="D12" s="79"/>
      <c r="E12" s="80"/>
      <c r="F12" s="78" t="s">
        <v>101</v>
      </c>
      <c r="G12" s="80"/>
      <c r="H12" s="78" t="s">
        <v>102</v>
      </c>
      <c r="I12" s="80"/>
      <c r="J12" s="78" t="s">
        <v>103</v>
      </c>
      <c r="K12" s="80"/>
      <c r="L12" s="94"/>
    </row>
    <row r="13" spans="1:12" s="35" customFormat="1" ht="24.95" customHeight="1">
      <c r="A13" s="43" t="s">
        <v>104</v>
      </c>
      <c r="B13" s="81" t="s">
        <v>105</v>
      </c>
      <c r="C13" s="82"/>
      <c r="D13" s="82"/>
      <c r="E13" s="83"/>
      <c r="F13" s="81">
        <v>1</v>
      </c>
      <c r="G13" s="83"/>
      <c r="H13" s="81">
        <v>0</v>
      </c>
      <c r="I13" s="83"/>
      <c r="J13" s="81">
        <v>1</v>
      </c>
      <c r="K13" s="83"/>
      <c r="L13" s="51">
        <v>1</v>
      </c>
    </row>
    <row r="14" spans="1:12" s="36" customFormat="1" ht="25.5" customHeight="1">
      <c r="A14" s="43" t="s">
        <v>106</v>
      </c>
      <c r="B14" s="81" t="s">
        <v>105</v>
      </c>
      <c r="C14" s="82"/>
      <c r="D14" s="82"/>
      <c r="E14" s="83"/>
      <c r="F14" s="81"/>
      <c r="G14" s="83"/>
      <c r="H14" s="81">
        <v>1</v>
      </c>
      <c r="I14" s="83"/>
      <c r="J14" s="81">
        <f>F14-H14</f>
        <v>-1</v>
      </c>
      <c r="K14" s="83"/>
      <c r="L14" s="51">
        <v>0</v>
      </c>
    </row>
    <row r="15" spans="1:12" s="36" customFormat="1" ht="25.5" customHeight="1">
      <c r="A15" s="44" t="s">
        <v>107</v>
      </c>
      <c r="B15" s="81" t="s">
        <v>108</v>
      </c>
      <c r="C15" s="82"/>
      <c r="D15" s="82"/>
      <c r="E15" s="83"/>
      <c r="F15" s="81">
        <v>1</v>
      </c>
      <c r="G15" s="83"/>
      <c r="H15" s="81">
        <v>0</v>
      </c>
      <c r="I15" s="83"/>
      <c r="J15" s="81">
        <v>1</v>
      </c>
      <c r="K15" s="83"/>
      <c r="L15" s="52">
        <v>1</v>
      </c>
    </row>
    <row r="16" spans="1:12" s="36" customFormat="1" ht="25.5" customHeight="1">
      <c r="A16" s="44" t="s">
        <v>109</v>
      </c>
      <c r="B16" s="81" t="s">
        <v>108</v>
      </c>
      <c r="C16" s="82"/>
      <c r="D16" s="82"/>
      <c r="E16" s="83"/>
      <c r="F16" s="81"/>
      <c r="G16" s="83"/>
      <c r="H16" s="81">
        <v>1</v>
      </c>
      <c r="I16" s="83"/>
      <c r="J16" s="81">
        <v>0</v>
      </c>
      <c r="K16" s="83"/>
      <c r="L16" s="53">
        <v>0</v>
      </c>
    </row>
    <row r="17" spans="1:12" s="36" customFormat="1" ht="25.5" customHeight="1">
      <c r="A17" s="44" t="s">
        <v>110</v>
      </c>
      <c r="B17" s="81" t="s">
        <v>111</v>
      </c>
      <c r="C17" s="82"/>
      <c r="D17" s="82"/>
      <c r="E17" s="83"/>
      <c r="F17" s="81">
        <v>1</v>
      </c>
      <c r="G17" s="83"/>
      <c r="H17" s="81">
        <v>1</v>
      </c>
      <c r="I17" s="83"/>
      <c r="J17" s="81">
        <v>0</v>
      </c>
      <c r="K17" s="83"/>
      <c r="L17" s="54">
        <v>0</v>
      </c>
    </row>
    <row r="18" spans="1:12" s="36" customFormat="1" ht="25.5" customHeight="1">
      <c r="A18" s="44" t="s">
        <v>112</v>
      </c>
      <c r="B18" s="81" t="s">
        <v>111</v>
      </c>
      <c r="C18" s="82"/>
      <c r="D18" s="82"/>
      <c r="E18" s="83"/>
      <c r="F18" s="81"/>
      <c r="G18" s="83"/>
      <c r="H18" s="81">
        <v>1</v>
      </c>
      <c r="I18" s="83"/>
      <c r="J18" s="81">
        <v>0</v>
      </c>
      <c r="K18" s="83"/>
      <c r="L18" s="53">
        <v>0</v>
      </c>
    </row>
    <row r="19" spans="1:12" s="36" customFormat="1" ht="25.5" customHeight="1">
      <c r="A19" s="44" t="s">
        <v>110</v>
      </c>
      <c r="B19" s="81" t="s">
        <v>111</v>
      </c>
      <c r="C19" s="82"/>
      <c r="D19" s="82"/>
      <c r="E19" s="83"/>
      <c r="F19" s="81">
        <v>1</v>
      </c>
      <c r="G19" s="83"/>
      <c r="H19" s="81">
        <v>1</v>
      </c>
      <c r="I19" s="83"/>
      <c r="J19" s="81">
        <v>0</v>
      </c>
      <c r="K19" s="83"/>
      <c r="L19" s="54">
        <v>0</v>
      </c>
    </row>
    <row r="20" spans="1:12" s="36" customFormat="1" ht="25.5" customHeight="1">
      <c r="A20" s="44" t="s">
        <v>112</v>
      </c>
      <c r="B20" s="81" t="s">
        <v>111</v>
      </c>
      <c r="C20" s="82"/>
      <c r="D20" s="82"/>
      <c r="E20" s="83"/>
      <c r="F20" s="81"/>
      <c r="G20" s="83"/>
      <c r="H20" s="81">
        <v>1</v>
      </c>
      <c r="I20" s="83"/>
      <c r="J20" s="81">
        <v>0</v>
      </c>
      <c r="K20" s="83"/>
      <c r="L20" s="53">
        <v>0</v>
      </c>
    </row>
    <row r="21" spans="1:12" s="37" customFormat="1" ht="26.25" customHeight="1">
      <c r="A21" s="45" t="s">
        <v>113</v>
      </c>
      <c r="B21" s="84" t="s">
        <v>114</v>
      </c>
      <c r="C21" s="85"/>
      <c r="D21" s="85"/>
      <c r="E21" s="86"/>
      <c r="F21" s="87">
        <v>1</v>
      </c>
      <c r="G21" s="88"/>
      <c r="H21" s="87">
        <v>0</v>
      </c>
      <c r="I21" s="88"/>
      <c r="J21" s="87">
        <v>1</v>
      </c>
      <c r="K21" s="88"/>
      <c r="L21" s="55">
        <v>3</v>
      </c>
    </row>
    <row r="22" spans="1:12" customFormat="1" ht="26.25" customHeight="1">
      <c r="A22" s="46" t="s">
        <v>115</v>
      </c>
      <c r="B22" s="84" t="s">
        <v>114</v>
      </c>
      <c r="C22" s="85"/>
      <c r="D22" s="85"/>
      <c r="E22" s="86"/>
      <c r="F22" s="87"/>
      <c r="G22" s="88"/>
      <c r="H22" s="87">
        <v>1</v>
      </c>
      <c r="I22" s="88"/>
      <c r="J22" s="87">
        <v>0</v>
      </c>
      <c r="K22" s="88"/>
      <c r="L22" s="56">
        <v>0</v>
      </c>
    </row>
    <row r="23" spans="1:12" s="36" customFormat="1" ht="25.5" customHeight="1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57"/>
    </row>
    <row r="24" spans="1:12" s="36" customFormat="1">
      <c r="A24" s="49" t="s">
        <v>116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58"/>
    </row>
    <row r="25" spans="1:12" ht="18.9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</row>
    <row r="26" spans="1:12" s="34" customFormat="1">
      <c r="C26" s="50"/>
      <c r="I26" s="34" t="s">
        <v>93</v>
      </c>
    </row>
    <row r="27" spans="1:12" s="34" customFormat="1">
      <c r="C27" s="50"/>
    </row>
    <row r="28" spans="1:12">
      <c r="I28" s="59" t="s">
        <v>94</v>
      </c>
      <c r="J28" s="60"/>
    </row>
    <row r="29" spans="1:12">
      <c r="I29" s="38" t="s">
        <v>95</v>
      </c>
    </row>
    <row r="30" spans="1:12">
      <c r="I30" s="90" t="s">
        <v>117</v>
      </c>
      <c r="J30" s="90"/>
    </row>
  </sheetData>
  <mergeCells count="54">
    <mergeCell ref="A25:L25"/>
    <mergeCell ref="I30:J30"/>
    <mergeCell ref="A11:A12"/>
    <mergeCell ref="L11:L12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0"/>
  <sheetViews>
    <sheetView view="pageBreakPreview" topLeftCell="A27" zoomScaleNormal="100" workbookViewId="0">
      <selection activeCell="A55" sqref="A55:XFD55"/>
    </sheetView>
  </sheetViews>
  <sheetFormatPr defaultColWidth="9" defaultRowHeight="15"/>
  <cols>
    <col min="1" max="1" width="37.5703125" style="4" customWidth="1"/>
    <col min="2" max="9" width="10.5703125" customWidth="1"/>
    <col min="10" max="10" width="15.140625" customWidth="1"/>
    <col min="11" max="11" width="26.42578125" style="5" customWidth="1"/>
  </cols>
  <sheetData>
    <row r="1" spans="1:11" s="1" customFormat="1" ht="52.5" customHeight="1">
      <c r="A1" s="6"/>
    </row>
    <row r="2" spans="1:11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</row>
    <row r="3" spans="1:11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</row>
    <row r="4" spans="1:11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</row>
    <row r="5" spans="1:11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</row>
    <row r="6" spans="1:11" s="1" customFormat="1" ht="8.25" customHeight="1">
      <c r="A6" s="6"/>
    </row>
    <row r="7" spans="1:11" s="1" customFormat="1" ht="12" customHeight="1">
      <c r="A7" s="7" t="s">
        <v>4</v>
      </c>
      <c r="B7" s="8" t="s">
        <v>5</v>
      </c>
      <c r="C7" s="8"/>
      <c r="G7" s="8" t="s">
        <v>6</v>
      </c>
      <c r="H7" s="9"/>
      <c r="I7" s="8"/>
    </row>
    <row r="8" spans="1:11" s="1" customFormat="1" ht="12" customHeight="1">
      <c r="A8" s="7"/>
      <c r="B8" s="10"/>
      <c r="C8" s="10"/>
      <c r="G8" s="10"/>
      <c r="H8" s="10"/>
      <c r="I8" s="10"/>
    </row>
    <row r="9" spans="1:11" s="1" customFormat="1" ht="12" customHeight="1">
      <c r="A9" s="7" t="s">
        <v>7</v>
      </c>
      <c r="B9" s="8" t="s">
        <v>8</v>
      </c>
      <c r="C9" s="8"/>
      <c r="G9" s="8" t="s">
        <v>9</v>
      </c>
      <c r="H9" s="11"/>
      <c r="I9" s="8"/>
    </row>
    <row r="10" spans="1:11" ht="16.5" customHeight="1">
      <c r="A10" s="62" t="s">
        <v>10</v>
      </c>
      <c r="B10" s="62"/>
      <c r="C10" s="62"/>
      <c r="D10" s="62"/>
      <c r="E10" s="62"/>
      <c r="F10" s="62"/>
      <c r="G10" s="62"/>
      <c r="H10" s="62"/>
      <c r="I10" s="62"/>
      <c r="J10" s="62"/>
      <c r="K10"/>
    </row>
    <row r="11" spans="1:11" ht="18.75" customHeight="1">
      <c r="A11" s="12" t="s">
        <v>11</v>
      </c>
      <c r="B11" s="63" t="s">
        <v>12</v>
      </c>
      <c r="C11" s="63"/>
      <c r="D11" s="64" t="s">
        <v>13</v>
      </c>
      <c r="E11" s="65"/>
      <c r="F11" s="65"/>
      <c r="G11" s="66"/>
      <c r="H11" s="67" t="s">
        <v>14</v>
      </c>
      <c r="I11" s="67"/>
      <c r="J11" s="71" t="s">
        <v>15</v>
      </c>
      <c r="K11" s="73" t="s">
        <v>16</v>
      </c>
    </row>
    <row r="12" spans="1:11" ht="24.95" customHeight="1">
      <c r="A12" s="13"/>
      <c r="B12" s="14" t="s">
        <v>17</v>
      </c>
      <c r="C12" s="14" t="s">
        <v>18</v>
      </c>
      <c r="D12" s="14" t="s">
        <v>17</v>
      </c>
      <c r="E12" s="14" t="s">
        <v>18</v>
      </c>
      <c r="F12" s="14" t="s">
        <v>19</v>
      </c>
      <c r="G12" s="15" t="s">
        <v>20</v>
      </c>
      <c r="H12" s="14" t="s">
        <v>17</v>
      </c>
      <c r="I12" s="14" t="s">
        <v>18</v>
      </c>
      <c r="J12" s="72"/>
      <c r="K12" s="73"/>
    </row>
    <row r="13" spans="1:11" s="2" customFormat="1" ht="15.95" customHeight="1">
      <c r="A13" s="68" t="s">
        <v>21</v>
      </c>
      <c r="B13" s="69"/>
      <c r="C13" s="69"/>
      <c r="D13" s="69"/>
      <c r="E13" s="69"/>
      <c r="F13" s="69"/>
      <c r="G13" s="69"/>
      <c r="H13" s="69"/>
      <c r="I13" s="69"/>
      <c r="J13" s="70"/>
      <c r="K13" s="5"/>
    </row>
    <row r="14" spans="1:11" s="2" customFormat="1" ht="15.95" customHeight="1">
      <c r="A14" s="16" t="s">
        <v>22</v>
      </c>
      <c r="B14" s="17">
        <v>0.70799999999999996</v>
      </c>
      <c r="C14" s="17">
        <v>0.70799999999999996</v>
      </c>
      <c r="D14" s="17"/>
      <c r="E14" s="17"/>
      <c r="F14" s="17"/>
      <c r="G14" s="17"/>
      <c r="H14" s="17">
        <f>B14</f>
        <v>0.70799999999999996</v>
      </c>
      <c r="I14" s="17">
        <f>C14</f>
        <v>0.70799999999999996</v>
      </c>
      <c r="J14" s="26">
        <f>H14+I14</f>
        <v>1.4159999999999999</v>
      </c>
      <c r="K14" s="5"/>
    </row>
    <row r="15" spans="1:11" s="2" customFormat="1" ht="15.95" customHeight="1">
      <c r="A15" s="16" t="s">
        <v>23</v>
      </c>
      <c r="B15" s="17">
        <f>9*1.25</f>
        <v>11.25</v>
      </c>
      <c r="C15" s="17">
        <v>11.25</v>
      </c>
      <c r="D15" s="17"/>
      <c r="E15" s="17"/>
      <c r="F15" s="17"/>
      <c r="G15" s="17"/>
      <c r="H15" s="17">
        <f>H14-F15-D15+B15</f>
        <v>11.958</v>
      </c>
      <c r="I15" s="17">
        <f>I14-E15+C15</f>
        <v>11.958</v>
      </c>
      <c r="J15" s="26">
        <f t="shared" ref="J15" si="0">H15+I15</f>
        <v>23.916</v>
      </c>
      <c r="K15" s="5"/>
    </row>
    <row r="16" spans="1:11" s="2" customFormat="1" ht="15.95" customHeight="1">
      <c r="A16" s="16" t="s">
        <v>24</v>
      </c>
      <c r="B16" s="17"/>
      <c r="C16" s="17"/>
      <c r="D16" s="17"/>
      <c r="E16" s="17"/>
      <c r="F16" s="17">
        <v>2</v>
      </c>
      <c r="G16" s="17"/>
      <c r="H16" s="17">
        <f t="shared" ref="H16:H54" si="1">H15-F16-D16+B16</f>
        <v>9.9580000000000002</v>
      </c>
      <c r="I16" s="17">
        <f t="shared" ref="I16:I54" si="2">I15-E16+C16</f>
        <v>11.958</v>
      </c>
      <c r="J16" s="26">
        <f t="shared" ref="J16:J54" si="3">H16+I16</f>
        <v>21.916</v>
      </c>
      <c r="K16" s="5"/>
    </row>
    <row r="17" spans="1:11" s="2" customFormat="1" ht="15.95" customHeight="1">
      <c r="A17" s="16" t="s">
        <v>26</v>
      </c>
      <c r="B17" s="17"/>
      <c r="C17" s="17"/>
      <c r="D17" s="17"/>
      <c r="E17" s="17"/>
      <c r="F17" s="17">
        <v>3</v>
      </c>
      <c r="G17" s="17"/>
      <c r="H17" s="17">
        <f t="shared" si="1"/>
        <v>6.9580000000000002</v>
      </c>
      <c r="I17" s="17">
        <f t="shared" si="2"/>
        <v>11.958</v>
      </c>
      <c r="J17" s="26">
        <f t="shared" si="3"/>
        <v>18.916</v>
      </c>
      <c r="K17" s="5"/>
    </row>
    <row r="18" spans="1:11" s="2" customFormat="1" ht="15.95" customHeight="1">
      <c r="A18" s="16" t="s">
        <v>25</v>
      </c>
      <c r="B18" s="17"/>
      <c r="C18" s="17"/>
      <c r="D18" s="17"/>
      <c r="E18" s="17"/>
      <c r="F18" s="17"/>
      <c r="G18" s="17">
        <v>1</v>
      </c>
      <c r="H18" s="17">
        <f t="shared" si="1"/>
        <v>6.9580000000000002</v>
      </c>
      <c r="I18" s="17">
        <f t="shared" si="2"/>
        <v>11.958</v>
      </c>
      <c r="J18" s="26">
        <f t="shared" si="3"/>
        <v>18.916</v>
      </c>
      <c r="K18" s="5"/>
    </row>
    <row r="19" spans="1:11" s="2" customFormat="1" ht="15.95" customHeight="1">
      <c r="A19" s="16" t="s">
        <v>27</v>
      </c>
      <c r="B19" s="17">
        <v>2.5</v>
      </c>
      <c r="C19" s="17">
        <v>2.5</v>
      </c>
      <c r="D19" s="17"/>
      <c r="E19" s="17"/>
      <c r="F19" s="17"/>
      <c r="G19" s="17"/>
      <c r="H19" s="17">
        <f t="shared" si="1"/>
        <v>9.4580000000000002</v>
      </c>
      <c r="I19" s="17">
        <f t="shared" si="2"/>
        <v>14.458</v>
      </c>
      <c r="J19" s="26">
        <f t="shared" si="3"/>
        <v>23.916</v>
      </c>
      <c r="K19" s="5"/>
    </row>
    <row r="20" spans="1:11" s="2" customFormat="1" ht="15.95" customHeight="1">
      <c r="A20" s="16" t="s">
        <v>28</v>
      </c>
      <c r="B20" s="17"/>
      <c r="C20" s="17"/>
      <c r="D20" s="17"/>
      <c r="E20" s="17">
        <v>1</v>
      </c>
      <c r="F20" s="17"/>
      <c r="G20" s="17"/>
      <c r="H20" s="17">
        <f t="shared" si="1"/>
        <v>9.4580000000000002</v>
      </c>
      <c r="I20" s="17">
        <f t="shared" si="2"/>
        <v>13.458</v>
      </c>
      <c r="J20" s="26">
        <f t="shared" si="3"/>
        <v>22.916</v>
      </c>
      <c r="K20" s="5"/>
    </row>
    <row r="21" spans="1:11" s="2" customFormat="1" ht="15.95" customHeight="1">
      <c r="A21" s="16" t="s">
        <v>29</v>
      </c>
      <c r="B21" s="17">
        <v>6.25</v>
      </c>
      <c r="C21" s="17">
        <v>6.25</v>
      </c>
      <c r="D21" s="17"/>
      <c r="E21" s="17"/>
      <c r="F21" s="17"/>
      <c r="G21" s="17"/>
      <c r="H21" s="17">
        <f t="shared" si="1"/>
        <v>15.708</v>
      </c>
      <c r="I21" s="17">
        <f t="shared" si="2"/>
        <v>19.707999999999998</v>
      </c>
      <c r="J21" s="26">
        <f t="shared" si="3"/>
        <v>35.415999999999997</v>
      </c>
      <c r="K21" s="5"/>
    </row>
    <row r="22" spans="1:11" s="2" customFormat="1" ht="15.95" customHeight="1">
      <c r="A22" s="16" t="s">
        <v>30</v>
      </c>
      <c r="B22" s="17"/>
      <c r="C22" s="17"/>
      <c r="D22" s="17"/>
      <c r="E22" s="17"/>
      <c r="F22" s="17">
        <v>1</v>
      </c>
      <c r="G22" s="17"/>
      <c r="H22" s="17">
        <f t="shared" si="1"/>
        <v>14.708</v>
      </c>
      <c r="I22" s="17">
        <f t="shared" si="2"/>
        <v>19.707999999999998</v>
      </c>
      <c r="J22" s="26">
        <f t="shared" si="3"/>
        <v>34.415999999999997</v>
      </c>
      <c r="K22" s="5"/>
    </row>
    <row r="23" spans="1:11" s="2" customFormat="1" ht="15.95" customHeight="1">
      <c r="A23" s="16" t="s">
        <v>31</v>
      </c>
      <c r="B23" s="17"/>
      <c r="C23" s="17"/>
      <c r="D23" s="17"/>
      <c r="E23" s="17"/>
      <c r="F23" s="17"/>
      <c r="G23" s="17">
        <v>1</v>
      </c>
      <c r="H23" s="17">
        <f t="shared" si="1"/>
        <v>14.708</v>
      </c>
      <c r="I23" s="17">
        <f t="shared" si="2"/>
        <v>19.707999999999998</v>
      </c>
      <c r="J23" s="26">
        <f t="shared" si="3"/>
        <v>34.415999999999997</v>
      </c>
      <c r="K23" s="5"/>
    </row>
    <row r="24" spans="1:11" s="2" customFormat="1" ht="15.95" customHeight="1">
      <c r="A24" s="16" t="s">
        <v>32</v>
      </c>
      <c r="B24" s="17">
        <v>1.25</v>
      </c>
      <c r="C24" s="17">
        <v>1.25</v>
      </c>
      <c r="D24" s="17"/>
      <c r="E24" s="17"/>
      <c r="F24" s="17"/>
      <c r="G24" s="17"/>
      <c r="H24" s="17">
        <f t="shared" si="1"/>
        <v>15.958</v>
      </c>
      <c r="I24" s="17">
        <f t="shared" si="2"/>
        <v>20.957999999999998</v>
      </c>
      <c r="J24" s="26">
        <f t="shared" si="3"/>
        <v>36.915999999999997</v>
      </c>
      <c r="K24" s="5"/>
    </row>
    <row r="25" spans="1:11" s="2" customFormat="1" ht="15.95" customHeight="1">
      <c r="A25" s="16" t="s">
        <v>33</v>
      </c>
      <c r="B25" s="17"/>
      <c r="C25" s="17"/>
      <c r="D25" s="17"/>
      <c r="E25" s="17"/>
      <c r="F25" s="18">
        <v>0.5</v>
      </c>
      <c r="G25" s="17"/>
      <c r="H25" s="17">
        <f t="shared" si="1"/>
        <v>15.458</v>
      </c>
      <c r="I25" s="17">
        <f t="shared" si="2"/>
        <v>20.957999999999998</v>
      </c>
      <c r="J25" s="26">
        <f t="shared" si="3"/>
        <v>36.415999999999997</v>
      </c>
      <c r="K25" s="5"/>
    </row>
    <row r="26" spans="1:11" s="2" customFormat="1" ht="15.95" customHeight="1">
      <c r="A26" s="16" t="s">
        <v>34</v>
      </c>
      <c r="B26" s="17"/>
      <c r="C26" s="17"/>
      <c r="D26" s="17"/>
      <c r="E26" s="17"/>
      <c r="F26" s="17"/>
      <c r="G26" s="17">
        <v>1</v>
      </c>
      <c r="H26" s="17">
        <f t="shared" si="1"/>
        <v>15.458</v>
      </c>
      <c r="I26" s="17">
        <f t="shared" si="2"/>
        <v>20.957999999999998</v>
      </c>
      <c r="J26" s="26">
        <f t="shared" si="3"/>
        <v>36.415999999999997</v>
      </c>
      <c r="K26" s="5"/>
    </row>
    <row r="27" spans="1:11" s="2" customFormat="1" ht="15.95" customHeight="1">
      <c r="A27" s="16" t="s">
        <v>35</v>
      </c>
      <c r="B27" s="17">
        <v>1.25</v>
      </c>
      <c r="C27" s="17">
        <v>1.25</v>
      </c>
      <c r="D27" s="17"/>
      <c r="E27" s="17"/>
      <c r="F27" s="17"/>
      <c r="G27" s="17"/>
      <c r="H27" s="17">
        <f t="shared" si="1"/>
        <v>16.707999999999998</v>
      </c>
      <c r="I27" s="17">
        <f t="shared" si="2"/>
        <v>22.207999999999998</v>
      </c>
      <c r="J27" s="26">
        <f t="shared" si="3"/>
        <v>38.915999999999997</v>
      </c>
      <c r="K27" s="5"/>
    </row>
    <row r="28" spans="1:11" s="3" customFormat="1" ht="15.95" customHeight="1">
      <c r="A28" s="16" t="s">
        <v>36</v>
      </c>
      <c r="B28" s="17"/>
      <c r="C28" s="17"/>
      <c r="D28" s="17"/>
      <c r="E28" s="17"/>
      <c r="F28" s="17">
        <v>1</v>
      </c>
      <c r="G28" s="17"/>
      <c r="H28" s="17">
        <f t="shared" si="1"/>
        <v>15.708</v>
      </c>
      <c r="I28" s="17">
        <f t="shared" si="2"/>
        <v>22.207999999999998</v>
      </c>
      <c r="J28" s="26">
        <f t="shared" si="3"/>
        <v>37.915999999999997</v>
      </c>
      <c r="K28" s="27"/>
    </row>
    <row r="29" spans="1:11" s="2" customFormat="1" ht="15.95" customHeight="1">
      <c r="A29" s="16" t="s">
        <v>37</v>
      </c>
      <c r="B29" s="17"/>
      <c r="C29" s="17"/>
      <c r="D29" s="17"/>
      <c r="E29" s="17"/>
      <c r="F29" s="17">
        <v>1</v>
      </c>
      <c r="G29" s="17"/>
      <c r="H29" s="17">
        <f t="shared" si="1"/>
        <v>14.708</v>
      </c>
      <c r="I29" s="17">
        <f t="shared" si="2"/>
        <v>22.207999999999998</v>
      </c>
      <c r="J29" s="26">
        <f t="shared" si="3"/>
        <v>36.915999999999997</v>
      </c>
      <c r="K29" s="5"/>
    </row>
    <row r="30" spans="1:11" s="2" customFormat="1" ht="15.95" customHeight="1">
      <c r="A30" s="16" t="s">
        <v>38</v>
      </c>
      <c r="B30" s="17">
        <v>1.25</v>
      </c>
      <c r="C30" s="17">
        <v>1.25</v>
      </c>
      <c r="D30" s="17"/>
      <c r="E30" s="17"/>
      <c r="F30" s="17"/>
      <c r="G30" s="17"/>
      <c r="H30" s="17">
        <f t="shared" si="1"/>
        <v>15.958</v>
      </c>
      <c r="I30" s="17">
        <f t="shared" si="2"/>
        <v>23.457999999999998</v>
      </c>
      <c r="J30" s="26">
        <f t="shared" si="3"/>
        <v>39.415999999999997</v>
      </c>
      <c r="K30" s="5"/>
    </row>
    <row r="31" spans="1:11" s="2" customFormat="1" ht="15.95" customHeight="1">
      <c r="A31" s="16" t="s">
        <v>39</v>
      </c>
      <c r="B31" s="17"/>
      <c r="C31" s="17"/>
      <c r="D31" s="17"/>
      <c r="E31" s="17"/>
      <c r="F31" s="17"/>
      <c r="G31" s="17">
        <v>1</v>
      </c>
      <c r="H31" s="17">
        <f t="shared" si="1"/>
        <v>15.958</v>
      </c>
      <c r="I31" s="17">
        <f t="shared" si="2"/>
        <v>23.457999999999998</v>
      </c>
      <c r="J31" s="26">
        <f t="shared" si="3"/>
        <v>39.415999999999997</v>
      </c>
      <c r="K31" s="5"/>
    </row>
    <row r="32" spans="1:11" s="2" customFormat="1" ht="15.95" customHeight="1">
      <c r="A32" s="16" t="s">
        <v>118</v>
      </c>
      <c r="B32" s="17"/>
      <c r="C32" s="17"/>
      <c r="D32" s="17"/>
      <c r="E32" s="17"/>
      <c r="F32" s="18">
        <v>0.5</v>
      </c>
      <c r="G32" s="17"/>
      <c r="H32" s="17">
        <f t="shared" si="1"/>
        <v>15.458</v>
      </c>
      <c r="I32" s="17">
        <f t="shared" si="2"/>
        <v>23.457999999999998</v>
      </c>
      <c r="J32" s="26">
        <f t="shared" si="3"/>
        <v>38.915999999999997</v>
      </c>
      <c r="K32" s="5"/>
    </row>
    <row r="33" spans="1:11" s="2" customFormat="1" ht="15.95" customHeight="1">
      <c r="A33" s="16" t="s">
        <v>41</v>
      </c>
      <c r="B33" s="17"/>
      <c r="C33" s="17"/>
      <c r="D33" s="17"/>
      <c r="E33" s="17"/>
      <c r="F33" s="17">
        <v>1</v>
      </c>
      <c r="G33" s="17"/>
      <c r="H33" s="17">
        <f t="shared" si="1"/>
        <v>14.458</v>
      </c>
      <c r="I33" s="17">
        <f t="shared" si="2"/>
        <v>23.457999999999998</v>
      </c>
      <c r="J33" s="26">
        <f t="shared" si="3"/>
        <v>37.915999999999997</v>
      </c>
      <c r="K33" s="5"/>
    </row>
    <row r="34" spans="1:11" s="2" customFormat="1" ht="15.95" customHeight="1">
      <c r="A34" s="16" t="s">
        <v>42</v>
      </c>
      <c r="B34" s="17">
        <v>1.25</v>
      </c>
      <c r="C34" s="17">
        <v>1.25</v>
      </c>
      <c r="D34" s="17"/>
      <c r="E34" s="17"/>
      <c r="F34" s="17"/>
      <c r="G34" s="17"/>
      <c r="H34" s="17">
        <f t="shared" si="1"/>
        <v>15.708</v>
      </c>
      <c r="I34" s="17">
        <f t="shared" si="2"/>
        <v>24.707999999999998</v>
      </c>
      <c r="J34" s="26">
        <f t="shared" si="3"/>
        <v>40.415999999999997</v>
      </c>
      <c r="K34" s="5"/>
    </row>
    <row r="35" spans="1:11" s="2" customFormat="1" ht="15.95" customHeight="1">
      <c r="A35" s="19" t="s">
        <v>119</v>
      </c>
      <c r="B35" s="20"/>
      <c r="C35" s="20"/>
      <c r="D35" s="20"/>
      <c r="E35" s="20">
        <v>0.5</v>
      </c>
      <c r="F35" s="20"/>
      <c r="G35" s="20"/>
      <c r="H35" s="17">
        <f t="shared" si="1"/>
        <v>15.708</v>
      </c>
      <c r="I35" s="17">
        <f t="shared" si="2"/>
        <v>24.207999999999998</v>
      </c>
      <c r="J35" s="26">
        <f t="shared" si="3"/>
        <v>39.915999999999997</v>
      </c>
      <c r="K35" s="5"/>
    </row>
    <row r="36" spans="1:11" s="2" customFormat="1" ht="15.95" customHeight="1">
      <c r="A36" s="16" t="s">
        <v>44</v>
      </c>
      <c r="B36" s="17">
        <v>1.25</v>
      </c>
      <c r="C36" s="17">
        <v>1.25</v>
      </c>
      <c r="D36" s="21"/>
      <c r="E36" s="21"/>
      <c r="F36" s="21"/>
      <c r="G36" s="21"/>
      <c r="H36" s="17">
        <f t="shared" si="1"/>
        <v>16.957999999999998</v>
      </c>
      <c r="I36" s="17">
        <f t="shared" si="2"/>
        <v>25.457999999999998</v>
      </c>
      <c r="J36" s="26">
        <f t="shared" si="3"/>
        <v>42.415999999999997</v>
      </c>
      <c r="K36" s="5"/>
    </row>
    <row r="37" spans="1:11" s="2" customFormat="1" ht="15.95" customHeight="1">
      <c r="A37" s="19" t="s">
        <v>45</v>
      </c>
      <c r="B37" s="21"/>
      <c r="C37" s="21"/>
      <c r="D37" s="21"/>
      <c r="E37" s="21"/>
      <c r="F37" s="21"/>
      <c r="G37" s="21">
        <v>1</v>
      </c>
      <c r="H37" s="17">
        <f t="shared" si="1"/>
        <v>16.957999999999998</v>
      </c>
      <c r="I37" s="17">
        <f t="shared" si="2"/>
        <v>25.457999999999998</v>
      </c>
      <c r="J37" s="26">
        <f t="shared" si="3"/>
        <v>42.415999999999997</v>
      </c>
      <c r="K37" s="5"/>
    </row>
    <row r="38" spans="1:11" s="2" customFormat="1" ht="15.95" customHeight="1">
      <c r="A38" s="19" t="s">
        <v>120</v>
      </c>
      <c r="B38" s="21"/>
      <c r="C38" s="21"/>
      <c r="D38" s="21"/>
      <c r="E38" s="21"/>
      <c r="F38" s="21"/>
      <c r="G38" s="18">
        <v>0.5</v>
      </c>
      <c r="H38" s="17">
        <f t="shared" si="1"/>
        <v>16.957999999999998</v>
      </c>
      <c r="I38" s="17">
        <f t="shared" si="2"/>
        <v>25.457999999999998</v>
      </c>
      <c r="J38" s="26">
        <f t="shared" si="3"/>
        <v>42.415999999999997</v>
      </c>
      <c r="K38" s="5"/>
    </row>
    <row r="39" spans="1:11" s="2" customFormat="1" ht="15.95" customHeight="1">
      <c r="A39" s="19" t="s">
        <v>121</v>
      </c>
      <c r="B39" s="21"/>
      <c r="C39" s="21"/>
      <c r="D39" s="21"/>
      <c r="E39" s="21"/>
      <c r="F39" s="18">
        <v>0.5</v>
      </c>
      <c r="G39" s="21"/>
      <c r="H39" s="17">
        <f t="shared" si="1"/>
        <v>16.457999999999998</v>
      </c>
      <c r="I39" s="17">
        <f t="shared" si="2"/>
        <v>25.457999999999998</v>
      </c>
      <c r="J39" s="26">
        <f t="shared" si="3"/>
        <v>41.915999999999997</v>
      </c>
      <c r="K39" s="5"/>
    </row>
    <row r="40" spans="1:11" s="2" customFormat="1" ht="15.95" customHeight="1">
      <c r="A40" s="22" t="s">
        <v>48</v>
      </c>
      <c r="B40" s="21">
        <v>2.5</v>
      </c>
      <c r="C40" s="21">
        <v>2.5</v>
      </c>
      <c r="D40" s="21"/>
      <c r="E40" s="21"/>
      <c r="F40" s="21"/>
      <c r="G40" s="21"/>
      <c r="H40" s="17">
        <f t="shared" si="1"/>
        <v>18.957999999999998</v>
      </c>
      <c r="I40" s="17">
        <f t="shared" si="2"/>
        <v>27.957999999999998</v>
      </c>
      <c r="J40" s="26">
        <f t="shared" si="3"/>
        <v>46.915999999999997</v>
      </c>
      <c r="K40" s="5"/>
    </row>
    <row r="41" spans="1:11" s="2" customFormat="1" ht="15.95" customHeight="1">
      <c r="A41" s="22" t="s">
        <v>122</v>
      </c>
      <c r="B41" s="21"/>
      <c r="C41" s="21"/>
      <c r="D41" s="21"/>
      <c r="E41" s="21"/>
      <c r="F41" s="18">
        <v>0.5</v>
      </c>
      <c r="G41" s="21"/>
      <c r="H41" s="17">
        <f t="shared" si="1"/>
        <v>18.457999999999998</v>
      </c>
      <c r="I41" s="17">
        <f t="shared" si="2"/>
        <v>27.957999999999998</v>
      </c>
      <c r="J41" s="26">
        <f t="shared" si="3"/>
        <v>46.415999999999997</v>
      </c>
      <c r="K41" s="5"/>
    </row>
    <row r="42" spans="1:11" s="2" customFormat="1" ht="15.95" customHeight="1">
      <c r="A42" s="22" t="s">
        <v>123</v>
      </c>
      <c r="B42" s="21"/>
      <c r="C42" s="21"/>
      <c r="D42" s="21"/>
      <c r="E42" s="21"/>
      <c r="F42" s="18">
        <v>0.5</v>
      </c>
      <c r="G42" s="21"/>
      <c r="H42" s="17">
        <f t="shared" si="1"/>
        <v>17.957999999999998</v>
      </c>
      <c r="I42" s="17">
        <f t="shared" si="2"/>
        <v>27.957999999999998</v>
      </c>
      <c r="J42" s="26">
        <f t="shared" si="3"/>
        <v>45.915999999999997</v>
      </c>
      <c r="K42" s="5"/>
    </row>
    <row r="43" spans="1:11" s="2" customFormat="1" ht="15.95" customHeight="1">
      <c r="A43" s="22" t="s">
        <v>124</v>
      </c>
      <c r="B43" s="21"/>
      <c r="C43" s="21"/>
      <c r="D43" s="21"/>
      <c r="E43" s="21"/>
      <c r="F43" s="21"/>
      <c r="G43" s="18">
        <v>0.5</v>
      </c>
      <c r="H43" s="17">
        <f t="shared" si="1"/>
        <v>17.957999999999998</v>
      </c>
      <c r="I43" s="17">
        <f t="shared" si="2"/>
        <v>27.957999999999998</v>
      </c>
      <c r="J43" s="26">
        <f t="shared" si="3"/>
        <v>45.915999999999997</v>
      </c>
      <c r="K43" s="5"/>
    </row>
    <row r="44" spans="1:11" s="2" customFormat="1" ht="15.95" customHeight="1">
      <c r="A44" s="22" t="s">
        <v>51</v>
      </c>
      <c r="B44" s="21">
        <v>2.5</v>
      </c>
      <c r="C44" s="21">
        <v>2.5</v>
      </c>
      <c r="D44" s="21"/>
      <c r="E44" s="21"/>
      <c r="F44" s="21"/>
      <c r="G44" s="21"/>
      <c r="H44" s="17">
        <f t="shared" si="1"/>
        <v>20.457999999999998</v>
      </c>
      <c r="I44" s="17">
        <f t="shared" si="2"/>
        <v>30.457999999999998</v>
      </c>
      <c r="J44" s="26">
        <f t="shared" si="3"/>
        <v>50.915999999999997</v>
      </c>
      <c r="K44" s="5"/>
    </row>
    <row r="45" spans="1:11" s="2" customFormat="1" ht="15.95" customHeight="1">
      <c r="A45" s="22" t="s">
        <v>52</v>
      </c>
      <c r="B45" s="21"/>
      <c r="C45" s="21"/>
      <c r="D45" s="21"/>
      <c r="E45" s="21"/>
      <c r="F45" s="21"/>
      <c r="G45" s="21">
        <v>1</v>
      </c>
      <c r="H45" s="17">
        <f t="shared" si="1"/>
        <v>20.457999999999998</v>
      </c>
      <c r="I45" s="17">
        <f t="shared" si="2"/>
        <v>30.457999999999998</v>
      </c>
      <c r="J45" s="26">
        <f t="shared" si="3"/>
        <v>50.915999999999997</v>
      </c>
      <c r="K45" s="5"/>
    </row>
    <row r="46" spans="1:11" s="2" customFormat="1" ht="15.95" customHeight="1">
      <c r="A46" s="22" t="s">
        <v>53</v>
      </c>
      <c r="B46" s="21">
        <v>2.5</v>
      </c>
      <c r="C46" s="21">
        <v>2.5</v>
      </c>
      <c r="D46" s="21"/>
      <c r="E46" s="21"/>
      <c r="F46" s="21"/>
      <c r="G46" s="21"/>
      <c r="H46" s="17">
        <f t="shared" si="1"/>
        <v>22.957999999999998</v>
      </c>
      <c r="I46" s="17">
        <f t="shared" si="2"/>
        <v>32.957999999999998</v>
      </c>
      <c r="J46" s="26">
        <f t="shared" si="3"/>
        <v>55.915999999999997</v>
      </c>
      <c r="K46" s="5"/>
    </row>
    <row r="47" spans="1:11" s="2" customFormat="1" ht="15.95" customHeight="1">
      <c r="A47" s="22" t="s">
        <v>54</v>
      </c>
      <c r="B47" s="21"/>
      <c r="C47" s="21"/>
      <c r="D47" s="21"/>
      <c r="E47" s="21"/>
      <c r="F47" s="18">
        <v>0.5</v>
      </c>
      <c r="G47" s="21"/>
      <c r="H47" s="17">
        <f t="shared" si="1"/>
        <v>22.457999999999998</v>
      </c>
      <c r="I47" s="17">
        <f t="shared" si="2"/>
        <v>32.957999999999998</v>
      </c>
      <c r="J47" s="26">
        <f t="shared" si="3"/>
        <v>55.415999999999997</v>
      </c>
      <c r="K47" s="5"/>
    </row>
    <row r="48" spans="1:11" s="2" customFormat="1" ht="15.95" customHeight="1">
      <c r="A48" s="22" t="s">
        <v>55</v>
      </c>
      <c r="B48" s="21"/>
      <c r="C48" s="21"/>
      <c r="D48" s="21"/>
      <c r="E48" s="21"/>
      <c r="F48" s="21">
        <v>1</v>
      </c>
      <c r="G48" s="21"/>
      <c r="H48" s="17">
        <f t="shared" si="1"/>
        <v>21.457999999999998</v>
      </c>
      <c r="I48" s="17">
        <f t="shared" si="2"/>
        <v>32.957999999999998</v>
      </c>
      <c r="J48" s="26">
        <f t="shared" si="3"/>
        <v>54.415999999999997</v>
      </c>
      <c r="K48" s="5"/>
    </row>
    <row r="49" spans="1:11" s="2" customFormat="1" ht="15.95" customHeight="1">
      <c r="A49" s="22" t="s">
        <v>56</v>
      </c>
      <c r="B49" s="21"/>
      <c r="C49" s="21"/>
      <c r="D49" s="21"/>
      <c r="E49" s="21"/>
      <c r="F49" s="18">
        <v>0.5</v>
      </c>
      <c r="G49" s="21"/>
      <c r="H49" s="17">
        <f t="shared" si="1"/>
        <v>20.957999999999998</v>
      </c>
      <c r="I49" s="17">
        <f t="shared" si="2"/>
        <v>32.957999999999998</v>
      </c>
      <c r="J49" s="26">
        <f t="shared" si="3"/>
        <v>53.915999999999997</v>
      </c>
      <c r="K49" s="5"/>
    </row>
    <row r="50" spans="1:11" s="2" customFormat="1" ht="15.95" customHeight="1">
      <c r="A50" s="22" t="s">
        <v>57</v>
      </c>
      <c r="B50" s="21">
        <v>2.5</v>
      </c>
      <c r="C50" s="21">
        <v>2.5</v>
      </c>
      <c r="D50" s="21"/>
      <c r="E50" s="21"/>
      <c r="F50" s="21"/>
      <c r="G50" s="21"/>
      <c r="H50" s="17">
        <f t="shared" si="1"/>
        <v>23.457999999999998</v>
      </c>
      <c r="I50" s="17">
        <f t="shared" si="2"/>
        <v>35.457999999999998</v>
      </c>
      <c r="J50" s="26">
        <f t="shared" si="3"/>
        <v>58.915999999999997</v>
      </c>
      <c r="K50" s="5"/>
    </row>
    <row r="51" spans="1:11" s="2" customFormat="1" ht="15.95" customHeight="1">
      <c r="A51" s="23" t="s">
        <v>58</v>
      </c>
      <c r="B51" s="18"/>
      <c r="C51" s="18"/>
      <c r="D51" s="18">
        <v>17</v>
      </c>
      <c r="E51" s="18">
        <v>12</v>
      </c>
      <c r="F51" s="18"/>
      <c r="G51" s="18"/>
      <c r="H51" s="18">
        <f t="shared" si="1"/>
        <v>6.4580000000000002</v>
      </c>
      <c r="I51" s="18">
        <f t="shared" si="2"/>
        <v>23.457999999999998</v>
      </c>
      <c r="J51" s="28">
        <f t="shared" si="3"/>
        <v>29.916</v>
      </c>
      <c r="K51" s="5"/>
    </row>
    <row r="52" spans="1:11" s="2" customFormat="1" ht="15.95" customHeight="1">
      <c r="A52" s="22" t="s">
        <v>59</v>
      </c>
      <c r="B52" s="21"/>
      <c r="C52" s="21"/>
      <c r="D52" s="21"/>
      <c r="E52" s="21"/>
      <c r="F52" s="21">
        <v>1</v>
      </c>
      <c r="G52" s="21"/>
      <c r="H52" s="17">
        <f t="shared" si="1"/>
        <v>5.4580000000000002</v>
      </c>
      <c r="I52" s="17">
        <f t="shared" si="2"/>
        <v>23.457999999999998</v>
      </c>
      <c r="J52" s="26">
        <f t="shared" si="3"/>
        <v>28.916</v>
      </c>
      <c r="K52" s="5"/>
    </row>
    <row r="53" spans="1:11" s="2" customFormat="1" ht="15.95" customHeight="1">
      <c r="A53" s="22" t="s">
        <v>60</v>
      </c>
      <c r="B53" s="21">
        <v>2.5</v>
      </c>
      <c r="C53" s="21">
        <v>2.5</v>
      </c>
      <c r="D53" s="21"/>
      <c r="E53" s="21"/>
      <c r="F53" s="21"/>
      <c r="G53" s="21"/>
      <c r="H53" s="17">
        <f t="shared" si="1"/>
        <v>7.9580000000000002</v>
      </c>
      <c r="I53" s="17">
        <f t="shared" si="2"/>
        <v>25.957999999999998</v>
      </c>
      <c r="J53" s="26">
        <f t="shared" si="3"/>
        <v>33.915999999999997</v>
      </c>
      <c r="K53" s="5"/>
    </row>
    <row r="54" spans="1:11" s="2" customFormat="1" ht="15.95" customHeight="1">
      <c r="A54" s="22" t="s">
        <v>61</v>
      </c>
      <c r="B54" s="21">
        <v>2.5</v>
      </c>
      <c r="C54" s="21">
        <v>2.5</v>
      </c>
      <c r="D54" s="21"/>
      <c r="E54" s="21"/>
      <c r="F54" s="21"/>
      <c r="G54" s="21"/>
      <c r="H54" s="17">
        <f t="shared" si="1"/>
        <v>10.458</v>
      </c>
      <c r="I54" s="17">
        <f t="shared" si="2"/>
        <v>28.457999999999998</v>
      </c>
      <c r="J54" s="26">
        <f t="shared" si="3"/>
        <v>38.915999999999997</v>
      </c>
      <c r="K54" s="5"/>
    </row>
    <row r="55" spans="1:11" s="2" customFormat="1" ht="15.95" customHeight="1">
      <c r="A55" s="22" t="s">
        <v>125</v>
      </c>
      <c r="B55" s="21"/>
      <c r="C55" s="21"/>
      <c r="D55" s="21"/>
      <c r="E55" s="21"/>
      <c r="F55" s="18">
        <v>0.5</v>
      </c>
      <c r="G55" s="21"/>
      <c r="H55" s="17">
        <f t="shared" ref="H55:H61" si="4">H54-F55-D55+B55</f>
        <v>9.9580000000000002</v>
      </c>
      <c r="I55" s="17">
        <f t="shared" ref="I55:I61" si="5">I54-E55+C55</f>
        <v>28.457999999999998</v>
      </c>
      <c r="J55" s="26">
        <f t="shared" ref="J55:J61" si="6">H55+I55</f>
        <v>38.415999999999997</v>
      </c>
      <c r="K55" s="5"/>
    </row>
    <row r="56" spans="1:11" s="2" customFormat="1" ht="15.95" customHeight="1">
      <c r="A56" s="22" t="s">
        <v>62</v>
      </c>
      <c r="B56" s="21">
        <v>3.75</v>
      </c>
      <c r="C56" s="21">
        <v>3.75</v>
      </c>
      <c r="D56" s="21"/>
      <c r="E56" s="21"/>
      <c r="F56" s="21"/>
      <c r="G56" s="21"/>
      <c r="H56" s="17">
        <f t="shared" si="4"/>
        <v>13.708</v>
      </c>
      <c r="I56" s="17">
        <f t="shared" si="5"/>
        <v>32.207999999999998</v>
      </c>
      <c r="J56" s="26">
        <f t="shared" si="6"/>
        <v>45.915999999999997</v>
      </c>
      <c r="K56" s="5"/>
    </row>
    <row r="57" spans="1:11" s="2" customFormat="1" ht="15.95" customHeight="1">
      <c r="A57" s="22" t="s">
        <v>63</v>
      </c>
      <c r="B57" s="21"/>
      <c r="C57" s="21"/>
      <c r="D57" s="21"/>
      <c r="E57" s="21"/>
      <c r="F57" s="24">
        <v>2</v>
      </c>
      <c r="G57" s="21"/>
      <c r="H57" s="17">
        <f t="shared" si="4"/>
        <v>11.708</v>
      </c>
      <c r="I57" s="17">
        <f t="shared" si="5"/>
        <v>32.207999999999998</v>
      </c>
      <c r="J57" s="26">
        <f t="shared" si="6"/>
        <v>43.915999999999997</v>
      </c>
      <c r="K57" s="5"/>
    </row>
    <row r="58" spans="1:11" s="2" customFormat="1" ht="15.95" customHeight="1">
      <c r="A58" s="22" t="s">
        <v>64</v>
      </c>
      <c r="B58" s="21"/>
      <c r="C58" s="21"/>
      <c r="D58" s="21"/>
      <c r="E58" s="21"/>
      <c r="F58" s="21"/>
      <c r="G58" s="25">
        <v>2</v>
      </c>
      <c r="H58" s="17">
        <f t="shared" si="4"/>
        <v>11.708</v>
      </c>
      <c r="I58" s="17">
        <f t="shared" si="5"/>
        <v>32.207999999999998</v>
      </c>
      <c r="J58" s="26">
        <f t="shared" si="6"/>
        <v>43.915999999999997</v>
      </c>
      <c r="K58" s="5"/>
    </row>
    <row r="59" spans="1:11" s="2" customFormat="1" ht="15.95" customHeight="1">
      <c r="A59" s="22" t="s">
        <v>65</v>
      </c>
      <c r="B59" s="21"/>
      <c r="C59" s="21"/>
      <c r="D59" s="21">
        <v>1</v>
      </c>
      <c r="E59" s="21"/>
      <c r="F59" s="21"/>
      <c r="G59" s="21"/>
      <c r="H59" s="17">
        <f t="shared" si="4"/>
        <v>10.708</v>
      </c>
      <c r="I59" s="17">
        <f t="shared" si="5"/>
        <v>32.207999999999998</v>
      </c>
      <c r="J59" s="26">
        <f t="shared" si="6"/>
        <v>42.915999999999997</v>
      </c>
      <c r="K59" s="5"/>
    </row>
    <row r="60" spans="1:11" s="2" customFormat="1" ht="15.95" customHeight="1">
      <c r="A60" s="22" t="s">
        <v>66</v>
      </c>
      <c r="B60" s="21">
        <v>3.75</v>
      </c>
      <c r="C60" s="21">
        <v>3.75</v>
      </c>
      <c r="D60" s="21"/>
      <c r="E60" s="21"/>
      <c r="F60" s="21"/>
      <c r="G60" s="21"/>
      <c r="H60" s="17">
        <f t="shared" si="4"/>
        <v>14.458</v>
      </c>
      <c r="I60" s="17">
        <f t="shared" si="5"/>
        <v>35.957999999999998</v>
      </c>
      <c r="J60" s="26">
        <f t="shared" si="6"/>
        <v>50.415999999999997</v>
      </c>
      <c r="K60" s="5"/>
    </row>
    <row r="61" spans="1:11" s="2" customFormat="1" ht="15.95" customHeight="1">
      <c r="A61" s="22" t="s">
        <v>67</v>
      </c>
      <c r="B61" s="21"/>
      <c r="C61" s="21"/>
      <c r="D61" s="21"/>
      <c r="E61" s="21"/>
      <c r="F61" s="21"/>
      <c r="G61" s="25">
        <v>1</v>
      </c>
      <c r="H61" s="17">
        <f t="shared" si="4"/>
        <v>14.458</v>
      </c>
      <c r="I61" s="17">
        <f t="shared" si="5"/>
        <v>35.957999999999998</v>
      </c>
      <c r="J61" s="26">
        <f t="shared" si="6"/>
        <v>50.415999999999997</v>
      </c>
      <c r="K61" s="5"/>
    </row>
    <row r="62" spans="1:11" s="2" customFormat="1" ht="15.95" customHeight="1">
      <c r="A62" s="22" t="s">
        <v>126</v>
      </c>
      <c r="B62" s="21">
        <v>1.25</v>
      </c>
      <c r="C62" s="21">
        <v>1.25</v>
      </c>
      <c r="D62" s="21"/>
      <c r="E62" s="21"/>
      <c r="F62" s="21"/>
      <c r="G62" s="21"/>
      <c r="H62" s="17">
        <f t="shared" ref="H62" si="7">H61-F62-D62+B62</f>
        <v>15.708</v>
      </c>
      <c r="I62" s="17">
        <f t="shared" ref="I62" si="8">I61-E62+C62</f>
        <v>37.207999999999998</v>
      </c>
      <c r="J62" s="26">
        <f t="shared" ref="J62" si="9">H62+I62</f>
        <v>52.915999999999997</v>
      </c>
      <c r="K62" s="5"/>
    </row>
    <row r="63" spans="1:11" s="2" customFormat="1" ht="15.95" customHeight="1">
      <c r="A63" s="22" t="s">
        <v>69</v>
      </c>
      <c r="B63" s="21"/>
      <c r="C63" s="21"/>
      <c r="D63" s="21">
        <v>10</v>
      </c>
      <c r="E63" s="21"/>
      <c r="F63" s="21"/>
      <c r="G63" s="21"/>
      <c r="H63" s="21">
        <f t="shared" ref="H63" si="10">H62-F63-D63+B63</f>
        <v>5.7080000000000002</v>
      </c>
      <c r="I63" s="21">
        <f t="shared" ref="I63" si="11">I62-E63+C63</f>
        <v>37.207999999999998</v>
      </c>
      <c r="J63" s="29">
        <f t="shared" ref="J63" si="12">H63+I63</f>
        <v>42.915999999999997</v>
      </c>
      <c r="K63" s="5"/>
    </row>
    <row r="64" spans="1:11" s="2" customFormat="1" ht="15.95" customHeight="1">
      <c r="A64" s="22" t="s">
        <v>70</v>
      </c>
      <c r="B64" s="21"/>
      <c r="C64" s="21"/>
      <c r="D64" s="21"/>
      <c r="E64" s="21"/>
      <c r="F64" s="24">
        <v>1</v>
      </c>
      <c r="G64" s="21"/>
      <c r="H64" s="21">
        <f t="shared" ref="H64" si="13">H63-F64-D64+B64</f>
        <v>4.7080000000000002</v>
      </c>
      <c r="I64" s="21">
        <f t="shared" ref="I64" si="14">I63-E64+C64</f>
        <v>37.207999999999998</v>
      </c>
      <c r="J64" s="29">
        <f t="shared" ref="J64" si="15">H64+I64</f>
        <v>41.915999999999997</v>
      </c>
      <c r="K64" s="5"/>
    </row>
    <row r="65" spans="1:11" s="2" customFormat="1" ht="15.95" customHeight="1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5"/>
    </row>
    <row r="66" spans="1:11" s="2" customFormat="1" ht="15.95" customHeight="1">
      <c r="A66" s="30"/>
      <c r="B66" s="31"/>
      <c r="C66" s="31"/>
      <c r="D66" s="31"/>
      <c r="E66" s="31"/>
      <c r="F66" s="31"/>
      <c r="G66" s="31"/>
      <c r="H66" s="32"/>
      <c r="I66" s="32"/>
      <c r="J66" s="32"/>
      <c r="K66" s="5"/>
    </row>
    <row r="67" spans="1:11" s="1" customFormat="1">
      <c r="G67" s="1" t="s">
        <v>93</v>
      </c>
    </row>
    <row r="68" spans="1:11" s="1" customFormat="1"/>
    <row r="69" spans="1:11" s="1" customFormat="1">
      <c r="H69" s="33" t="s">
        <v>94</v>
      </c>
    </row>
    <row r="70" spans="1:11" s="1" customFormat="1">
      <c r="H70" s="1" t="s">
        <v>95</v>
      </c>
    </row>
    <row r="71" spans="1:11" s="1" customFormat="1">
      <c r="H71" s="1" t="s">
        <v>96</v>
      </c>
    </row>
    <row r="72" spans="1:11" s="2" customFormat="1" ht="15.95" customHeight="1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5"/>
    </row>
    <row r="73" spans="1:11" s="2" customFormat="1" ht="15.95" customHeight="1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5"/>
    </row>
    <row r="74" spans="1:11" s="2" customFormat="1" ht="15.95" customHeight="1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5"/>
    </row>
    <row r="75" spans="1:11" s="2" customFormat="1" ht="15.95" customHeight="1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5"/>
    </row>
    <row r="76" spans="1:11" s="2" customFormat="1" ht="15.95" customHeight="1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5"/>
    </row>
    <row r="77" spans="1:11" s="2" customFormat="1" ht="15.95" customHeight="1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5"/>
    </row>
    <row r="78" spans="1:11" s="2" customFormat="1" ht="15.95" customHeight="1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5"/>
    </row>
    <row r="79" spans="1:11" s="2" customFormat="1" ht="15.95" customHeight="1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5" t="s">
        <v>97</v>
      </c>
    </row>
    <row r="80" spans="1:11" s="2" customFormat="1" ht="15.95" customHeight="1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5"/>
    </row>
    <row r="81" spans="1:11" s="2" customFormat="1" ht="15.95" customHeight="1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5"/>
    </row>
    <row r="82" spans="1:11" s="2" customFormat="1" ht="15.95" customHeight="1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5"/>
    </row>
    <row r="83" spans="1:11" s="2" customFormat="1" ht="15.95" customHeight="1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5"/>
    </row>
    <row r="84" spans="1:11" s="2" customFormat="1" ht="15.95" customHeight="1">
      <c r="A84" s="30"/>
      <c r="B84" s="31"/>
      <c r="C84" s="31"/>
      <c r="D84" s="31"/>
      <c r="E84" s="31"/>
      <c r="F84" s="31"/>
      <c r="G84" s="31"/>
      <c r="H84" s="31"/>
      <c r="I84" s="31"/>
      <c r="J84" s="31"/>
      <c r="K84" s="5"/>
    </row>
    <row r="85" spans="1:11" s="2" customFormat="1" ht="15.95" customHeight="1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5"/>
    </row>
    <row r="86" spans="1:11" s="2" customFormat="1" ht="15.95" customHeight="1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5"/>
    </row>
    <row r="87" spans="1:11" s="2" customFormat="1" ht="15.95" customHeight="1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5"/>
    </row>
    <row r="88" spans="1:11" s="2" customFormat="1" ht="15.95" customHeight="1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5"/>
    </row>
    <row r="89" spans="1:11" s="2" customFormat="1" ht="15.95" customHeight="1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5"/>
    </row>
    <row r="90" spans="1:11" s="2" customFormat="1" ht="15.95" customHeight="1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5"/>
    </row>
    <row r="91" spans="1:11" s="2" customFormat="1" ht="15.95" customHeight="1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5"/>
    </row>
    <row r="92" spans="1:11" s="2" customFormat="1" ht="15.95" customHeight="1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5"/>
    </row>
    <row r="93" spans="1:11" s="2" customFormat="1" ht="15.95" customHeight="1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5"/>
    </row>
    <row r="94" spans="1:11" s="2" customFormat="1" ht="15.95" customHeight="1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5"/>
    </row>
    <row r="95" spans="1:11" s="2" customFormat="1" ht="15.95" customHeight="1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5"/>
    </row>
    <row r="96" spans="1:11" s="2" customFormat="1" ht="15.9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5"/>
    </row>
    <row r="97" spans="1:11" s="2" customFormat="1" ht="15.9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5"/>
    </row>
    <row r="98" spans="1:11" s="2" customFormat="1" ht="15.9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5"/>
    </row>
    <row r="99" spans="1:11" s="2" customFormat="1" ht="15.9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5"/>
    </row>
    <row r="100" spans="1:11" s="2" customFormat="1" ht="15.9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5"/>
    </row>
    <row r="101" spans="1:11" s="2" customFormat="1" ht="15.9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5"/>
    </row>
    <row r="102" spans="1:11" s="2" customFormat="1" ht="15.9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5"/>
    </row>
    <row r="103" spans="1:11" s="2" customFormat="1" ht="15.9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5"/>
    </row>
    <row r="104" spans="1:11" s="2" customFormat="1" ht="15.9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5"/>
    </row>
    <row r="105" spans="1:11" s="2" customFormat="1" ht="15.9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5"/>
    </row>
    <row r="106" spans="1:11" s="2" customFormat="1" ht="15.9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5"/>
    </row>
    <row r="107" spans="1:11" s="2" customFormat="1" ht="15.9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5"/>
    </row>
    <row r="108" spans="1:11" s="2" customFormat="1" ht="15.9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5"/>
    </row>
    <row r="109" spans="1:11" s="2" customFormat="1" ht="15.9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5"/>
    </row>
    <row r="110" spans="1:11" s="2" customFormat="1" ht="15.9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5"/>
    </row>
    <row r="111" spans="1:11" s="2" customFormat="1" ht="15.9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5"/>
    </row>
    <row r="112" spans="1:11" s="2" customFormat="1" ht="15.9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5"/>
    </row>
    <row r="113" spans="1:11" s="2" customFormat="1" ht="15.9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5"/>
    </row>
    <row r="114" spans="1:11" s="2" customFormat="1" ht="15.9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5"/>
    </row>
    <row r="115" spans="1:11" s="2" customFormat="1" ht="15.9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5"/>
    </row>
    <row r="116" spans="1:11" s="2" customFormat="1" ht="15.9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5"/>
    </row>
    <row r="117" spans="1:11" s="2" customFormat="1" ht="15.9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5"/>
    </row>
    <row r="118" spans="1:11" s="2" customFormat="1" ht="15.9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5"/>
    </row>
    <row r="119" spans="1:11" s="2" customFormat="1" ht="15.9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5"/>
    </row>
    <row r="120" spans="1:11" s="2" customFormat="1" ht="15.9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5"/>
    </row>
    <row r="121" spans="1:11" s="2" customFormat="1" ht="15.9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5"/>
    </row>
    <row r="122" spans="1:11" s="2" customFormat="1" ht="15.9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5"/>
    </row>
    <row r="123" spans="1:11" s="2" customFormat="1" ht="15.9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5"/>
    </row>
    <row r="124" spans="1:11" s="2" customFormat="1" ht="15.9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5"/>
    </row>
    <row r="125" spans="1:11" s="2" customFormat="1" ht="15.9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5"/>
    </row>
    <row r="126" spans="1:11" s="2" customFormat="1" ht="15.9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5"/>
    </row>
    <row r="127" spans="1:11" s="2" customFormat="1" ht="15.9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5"/>
    </row>
    <row r="128" spans="1:11" s="2" customFormat="1" ht="15.9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5"/>
    </row>
    <row r="129" spans="1:11" s="2" customFormat="1" ht="15.9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5"/>
    </row>
    <row r="130" spans="1:11" s="2" customFormat="1" ht="15.9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5"/>
    </row>
    <row r="131" spans="1:11" s="2" customFormat="1" ht="15.9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5"/>
    </row>
    <row r="132" spans="1:11" s="2" customFormat="1" ht="15.9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5"/>
    </row>
    <row r="133" spans="1:11" s="2" customFormat="1" ht="15.9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5"/>
    </row>
    <row r="134" spans="1:11" s="2" customFormat="1" ht="15.9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5"/>
    </row>
    <row r="135" spans="1:11" s="2" customFormat="1" ht="15.9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5"/>
    </row>
    <row r="136" spans="1:11" s="2" customFormat="1" ht="15.9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5"/>
    </row>
    <row r="137" spans="1:11" s="2" customFormat="1" ht="15.9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5"/>
    </row>
    <row r="138" spans="1:11" s="2" customFormat="1" ht="15.9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5"/>
    </row>
    <row r="139" spans="1:11" s="2" customFormat="1" ht="15.9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5"/>
    </row>
    <row r="140" spans="1:11" s="2" customFormat="1" ht="15.9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5"/>
    </row>
    <row r="141" spans="1:11" s="2" customFormat="1" ht="15.9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5"/>
    </row>
    <row r="142" spans="1:11" s="2" customFormat="1" ht="15.9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5"/>
    </row>
    <row r="143" spans="1:11" s="2" customFormat="1" ht="15.9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5"/>
    </row>
    <row r="144" spans="1:11" s="2" customFormat="1" ht="15.9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5"/>
    </row>
    <row r="145" spans="1:11" s="2" customFormat="1" ht="15.9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5"/>
    </row>
    <row r="146" spans="1:11" s="2" customFormat="1" ht="15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5"/>
    </row>
    <row r="147" spans="1:11" s="2" customFormat="1" ht="15.9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5"/>
    </row>
    <row r="148" spans="1:11" s="2" customFormat="1" ht="15.9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5"/>
    </row>
    <row r="149" spans="1:11" s="2" customFormat="1" ht="15.9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5"/>
    </row>
    <row r="150" spans="1:11" s="2" customFormat="1" ht="15.9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5"/>
    </row>
    <row r="151" spans="1:11" s="2" customFormat="1" ht="15.9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5"/>
    </row>
    <row r="152" spans="1:11" s="2" customFormat="1" ht="15.9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5"/>
    </row>
    <row r="153" spans="1:11" s="2" customFormat="1" ht="15.9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5"/>
    </row>
    <row r="154" spans="1:11" s="2" customFormat="1" ht="15.9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5"/>
    </row>
    <row r="155" spans="1:11" s="2" customFormat="1" ht="15.9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5"/>
    </row>
    <row r="156" spans="1:11" s="2" customFormat="1" ht="15.9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5"/>
    </row>
    <row r="157" spans="1:11" s="2" customFormat="1" ht="15.9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5"/>
    </row>
    <row r="158" spans="1:11" s="2" customFormat="1" ht="15.9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5"/>
    </row>
    <row r="159" spans="1:11" s="2" customFormat="1" ht="15.9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5"/>
    </row>
    <row r="160" spans="1:11" s="2" customFormat="1" ht="15.9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5"/>
    </row>
    <row r="161" spans="1:11" s="2" customFormat="1" ht="15.9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5"/>
    </row>
    <row r="162" spans="1:11" s="2" customFormat="1" ht="15.9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5"/>
    </row>
    <row r="163" spans="1:11" s="2" customFormat="1" ht="15.9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5"/>
    </row>
    <row r="164" spans="1:11" s="2" customFormat="1" ht="15.9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5"/>
    </row>
    <row r="165" spans="1:11" s="2" customFormat="1" ht="15.9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5"/>
    </row>
    <row r="166" spans="1:11" s="2" customFormat="1" ht="15.9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5"/>
    </row>
    <row r="167" spans="1:11" s="2" customFormat="1" ht="15.9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5"/>
    </row>
    <row r="168" spans="1:11" s="2" customFormat="1" ht="15.9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5"/>
    </row>
    <row r="169" spans="1:11" s="2" customFormat="1" ht="15.9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5"/>
    </row>
    <row r="170" spans="1:11" s="2" customFormat="1" ht="15.9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5"/>
    </row>
    <row r="171" spans="1:11" s="2" customFormat="1" ht="15.9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5"/>
    </row>
    <row r="172" spans="1:11" s="2" customFormat="1" ht="15.9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5"/>
    </row>
    <row r="173" spans="1:11" s="2" customFormat="1" ht="15.9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5"/>
    </row>
    <row r="174" spans="1:11" s="2" customFormat="1" ht="15.9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5"/>
    </row>
    <row r="175" spans="1:11" s="2" customFormat="1" ht="15.9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5"/>
    </row>
    <row r="176" spans="1:11" s="2" customFormat="1" ht="15.9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5"/>
    </row>
    <row r="177" spans="1:11" s="2" customFormat="1" ht="15.9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5"/>
    </row>
    <row r="178" spans="1:11" s="2" customFormat="1" ht="15.9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5"/>
    </row>
    <row r="179" spans="1:11" s="2" customFormat="1" ht="15.9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5"/>
    </row>
    <row r="180" spans="1:11" s="2" customFormat="1" ht="15.9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5"/>
    </row>
    <row r="181" spans="1:11" s="2" customFormat="1" ht="15.9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5"/>
    </row>
    <row r="182" spans="1:11" s="2" customFormat="1" ht="15.9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5"/>
    </row>
    <row r="183" spans="1:11" s="2" customFormat="1" ht="15.9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5"/>
    </row>
    <row r="184" spans="1:11" s="2" customFormat="1" ht="15.9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5"/>
    </row>
    <row r="185" spans="1:11" s="2" customFormat="1" ht="15.9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5"/>
    </row>
    <row r="186" spans="1:11" s="2" customFormat="1" ht="15.9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5"/>
    </row>
    <row r="187" spans="1:11" s="2" customFormat="1" ht="15.9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5"/>
    </row>
    <row r="188" spans="1:11" s="2" customFormat="1" ht="15.9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5"/>
    </row>
    <row r="189" spans="1:11" s="2" customFormat="1" ht="15.9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5"/>
    </row>
    <row r="190" spans="1:11" s="2" customFormat="1" ht="15.9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5"/>
    </row>
    <row r="191" spans="1:11" s="2" customFormat="1" ht="15.9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5"/>
    </row>
    <row r="192" spans="1:11" s="2" customFormat="1" ht="15.9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5"/>
    </row>
    <row r="193" spans="1:11" s="2" customFormat="1" ht="15.9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5"/>
    </row>
    <row r="194" spans="1:11" s="2" customFormat="1" ht="15.9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5"/>
    </row>
    <row r="195" spans="1:11" s="2" customFormat="1" ht="15.9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5"/>
    </row>
    <row r="196" spans="1:11" s="2" customFormat="1" ht="15.9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5"/>
    </row>
    <row r="197" spans="1:11" s="2" customFormat="1" ht="15.9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5"/>
    </row>
    <row r="198" spans="1:11" s="2" customFormat="1" ht="15.9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5"/>
    </row>
    <row r="199" spans="1:11" s="2" customFormat="1" ht="15.9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5"/>
    </row>
    <row r="200" spans="1:11" s="2" customFormat="1" ht="15.9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5"/>
    </row>
    <row r="201" spans="1:11" s="2" customFormat="1" ht="15.9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5"/>
    </row>
    <row r="202" spans="1:11" s="2" customFormat="1" ht="15.9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5"/>
    </row>
    <row r="203" spans="1:11" s="2" customFormat="1" ht="15.9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5"/>
    </row>
    <row r="204" spans="1:11" s="2" customFormat="1" ht="15.9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5"/>
    </row>
    <row r="205" spans="1:11" s="2" customFormat="1" ht="15.9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5"/>
    </row>
    <row r="206" spans="1:11" s="2" customFormat="1" ht="15.9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5"/>
    </row>
    <row r="207" spans="1:11" s="2" customFormat="1" ht="15.9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5"/>
    </row>
    <row r="208" spans="1:11" s="2" customFormat="1" ht="15.9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5"/>
    </row>
    <row r="209" spans="1:11" s="2" customFormat="1" ht="15.9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5"/>
    </row>
    <row r="210" spans="1:11" s="2" customFormat="1" ht="15.9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5"/>
    </row>
    <row r="211" spans="1:11" s="2" customFormat="1" ht="15.9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5"/>
    </row>
    <row r="212" spans="1:11" s="2" customFormat="1" ht="15.9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5"/>
    </row>
    <row r="213" spans="1:11" s="2" customFormat="1" ht="15.9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5"/>
    </row>
    <row r="214" spans="1:11" s="2" customFormat="1" ht="15.9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5"/>
    </row>
    <row r="215" spans="1:11" s="2" customFormat="1" ht="15.9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5"/>
    </row>
    <row r="216" spans="1:11" s="2" customFormat="1" ht="15.9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5"/>
    </row>
    <row r="217" spans="1:11" s="2" customFormat="1" ht="15.9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5"/>
    </row>
    <row r="218" spans="1:11" s="2" customFormat="1" ht="15.9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5"/>
    </row>
    <row r="219" spans="1:11" s="2" customFormat="1" ht="15.9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5"/>
    </row>
    <row r="220" spans="1:11" s="2" customFormat="1" ht="15.9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5"/>
    </row>
    <row r="221" spans="1:11" s="2" customFormat="1" ht="15.9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5"/>
    </row>
    <row r="222" spans="1:11" s="2" customFormat="1" ht="15.9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5"/>
    </row>
    <row r="223" spans="1:11" s="2" customFormat="1" ht="15.9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5"/>
    </row>
    <row r="224" spans="1:11" s="2" customFormat="1" ht="15.9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5"/>
    </row>
    <row r="225" spans="1:11" s="2" customFormat="1" ht="15.9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5"/>
    </row>
    <row r="226" spans="1:11" s="2" customFormat="1" ht="15.9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5"/>
    </row>
    <row r="227" spans="1:11" s="2" customFormat="1" ht="15.9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5"/>
    </row>
    <row r="228" spans="1:11" s="2" customFormat="1" ht="15.9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5"/>
    </row>
    <row r="229" spans="1:11" s="2" customFormat="1" ht="15.9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5"/>
    </row>
    <row r="230" spans="1:11" s="2" customFormat="1" ht="15.9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5"/>
    </row>
    <row r="231" spans="1:11" s="2" customFormat="1" ht="15.9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5"/>
    </row>
    <row r="232" spans="1:11" s="2" customFormat="1" ht="15.9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5"/>
    </row>
    <row r="233" spans="1:11" s="2" customFormat="1" ht="15.9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5"/>
    </row>
    <row r="234" spans="1:11" s="2" customFormat="1" ht="15.9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5"/>
    </row>
    <row r="235" spans="1:11" s="2" customFormat="1" ht="15.9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5"/>
    </row>
    <row r="236" spans="1:11" s="2" customFormat="1" ht="15.9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5"/>
    </row>
    <row r="237" spans="1:11" s="2" customFormat="1" ht="15.9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5"/>
    </row>
    <row r="238" spans="1:11" s="2" customFormat="1" ht="15.9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5"/>
    </row>
    <row r="239" spans="1:11" s="2" customFormat="1" ht="15.9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5"/>
    </row>
    <row r="240" spans="1:11" s="2" customFormat="1" ht="15.9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5"/>
    </row>
    <row r="241" spans="1:11" s="2" customFormat="1" ht="15.9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5"/>
    </row>
    <row r="242" spans="1:11" s="2" customFormat="1" ht="15.9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5"/>
    </row>
    <row r="243" spans="1:11" s="2" customFormat="1" ht="15.9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5"/>
    </row>
    <row r="244" spans="1:11" s="2" customFormat="1" ht="15.9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5"/>
    </row>
    <row r="245" spans="1:11" s="2" customFormat="1" ht="15.9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5"/>
    </row>
    <row r="246" spans="1:11" s="2" customFormat="1" ht="15.9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5"/>
    </row>
    <row r="247" spans="1:11" s="2" customFormat="1" ht="15.9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5"/>
    </row>
    <row r="248" spans="1:11" s="2" customFormat="1" ht="15.9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5"/>
    </row>
    <row r="249" spans="1:11" s="2" customFormat="1" ht="15.9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5"/>
    </row>
    <row r="250" spans="1:11" s="2" customFormat="1" ht="15.9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5"/>
    </row>
    <row r="251" spans="1:11" s="2" customFormat="1" ht="15.9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5"/>
    </row>
    <row r="252" spans="1:11" s="2" customFormat="1" ht="15.9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5"/>
    </row>
    <row r="253" spans="1:11" s="2" customFormat="1" ht="15.9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5"/>
    </row>
    <row r="254" spans="1:11" s="2" customFormat="1" ht="15.9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5"/>
    </row>
    <row r="255" spans="1:11" s="2" customFormat="1" ht="15.9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5"/>
    </row>
    <row r="256" spans="1:11" s="2" customFormat="1" ht="15.9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5"/>
    </row>
    <row r="257" spans="1:11" s="2" customFormat="1" ht="15.9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5"/>
    </row>
    <row r="258" spans="1:11" s="2" customFormat="1" ht="15.9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5"/>
    </row>
    <row r="259" spans="1:11" s="2" customFormat="1" ht="15.9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5"/>
    </row>
    <row r="260" spans="1:11" s="2" customFormat="1" ht="15.9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5"/>
    </row>
    <row r="261" spans="1:11" s="2" customFormat="1" ht="15.9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5"/>
    </row>
    <row r="262" spans="1:11" s="2" customFormat="1" ht="15.9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5"/>
    </row>
    <row r="263" spans="1:11" s="2" customFormat="1" ht="15.9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5"/>
    </row>
    <row r="264" spans="1:11" s="2" customFormat="1" ht="15.9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5"/>
    </row>
    <row r="265" spans="1:11" s="2" customFormat="1" ht="15.9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5"/>
    </row>
    <row r="266" spans="1:11" s="2" customFormat="1" ht="15.9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5"/>
    </row>
    <row r="267" spans="1:11" s="2" customFormat="1" ht="15.9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5"/>
    </row>
    <row r="268" spans="1:11" s="2" customFormat="1" ht="15.9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5"/>
    </row>
    <row r="269" spans="1:11" s="2" customFormat="1" ht="15.9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5"/>
    </row>
    <row r="270" spans="1:11" s="2" customFormat="1" ht="15.9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5"/>
    </row>
    <row r="271" spans="1:11" s="2" customFormat="1" ht="15.9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5"/>
    </row>
    <row r="272" spans="1:11" s="2" customFormat="1" ht="15.9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5"/>
    </row>
    <row r="273" spans="1:11" s="2" customFormat="1" ht="15.9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5"/>
    </row>
    <row r="274" spans="1:11" s="2" customFormat="1" ht="15.9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5"/>
    </row>
    <row r="275" spans="1:11" s="2" customFormat="1" ht="15.9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5"/>
    </row>
    <row r="276" spans="1:11" s="2" customFormat="1" ht="15.9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5"/>
    </row>
    <row r="277" spans="1:11" s="2" customFormat="1" ht="15.9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5"/>
    </row>
    <row r="278" spans="1:11" s="2" customFormat="1" ht="15.9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5"/>
    </row>
    <row r="279" spans="1:11" s="2" customFormat="1" ht="15.9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5"/>
    </row>
    <row r="280" spans="1:11" s="2" customFormat="1" ht="15.95" customHeight="1">
      <c r="A280" s="30"/>
      <c r="K280" s="5"/>
    </row>
    <row r="281" spans="1:11" s="2" customFormat="1" ht="15.95" customHeight="1">
      <c r="A281" s="30"/>
      <c r="K281" s="5"/>
    </row>
    <row r="282" spans="1:11" s="2" customFormat="1" ht="15.95" customHeight="1">
      <c r="A282" s="30"/>
      <c r="K282" s="5"/>
    </row>
    <row r="283" spans="1:11" s="2" customFormat="1" ht="15.95" customHeight="1">
      <c r="A283" s="30"/>
      <c r="K283" s="5"/>
    </row>
    <row r="284" spans="1:11" s="2" customFormat="1" ht="15.95" customHeight="1">
      <c r="A284" s="30"/>
      <c r="K284" s="5"/>
    </row>
    <row r="285" spans="1:11" s="2" customFormat="1" ht="15.95" customHeight="1">
      <c r="A285" s="30"/>
      <c r="K285" s="5"/>
    </row>
    <row r="286" spans="1:11" s="2" customFormat="1" ht="15.95" customHeight="1">
      <c r="A286" s="30"/>
      <c r="K286" s="5"/>
    </row>
    <row r="287" spans="1:11" s="2" customFormat="1" ht="15.95" customHeight="1">
      <c r="A287" s="30"/>
      <c r="K287" s="5"/>
    </row>
    <row r="288" spans="1:11" s="2" customFormat="1" ht="15.95" customHeight="1">
      <c r="A288" s="30"/>
      <c r="K288" s="5"/>
    </row>
    <row r="289" spans="1:11" s="2" customFormat="1" ht="15.95" customHeight="1">
      <c r="A289" s="30"/>
      <c r="K289" s="5"/>
    </row>
    <row r="290" spans="1:11" s="2" customFormat="1" ht="15.95" customHeight="1">
      <c r="A290" s="30"/>
      <c r="K290" s="5"/>
    </row>
  </sheetData>
  <mergeCells count="11">
    <mergeCell ref="K11:K12"/>
    <mergeCell ref="B11:C11"/>
    <mergeCell ref="D11:G11"/>
    <mergeCell ref="H11:I11"/>
    <mergeCell ref="A13:J13"/>
    <mergeCell ref="J11:J12"/>
    <mergeCell ref="A2:I2"/>
    <mergeCell ref="A3:I3"/>
    <mergeCell ref="A4:I4"/>
    <mergeCell ref="A5:I5"/>
    <mergeCell ref="A10:J10"/>
  </mergeCells>
  <printOptions horizontalCentered="1"/>
  <pageMargins left="0.25" right="0.25" top="0.25" bottom="0.25" header="0.3" footer="0.3"/>
  <pageSetup paperSize="9" scale="72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CORRECTED</vt:lpstr>
      <vt:lpstr>CTO</vt:lpstr>
      <vt:lpstr>Leave Card (NE)</vt:lpstr>
      <vt:lpstr>CORRECTED!Print_Area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2026-01-14T03:34:15Z</cp:lastPrinted>
  <dcterms:created xsi:type="dcterms:W3CDTF">2021-10-07T06:10:00Z</dcterms:created>
  <dcterms:modified xsi:type="dcterms:W3CDTF">2026-01-14T03:35:07Z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C68A12DD5B614B16B1D93B05DE507CDA</vt:lpwstr>
  </property>
  <property fmtid="{D5CDD505-2E9C-101B-9397-08002B2CF9AE}" pid="3" name="KSOProductBuildVer">
    <vt:lpwstr>1033-12.2.0.23196</vt:lpwstr>
  </property>
</Properties>
</file>