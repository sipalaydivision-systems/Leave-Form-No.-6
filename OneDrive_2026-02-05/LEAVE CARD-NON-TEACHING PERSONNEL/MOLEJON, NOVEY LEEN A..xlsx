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as TIC" sheetId="3" r:id="rId1"/>
    <sheet name="CTO" sheetId="4" r:id="rId2"/>
  </sheets>
  <definedNames>
    <definedName name="_xlnm.Print_Area" localSheetId="0">'Leave Card as TIC'!$A$1:$J$33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<sst xmlns="http://schemas.openxmlformats.org/spreadsheetml/2006/main" count="68" uniqueCount="51">
  <si>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</si>
  <si>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</si>
  <si>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</si>
  <si>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</si>
  <si>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</si>
  <si>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</si>
  <si>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</si>
  <si>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</si>
  <si>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</si>
  <si>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</si>
  <si>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</si>
  <si>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</si>
  <si>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</si>
  <si>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</si>
  <si>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</si>
  <si>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</si>
  <si>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</si>
  <si>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</si>
  <si>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</si>
  <si>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</si>
  <si>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</si>
  <si>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11/13-30/2024</t>
  </si>
  <si>
    <t>ADD: 12/1-31/2024</t>
  </si>
  <si>
    <t>ADD: 01/1/2025-02/28/2025</t>
  </si>
  <si>
    <t>LESS: 03/28/2025</t>
  </si>
  <si>
    <t>ADD: 03/1/2025-07/31/2025</t>
  </si>
  <si>
    <t>LESS: 08/12/2025</t>
  </si>
  <si>
    <t>ADD: 08/1/2025-09/30/2025</t>
  </si>
  <si>
    <t>LESS: 10/10/2025</t>
  </si>
  <si>
    <t>ADD: 10/1/2025-11/30/2025</t>
  </si>
  <si>
    <t>LESS: 12/11-12/2025</t>
  </si>
  <si>
    <t>LESS: 12/16, 18/2025</t>
  </si>
  <si>
    <t>LESS: 12/22, 26/2025</t>
  </si>
  <si>
    <t>DATE FILED: 12/22,26, 29/2025</t>
  </si>
  <si>
    <t xml:space="preserve">  </t>
  </si>
  <si>
    <t>COMPENSATORY TIME OFF (CTO)</t>
  </si>
  <si>
    <t>Special Order No. and Date Issued</t>
  </si>
  <si>
    <t>No. of Days Granted</t>
  </si>
  <si>
    <t>No. of Days Used</t>
  </si>
  <si>
    <t>Balance</t>
  </si>
  <si>
    <t>ADD: 02/5/2025</t>
  </si>
  <si>
    <t>S.O # 002, S. 2025- RIZAL DAY 2024</t>
  </si>
  <si>
    <t>LESS: 03/3/2025</t>
  </si>
  <si>
    <t>ADD: 07/1/2025</t>
  </si>
  <si>
    <t>S.O # 044, S. 2025- 127TH PHIL. IND. DAY</t>
  </si>
  <si>
    <t>LESS: 07/9/2025</t>
  </si>
  <si>
    <t>NOTE:  Valid for one (1) year only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</si>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</sst>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18" applyNumberFormat="0" applyAlignment="0" applyProtection="0">
      <alignment vertical="center"/>
    </xf>
    <xf numFmtId="0" fontId="19" fillId="15" borderId="19" applyNumberFormat="0" applyAlignment="0" applyProtection="0">
      <alignment vertical="center"/>
    </xf>
    <xf numFmtId="0" fontId="20" fillId="15" borderId="18" applyNumberFormat="0" applyAlignment="0" applyProtection="0">
      <alignment vertical="center"/>
    </xf>
    <xf numFmtId="0" fontId="21" fillId="16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75">
    <xf numFmtId="0" fontId="0" fillId="0" borderId="0" xfId="0"/>
    <xf numFmtId="0" fontId="0" fillId="2" borderId="0" xfId="50" applyFill="1"/>
    <xf numFmtId="0" fontId="1" fillId="0" borderId="0" xfId="50" applyFont="1"/>
    <xf numFmtId="0" fontId="2" fillId="0" borderId="0" xfId="50" applyFont="1"/>
    <xf numFmtId="0" fontId="0" fillId="0" borderId="0" xfId="50"/>
    <xf numFmtId="0" fontId="0" fillId="2" borderId="0" xfId="50" applyFill="1" applyAlignment="1">
      <alignment horizontal="center" vertical="center"/>
    </xf>
    <xf numFmtId="0" fontId="3" fillId="2" borderId="0" xfId="50" applyFont="1" applyFill="1" applyAlignment="1">
      <alignment vertical="center"/>
    </xf>
    <xf numFmtId="0" fontId="3" fillId="2" borderId="1" xfId="50" applyFont="1" applyFill="1" applyBorder="1" applyAlignment="1">
      <alignment horizontal="center" vertical="center"/>
    </xf>
    <xf numFmtId="0" fontId="3" fillId="2" borderId="0" xfId="50" applyFont="1" applyFill="1"/>
    <xf numFmtId="0" fontId="3" fillId="2" borderId="1" xfId="50" applyFont="1" applyFill="1" applyBorder="1" applyAlignment="1">
      <alignment vertical="center"/>
    </xf>
    <xf numFmtId="0" fontId="4" fillId="2" borderId="2" xfId="50" applyFont="1" applyFill="1" applyBorder="1" applyAlignment="1">
      <alignment horizontal="center" vertical="center"/>
    </xf>
    <xf numFmtId="0" fontId="5" fillId="3" borderId="3" xfId="50" applyFont="1" applyFill="1" applyBorder="1" applyAlignment="1">
      <alignment horizontal="center" vertical="center"/>
    </xf>
    <xf numFmtId="0" fontId="5" fillId="4" borderId="4" xfId="50" applyFont="1" applyFill="1" applyBorder="1" applyAlignment="1">
      <alignment horizontal="center" vertical="center"/>
    </xf>
    <xf numFmtId="0" fontId="5" fillId="4" borderId="5" xfId="50" applyFont="1" applyFill="1" applyBorder="1" applyAlignment="1">
      <alignment horizontal="center" vertical="center"/>
    </xf>
    <xf numFmtId="0" fontId="5" fillId="3" borderId="6" xfId="50" applyFont="1" applyFill="1" applyBorder="1" applyAlignment="1">
      <alignment horizontal="center" vertical="center"/>
    </xf>
    <xf numFmtId="0" fontId="6" fillId="5" borderId="7" xfId="50" applyFont="1" applyFill="1" applyBorder="1" applyAlignment="1">
      <alignment horizontal="center" vertical="center" wrapText="1"/>
    </xf>
    <xf numFmtId="0" fontId="6" fillId="5" borderId="8" xfId="50" applyFont="1" applyFill="1" applyBorder="1" applyAlignment="1">
      <alignment horizontal="center" vertical="center" wrapText="1"/>
    </xf>
    <xf numFmtId="0" fontId="6" fillId="5" borderId="9" xfId="50" applyFont="1" applyFill="1" applyBorder="1" applyAlignment="1">
      <alignment horizontal="center" vertical="center" wrapText="1"/>
    </xf>
    <xf numFmtId="58" fontId="0" fillId="2" borderId="6" xfId="50" applyNumberFormat="1" applyFont="1" applyFill="1" applyBorder="1" applyAlignment="1">
      <alignment horizontal="center" vertical="center" wrapText="1"/>
    </xf>
    <xf numFmtId="0" fontId="6" fillId="2" borderId="7" xfId="50" applyFont="1" applyFill="1" applyBorder="1" applyAlignment="1">
      <alignment horizontal="center" vertical="center" wrapText="1"/>
    </xf>
    <xf numFmtId="0" fontId="6" fillId="2" borderId="8" xfId="50" applyFont="1" applyFill="1" applyBorder="1" applyAlignment="1">
      <alignment horizontal="center" vertical="center" wrapText="1"/>
    </xf>
    <xf numFmtId="0" fontId="6" fillId="2" borderId="9" xfId="50" applyFont="1" applyFill="1" applyBorder="1" applyAlignment="1">
      <alignment horizontal="center" vertical="center" wrapText="1"/>
    </xf>
    <xf numFmtId="0" fontId="0" fillId="2" borderId="6" xfId="50" applyFont="1" applyFill="1" applyBorder="1" applyAlignment="1">
      <alignment horizontal="center" vertical="center" wrapText="1"/>
    </xf>
    <xf numFmtId="0" fontId="0" fillId="0" borderId="0" xfId="50" applyAlignment="1">
      <alignment vertical="center"/>
    </xf>
    <xf numFmtId="0" fontId="6" fillId="2" borderId="0" xfId="50" applyFont="1" applyFill="1" applyAlignment="1">
      <alignment horizontal="center" vertical="center" wrapText="1"/>
    </xf>
    <xf numFmtId="0" fontId="2" fillId="2" borderId="0" xfId="50" applyFont="1" applyFill="1" applyAlignment="1">
      <alignment horizontal="center" vertical="center"/>
    </xf>
    <xf numFmtId="0" fontId="0" fillId="2" borderId="0" xfId="50" applyFill="1" applyAlignment="1">
      <alignment horizontal="center"/>
    </xf>
    <xf numFmtId="0" fontId="3" fillId="0" borderId="0" xfId="50" applyFont="1" applyAlignment="1">
      <alignment vertical="center"/>
    </xf>
    <xf numFmtId="0" fontId="0" fillId="0" borderId="0" xfId="50" applyAlignment="1">
      <alignment horizontal="center" vertical="center"/>
    </xf>
    <xf numFmtId="0" fontId="5" fillId="3" borderId="10" xfId="50" applyFont="1" applyFill="1" applyBorder="1" applyAlignment="1">
      <alignment horizontal="center" vertical="center"/>
    </xf>
    <xf numFmtId="0" fontId="5" fillId="3" borderId="11" xfId="50" applyFont="1" applyFill="1" applyBorder="1" applyAlignment="1">
      <alignment horizontal="center" vertical="center"/>
    </xf>
    <xf numFmtId="0" fontId="0" fillId="2" borderId="12" xfId="50" applyFill="1" applyBorder="1" applyAlignment="1">
      <alignment horizontal="center" vertical="center" wrapText="1"/>
    </xf>
    <xf numFmtId="0" fontId="0" fillId="6" borderId="12" xfId="50" applyFill="1" applyBorder="1" applyAlignment="1">
      <alignment horizontal="center" vertical="center" wrapText="1"/>
    </xf>
    <xf numFmtId="0" fontId="0" fillId="2" borderId="0" xfId="50" applyFill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176" fontId="0" fillId="2" borderId="14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176" fontId="0" fillId="0" borderId="13" xfId="0" applyNumberForma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 vertical="center"/>
    </xf>
    <xf numFmtId="0" fontId="7" fillId="0" borderId="0" xfId="0" applyFont="1" applyFill="1"/>
    <xf numFmtId="0" fontId="9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MOLEJON, NOVEY LEEN A.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AO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HDA MARICALUM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27</xdr:row>
      <xdr:rowOff>53914</xdr:rowOff>
    </xdr:from>
    <xdr:to>
      <xdr:col>9</xdr:col>
      <xdr:colOff>672043</xdr:colOff>
      <xdr:row>32</xdr:row>
      <xdr:rowOff>170731</xdr:rowOff>
    </xdr:to>
    <xdr:sp>
      <xdr:nvSpPr>
        <xdr:cNvPr id="6" name="TextBox 5"/>
        <xdr:cNvSpPr txBox="1"/>
      </xdr:nvSpPr>
      <xdr:spPr>
        <a:xfrm>
          <a:off x="6030595" y="609600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257175</xdr:colOff>
      <xdr:row>0</xdr:row>
      <xdr:rowOff>0</xdr:rowOff>
    </xdr:from>
    <xdr:to>
      <xdr:col>3</xdr:col>
      <xdr:colOff>326117</xdr:colOff>
      <xdr:row>1</xdr:row>
      <xdr:rowOff>15194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7220" y="0"/>
          <a:ext cx="666115" cy="6813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>
      <xdr:nvSpPr>
        <xdr:cNvPr id="3" name="TextBox 2"/>
        <xdr:cNvSpPr txBox="1"/>
      </xdr:nvSpPr>
      <xdr:spPr>
        <a:xfrm>
          <a:off x="573405" y="1376045"/>
          <a:ext cx="232664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MOLEJON, NOVEY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LEEN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6</xdr:col>
      <xdr:colOff>228600</xdr:colOff>
      <xdr:row>9</xdr:row>
      <xdr:rowOff>10714</xdr:rowOff>
    </xdr:to>
    <xdr:sp>
      <xdr:nvSpPr>
        <xdr:cNvPr id="5" name="TextBox 4"/>
        <xdr:cNvSpPr txBox="1"/>
      </xdr:nvSpPr>
      <xdr:spPr>
        <a:xfrm>
          <a:off x="4023995" y="1706880"/>
          <a:ext cx="149479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HDA MARICALUM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1"/>
  <sheetViews>
    <sheetView tabSelected="1" view="pageBreakPreview" zoomScale="106" zoomScaleNormal="100" topLeftCell="A5" workbookViewId="0">
      <selection activeCell="A22" sqref="$A22:$XFD22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36" customWidth="1"/>
    <col min="8" max="10" width="11.5740740740741" customWidth="1"/>
    <col min="11" max="11" width="26.4259259259259" style="37" customWidth="1"/>
  </cols>
  <sheetData>
    <row r="1" s="34" customFormat="1" ht="52.5" customHeight="1"/>
    <row r="2" s="34" customFormat="1" ht="10.5" customHeight="1" spans="1:10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</row>
    <row r="3" s="34" customFormat="1" ht="15.95" customHeight="1" spans="1:10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</row>
    <row r="4" s="34" customFormat="1" ht="15.95" customHeight="1" spans="1:10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</row>
    <row r="5" s="34" customFormat="1" ht="15.95" customHeight="1" spans="1:10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</row>
    <row r="6" s="34" customFormat="1" ht="8.25" customHeight="1"/>
    <row r="7" s="34" customFormat="1" ht="12" customHeight="1" spans="1:10">
      <c r="A7" s="34" t="s">
        <v>4</v>
      </c>
      <c r="B7" s="39" t="s">
        <v>5</v>
      </c>
      <c r="C7" s="39"/>
      <c r="D7" s="39"/>
      <c r="H7" s="40" t="s">
        <v>6</v>
      </c>
      <c r="I7" s="68"/>
      <c r="J7" s="40"/>
    </row>
    <row r="8" s="34" customFormat="1" ht="12" customHeight="1" spans="2:10">
      <c r="B8" s="41"/>
      <c r="C8" s="41"/>
      <c r="H8" s="41"/>
      <c r="I8" s="41"/>
      <c r="J8" s="41"/>
    </row>
    <row r="9" s="34" customFormat="1" ht="12" customHeight="1" spans="1:10">
      <c r="A9" s="34" t="s">
        <v>7</v>
      </c>
      <c r="B9" s="39" t="s">
        <v>8</v>
      </c>
      <c r="C9" s="39"/>
      <c r="D9" s="39"/>
      <c r="H9" s="40" t="s">
        <v>9</v>
      </c>
      <c r="I9" s="69"/>
      <c r="J9" s="40"/>
    </row>
    <row r="10" ht="23.25" customHeight="1" spans="1:11">
      <c r="A10" s="42" t="s">
        <v>10</v>
      </c>
      <c r="B10" s="42"/>
      <c r="C10" s="42"/>
      <c r="D10" s="42"/>
      <c r="E10" s="42"/>
      <c r="F10" s="42"/>
      <c r="G10" s="42"/>
      <c r="H10" s="42"/>
      <c r="I10" s="42"/>
      <c r="J10" s="42"/>
      <c r="K10"/>
    </row>
    <row r="11" ht="18.75" customHeight="1" spans="1:11">
      <c r="A11" s="43" t="s">
        <v>11</v>
      </c>
      <c r="B11" s="44" t="s">
        <v>12</v>
      </c>
      <c r="C11" s="44"/>
      <c r="D11" s="45" t="s">
        <v>13</v>
      </c>
      <c r="E11" s="45"/>
      <c r="F11" s="45"/>
      <c r="G11" s="45"/>
      <c r="H11" s="46" t="s">
        <v>14</v>
      </c>
      <c r="I11" s="46"/>
      <c r="J11" s="43" t="s">
        <v>15</v>
      </c>
      <c r="K11" s="70" t="s">
        <v>16</v>
      </c>
    </row>
    <row r="12" spans="1:11">
      <c r="A12" s="43"/>
      <c r="B12" s="47" t="s">
        <v>17</v>
      </c>
      <c r="C12" s="47" t="s">
        <v>18</v>
      </c>
      <c r="D12" s="47" t="s">
        <v>17</v>
      </c>
      <c r="E12" s="47" t="s">
        <v>18</v>
      </c>
      <c r="F12" s="47" t="s">
        <v>19</v>
      </c>
      <c r="G12" s="47" t="s">
        <v>20</v>
      </c>
      <c r="H12" s="47" t="s">
        <v>17</v>
      </c>
      <c r="I12" s="47" t="s">
        <v>18</v>
      </c>
      <c r="J12" s="43"/>
      <c r="K12" s="70"/>
    </row>
    <row r="13" ht="28.5" customHeight="1" spans="1:10">
      <c r="A13" s="48" t="s">
        <v>21</v>
      </c>
      <c r="B13" s="49">
        <v>0.75</v>
      </c>
      <c r="C13" s="50">
        <v>0.75</v>
      </c>
      <c r="D13" s="50"/>
      <c r="E13" s="49"/>
      <c r="F13" s="49"/>
      <c r="G13" s="49"/>
      <c r="H13" s="51">
        <f>B13</f>
        <v>0.75</v>
      </c>
      <c r="I13" s="51">
        <f>C13</f>
        <v>0.75</v>
      </c>
      <c r="J13" s="71">
        <f>SUM(H13:I13)</f>
        <v>1.5</v>
      </c>
    </row>
    <row r="14" ht="17.25" customHeight="1" spans="1:10">
      <c r="A14" s="52" t="s">
        <v>22</v>
      </c>
      <c r="B14" s="53">
        <v>1.25</v>
      </c>
      <c r="C14" s="54">
        <v>1.25</v>
      </c>
      <c r="D14" s="55"/>
      <c r="E14" s="56"/>
      <c r="F14" s="56"/>
      <c r="G14" s="57"/>
      <c r="H14" s="58">
        <f>H13-F14-D14+B14</f>
        <v>2</v>
      </c>
      <c r="I14" s="58">
        <f>I13-E14+C14</f>
        <v>2</v>
      </c>
      <c r="J14" s="72">
        <f>SUM(H14:I14)</f>
        <v>4</v>
      </c>
    </row>
    <row r="15" ht="17.25" customHeight="1" spans="1:10">
      <c r="A15" s="52" t="s">
        <v>23</v>
      </c>
      <c r="B15" s="53">
        <v>2.5</v>
      </c>
      <c r="C15" s="54">
        <v>2.5</v>
      </c>
      <c r="D15" s="55"/>
      <c r="E15" s="56"/>
      <c r="F15" s="56"/>
      <c r="G15" s="57"/>
      <c r="H15" s="58">
        <f t="shared" ref="H15" si="0">H14-F15-D15+B15</f>
        <v>4.5</v>
      </c>
      <c r="I15" s="58">
        <f t="shared" ref="I15" si="1">I14-E15+C15</f>
        <v>4.5</v>
      </c>
      <c r="J15" s="72">
        <f t="shared" ref="J15" si="2">SUM(H15:I15)</f>
        <v>9</v>
      </c>
    </row>
    <row r="16" ht="17.25" customHeight="1" spans="1:10">
      <c r="A16" s="55" t="s">
        <v>24</v>
      </c>
      <c r="B16" s="56"/>
      <c r="C16" s="55"/>
      <c r="D16" s="55"/>
      <c r="E16" s="56">
        <v>1</v>
      </c>
      <c r="F16" s="56"/>
      <c r="G16" s="57"/>
      <c r="H16" s="58">
        <f t="shared" ref="H16" si="3">H15-F16-D16+B16</f>
        <v>4.5</v>
      </c>
      <c r="I16" s="58">
        <f t="shared" ref="I16" si="4">I15-E16+C16</f>
        <v>3.5</v>
      </c>
      <c r="J16" s="72">
        <f t="shared" ref="J16" si="5">SUM(H16:I16)</f>
        <v>8</v>
      </c>
    </row>
    <row r="17" ht="17.25" customHeight="1" spans="1:10">
      <c r="A17" s="55" t="s">
        <v>25</v>
      </c>
      <c r="B17" s="56">
        <v>6.25</v>
      </c>
      <c r="C17" s="55">
        <v>6.25</v>
      </c>
      <c r="D17" s="55"/>
      <c r="E17" s="56"/>
      <c r="F17" s="56"/>
      <c r="G17" s="57"/>
      <c r="H17" s="58">
        <f t="shared" ref="H17" si="6">H16-F17-D17+B17</f>
        <v>10.75</v>
      </c>
      <c r="I17" s="58">
        <f t="shared" ref="I17" si="7">I16-E17+C17</f>
        <v>9.75</v>
      </c>
      <c r="J17" s="72">
        <f t="shared" ref="J17" si="8">SUM(H17:I17)</f>
        <v>20.5</v>
      </c>
    </row>
    <row r="18" ht="17.25" customHeight="1" spans="1:10">
      <c r="A18" s="55" t="s">
        <v>26</v>
      </c>
      <c r="B18" s="56"/>
      <c r="C18" s="55"/>
      <c r="D18" s="55"/>
      <c r="E18" s="56"/>
      <c r="F18" s="59">
        <v>1</v>
      </c>
      <c r="G18" s="57"/>
      <c r="H18" s="58">
        <f t="shared" ref="H18" si="9">H17-F18-D18+B18</f>
        <v>9.75</v>
      </c>
      <c r="I18" s="58">
        <f t="shared" ref="I18" si="10">I17-E18+C18</f>
        <v>9.75</v>
      </c>
      <c r="J18" s="72">
        <f t="shared" ref="J18" si="11">SUM(H18:I18)</f>
        <v>19.5</v>
      </c>
    </row>
    <row r="19" s="35" customFormat="1" ht="17.25" customHeight="1" spans="1:11">
      <c r="A19" s="60" t="s">
        <v>27</v>
      </c>
      <c r="B19" s="61">
        <v>2.5</v>
      </c>
      <c r="C19" s="60">
        <v>2.5</v>
      </c>
      <c r="D19" s="60"/>
      <c r="E19" s="61"/>
      <c r="F19" s="61"/>
      <c r="G19" s="61"/>
      <c r="H19" s="58">
        <f t="shared" ref="H19:H22" si="12">H18-F19-D19+B19</f>
        <v>12.25</v>
      </c>
      <c r="I19" s="58">
        <f t="shared" ref="I19:I22" si="13">I18-E19+C19</f>
        <v>12.25</v>
      </c>
      <c r="J19" s="72">
        <f t="shared" ref="J19:J22" si="14">SUM(H19:I19)</f>
        <v>24.5</v>
      </c>
      <c r="K19" s="73"/>
    </row>
    <row r="20" s="35" customFormat="1" ht="17.25" customHeight="1" spans="1:11">
      <c r="A20" s="60" t="s">
        <v>28</v>
      </c>
      <c r="B20" s="61"/>
      <c r="C20" s="60"/>
      <c r="D20" s="60"/>
      <c r="E20" s="61">
        <v>1</v>
      </c>
      <c r="F20" s="61"/>
      <c r="G20" s="61"/>
      <c r="H20" s="58">
        <f t="shared" si="12"/>
        <v>12.25</v>
      </c>
      <c r="I20" s="58">
        <f t="shared" si="13"/>
        <v>11.25</v>
      </c>
      <c r="J20" s="72">
        <f t="shared" si="14"/>
        <v>23.5</v>
      </c>
      <c r="K20" s="73"/>
    </row>
    <row r="21" s="35" customFormat="1" ht="17.25" customHeight="1" spans="1:11">
      <c r="A21" s="60" t="s">
        <v>29</v>
      </c>
      <c r="B21" s="61">
        <v>2.5</v>
      </c>
      <c r="C21" s="60">
        <v>2.5</v>
      </c>
      <c r="D21" s="60"/>
      <c r="E21" s="61"/>
      <c r="F21" s="61"/>
      <c r="G21" s="61"/>
      <c r="H21" s="58">
        <f t="shared" si="12"/>
        <v>14.75</v>
      </c>
      <c r="I21" s="58">
        <f t="shared" si="13"/>
        <v>13.75</v>
      </c>
      <c r="J21" s="72">
        <f t="shared" si="14"/>
        <v>28.5</v>
      </c>
      <c r="K21" s="73"/>
    </row>
    <row r="22" ht="17.25" customHeight="1" spans="1:10">
      <c r="A22" s="55" t="s">
        <v>30</v>
      </c>
      <c r="B22" s="56"/>
      <c r="C22" s="55"/>
      <c r="D22" s="55"/>
      <c r="E22" s="56"/>
      <c r="F22" s="59">
        <v>2</v>
      </c>
      <c r="G22" s="57"/>
      <c r="H22" s="58">
        <f t="shared" si="12"/>
        <v>12.75</v>
      </c>
      <c r="I22" s="58">
        <f t="shared" si="13"/>
        <v>13.75</v>
      </c>
      <c r="J22" s="72">
        <f t="shared" si="14"/>
        <v>26.5</v>
      </c>
    </row>
    <row r="23" ht="17.25" customHeight="1" spans="1:10">
      <c r="A23" s="62" t="s">
        <v>31</v>
      </c>
      <c r="B23" s="63"/>
      <c r="C23" s="62"/>
      <c r="D23" s="62"/>
      <c r="E23" s="63"/>
      <c r="F23" s="59">
        <v>2</v>
      </c>
      <c r="G23" s="64"/>
      <c r="H23" s="58">
        <f>H22-F23-D23+B23</f>
        <v>10.75</v>
      </c>
      <c r="I23" s="58">
        <f>I22-E23+C23</f>
        <v>13.75</v>
      </c>
      <c r="J23" s="72">
        <f>SUM(H23:I23)</f>
        <v>24.5</v>
      </c>
    </row>
    <row r="24" ht="17.25" customHeight="1" spans="1:11">
      <c r="A24" s="62" t="s">
        <v>32</v>
      </c>
      <c r="B24" s="63"/>
      <c r="C24" s="62"/>
      <c r="D24" s="62"/>
      <c r="E24" s="63"/>
      <c r="F24" s="64"/>
      <c r="G24" s="65">
        <v>2</v>
      </c>
      <c r="H24" s="58">
        <f>H23-F24-D24+B24</f>
        <v>10.75</v>
      </c>
      <c r="I24" s="58">
        <f>I23-E24+C24</f>
        <v>13.75</v>
      </c>
      <c r="J24" s="72">
        <f>SUM(H24:I24)</f>
        <v>24.5</v>
      </c>
      <c r="K24" s="74" t="s">
        <v>33</v>
      </c>
    </row>
    <row r="25" ht="17.25" customHeight="1" spans="1:11">
      <c r="A25" s="62"/>
      <c r="B25" s="63"/>
      <c r="C25" s="62"/>
      <c r="D25" s="62"/>
      <c r="E25" s="63"/>
      <c r="F25" s="64"/>
      <c r="G25" s="64"/>
      <c r="H25" s="66"/>
      <c r="I25" s="66"/>
      <c r="J25" s="66"/>
      <c r="K25" s="74"/>
    </row>
    <row r="26" spans="8:10">
      <c r="H26" s="67"/>
      <c r="I26" s="67"/>
      <c r="J26" s="67"/>
    </row>
    <row r="27" spans="8:10">
      <c r="H27" s="67"/>
      <c r="I27" s="67"/>
      <c r="J27" s="67"/>
    </row>
    <row r="31" spans="6:6">
      <c r="F31" s="36" t="s">
        <v>34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workbookViewId="0">
      <selection activeCell="B16" sqref="B16:E16"/>
    </sheetView>
  </sheetViews>
  <sheetFormatPr defaultColWidth="8.71296296296296" defaultRowHeight="14.4"/>
  <cols>
    <col min="1" max="1" width="33.5740740740741" style="4" customWidth="1"/>
    <col min="2" max="16384" width="8.71296296296296" style="4"/>
  </cols>
  <sheetData>
    <row r="1" s="1" customFormat="1" ht="52.5" customHeight="1"/>
    <row r="2" s="1" customFormat="1" ht="10.5" customHeight="1" spans="1:9">
      <c r="A2" s="5" t="s">
        <v>0</v>
      </c>
      <c r="B2" s="5"/>
      <c r="C2" s="5"/>
      <c r="D2" s="5"/>
      <c r="E2" s="5"/>
      <c r="F2" s="5"/>
      <c r="G2" s="5"/>
      <c r="H2" s="5"/>
      <c r="I2" s="5"/>
    </row>
    <row r="3" s="1" customFormat="1" ht="15.95" customHeight="1" spans="1:9">
      <c r="A3" s="5" t="s">
        <v>1</v>
      </c>
      <c r="B3" s="5"/>
      <c r="C3" s="5"/>
      <c r="D3" s="5"/>
      <c r="E3" s="5"/>
      <c r="F3" s="5"/>
      <c r="G3" s="5"/>
      <c r="H3" s="5"/>
      <c r="I3" s="5"/>
    </row>
    <row r="4" s="1" customFormat="1" ht="15.95" customHeight="1" spans="1:9">
      <c r="A4" s="5" t="s">
        <v>2</v>
      </c>
      <c r="B4" s="5"/>
      <c r="C4" s="5"/>
      <c r="D4" s="5"/>
      <c r="E4" s="5"/>
      <c r="F4" s="5"/>
      <c r="G4" s="5"/>
      <c r="H4" s="5"/>
      <c r="I4" s="5"/>
    </row>
    <row r="5" s="1" customFormat="1" ht="15.95" customHeight="1" spans="1:9">
      <c r="A5" s="5" t="s">
        <v>3</v>
      </c>
      <c r="B5" s="5"/>
      <c r="C5" s="5"/>
      <c r="D5" s="5"/>
      <c r="E5" s="5"/>
      <c r="F5" s="5"/>
      <c r="G5" s="5"/>
      <c r="H5" s="5"/>
      <c r="I5" s="5"/>
    </row>
    <row r="6" s="1" customFormat="1" ht="8.25" customHeight="1"/>
    <row r="7" s="1" customFormat="1" ht="12" customHeight="1" spans="1:7">
      <c r="A7" s="1" t="s">
        <v>4</v>
      </c>
      <c r="C7" s="6" t="s">
        <v>5</v>
      </c>
      <c r="D7" s="6"/>
      <c r="G7" s="7"/>
    </row>
    <row r="8" s="1" customFormat="1" ht="12" customHeight="1" spans="3:7">
      <c r="C8" s="8"/>
      <c r="G8" s="8"/>
    </row>
    <row r="9" s="1" customFormat="1" ht="12" customHeight="1" spans="1:7">
      <c r="A9" s="1" t="s">
        <v>7</v>
      </c>
      <c r="C9" s="6" t="s">
        <v>8</v>
      </c>
      <c r="D9" s="6"/>
      <c r="G9" s="9"/>
    </row>
    <row r="10" ht="21.75" spans="1:9">
      <c r="A10" s="10" t="s">
        <v>35</v>
      </c>
      <c r="B10" s="10"/>
      <c r="C10" s="10"/>
      <c r="D10" s="10"/>
      <c r="E10" s="10"/>
      <c r="F10" s="10"/>
      <c r="G10" s="10"/>
      <c r="H10" s="10"/>
      <c r="I10" s="10"/>
    </row>
    <row r="11" s="2" customFormat="1" ht="12" spans="1:9">
      <c r="A11" s="11" t="s">
        <v>11</v>
      </c>
      <c r="B11" s="12" t="s">
        <v>12</v>
      </c>
      <c r="C11" s="13"/>
      <c r="D11" s="13"/>
      <c r="E11" s="13"/>
      <c r="F11" s="13"/>
      <c r="G11" s="13"/>
      <c r="H11" s="13"/>
      <c r="I11" s="29" t="s">
        <v>15</v>
      </c>
    </row>
    <row r="12" s="2" customFormat="1" ht="24" spans="1:9">
      <c r="A12" s="14"/>
      <c r="B12" s="15" t="s">
        <v>36</v>
      </c>
      <c r="C12" s="16"/>
      <c r="D12" s="16"/>
      <c r="E12" s="17"/>
      <c r="F12" s="15" t="s">
        <v>37</v>
      </c>
      <c r="G12" s="15" t="s">
        <v>38</v>
      </c>
      <c r="H12" s="15" t="s">
        <v>39</v>
      </c>
      <c r="I12" s="30"/>
    </row>
    <row r="13" s="2" customFormat="1" ht="27.75" customHeight="1" spans="1:9">
      <c r="A13" s="18" t="s">
        <v>40</v>
      </c>
      <c r="B13" s="19" t="s">
        <v>41</v>
      </c>
      <c r="C13" s="20"/>
      <c r="D13" s="20"/>
      <c r="E13" s="21"/>
      <c r="F13" s="19">
        <v>1</v>
      </c>
      <c r="G13" s="19">
        <v>0</v>
      </c>
      <c r="H13" s="19">
        <v>1</v>
      </c>
      <c r="I13" s="31">
        <v>1</v>
      </c>
    </row>
    <row r="14" s="3" customFormat="1" ht="33.75" customHeight="1" spans="1:9">
      <c r="A14" s="22" t="s">
        <v>42</v>
      </c>
      <c r="B14" s="19" t="s">
        <v>41</v>
      </c>
      <c r="C14" s="20"/>
      <c r="D14" s="20"/>
      <c r="E14" s="21"/>
      <c r="F14" s="19"/>
      <c r="G14" s="19">
        <v>1</v>
      </c>
      <c r="H14" s="19">
        <v>0</v>
      </c>
      <c r="I14" s="32">
        <v>0</v>
      </c>
    </row>
    <row r="15" s="2" customFormat="1" ht="27.75" customHeight="1" spans="1:9">
      <c r="A15" s="18" t="s">
        <v>43</v>
      </c>
      <c r="B15" s="19" t="s">
        <v>44</v>
      </c>
      <c r="C15" s="20"/>
      <c r="D15" s="20"/>
      <c r="E15" s="21"/>
      <c r="F15" s="19">
        <v>1</v>
      </c>
      <c r="G15" s="19">
        <v>0</v>
      </c>
      <c r="H15" s="19">
        <v>1</v>
      </c>
      <c r="I15" s="31">
        <v>1</v>
      </c>
    </row>
    <row r="16" s="3" customFormat="1" ht="33.75" customHeight="1" spans="1:9">
      <c r="A16" s="22" t="s">
        <v>45</v>
      </c>
      <c r="B16" s="19" t="s">
        <v>44</v>
      </c>
      <c r="C16" s="20"/>
      <c r="D16" s="20"/>
      <c r="E16" s="21"/>
      <c r="F16" s="19"/>
      <c r="G16" s="19">
        <v>1</v>
      </c>
      <c r="H16" s="19">
        <v>0</v>
      </c>
      <c r="I16" s="32">
        <v>0</v>
      </c>
    </row>
    <row r="17" s="3" customFormat="1" spans="1:9">
      <c r="A17" s="23" t="s">
        <v>46</v>
      </c>
      <c r="B17" s="24"/>
      <c r="C17" s="24"/>
      <c r="D17" s="24"/>
      <c r="E17" s="24"/>
      <c r="F17" s="24"/>
      <c r="G17" s="24"/>
      <c r="H17" s="24"/>
      <c r="I17" s="33"/>
    </row>
    <row r="18" ht="18.95" customHeight="1" spans="1:9">
      <c r="A18" s="25"/>
      <c r="B18" s="25"/>
      <c r="C18" s="25"/>
      <c r="D18" s="25"/>
      <c r="E18" s="25"/>
      <c r="F18" s="25"/>
      <c r="G18" s="25"/>
      <c r="H18" s="25"/>
      <c r="I18" s="25"/>
    </row>
    <row r="19" s="1" customFormat="1" spans="3:6">
      <c r="C19" s="26"/>
      <c r="F19" s="1" t="s">
        <v>47</v>
      </c>
    </row>
    <row r="20" s="1" customFormat="1" spans="3:3">
      <c r="C20" s="26"/>
    </row>
    <row r="21" spans="6:7">
      <c r="F21" s="27" t="s">
        <v>48</v>
      </c>
      <c r="G21" s="27"/>
    </row>
    <row r="22" spans="6:6">
      <c r="F22" s="4" t="s">
        <v>49</v>
      </c>
    </row>
    <row r="23" spans="6:7">
      <c r="F23" s="28" t="s">
        <v>50</v>
      </c>
      <c r="G23" s="28"/>
    </row>
  </sheetData>
  <mergeCells count="15">
    <mergeCell ref="A2:I2"/>
    <mergeCell ref="A3:I3"/>
    <mergeCell ref="A4:I4"/>
    <mergeCell ref="A5:I5"/>
    <mergeCell ref="A10:I10"/>
    <mergeCell ref="B11:H11"/>
    <mergeCell ref="B12:E12"/>
    <mergeCell ref="B13:E13"/>
    <mergeCell ref="B14:E14"/>
    <mergeCell ref="B15:E15"/>
    <mergeCell ref="B16:E16"/>
    <mergeCell ref="A18:I18"/>
    <mergeCell ref="F23:G23"/>
    <mergeCell ref="A11:A12"/>
    <mergeCell ref="I11:I12"/>
  </mergeCells>
  <printOptions horizontalCentered="1"/>
  <pageMargins left="0.708661417322835" right="0.708661417322835" top="0.748031496062992" bottom="0.748031496062992" header="0.31496062992126" footer="0.31496062992126"/>
  <pageSetup paperSize="9" scale="85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as TIC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2022-11-24T07:01:00Z</dcterms:created>
  <cp:lastPrinted>2025-10-23T06:35:00Z</cp:lastPrinted>
  <dcterms:modified xsi:type="dcterms:W3CDTF">2026-01-02T08:01:56Z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CD40A62C31834684A60754AB3A4197E7_12</vt:lpwstr>
  </property>
  <property fmtid="{D5CDD505-2E9C-101B-9397-08002B2CF9AE}" pid="3" name="KSOProductBuildVer">
    <vt:lpwstr>1033-12.2.0.23196</vt:lpwstr>
  </property>
</Properties>
</file>