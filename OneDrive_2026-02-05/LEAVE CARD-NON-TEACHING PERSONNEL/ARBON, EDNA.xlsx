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" sheetId="10" r:id="rId2"/>
    <sheet name="Other types of leave" sheetId="9" r:id="rId3"/>
  </sheets>
  <definedNames>
    <definedName name="_xlnm.Print_Area" localSheetId="0">'Leave Card (NE)'!$A$1:$J$64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<sst xmlns="http://schemas.openxmlformats.org/spreadsheetml/2006/main" count="123" uniqueCount="99">
  <si>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</si>
  <si>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</si>
  <si>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</si>
  <si>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</si>
  <si>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</si>
  <si>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</si>
  <si>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</si>
  <si>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</si>
  <si>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</si>
  <si>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</si>
  <si>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</si>
  <si>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</si>
  <si>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</si>
  <si>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</si>
  <si>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</si>
  <si>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</si>
  <si>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</si>
  <si>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</si>
  <si>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</si>
  <si>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</si>
  <si>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DATE OF ORIGINAL APPOINTMENT: JULY 15, 2019</t>
  </si>
  <si>
    <t>ADD: 7/15/2019 - 07/31/2019</t>
  </si>
  <si>
    <t>ADD: 8/01/2019 - 12/31/2019</t>
  </si>
  <si>
    <t>ADD: 01/01/2020 - 12/31/2020</t>
  </si>
  <si>
    <t>LESS: FL 2020</t>
  </si>
  <si>
    <t>ADD: 01/01/2021 - 12/31/2021</t>
  </si>
  <si>
    <t>LESS: MONETIZATION 2021</t>
  </si>
  <si>
    <t>LESS: FL 2021</t>
  </si>
  <si>
    <t>ADD: 01/01/2022 - 06/30/2022</t>
  </si>
  <si>
    <t>LESS: 07/19 - 22/22</t>
  </si>
  <si>
    <t>ADD: 07/01/2022 - 12/31/2022</t>
  </si>
  <si>
    <t>LESS: MONETIZATION 2022</t>
  </si>
  <si>
    <t>LESS: FL 2022</t>
  </si>
  <si>
    <t>ADD: 01/01/2023 - 04/30/2023</t>
  </si>
  <si>
    <t>LESS: 03/6-10/2023</t>
  </si>
  <si>
    <t>LESS: 05/02/2023</t>
  </si>
  <si>
    <t>LESS: MAY 9-12, 2023</t>
  </si>
  <si>
    <t>ADD: 05/01/2023 - 06/30/2023</t>
  </si>
  <si>
    <t>LESS: 07/24 - 28/23</t>
  </si>
  <si>
    <t>ADD: 07/01/2023 - 08/31/2023</t>
  </si>
  <si>
    <t>LESS: MONETIZATION 2023</t>
  </si>
  <si>
    <t>ADD: 09/01/2023-12/31/2023</t>
  </si>
  <si>
    <t>LESS: 01/08/2024</t>
  </si>
  <si>
    <t>ADD: 01/01/2024-02/29/2024</t>
  </si>
  <si>
    <t>LESS: 03/15/2024</t>
  </si>
  <si>
    <t>ADD: 03/1/2024-06/30/2024</t>
  </si>
  <si>
    <t>LESS: 07/19/2024</t>
  </si>
  <si>
    <t>ADD: 07/1-31/2024</t>
  </si>
  <si>
    <t>LESS: MONETIZATION 2024</t>
  </si>
  <si>
    <t>ADD: 08/1/2024-09/30/2024</t>
  </si>
  <si>
    <t>LESS: 11/4/2024</t>
  </si>
  <si>
    <t>ADD: 10/1/2024-11/30/2024</t>
  </si>
  <si>
    <t>LESS: 12/6/2024</t>
  </si>
  <si>
    <t>LESS: 12/18/2024</t>
  </si>
  <si>
    <t>LESS: 12/23 &amp; 26/2024</t>
  </si>
  <si>
    <t>ADD: 12/1-31/2024</t>
  </si>
  <si>
    <t>LESS: 01/24/2025</t>
  </si>
  <si>
    <t>ADD: 01/1/2025-06/30/2025</t>
  </si>
  <si>
    <t>LESS: MONETIZATION 2025</t>
  </si>
  <si>
    <t>ADD: 07/1-31/2025</t>
  </si>
  <si>
    <t>LESS: 09/8/2025</t>
  </si>
  <si>
    <t>ADD: 08/1/2025-09/30/2025</t>
  </si>
  <si>
    <t>LESS: 09/15-19/2025</t>
  </si>
  <si>
    <t>ADD: 10/1/2025-11/30/2025</t>
  </si>
  <si>
    <t>LESS: 12/4-5/2025</t>
  </si>
  <si>
    <t>LESS: 12/26/2025</t>
  </si>
  <si>
    <t>Certified Correct:</t>
  </si>
  <si>
    <t xml:space="preserve"> MA. LUISA B. CATIGAN</t>
  </si>
  <si>
    <t>Administrative Officer IV</t>
  </si>
  <si>
    <t xml:space="preserve">                  HRMO</t>
  </si>
  <si>
    <t>COMPENSATORY TIME OFF (CTO)</t>
  </si>
  <si>
    <t>Special Order No. and Date Issued</t>
  </si>
  <si>
    <t>No. of Days Granted</t>
  </si>
  <si>
    <t>No. of Days Used</t>
  </si>
  <si>
    <t>Balance</t>
  </si>
  <si>
    <t>ADD: 05/20/2024</t>
  </si>
  <si>
    <t>S.O. # 015, S. 2022. PALARONG PANLALAWIGAN 2024</t>
  </si>
  <si>
    <t>LESS: 12/27/2024</t>
  </si>
  <si>
    <t>NOTE:  Valid for one (1) year only</t>
  </si>
  <si>
    <t>MA. LUISA B. CATIGAN</t>
  </si>
  <si>
    <t>HRMO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</si>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</sst>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1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21" applyNumberFormat="0" applyAlignment="0" applyProtection="0">
      <alignment vertical="center"/>
    </xf>
    <xf numFmtId="0" fontId="19" fillId="17" borderId="22" applyNumberFormat="0" applyAlignment="0" applyProtection="0">
      <alignment vertical="center"/>
    </xf>
    <xf numFmtId="0" fontId="20" fillId="17" borderId="21" applyNumberFormat="0" applyAlignment="0" applyProtection="0">
      <alignment vertical="center"/>
    </xf>
    <xf numFmtId="0" fontId="21" fillId="18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</cellStyleXfs>
  <cellXfs count="7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13" borderId="3" xfId="0" applyNumberFormat="1" applyFill="1" applyBorder="1" applyAlignment="1">
      <alignment horizontal="center" vertical="center"/>
    </xf>
    <xf numFmtId="176" fontId="0" fillId="14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6" fontId="0" fillId="0" borderId="3" xfId="0" applyNumberForma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9" fillId="2" borderId="0" xfId="0" applyFont="1" applyFill="1"/>
    <xf numFmtId="0" fontId="5" fillId="12" borderId="11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268654</xdr:colOff>
      <xdr:row>0</xdr:row>
      <xdr:rowOff>55683</xdr:rowOff>
    </xdr:from>
    <xdr:to>
      <xdr:col>4</xdr:col>
      <xdr:colOff>341923</xdr:colOff>
      <xdr:row>1</xdr:row>
      <xdr:rowOff>30527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2775" y="55245"/>
          <a:ext cx="866775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5" name="TextBox 4"/>
        <xdr:cNvSpPr txBox="1"/>
      </xdr:nvSpPr>
      <xdr:spPr>
        <a:xfrm>
          <a:off x="573405" y="1376045"/>
          <a:ext cx="199326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ARBON, EDNA T.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6" name="TextBox 5"/>
        <xdr:cNvSpPr txBox="1"/>
      </xdr:nvSpPr>
      <xdr:spPr>
        <a:xfrm>
          <a:off x="616585" y="1725930"/>
          <a:ext cx="195008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PRINCIPAL  </a:t>
          </a:r>
          <a:r>
            <a:rPr lang="en-US" sz="1100"/>
            <a:t>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415193</xdr:colOff>
      <xdr:row>8</xdr:row>
      <xdr:rowOff>140434</xdr:rowOff>
    </xdr:to>
    <xdr:sp>
      <xdr:nvSpPr>
        <xdr:cNvPr id="7" name="TextBox 6"/>
        <xdr:cNvSpPr txBox="1"/>
      </xdr:nvSpPr>
      <xdr:spPr>
        <a:xfrm>
          <a:off x="3775075" y="1707515"/>
          <a:ext cx="158750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</a:t>
          </a:r>
          <a:r>
            <a:rPr lang="en-US" sz="1100" baseline="0"/>
            <a:t> - MAIN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407737</xdr:colOff>
      <xdr:row>0</xdr:row>
      <xdr:rowOff>65088</xdr:rowOff>
    </xdr:from>
    <xdr:to>
      <xdr:col>4</xdr:col>
      <xdr:colOff>1264152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0990" y="64770"/>
          <a:ext cx="855980" cy="72834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606651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502410"/>
          <a:ext cx="188468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ARBON,</a:t>
          </a:r>
          <a:r>
            <a:rPr lang="en-US" sz="1100" baseline="0"/>
            <a:t> EDNA4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810385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5" name="TextBox 4"/>
        <xdr:cNvSpPr txBox="1"/>
      </xdr:nvSpPr>
      <xdr:spPr>
        <a:xfrm>
          <a:off x="3612515" y="1833245"/>
          <a:ext cx="189611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385" y="28575"/>
          <a:ext cx="683895" cy="625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749165"/>
          <a:ext cx="29749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4"/>
  <sheetViews>
    <sheetView tabSelected="1" view="pageBreakPreview" zoomScale="104" zoomScaleNormal="100" topLeftCell="A41" workbookViewId="0">
      <selection activeCell="A57" sqref="$A57:$XFD57"/>
    </sheetView>
  </sheetViews>
  <sheetFormatPr defaultColWidth="9" defaultRowHeight="14.4"/>
  <cols>
    <col min="1" max="1" width="37.4259259259259" customWidth="1"/>
    <col min="2" max="2" width="11.5740740740741" style="49" customWidth="1"/>
    <col min="3" max="3" width="11.5740740740741" style="50" customWidth="1"/>
    <col min="4" max="4" width="11.5740740740741" style="49" customWidth="1"/>
    <col min="5" max="5" width="11.5740740740741" style="50" customWidth="1"/>
    <col min="6" max="7" width="11.5740740740741" style="51" customWidth="1"/>
    <col min="8" max="8" width="11.5740740740741" style="49" customWidth="1"/>
    <col min="9" max="9" width="11.5740740740741" style="50" customWidth="1"/>
    <col min="10" max="10" width="11.5740740740741" customWidth="1"/>
  </cols>
  <sheetData>
    <row r="1" s="1" customFormat="1" ht="52.5" customHeight="1"/>
    <row r="2" s="1" customFormat="1" ht="10.5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5.95" customHeight="1" spans="1:1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15.95" customHeight="1" spans="1:10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15.95" customHeight="1" spans="1:10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="1" customFormat="1" ht="8.25" customHeight="1"/>
    <row r="7" s="1" customFormat="1" ht="12" customHeight="1" spans="1:10">
      <c r="A7" s="1" t="s">
        <v>4</v>
      </c>
      <c r="B7" s="9" t="s">
        <v>5</v>
      </c>
      <c r="C7" s="9"/>
      <c r="D7" s="9"/>
      <c r="H7" s="8" t="s">
        <v>6</v>
      </c>
      <c r="I7" s="26"/>
      <c r="J7" s="8"/>
    </row>
    <row r="8" s="1" customFormat="1" ht="12" customHeight="1" spans="2:10">
      <c r="B8" s="10"/>
      <c r="C8" s="10"/>
      <c r="H8" s="10"/>
      <c r="I8" s="10"/>
      <c r="J8" s="10"/>
    </row>
    <row r="9" s="1" customFormat="1" ht="12" customHeight="1" spans="1:10">
      <c r="A9" s="1" t="s">
        <v>7</v>
      </c>
      <c r="B9" s="9" t="s">
        <v>8</v>
      </c>
      <c r="C9" s="9"/>
      <c r="D9" s="9"/>
      <c r="H9" s="8" t="s">
        <v>9</v>
      </c>
      <c r="I9" s="27"/>
      <c r="J9" s="8"/>
    </row>
    <row r="10" ht="16.5" customHeight="1" spans="1:10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</row>
    <row r="11" s="2" customFormat="1" ht="18.75" customHeight="1" spans="1:10">
      <c r="A11" s="52" t="s">
        <v>11</v>
      </c>
      <c r="B11" s="53" t="s">
        <v>12</v>
      </c>
      <c r="C11" s="54"/>
      <c r="D11" s="55" t="s">
        <v>13</v>
      </c>
      <c r="E11" s="56"/>
      <c r="F11" s="56"/>
      <c r="G11" s="56"/>
      <c r="H11" s="57" t="s">
        <v>14</v>
      </c>
      <c r="I11" s="72"/>
      <c r="J11" s="73" t="s">
        <v>15</v>
      </c>
    </row>
    <row r="12" s="2" customFormat="1" ht="24.6" customHeight="1" spans="1:10">
      <c r="A12" s="58"/>
      <c r="B12" s="59" t="s">
        <v>16</v>
      </c>
      <c r="C12" s="60" t="s">
        <v>17</v>
      </c>
      <c r="D12" s="59" t="s">
        <v>16</v>
      </c>
      <c r="E12" s="60" t="s">
        <v>17</v>
      </c>
      <c r="F12" s="61" t="s">
        <v>18</v>
      </c>
      <c r="G12" s="62" t="s">
        <v>19</v>
      </c>
      <c r="H12" s="59" t="s">
        <v>16</v>
      </c>
      <c r="I12" s="60" t="s">
        <v>17</v>
      </c>
      <c r="J12" s="74"/>
    </row>
    <row r="13" s="2" customFormat="1" ht="14.1" customHeight="1" spans="1:10">
      <c r="A13" s="63" t="s">
        <v>20</v>
      </c>
      <c r="B13" s="64"/>
      <c r="C13" s="64"/>
      <c r="D13" s="64"/>
      <c r="E13" s="64"/>
      <c r="F13" s="64"/>
      <c r="G13" s="64"/>
      <c r="H13" s="64"/>
      <c r="I13" s="64"/>
      <c r="J13" s="75"/>
    </row>
    <row r="14" s="2" customFormat="1" ht="14.1" customHeight="1" spans="1:10">
      <c r="A14" s="16" t="s">
        <v>21</v>
      </c>
      <c r="B14" s="25">
        <v>0.708</v>
      </c>
      <c r="C14" s="25">
        <v>0.708</v>
      </c>
      <c r="D14" s="25"/>
      <c r="E14" s="25"/>
      <c r="F14" s="25"/>
      <c r="G14" s="25"/>
      <c r="H14" s="25">
        <f>B14</f>
        <v>0.708</v>
      </c>
      <c r="I14" s="25">
        <f>C14</f>
        <v>0.708</v>
      </c>
      <c r="J14" s="76">
        <f>H14+I14</f>
        <v>1.416</v>
      </c>
    </row>
    <row r="15" s="2" customFormat="1" ht="14.1" customHeight="1" spans="1:10">
      <c r="A15" s="16" t="s">
        <v>22</v>
      </c>
      <c r="B15" s="25">
        <v>6.25</v>
      </c>
      <c r="C15" s="25">
        <v>6.25</v>
      </c>
      <c r="D15" s="25"/>
      <c r="E15" s="25"/>
      <c r="F15" s="25"/>
      <c r="G15" s="25"/>
      <c r="H15" s="25">
        <f>H14-F15-D15+B15</f>
        <v>6.958</v>
      </c>
      <c r="I15" s="25">
        <f>I14-E15+C15</f>
        <v>6.958</v>
      </c>
      <c r="J15" s="76">
        <f t="shared" ref="J15:J21" si="0">H15+I15</f>
        <v>13.916</v>
      </c>
    </row>
    <row r="16" s="2" customFormat="1" ht="14.1" customHeight="1" spans="1:10">
      <c r="A16" s="16" t="s">
        <v>23</v>
      </c>
      <c r="B16" s="25">
        <v>15</v>
      </c>
      <c r="C16" s="25">
        <v>15</v>
      </c>
      <c r="D16" s="25"/>
      <c r="E16" s="25"/>
      <c r="F16" s="25"/>
      <c r="G16" s="25"/>
      <c r="H16" s="25">
        <f t="shared" ref="H16:H19" si="1">H15-F16-D16+B16</f>
        <v>21.958</v>
      </c>
      <c r="I16" s="25">
        <f t="shared" ref="I16:I19" si="2">I15-E16+C16</f>
        <v>21.958</v>
      </c>
      <c r="J16" s="76">
        <f t="shared" ref="J16:J19" si="3">H16+I16</f>
        <v>43.916</v>
      </c>
    </row>
    <row r="17" s="2" customFormat="1" ht="14.1" customHeight="1" spans="1:10">
      <c r="A17" s="16" t="s">
        <v>24</v>
      </c>
      <c r="B17" s="25"/>
      <c r="C17" s="25"/>
      <c r="D17" s="25"/>
      <c r="E17" s="25"/>
      <c r="F17" s="25">
        <v>5</v>
      </c>
      <c r="G17" s="25"/>
      <c r="H17" s="25">
        <f t="shared" si="1"/>
        <v>16.958</v>
      </c>
      <c r="I17" s="25">
        <f t="shared" si="2"/>
        <v>21.958</v>
      </c>
      <c r="J17" s="76">
        <f t="shared" si="3"/>
        <v>38.916</v>
      </c>
    </row>
    <row r="18" s="2" customFormat="1" ht="14.1" customHeight="1" spans="1:10">
      <c r="A18" s="16" t="s">
        <v>25</v>
      </c>
      <c r="B18" s="25">
        <v>15</v>
      </c>
      <c r="C18" s="25">
        <v>15</v>
      </c>
      <c r="D18" s="25"/>
      <c r="E18" s="25"/>
      <c r="F18" s="25"/>
      <c r="G18" s="25"/>
      <c r="H18" s="25">
        <f t="shared" si="1"/>
        <v>31.958</v>
      </c>
      <c r="I18" s="25">
        <f t="shared" si="2"/>
        <v>36.958</v>
      </c>
      <c r="J18" s="76">
        <f t="shared" si="3"/>
        <v>68.916</v>
      </c>
    </row>
    <row r="19" s="2" customFormat="1" ht="14.1" customHeight="1" spans="1:10">
      <c r="A19" s="16" t="s">
        <v>26</v>
      </c>
      <c r="B19" s="25"/>
      <c r="C19" s="25"/>
      <c r="D19" s="25">
        <v>20</v>
      </c>
      <c r="E19" s="25">
        <v>9</v>
      </c>
      <c r="F19" s="25"/>
      <c r="G19" s="25"/>
      <c r="H19" s="25">
        <f t="shared" si="1"/>
        <v>11.958</v>
      </c>
      <c r="I19" s="25">
        <f t="shared" si="2"/>
        <v>27.958</v>
      </c>
      <c r="J19" s="76">
        <f t="shared" si="3"/>
        <v>39.916</v>
      </c>
    </row>
    <row r="20" s="2" customFormat="1" ht="14.1" customHeight="1" spans="1:10">
      <c r="A20" s="16" t="s">
        <v>27</v>
      </c>
      <c r="B20" s="25"/>
      <c r="C20" s="25"/>
      <c r="D20" s="25"/>
      <c r="E20" s="25"/>
      <c r="F20" s="25">
        <v>5</v>
      </c>
      <c r="G20" s="25"/>
      <c r="H20" s="25">
        <f t="shared" ref="H20:H21" si="4">H19-F20-D20+B20</f>
        <v>6.958</v>
      </c>
      <c r="I20" s="25">
        <f t="shared" ref="I20:I21" si="5">I19-E20+C20</f>
        <v>27.958</v>
      </c>
      <c r="J20" s="76">
        <f t="shared" si="0"/>
        <v>34.916</v>
      </c>
    </row>
    <row r="21" s="2" customFormat="1" ht="14.1" customHeight="1" spans="1:10">
      <c r="A21" s="16" t="s">
        <v>28</v>
      </c>
      <c r="B21" s="25">
        <v>7.5</v>
      </c>
      <c r="C21" s="25">
        <v>7.5</v>
      </c>
      <c r="D21" s="25"/>
      <c r="E21" s="25"/>
      <c r="F21" s="25"/>
      <c r="G21" s="25"/>
      <c r="H21" s="25">
        <f t="shared" si="4"/>
        <v>14.458</v>
      </c>
      <c r="I21" s="25">
        <f t="shared" si="5"/>
        <v>35.458</v>
      </c>
      <c r="J21" s="76">
        <f t="shared" si="0"/>
        <v>49.916</v>
      </c>
    </row>
    <row r="22" s="2" customFormat="1" ht="14.1" customHeight="1" spans="1:10">
      <c r="A22" s="16" t="s">
        <v>29</v>
      </c>
      <c r="B22" s="25"/>
      <c r="C22" s="25"/>
      <c r="D22" s="25"/>
      <c r="E22" s="25"/>
      <c r="F22" s="25">
        <v>4</v>
      </c>
      <c r="G22" s="25"/>
      <c r="H22" s="25">
        <f t="shared" ref="H22:H27" si="6">H21-F22-D22+B22</f>
        <v>10.458</v>
      </c>
      <c r="I22" s="25">
        <f t="shared" ref="I22:I27" si="7">I21-E22+C22</f>
        <v>35.458</v>
      </c>
      <c r="J22" s="76">
        <f t="shared" ref="J22:J27" si="8">H22+I22</f>
        <v>45.916</v>
      </c>
    </row>
    <row r="23" s="2" customFormat="1" ht="14.1" customHeight="1" spans="1:10">
      <c r="A23" s="16" t="s">
        <v>30</v>
      </c>
      <c r="B23" s="25">
        <v>7.5</v>
      </c>
      <c r="C23" s="25">
        <v>7.5</v>
      </c>
      <c r="D23" s="25"/>
      <c r="E23" s="25"/>
      <c r="F23" s="25"/>
      <c r="G23" s="25"/>
      <c r="H23" s="25">
        <f t="shared" si="6"/>
        <v>17.958</v>
      </c>
      <c r="I23" s="25">
        <f t="shared" si="7"/>
        <v>42.958</v>
      </c>
      <c r="J23" s="76">
        <f t="shared" si="8"/>
        <v>60.916</v>
      </c>
    </row>
    <row r="24" s="3" customFormat="1" ht="14.1" customHeight="1" spans="1:10">
      <c r="A24" s="16" t="s">
        <v>31</v>
      </c>
      <c r="B24" s="25"/>
      <c r="C24" s="25"/>
      <c r="D24" s="25">
        <v>4</v>
      </c>
      <c r="E24" s="25">
        <v>25</v>
      </c>
      <c r="F24" s="25"/>
      <c r="G24" s="25"/>
      <c r="H24" s="25">
        <f t="shared" si="6"/>
        <v>13.958</v>
      </c>
      <c r="I24" s="25">
        <f t="shared" si="7"/>
        <v>17.958</v>
      </c>
      <c r="J24" s="76">
        <f t="shared" si="8"/>
        <v>31.916</v>
      </c>
    </row>
    <row r="25" s="3" customFormat="1" ht="14.1" customHeight="1" spans="1:10">
      <c r="A25" s="17" t="s">
        <v>32</v>
      </c>
      <c r="B25" s="25"/>
      <c r="C25" s="25"/>
      <c r="D25" s="25"/>
      <c r="E25" s="25"/>
      <c r="F25" s="25">
        <v>1</v>
      </c>
      <c r="G25" s="25"/>
      <c r="H25" s="25">
        <f t="shared" si="6"/>
        <v>12.958</v>
      </c>
      <c r="I25" s="25">
        <f t="shared" si="7"/>
        <v>17.958</v>
      </c>
      <c r="J25" s="76">
        <f t="shared" si="8"/>
        <v>30.916</v>
      </c>
    </row>
    <row r="26" s="3" customFormat="1" ht="14.1" customHeight="1" spans="1:10">
      <c r="A26" s="17" t="s">
        <v>33</v>
      </c>
      <c r="B26" s="25">
        <v>5</v>
      </c>
      <c r="C26" s="25">
        <v>5</v>
      </c>
      <c r="D26" s="25"/>
      <c r="E26" s="25"/>
      <c r="F26" s="25"/>
      <c r="G26" s="25"/>
      <c r="H26" s="25">
        <f t="shared" si="6"/>
        <v>17.958</v>
      </c>
      <c r="I26" s="25">
        <f t="shared" si="7"/>
        <v>22.958</v>
      </c>
      <c r="J26" s="76">
        <f t="shared" si="8"/>
        <v>40.916</v>
      </c>
    </row>
    <row r="27" s="3" customFormat="1" ht="14.1" customHeight="1" spans="1:10">
      <c r="A27" s="17" t="s">
        <v>34</v>
      </c>
      <c r="B27" s="25"/>
      <c r="C27" s="25"/>
      <c r="D27" s="25"/>
      <c r="E27" s="25"/>
      <c r="F27" s="25">
        <v>5</v>
      </c>
      <c r="G27" s="25"/>
      <c r="H27" s="25">
        <f t="shared" si="6"/>
        <v>12.958</v>
      </c>
      <c r="I27" s="25">
        <f t="shared" si="7"/>
        <v>22.958</v>
      </c>
      <c r="J27" s="76">
        <f t="shared" si="8"/>
        <v>35.916</v>
      </c>
    </row>
    <row r="28" s="3" customFormat="1" ht="14.1" customHeight="1" spans="1:10">
      <c r="A28" s="17" t="s">
        <v>35</v>
      </c>
      <c r="B28" s="25"/>
      <c r="C28" s="25"/>
      <c r="D28" s="25"/>
      <c r="E28" s="25"/>
      <c r="F28" s="25"/>
      <c r="G28" s="25">
        <v>1</v>
      </c>
      <c r="H28" s="25">
        <f t="shared" ref="H28:H29" si="9">H27-F28-D28+B28</f>
        <v>12.958</v>
      </c>
      <c r="I28" s="25">
        <f t="shared" ref="I28:I29" si="10">I27-E28+C28</f>
        <v>22.958</v>
      </c>
      <c r="J28" s="76">
        <f t="shared" ref="J28:J29" si="11">H28+I28</f>
        <v>35.916</v>
      </c>
    </row>
    <row r="29" s="3" customFormat="1" ht="14.1" customHeight="1" spans="1:10">
      <c r="A29" s="17" t="s">
        <v>36</v>
      </c>
      <c r="B29" s="25"/>
      <c r="C29" s="25"/>
      <c r="D29" s="25"/>
      <c r="E29" s="25">
        <v>4</v>
      </c>
      <c r="F29" s="25"/>
      <c r="G29" s="25"/>
      <c r="H29" s="25">
        <f t="shared" si="9"/>
        <v>12.958</v>
      </c>
      <c r="I29" s="25">
        <f t="shared" si="10"/>
        <v>18.958</v>
      </c>
      <c r="J29" s="76">
        <f t="shared" si="11"/>
        <v>31.916</v>
      </c>
    </row>
    <row r="30" s="3" customFormat="1" ht="14.1" customHeight="1" spans="1:10">
      <c r="A30" s="17" t="s">
        <v>37</v>
      </c>
      <c r="B30" s="25">
        <v>2.5</v>
      </c>
      <c r="C30" s="25">
        <v>2.5</v>
      </c>
      <c r="D30" s="25"/>
      <c r="E30" s="25"/>
      <c r="F30" s="25"/>
      <c r="G30" s="25"/>
      <c r="H30" s="25">
        <f t="shared" ref="H30:H31" si="12">H29-F30-D30+B30</f>
        <v>15.458</v>
      </c>
      <c r="I30" s="25">
        <f t="shared" ref="I30:I31" si="13">I29-E30+C30</f>
        <v>21.458</v>
      </c>
      <c r="J30" s="76">
        <f t="shared" ref="J30:J31" si="14">H30+I30</f>
        <v>36.916</v>
      </c>
    </row>
    <row r="31" s="3" customFormat="1" ht="14.1" customHeight="1" spans="1:10">
      <c r="A31" s="17" t="s">
        <v>38</v>
      </c>
      <c r="B31" s="25"/>
      <c r="C31" s="25"/>
      <c r="D31" s="25">
        <v>3</v>
      </c>
      <c r="E31" s="25"/>
      <c r="F31" s="25"/>
      <c r="G31" s="25">
        <v>2</v>
      </c>
      <c r="H31" s="25">
        <f t="shared" si="12"/>
        <v>12.458</v>
      </c>
      <c r="I31" s="25">
        <f t="shared" si="13"/>
        <v>21.458</v>
      </c>
      <c r="J31" s="76">
        <f t="shared" si="14"/>
        <v>33.916</v>
      </c>
    </row>
    <row r="32" s="3" customFormat="1" ht="14.1" customHeight="1" spans="1:10">
      <c r="A32" s="17" t="s">
        <v>39</v>
      </c>
      <c r="B32" s="25">
        <v>2.5</v>
      </c>
      <c r="C32" s="25">
        <v>2.5</v>
      </c>
      <c r="D32" s="25"/>
      <c r="E32" s="25"/>
      <c r="F32" s="25"/>
      <c r="G32" s="25"/>
      <c r="H32" s="25">
        <f t="shared" ref="H32:H33" si="15">H31-F32-D32+B32</f>
        <v>14.958</v>
      </c>
      <c r="I32" s="25">
        <f t="shared" ref="I32:I33" si="16">I31-E32+C32</f>
        <v>23.958</v>
      </c>
      <c r="J32" s="76">
        <f t="shared" ref="J32:J33" si="17">H32+I32</f>
        <v>38.916</v>
      </c>
    </row>
    <row r="33" s="3" customFormat="1" ht="14.1" customHeight="1" spans="1:10">
      <c r="A33" s="17" t="s">
        <v>40</v>
      </c>
      <c r="B33" s="25"/>
      <c r="C33" s="25"/>
      <c r="D33" s="25">
        <v>9</v>
      </c>
      <c r="E33" s="25">
        <v>18</v>
      </c>
      <c r="F33" s="25"/>
      <c r="G33" s="25"/>
      <c r="H33" s="25">
        <f t="shared" si="15"/>
        <v>5.958</v>
      </c>
      <c r="I33" s="25">
        <f t="shared" si="16"/>
        <v>5.958</v>
      </c>
      <c r="J33" s="76">
        <f t="shared" si="17"/>
        <v>11.916</v>
      </c>
    </row>
    <row r="34" s="3" customFormat="1" ht="14.1" customHeight="1" spans="1:10">
      <c r="A34" s="17" t="s">
        <v>41</v>
      </c>
      <c r="B34" s="25">
        <f>4*1.25</f>
        <v>5</v>
      </c>
      <c r="C34" s="25">
        <v>5</v>
      </c>
      <c r="D34" s="25"/>
      <c r="E34" s="25"/>
      <c r="F34" s="25"/>
      <c r="G34" s="25"/>
      <c r="H34" s="25">
        <f t="shared" ref="H34:H37" si="18">H33-F34-D34+B34</f>
        <v>10.958</v>
      </c>
      <c r="I34" s="25">
        <f t="shared" ref="I34:I37" si="19">I33-E34+C34</f>
        <v>10.958</v>
      </c>
      <c r="J34" s="76">
        <f t="shared" ref="J34:J35" si="20">H34+I34</f>
        <v>21.916</v>
      </c>
    </row>
    <row r="35" s="3" customFormat="1" ht="14.1" customHeight="1" spans="1:10">
      <c r="A35" s="17" t="s">
        <v>42</v>
      </c>
      <c r="B35" s="25"/>
      <c r="C35" s="25"/>
      <c r="D35" s="25"/>
      <c r="E35" s="25"/>
      <c r="F35" s="65"/>
      <c r="G35" s="65">
        <v>1</v>
      </c>
      <c r="H35" s="25">
        <f t="shared" si="18"/>
        <v>10.958</v>
      </c>
      <c r="I35" s="25">
        <f t="shared" si="19"/>
        <v>10.958</v>
      </c>
      <c r="J35" s="76">
        <f t="shared" si="20"/>
        <v>21.916</v>
      </c>
    </row>
    <row r="36" s="3" customFormat="1" ht="14.1" customHeight="1" spans="1:10">
      <c r="A36" s="17" t="s">
        <v>43</v>
      </c>
      <c r="B36" s="25">
        <v>2.5</v>
      </c>
      <c r="C36" s="25">
        <v>2.5</v>
      </c>
      <c r="D36" s="25"/>
      <c r="E36" s="25"/>
      <c r="F36" s="65"/>
      <c r="G36" s="65"/>
      <c r="H36" s="25">
        <f t="shared" si="18"/>
        <v>13.458</v>
      </c>
      <c r="I36" s="25">
        <f t="shared" si="19"/>
        <v>13.458</v>
      </c>
      <c r="J36" s="76">
        <f t="shared" ref="J36:J37" si="21">H36+I36</f>
        <v>26.916</v>
      </c>
    </row>
    <row r="37" s="3" customFormat="1" ht="14.1" customHeight="1" spans="1:10">
      <c r="A37" s="17" t="s">
        <v>44</v>
      </c>
      <c r="B37" s="25"/>
      <c r="C37" s="25"/>
      <c r="D37" s="25"/>
      <c r="E37" s="25"/>
      <c r="F37" s="65"/>
      <c r="G37" s="65">
        <v>1</v>
      </c>
      <c r="H37" s="25">
        <f t="shared" si="18"/>
        <v>13.458</v>
      </c>
      <c r="I37" s="25">
        <f t="shared" si="19"/>
        <v>13.458</v>
      </c>
      <c r="J37" s="76">
        <f t="shared" si="21"/>
        <v>26.916</v>
      </c>
    </row>
    <row r="38" s="3" customFormat="1" ht="15" customHeight="1" spans="1:10">
      <c r="A38" s="17" t="s">
        <v>45</v>
      </c>
      <c r="B38" s="25">
        <v>5</v>
      </c>
      <c r="C38" s="25">
        <v>5</v>
      </c>
      <c r="D38" s="25"/>
      <c r="E38" s="25"/>
      <c r="F38" s="65"/>
      <c r="G38" s="65"/>
      <c r="H38" s="25">
        <f t="shared" ref="H38:H39" si="22">H37-F38-D38+B38</f>
        <v>18.458</v>
      </c>
      <c r="I38" s="25">
        <f t="shared" ref="I38:I39" si="23">I37-E38+C38</f>
        <v>18.458</v>
      </c>
      <c r="J38" s="76">
        <f t="shared" ref="J38:J39" si="24">H38+I38</f>
        <v>36.916</v>
      </c>
    </row>
    <row r="39" s="3" customFormat="1" ht="15.75" customHeight="1" spans="1:10">
      <c r="A39" s="17" t="s">
        <v>46</v>
      </c>
      <c r="B39" s="25"/>
      <c r="C39" s="25"/>
      <c r="D39" s="25"/>
      <c r="E39" s="25"/>
      <c r="F39" s="65">
        <v>1</v>
      </c>
      <c r="G39" s="65"/>
      <c r="H39" s="25">
        <f t="shared" si="22"/>
        <v>17.458</v>
      </c>
      <c r="I39" s="25">
        <f t="shared" si="23"/>
        <v>18.458</v>
      </c>
      <c r="J39" s="76">
        <f t="shared" si="24"/>
        <v>35.916</v>
      </c>
    </row>
    <row r="40" s="3" customFormat="1" ht="15.75" customHeight="1" spans="1:10">
      <c r="A40" s="46" t="s">
        <v>47</v>
      </c>
      <c r="B40" s="65">
        <v>1.25</v>
      </c>
      <c r="C40" s="65">
        <v>1.25</v>
      </c>
      <c r="D40" s="65"/>
      <c r="E40" s="65"/>
      <c r="F40" s="65"/>
      <c r="G40" s="65"/>
      <c r="H40" s="25">
        <f t="shared" ref="H40" si="25">H39-F40-D40+B40</f>
        <v>18.708</v>
      </c>
      <c r="I40" s="25">
        <f t="shared" ref="I40" si="26">I39-E40+C40</f>
        <v>19.708</v>
      </c>
      <c r="J40" s="76">
        <f t="shared" ref="J40" si="27">H40+I40</f>
        <v>38.416</v>
      </c>
    </row>
    <row r="41" s="3" customFormat="1" ht="15.75" customHeight="1" spans="1:10">
      <c r="A41" s="46" t="s">
        <v>48</v>
      </c>
      <c r="B41" s="65"/>
      <c r="C41" s="65"/>
      <c r="D41" s="65">
        <v>13</v>
      </c>
      <c r="E41" s="65"/>
      <c r="F41" s="65"/>
      <c r="G41" s="65"/>
      <c r="H41" s="65">
        <f t="shared" ref="H41" si="28">H40-F41-D41+B41</f>
        <v>5.708</v>
      </c>
      <c r="I41" s="65">
        <f t="shared" ref="I41" si="29">I40-E41+C41</f>
        <v>19.708</v>
      </c>
      <c r="J41" s="77">
        <f t="shared" ref="J41" si="30">H41+I41</f>
        <v>25.416</v>
      </c>
    </row>
    <row r="42" s="3" customFormat="1" ht="15.75" customHeight="1" spans="1:10">
      <c r="A42" s="46" t="s">
        <v>49</v>
      </c>
      <c r="B42" s="65">
        <v>2.5</v>
      </c>
      <c r="C42" s="65">
        <v>2.5</v>
      </c>
      <c r="D42" s="65"/>
      <c r="E42" s="65"/>
      <c r="F42" s="65"/>
      <c r="G42" s="65"/>
      <c r="H42" s="65">
        <f t="shared" ref="H42:H43" si="31">H41-F42-D42+B42</f>
        <v>8.208</v>
      </c>
      <c r="I42" s="65">
        <f t="shared" ref="I42:I43" si="32">I41-E42+C42</f>
        <v>22.208</v>
      </c>
      <c r="J42" s="77">
        <f t="shared" ref="J42:J43" si="33">H42+I42</f>
        <v>30.416</v>
      </c>
    </row>
    <row r="43" s="3" customFormat="1" ht="15.75" customHeight="1" spans="1:10">
      <c r="A43" s="46" t="s">
        <v>50</v>
      </c>
      <c r="B43" s="65"/>
      <c r="C43" s="65"/>
      <c r="D43" s="65"/>
      <c r="E43" s="65"/>
      <c r="F43" s="65">
        <v>1</v>
      </c>
      <c r="G43" s="65"/>
      <c r="H43" s="65">
        <f t="shared" si="31"/>
        <v>7.208</v>
      </c>
      <c r="I43" s="65">
        <f t="shared" si="32"/>
        <v>22.208</v>
      </c>
      <c r="J43" s="77">
        <f t="shared" si="33"/>
        <v>29.416</v>
      </c>
    </row>
    <row r="44" s="3" customFormat="1" ht="15.75" customHeight="1" spans="1:10">
      <c r="A44" s="46" t="s">
        <v>51</v>
      </c>
      <c r="B44" s="65">
        <v>2.5</v>
      </c>
      <c r="C44" s="65">
        <v>2.5</v>
      </c>
      <c r="D44" s="65"/>
      <c r="E44" s="65"/>
      <c r="F44" s="65"/>
      <c r="G44" s="65"/>
      <c r="H44" s="65">
        <f t="shared" ref="H44:H45" si="34">H43-F44-D44+B44</f>
        <v>9.708</v>
      </c>
      <c r="I44" s="65">
        <f t="shared" ref="I44:I45" si="35">I43-E44+C44</f>
        <v>24.708</v>
      </c>
      <c r="J44" s="77">
        <f t="shared" ref="J44:J45" si="36">H44+I44</f>
        <v>34.416</v>
      </c>
    </row>
    <row r="45" s="3" customFormat="1" ht="15.75" customHeight="1" spans="1:10">
      <c r="A45" s="46" t="s">
        <v>52</v>
      </c>
      <c r="B45" s="65"/>
      <c r="C45" s="65"/>
      <c r="D45" s="65"/>
      <c r="E45" s="65"/>
      <c r="F45" s="65">
        <v>1</v>
      </c>
      <c r="G45" s="65"/>
      <c r="H45" s="65">
        <f t="shared" si="34"/>
        <v>8.708</v>
      </c>
      <c r="I45" s="65">
        <f t="shared" si="35"/>
        <v>24.708</v>
      </c>
      <c r="J45" s="77">
        <f t="shared" si="36"/>
        <v>33.416</v>
      </c>
    </row>
    <row r="46" s="3" customFormat="1" ht="15.75" customHeight="1" spans="1:10">
      <c r="A46" s="46" t="s">
        <v>53</v>
      </c>
      <c r="B46" s="65"/>
      <c r="C46" s="65"/>
      <c r="D46" s="65"/>
      <c r="E46" s="65"/>
      <c r="F46" s="65"/>
      <c r="G46" s="65">
        <v>1</v>
      </c>
      <c r="H46" s="65">
        <f t="shared" ref="H46" si="37">H45-F46-D46+B46</f>
        <v>8.708</v>
      </c>
      <c r="I46" s="65">
        <f t="shared" ref="I46" si="38">I45-E46+C46</f>
        <v>24.708</v>
      </c>
      <c r="J46" s="77">
        <f t="shared" ref="J46" si="39">H46+I46</f>
        <v>33.416</v>
      </c>
    </row>
    <row r="47" s="3" customFormat="1" ht="15.75" customHeight="1" spans="1:10">
      <c r="A47" s="46" t="s">
        <v>54</v>
      </c>
      <c r="B47" s="65"/>
      <c r="C47" s="65"/>
      <c r="D47" s="65"/>
      <c r="E47" s="65"/>
      <c r="F47" s="65">
        <v>2</v>
      </c>
      <c r="G47" s="65"/>
      <c r="H47" s="65">
        <f t="shared" ref="H47" si="40">H46-F47-D47+B47</f>
        <v>6.708</v>
      </c>
      <c r="I47" s="65">
        <f t="shared" ref="I47" si="41">I46-E47+C47</f>
        <v>24.708</v>
      </c>
      <c r="J47" s="77">
        <f t="shared" ref="J47" si="42">H47+I47</f>
        <v>31.416</v>
      </c>
    </row>
    <row r="48" s="3" customFormat="1" ht="15.75" customHeight="1" spans="1:10">
      <c r="A48" s="46" t="s">
        <v>55</v>
      </c>
      <c r="B48" s="65">
        <v>1.25</v>
      </c>
      <c r="C48" s="65">
        <v>1.25</v>
      </c>
      <c r="D48" s="65"/>
      <c r="E48" s="65"/>
      <c r="F48" s="65"/>
      <c r="G48" s="65"/>
      <c r="H48" s="65">
        <f t="shared" ref="H48:H49" si="43">H47-F48-D48+B48</f>
        <v>7.958</v>
      </c>
      <c r="I48" s="65">
        <f t="shared" ref="I48:I49" si="44">I47-E48+C48</f>
        <v>25.958</v>
      </c>
      <c r="J48" s="77">
        <f t="shared" ref="J48:J49" si="45">H48+I48</f>
        <v>33.916</v>
      </c>
    </row>
    <row r="49" s="3" customFormat="1" ht="15.75" customHeight="1" spans="1:10">
      <c r="A49" s="46" t="s">
        <v>56</v>
      </c>
      <c r="B49" s="65"/>
      <c r="C49" s="65"/>
      <c r="D49" s="65"/>
      <c r="E49" s="65"/>
      <c r="F49" s="65"/>
      <c r="G49" s="66">
        <v>1</v>
      </c>
      <c r="H49" s="65">
        <f t="shared" si="43"/>
        <v>7.958</v>
      </c>
      <c r="I49" s="65">
        <f t="shared" si="44"/>
        <v>25.958</v>
      </c>
      <c r="J49" s="77">
        <f t="shared" si="45"/>
        <v>33.916</v>
      </c>
    </row>
    <row r="50" s="3" customFormat="1" ht="15.75" customHeight="1" spans="1:10">
      <c r="A50" s="46" t="s">
        <v>57</v>
      </c>
      <c r="B50" s="65">
        <v>7.5</v>
      </c>
      <c r="C50" s="65">
        <v>7.5</v>
      </c>
      <c r="D50" s="65"/>
      <c r="E50" s="65"/>
      <c r="F50" s="65"/>
      <c r="G50" s="65"/>
      <c r="H50" s="65">
        <f t="shared" ref="H50" si="46">H49-F50-D50+B50</f>
        <v>15.458</v>
      </c>
      <c r="I50" s="65">
        <f t="shared" ref="I50" si="47">I49-E50+C50</f>
        <v>33.458</v>
      </c>
      <c r="J50" s="77">
        <f t="shared" ref="J50" si="48">H50+I50</f>
        <v>48.916</v>
      </c>
    </row>
    <row r="51" s="3" customFormat="1" ht="15.75" customHeight="1" spans="1:10">
      <c r="A51" s="46" t="s">
        <v>58</v>
      </c>
      <c r="B51" s="65"/>
      <c r="C51" s="65"/>
      <c r="D51" s="65">
        <v>10</v>
      </c>
      <c r="E51" s="65"/>
      <c r="F51" s="65"/>
      <c r="G51" s="65"/>
      <c r="H51" s="65">
        <f t="shared" ref="H51" si="49">H50-F51-D51+B51</f>
        <v>5.458</v>
      </c>
      <c r="I51" s="65">
        <f t="shared" ref="I51" si="50">I50-E51+C51</f>
        <v>33.458</v>
      </c>
      <c r="J51" s="77">
        <f t="shared" ref="J51" si="51">H51+I51</f>
        <v>38.916</v>
      </c>
    </row>
    <row r="52" s="3" customFormat="1" ht="15.75" customHeight="1" spans="1:10">
      <c r="A52" s="46" t="s">
        <v>59</v>
      </c>
      <c r="B52" s="65">
        <v>1.25</v>
      </c>
      <c r="C52" s="65">
        <v>1.25</v>
      </c>
      <c r="D52" s="65"/>
      <c r="E52" s="65"/>
      <c r="F52" s="65"/>
      <c r="G52" s="65"/>
      <c r="H52" s="65">
        <f t="shared" ref="H52:H53" si="52">H51-F52-D52+B52</f>
        <v>6.708</v>
      </c>
      <c r="I52" s="65">
        <f t="shared" ref="I52:I53" si="53">I51-E52+C52</f>
        <v>34.708</v>
      </c>
      <c r="J52" s="77">
        <f t="shared" ref="J52:J53" si="54">H52+I52</f>
        <v>41.416</v>
      </c>
    </row>
    <row r="53" s="3" customFormat="1" ht="15.75" customHeight="1" spans="1:10">
      <c r="A53" s="46" t="s">
        <v>60</v>
      </c>
      <c r="B53" s="65"/>
      <c r="C53" s="65"/>
      <c r="D53" s="65"/>
      <c r="E53" s="65"/>
      <c r="F53" s="67">
        <v>1</v>
      </c>
      <c r="G53" s="65"/>
      <c r="H53" s="65">
        <f t="shared" si="52"/>
        <v>5.708</v>
      </c>
      <c r="I53" s="65">
        <f t="shared" si="53"/>
        <v>34.708</v>
      </c>
      <c r="J53" s="77">
        <f t="shared" si="54"/>
        <v>40.416</v>
      </c>
    </row>
    <row r="54" s="48" customFormat="1" ht="15.75" customHeight="1" spans="1:10">
      <c r="A54" s="68" t="s">
        <v>61</v>
      </c>
      <c r="B54" s="69">
        <v>2.5</v>
      </c>
      <c r="C54" s="69">
        <v>2.5</v>
      </c>
      <c r="D54" s="69"/>
      <c r="E54" s="69"/>
      <c r="F54" s="69"/>
      <c r="G54" s="69"/>
      <c r="H54" s="65">
        <f t="shared" ref="H54:H57" si="55">H53-F54-D54+B54</f>
        <v>8.208</v>
      </c>
      <c r="I54" s="65">
        <f t="shared" ref="I54:I57" si="56">I53-E54+C54</f>
        <v>37.208</v>
      </c>
      <c r="J54" s="77">
        <f t="shared" ref="J54:J57" si="57">H54+I54</f>
        <v>45.416</v>
      </c>
    </row>
    <row r="55" s="48" customFormat="1" ht="15.75" customHeight="1" spans="1:10">
      <c r="A55" s="68" t="s">
        <v>62</v>
      </c>
      <c r="B55" s="69"/>
      <c r="C55" s="69"/>
      <c r="D55" s="69"/>
      <c r="E55" s="69">
        <v>5</v>
      </c>
      <c r="F55" s="69"/>
      <c r="G55" s="69"/>
      <c r="H55" s="65">
        <f t="shared" si="55"/>
        <v>8.208</v>
      </c>
      <c r="I55" s="65">
        <f t="shared" si="56"/>
        <v>32.208</v>
      </c>
      <c r="J55" s="77">
        <f t="shared" si="57"/>
        <v>40.416</v>
      </c>
    </row>
    <row r="56" s="48" customFormat="1" ht="15.75" customHeight="1" spans="1:10">
      <c r="A56" s="68" t="s">
        <v>63</v>
      </c>
      <c r="B56" s="69">
        <v>2.5</v>
      </c>
      <c r="C56" s="69">
        <v>2.5</v>
      </c>
      <c r="D56" s="69"/>
      <c r="E56" s="69"/>
      <c r="F56" s="69"/>
      <c r="G56" s="69"/>
      <c r="H56" s="65">
        <f t="shared" si="55"/>
        <v>10.708</v>
      </c>
      <c r="I56" s="65">
        <f t="shared" si="56"/>
        <v>34.708</v>
      </c>
      <c r="J56" s="77">
        <f t="shared" si="57"/>
        <v>45.416</v>
      </c>
    </row>
    <row r="57" s="48" customFormat="1" ht="15.75" customHeight="1" spans="1:10">
      <c r="A57" s="68" t="s">
        <v>64</v>
      </c>
      <c r="B57" s="69"/>
      <c r="C57" s="69"/>
      <c r="D57" s="69"/>
      <c r="E57" s="69"/>
      <c r="F57" s="67">
        <v>2</v>
      </c>
      <c r="G57" s="69"/>
      <c r="H57" s="65">
        <f t="shared" si="55"/>
        <v>8.708</v>
      </c>
      <c r="I57" s="65">
        <f t="shared" si="56"/>
        <v>34.708</v>
      </c>
      <c r="J57" s="77">
        <f t="shared" si="57"/>
        <v>43.416</v>
      </c>
    </row>
    <row r="58" s="48" customFormat="1" ht="15.75" customHeight="1" spans="1:10">
      <c r="A58" s="68" t="s">
        <v>65</v>
      </c>
      <c r="B58" s="69"/>
      <c r="C58" s="69"/>
      <c r="D58" s="69"/>
      <c r="E58" s="69"/>
      <c r="F58" s="67">
        <v>1</v>
      </c>
      <c r="G58" s="69"/>
      <c r="H58" s="65">
        <f>H57-F58-D58+B58</f>
        <v>7.708</v>
      </c>
      <c r="I58" s="65">
        <f>I57-E58+C58</f>
        <v>34.708</v>
      </c>
      <c r="J58" s="77">
        <f>H58+I58</f>
        <v>42.416</v>
      </c>
    </row>
    <row r="59" ht="12.6" customHeight="1" spans="1:10">
      <c r="A59" s="70"/>
      <c r="B59" s="70"/>
      <c r="C59" s="70"/>
      <c r="D59" s="70"/>
      <c r="E59" s="70"/>
      <c r="F59" s="70"/>
      <c r="G59" s="70"/>
      <c r="H59" s="70"/>
      <c r="I59" s="70"/>
      <c r="J59" s="70"/>
    </row>
    <row r="60" s="1" customFormat="1" spans="7:7">
      <c r="G60" s="1" t="s">
        <v>66</v>
      </c>
    </row>
    <row r="61" s="1" customFormat="1"/>
    <row r="62" s="1" customFormat="1" spans="8:8">
      <c r="H62" s="71" t="s">
        <v>67</v>
      </c>
    </row>
    <row r="63" s="1" customFormat="1" spans="8:8">
      <c r="H63" s="1" t="s">
        <v>68</v>
      </c>
    </row>
    <row r="64" s="1" customFormat="1" spans="8:9">
      <c r="H64" s="6" t="s">
        <v>69</v>
      </c>
      <c r="I64" s="6"/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F11"/>
    <mergeCell ref="H11:I11"/>
    <mergeCell ref="A13:J13"/>
    <mergeCell ref="A59:J59"/>
    <mergeCell ref="A11:A12"/>
    <mergeCell ref="J11:J12"/>
  </mergeCells>
  <printOptions horizontalCentered="1"/>
  <pageMargins left="0.511811023622047" right="0.511811023622047" top="0.511811023622047" bottom="0.511811023622047" header="0.31496062992126" footer="0.31496062992126"/>
  <pageSetup paperSize="9" scale="65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3"/>
  <sheetViews>
    <sheetView view="pageBreakPreview" zoomScale="95" zoomScaleNormal="100" workbookViewId="0">
      <selection activeCell="K14" sqref="K14"/>
    </sheetView>
  </sheetViews>
  <sheetFormatPr defaultColWidth="9" defaultRowHeight="14.4"/>
  <cols>
    <col min="1" max="1" width="27" customWidth="1"/>
    <col min="5" max="5" width="19.5740740740741" customWidth="1"/>
    <col min="8" max="8" width="6.57407407407407" customWidth="1"/>
    <col min="10" max="10" width="3.42592592592593" customWidth="1"/>
  </cols>
  <sheetData>
    <row r="1" s="1" customFormat="1" ht="62.45" customHeight="1"/>
    <row r="2" s="1" customFormat="1" ht="10.5" customHeight="1" spans="1:11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="1" customFormat="1" ht="15.95" customHeight="1" spans="1:11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="1" customFormat="1" ht="15.95" customHeight="1" spans="1:1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="1" customFormat="1" ht="15.95" customHeight="1" spans="1:11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="1" customFormat="1" ht="8.25" customHeight="1"/>
    <row r="7" s="1" customFormat="1" ht="12" customHeight="1" spans="1:7">
      <c r="A7" s="1" t="s">
        <v>4</v>
      </c>
      <c r="C7" s="8" t="s">
        <v>5</v>
      </c>
      <c r="D7" s="8"/>
      <c r="G7" s="26"/>
    </row>
    <row r="8" s="1" customFormat="1" ht="12" customHeight="1" spans="3:7">
      <c r="C8" s="10"/>
      <c r="G8" s="10"/>
    </row>
    <row r="9" s="1" customFormat="1" ht="12" customHeight="1" spans="1:7">
      <c r="A9" s="1" t="s">
        <v>7</v>
      </c>
      <c r="C9" s="8" t="s">
        <v>8</v>
      </c>
      <c r="D9" s="8"/>
      <c r="G9" s="27"/>
    </row>
    <row r="10" ht="16.5" customHeight="1" spans="1:11">
      <c r="A10" s="12" t="s">
        <v>70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="2" customFormat="1" ht="18.75" customHeight="1" spans="1:11">
      <c r="A11" s="28" t="s">
        <v>11</v>
      </c>
      <c r="B11" s="29" t="s">
        <v>12</v>
      </c>
      <c r="C11" s="30"/>
      <c r="D11" s="30"/>
      <c r="E11" s="30"/>
      <c r="F11" s="30"/>
      <c r="G11" s="30"/>
      <c r="H11" s="30"/>
      <c r="I11" s="30"/>
      <c r="J11" s="30"/>
      <c r="K11" s="44" t="s">
        <v>15</v>
      </c>
    </row>
    <row r="12" s="2" customFormat="1" ht="24" customHeight="1" spans="1:11">
      <c r="A12" s="31"/>
      <c r="B12" s="32" t="s">
        <v>71</v>
      </c>
      <c r="C12" s="33"/>
      <c r="D12" s="33"/>
      <c r="E12" s="34"/>
      <c r="F12" s="32" t="s">
        <v>72</v>
      </c>
      <c r="G12" s="32" t="s">
        <v>73</v>
      </c>
      <c r="H12" s="34"/>
      <c r="I12" s="32" t="s">
        <v>74</v>
      </c>
      <c r="J12" s="34"/>
      <c r="K12" s="23"/>
    </row>
    <row r="13" s="2" customFormat="1" ht="24.95" customHeight="1" spans="1:11">
      <c r="A13" s="15" t="s">
        <v>75</v>
      </c>
      <c r="B13" s="35" t="s">
        <v>76</v>
      </c>
      <c r="C13" s="36"/>
      <c r="D13" s="36"/>
      <c r="E13" s="37"/>
      <c r="F13" s="35">
        <v>3</v>
      </c>
      <c r="G13" s="35">
        <v>0</v>
      </c>
      <c r="H13" s="37"/>
      <c r="I13" s="35">
        <v>3</v>
      </c>
      <c r="J13" s="37"/>
      <c r="K13" s="24">
        <v>3</v>
      </c>
    </row>
    <row r="14" s="3" customFormat="1" ht="25.5" customHeight="1" spans="1:11">
      <c r="A14" s="15" t="s">
        <v>77</v>
      </c>
      <c r="B14" s="35" t="s">
        <v>76</v>
      </c>
      <c r="C14" s="36"/>
      <c r="D14" s="36"/>
      <c r="E14" s="37"/>
      <c r="F14" s="35"/>
      <c r="G14" s="35">
        <v>1</v>
      </c>
      <c r="H14" s="37"/>
      <c r="I14" s="35">
        <v>2</v>
      </c>
      <c r="J14" s="37"/>
      <c r="K14" s="45">
        <v>2</v>
      </c>
    </row>
    <row r="15" s="3" customFormat="1" ht="25.5" customHeight="1" spans="1:11">
      <c r="A15" s="17"/>
      <c r="B15" s="35"/>
      <c r="C15" s="36"/>
      <c r="D15" s="36"/>
      <c r="E15" s="37"/>
      <c r="F15" s="38"/>
      <c r="G15" s="35"/>
      <c r="H15" s="37"/>
      <c r="I15" s="35"/>
      <c r="J15" s="37"/>
      <c r="K15" s="17"/>
    </row>
    <row r="16" s="3" customFormat="1" ht="25.5" customHeight="1" spans="1:11">
      <c r="A16" s="17"/>
      <c r="B16" s="35"/>
      <c r="C16" s="36"/>
      <c r="D16" s="36"/>
      <c r="E16" s="37"/>
      <c r="F16" s="38"/>
      <c r="G16" s="35"/>
      <c r="H16" s="37"/>
      <c r="I16" s="35"/>
      <c r="J16" s="37"/>
      <c r="K16" s="46"/>
    </row>
    <row r="17" s="3" customFormat="1" spans="1:11">
      <c r="A17" s="3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7"/>
    </row>
    <row r="18" ht="18.95" customHeight="1" spans="1:1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="1" customFormat="1" spans="1:3">
      <c r="A19" s="1" t="s">
        <v>66</v>
      </c>
      <c r="C19" s="6"/>
    </row>
    <row r="20" s="1" customFormat="1" spans="3:3">
      <c r="C20" s="6"/>
    </row>
    <row r="21" ht="17.1" customHeight="1" spans="1:2">
      <c r="A21" s="41" t="s">
        <v>79</v>
      </c>
      <c r="B21" s="41"/>
    </row>
    <row r="22" spans="1:2">
      <c r="A22" s="42" t="s">
        <v>68</v>
      </c>
      <c r="B22" s="42"/>
    </row>
    <row r="23" spans="1:2">
      <c r="A23" s="43" t="s">
        <v>80</v>
      </c>
      <c r="B23" s="43"/>
    </row>
  </sheetData>
  <mergeCells count="27">
    <mergeCell ref="A2:K2"/>
    <mergeCell ref="A3:K3"/>
    <mergeCell ref="A4:K4"/>
    <mergeCell ref="A5:K5"/>
    <mergeCell ref="A10:K10"/>
    <mergeCell ref="B11:J11"/>
    <mergeCell ref="B12:E12"/>
    <mergeCell ref="G12:H12"/>
    <mergeCell ref="I12:J12"/>
    <mergeCell ref="B13:E13"/>
    <mergeCell ref="G13:H13"/>
    <mergeCell ref="I13:J13"/>
    <mergeCell ref="B14:E14"/>
    <mergeCell ref="G14:H14"/>
    <mergeCell ref="I14:J14"/>
    <mergeCell ref="B15:E15"/>
    <mergeCell ref="G15:H15"/>
    <mergeCell ref="I15:J15"/>
    <mergeCell ref="B16:E16"/>
    <mergeCell ref="G16:H16"/>
    <mergeCell ref="I16:J16"/>
    <mergeCell ref="A18:K18"/>
    <mergeCell ref="A21:B21"/>
    <mergeCell ref="A22:B22"/>
    <mergeCell ref="A23:B23"/>
    <mergeCell ref="A11:A12"/>
    <mergeCell ref="K11:K12"/>
  </mergeCells>
  <pageMargins left="0.7" right="0.7" top="0.75" bottom="0.75" header="0.3" footer="0.3"/>
  <pageSetup paperSize="9" scale="73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view="pageBreakPreview" zoomScale="98" zoomScaleNormal="100" workbookViewId="0">
      <selection activeCell="E15" sqref="E15"/>
    </sheetView>
  </sheetViews>
  <sheetFormatPr defaultColWidth="9" defaultRowHeight="14.4"/>
  <cols>
    <col min="1" max="1" width="27.1388888888889" customWidth="1"/>
    <col min="2" max="11" width="9.57407407407407" customWidth="1"/>
    <col min="12" max="12" width="7.57407407407407" customWidth="1"/>
    <col min="13" max="13" width="8.71296296296296" hidden="1" customWidth="1"/>
  </cols>
  <sheetData>
    <row r="1" s="1" customFormat="1" ht="52.5" customHeight="1" spans="3:8">
      <c r="C1" s="4"/>
      <c r="D1" s="5"/>
      <c r="H1" s="6"/>
    </row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 spans="3:8">
      <c r="C6" s="6"/>
      <c r="H6" s="6"/>
    </row>
    <row r="7" s="1" customFormat="1" ht="8.25" customHeight="1" spans="3:8">
      <c r="C7" s="6"/>
      <c r="H7" s="6"/>
    </row>
    <row r="8" s="1" customFormat="1" ht="12" customHeight="1" spans="1:12">
      <c r="A8" s="8" t="s">
        <v>81</v>
      </c>
      <c r="B8" s="8"/>
      <c r="C8" s="9" t="s">
        <v>82</v>
      </c>
      <c r="D8" s="9"/>
      <c r="E8" s="9"/>
      <c r="F8" s="9"/>
      <c r="G8" s="9"/>
      <c r="I8" s="9" t="s">
        <v>83</v>
      </c>
      <c r="J8" s="9"/>
      <c r="K8" s="9"/>
      <c r="L8" s="8"/>
    </row>
    <row r="9" s="1" customFormat="1" ht="12" customHeight="1" spans="2:12">
      <c r="B9" s="10"/>
      <c r="C9" s="9" t="s">
        <v>84</v>
      </c>
      <c r="D9" s="9"/>
      <c r="E9" s="9"/>
      <c r="F9" s="9"/>
      <c r="G9" s="9"/>
      <c r="I9" s="22" t="s">
        <v>85</v>
      </c>
      <c r="J9" s="22"/>
      <c r="K9" s="22"/>
      <c r="L9" s="10"/>
    </row>
    <row r="10" s="1" customFormat="1" ht="12" customHeight="1" spans="1:12">
      <c r="A10" s="8" t="s">
        <v>86</v>
      </c>
      <c r="B10" s="8"/>
      <c r="C10" s="11"/>
      <c r="D10" s="10"/>
      <c r="E10" s="10"/>
      <c r="I10" s="9" t="s">
        <v>87</v>
      </c>
      <c r="J10" s="9"/>
      <c r="K10" s="9"/>
      <c r="L10" s="8"/>
    </row>
    <row r="11" ht="16.5" customHeight="1" spans="1:12">
      <c r="A11" s="12" t="s">
        <v>88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="2" customFormat="1" ht="48" spans="1:12">
      <c r="A12" s="13" t="s">
        <v>11</v>
      </c>
      <c r="B12" s="14" t="s">
        <v>89</v>
      </c>
      <c r="C12" s="14" t="s">
        <v>90</v>
      </c>
      <c r="D12" s="14" t="s">
        <v>91</v>
      </c>
      <c r="E12" s="14" t="s">
        <v>92</v>
      </c>
      <c r="F12" s="14" t="s">
        <v>93</v>
      </c>
      <c r="G12" s="14" t="s">
        <v>94</v>
      </c>
      <c r="H12" s="14" t="s">
        <v>95</v>
      </c>
      <c r="I12" s="14" t="s">
        <v>96</v>
      </c>
      <c r="J12" s="14" t="s">
        <v>97</v>
      </c>
      <c r="K12" s="14" t="s">
        <v>98</v>
      </c>
      <c r="L12" s="23" t="s">
        <v>15</v>
      </c>
    </row>
    <row r="13" s="2" customFormat="1" spans="1:12">
      <c r="A13" s="15"/>
      <c r="B13" s="16"/>
      <c r="C13" s="17"/>
      <c r="D13" s="17"/>
      <c r="E13" s="16"/>
      <c r="F13" s="16"/>
      <c r="G13" s="16"/>
      <c r="H13" s="17"/>
      <c r="I13" s="16"/>
      <c r="J13" s="16"/>
      <c r="K13" s="16"/>
      <c r="L13" s="24"/>
    </row>
    <row r="14" s="2" customFormat="1" spans="1:12">
      <c r="A14" s="15"/>
      <c r="B14" s="16"/>
      <c r="C14" s="17"/>
      <c r="D14" s="17"/>
      <c r="E14" s="16"/>
      <c r="F14" s="16"/>
      <c r="G14" s="16"/>
      <c r="H14" s="17"/>
      <c r="I14" s="16"/>
      <c r="J14" s="16"/>
      <c r="K14" s="16"/>
      <c r="L14" s="24"/>
    </row>
    <row r="15" s="3" customFormat="1" spans="1:12">
      <c r="A15" s="18"/>
      <c r="B15" s="16"/>
      <c r="C15" s="17"/>
      <c r="D15" s="17"/>
      <c r="E15" s="16"/>
      <c r="F15" s="16"/>
      <c r="G15" s="16"/>
      <c r="H15" s="17"/>
      <c r="I15" s="16"/>
      <c r="J15" s="16"/>
      <c r="K15" s="16"/>
      <c r="L15" s="24"/>
    </row>
    <row r="16" s="3" customFormat="1" spans="1:12">
      <c r="A16" s="19"/>
      <c r="B16" s="16"/>
      <c r="C16" s="17"/>
      <c r="D16" s="17"/>
      <c r="E16" s="16"/>
      <c r="F16" s="16"/>
      <c r="G16" s="16"/>
      <c r="H16" s="17"/>
      <c r="I16" s="16"/>
      <c r="J16" s="16"/>
      <c r="K16" s="16"/>
      <c r="L16" s="24"/>
    </row>
    <row r="17" s="3" customFormat="1" spans="1:12">
      <c r="A17" s="17"/>
      <c r="B17" s="16"/>
      <c r="C17" s="17"/>
      <c r="D17" s="17"/>
      <c r="E17" s="16"/>
      <c r="F17" s="16"/>
      <c r="G17" s="16"/>
      <c r="H17" s="17"/>
      <c r="I17" s="16"/>
      <c r="J17" s="16"/>
      <c r="K17" s="16"/>
      <c r="L17" s="24"/>
    </row>
    <row r="18" s="3" customFormat="1" spans="1:12">
      <c r="A18" s="15"/>
      <c r="B18" s="16"/>
      <c r="C18" s="17"/>
      <c r="D18" s="17"/>
      <c r="E18" s="16"/>
      <c r="F18" s="16"/>
      <c r="G18" s="16"/>
      <c r="H18" s="17"/>
      <c r="I18" s="16"/>
      <c r="J18" s="16"/>
      <c r="K18" s="16"/>
      <c r="L18" s="24"/>
    </row>
    <row r="19" s="3" customFormat="1" spans="1:12">
      <c r="A19" s="15"/>
      <c r="B19" s="16"/>
      <c r="C19" s="17"/>
      <c r="D19" s="17"/>
      <c r="E19" s="16"/>
      <c r="F19" s="16"/>
      <c r="G19" s="16"/>
      <c r="H19" s="17"/>
      <c r="I19" s="16"/>
      <c r="J19" s="16"/>
      <c r="K19" s="16"/>
      <c r="L19" s="24"/>
    </row>
    <row r="20" s="3" customFormat="1" spans="1:12">
      <c r="A20" s="15"/>
      <c r="B20" s="16"/>
      <c r="C20" s="17"/>
      <c r="D20" s="17"/>
      <c r="E20" s="16"/>
      <c r="F20" s="16"/>
      <c r="G20" s="16"/>
      <c r="H20" s="17"/>
      <c r="I20" s="16"/>
      <c r="J20" s="16"/>
      <c r="K20" s="16"/>
      <c r="L20" s="24"/>
    </row>
    <row r="21" s="3" customFormat="1" spans="1:12">
      <c r="A21" s="20"/>
      <c r="B21" s="16"/>
      <c r="C21" s="17"/>
      <c r="D21" s="17"/>
      <c r="E21" s="16"/>
      <c r="F21" s="16"/>
      <c r="G21" s="16"/>
      <c r="H21" s="17"/>
      <c r="I21" s="16"/>
      <c r="J21" s="16"/>
      <c r="K21" s="25"/>
      <c r="L21" s="24"/>
    </row>
    <row r="22" ht="75.75" customHeight="1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="1" customFormat="1" spans="3:3">
      <c r="C23" s="6"/>
    </row>
    <row r="24" s="1" customFormat="1" spans="3:3">
      <c r="C24" s="6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Other types of leave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2025-10-23T06:39:00Z</cp:lastPrinted>
  <dcterms:modified xsi:type="dcterms:W3CDTF">2026-01-02T09:00:28Z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852A27DA090A43A7AA4E292CC02BF251_12</vt:lpwstr>
  </property>
  <property fmtid="{D5CDD505-2E9C-101B-9397-08002B2CF9AE}" pid="3" name="KSOProductBuildVer">
    <vt:lpwstr>1033-12.2.0.23196</vt:lpwstr>
  </property>
</Properties>
</file>