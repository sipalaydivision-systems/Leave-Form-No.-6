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FC943131-E086-4FA5-8900-0F7085D24265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Leave Card as TIC" sheetId="3" r:id="rId1"/>
    <sheet name="Election &amp; NLC" sheetId="4" r:id="rId2"/>
  </sheets>
  <definedNames>
    <definedName name="_xlnm.Print_Area" localSheetId="1">'Election &amp; NLC'!$A$1:$G$23</definedName>
    <definedName name="_xlnm.Print_Area" localSheetId="0">'Leave Card as TIC'!$A$1:$J$70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3" l="1"/>
  <c r="H60" i="3" s="1"/>
  <c r="I59" i="3"/>
  <c r="I60" i="3" s="1"/>
  <c r="J59" i="3"/>
  <c r="I14" i="3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H14" i="3"/>
  <c r="J60" i="3" l="1"/>
  <c r="H15" i="3"/>
  <c r="H16" i="3" s="1"/>
  <c r="J16" i="3" s="1"/>
  <c r="J14" i="3"/>
  <c r="H17" i="3" l="1"/>
  <c r="J15" i="3"/>
  <c r="J17" i="3" l="1"/>
  <c r="H18" i="3"/>
  <c r="J18" i="3" l="1"/>
  <c r="H19" i="3"/>
  <c r="J19" i="3" l="1"/>
  <c r="H20" i="3"/>
  <c r="J20" i="3" l="1"/>
  <c r="H21" i="3"/>
  <c r="J21" i="3" l="1"/>
  <c r="H22" i="3"/>
  <c r="H23" i="3" l="1"/>
  <c r="J22" i="3"/>
  <c r="H24" i="3" l="1"/>
  <c r="J23" i="3"/>
  <c r="J24" i="3" l="1"/>
  <c r="H25" i="3"/>
  <c r="J25" i="3" l="1"/>
  <c r="H26" i="3"/>
  <c r="H27" i="3" l="1"/>
  <c r="J26" i="3"/>
  <c r="J27" i="3" l="1"/>
  <c r="H28" i="3"/>
  <c r="H29" i="3" l="1"/>
  <c r="J28" i="3"/>
  <c r="J29" i="3" l="1"/>
  <c r="H30" i="3"/>
  <c r="J30" i="3" l="1"/>
  <c r="H31" i="3"/>
  <c r="J31" i="3" l="1"/>
  <c r="H32" i="3"/>
  <c r="J32" i="3" l="1"/>
  <c r="H33" i="3"/>
  <c r="J33" i="3" l="1"/>
  <c r="H34" i="3"/>
  <c r="J34" i="3" l="1"/>
  <c r="H35" i="3"/>
  <c r="H36" i="3" l="1"/>
  <c r="J35" i="3"/>
  <c r="J36" i="3" l="1"/>
  <c r="H37" i="3"/>
  <c r="J37" i="3" l="1"/>
  <c r="H38" i="3"/>
  <c r="J38" i="3" l="1"/>
  <c r="H39" i="3"/>
  <c r="J39" i="3" l="1"/>
  <c r="H40" i="3"/>
  <c r="J40" i="3" l="1"/>
  <c r="H41" i="3"/>
  <c r="J41" i="3" l="1"/>
  <c r="H42" i="3"/>
  <c r="J42" i="3" l="1"/>
  <c r="H43" i="3"/>
  <c r="J43" i="3" l="1"/>
  <c r="H44" i="3"/>
  <c r="J44" i="3" l="1"/>
  <c r="H45" i="3"/>
  <c r="J45" i="3" l="1"/>
  <c r="H46" i="3"/>
  <c r="J46" i="3" l="1"/>
  <c r="H47" i="3"/>
  <c r="H48" i="3" l="1"/>
  <c r="J47" i="3"/>
  <c r="J48" i="3" l="1"/>
  <c r="H49" i="3"/>
  <c r="J49" i="3" l="1"/>
  <c r="H50" i="3"/>
  <c r="H51" i="3" l="1"/>
  <c r="J50" i="3"/>
  <c r="J51" i="3" l="1"/>
  <c r="H52" i="3"/>
  <c r="J52" i="3" l="1"/>
  <c r="H53" i="3"/>
  <c r="J53" i="3" l="1"/>
  <c r="H54" i="3"/>
  <c r="H55" i="3" l="1"/>
  <c r="J54" i="3"/>
  <c r="H56" i="3" l="1"/>
  <c r="J55" i="3"/>
  <c r="J56" i="3" l="1"/>
  <c r="H57" i="3"/>
  <c r="J57" i="3" l="1"/>
  <c r="H58" i="3"/>
  <c r="J58" i="3" s="1"/>
</calcChain>
</file>

<file path=xl/sharedStrings.xml><?xml version="1.0" encoding="utf-8"?>
<sst xmlns="http://schemas.openxmlformats.org/spreadsheetml/2006/main" count="73" uniqueCount="63">
  <si>
    <t>Republic of the Philippines</t>
  </si>
  <si>
    <t>Department of Education</t>
  </si>
  <si>
    <t>REGION VI-WESTERN VISAYAS</t>
  </si>
  <si>
    <t>SCHOOLS DIVISION OF SIPALAY CITY</t>
  </si>
  <si>
    <t>PERIOD COVERED</t>
  </si>
  <si>
    <t>LEAVE EARNED</t>
  </si>
  <si>
    <t>TOTAL</t>
  </si>
  <si>
    <t>No. of Days Granted</t>
  </si>
  <si>
    <t>No. of Days Used</t>
  </si>
  <si>
    <t>Balance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</si>
  <si>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</si>
  <si>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</si>
  <si>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</si>
  <si>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</si>
  <si>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</si>
  <si>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</si>
  <si>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</si>
  <si>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</si>
  <si>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</si>
  <si>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</si>
  <si>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</si>
  <si>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</si>
  <si>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</si>
  <si>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</si>
  <si>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</si>
  <si>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</si>
  <si>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</si>
  <si>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</si>
  <si>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</si>
  <si>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</si>
  <si>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</si>
  <si>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</si>
  <si>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</si>
  <si>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</si>
  <si>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</si>
  <si>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SUMAEL, HOLY APRIL</t>
    </r>
  </si>
  <si>
    <t>APPOINTMENT DATE: JUNE 3, 2024</t>
  </si>
  <si>
    <t>ADD: 06/3-30/2024</t>
  </si>
  <si>
    <t>ADD: 07/1/2024-09/30/2024</t>
  </si>
  <si>
    <t>04/30/2024</t>
  </si>
  <si>
    <t>OCT. 30, 2023 ELECTION</t>
  </si>
  <si>
    <t>LESS: 10/16/2024</t>
  </si>
  <si>
    <t>ADD: 10/1/2024-12/31/2024</t>
  </si>
  <si>
    <t>ADD: 01/1/2025-02/28/2025</t>
  </si>
  <si>
    <t>LESS: 03/31/2025</t>
  </si>
  <si>
    <t>ADD: 03/1/2025-04/30/2025</t>
  </si>
  <si>
    <t>LESS: 05/14-16/2025</t>
  </si>
  <si>
    <t>ADD: 05/1/2025-06/30/2025</t>
  </si>
  <si>
    <t>SO # 010,S. 2024</t>
  </si>
  <si>
    <t>SO # 315,S. 2017</t>
  </si>
  <si>
    <t>2017 NEGROS ISLAND REGION ATHLETIC ASSOCIATION MEET</t>
  </si>
  <si>
    <t>SO # 092, S. 2018</t>
  </si>
  <si>
    <t>2018 WESTERN VISAYAS REGIONAL ATHLETIC ASSOCIATION MEET</t>
  </si>
  <si>
    <t>19 DAYS-CONVERTED</t>
  </si>
  <si>
    <r>
      <t xml:space="preserve">ADD: UNUSED VSC </t>
    </r>
    <r>
      <rPr>
        <b/>
        <sz val="11"/>
        <color rgb="FF002060"/>
        <rFont val="Calibri"/>
        <family val="2"/>
        <scheme val="minor"/>
      </rPr>
      <t>19 DAYS</t>
    </r>
    <r>
      <rPr>
        <sz val="11"/>
        <color theme="1"/>
        <rFont val="Calibri"/>
        <family val="2"/>
        <scheme val="minor"/>
      </rPr>
      <t xml:space="preserve">:                                  SO # 315,S. 2017 (7 DAYS)                                    SO # 092, S. 2018  (7 DAYS)                               SO # 010,S. 2024  (5 DAYS)             FORMULA: 30Y/69/2 </t>
    </r>
  </si>
  <si>
    <t>LESS: MONETIZATION 2025</t>
  </si>
  <si>
    <t>ADD: 07/1-31/2025</t>
  </si>
  <si>
    <t>LESS: 02/14/2025</t>
  </si>
  <si>
    <t>LESS: 08/8/2025</t>
  </si>
  <si>
    <t>ADD: 08/1-31/2025</t>
  </si>
  <si>
    <t>LESS: 09/15 &amp; 19/2025</t>
  </si>
  <si>
    <t>LESS: 12/10-12/2025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</si>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</sst>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</borders>
  <cellStyleXfs count="4">
    <xf numFmtId="0" fontId="0" fillId="0" borderId="0"/>
    <xf numFmtId="0" fontId="8" fillId="0" borderId="0"/>
    <xf numFmtId="0" fontId="11" fillId="0" borderId="0"/>
    <xf numFmtId="0" fontId="8" fillId="0" borderId="0"/>
  </cellStyleXfs>
  <cellXfs count="9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0" borderId="0" xfId="0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7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0" fontId="10" fillId="0" borderId="0" xfId="0" applyFont="1"/>
    <xf numFmtId="164" fontId="0" fillId="2" borderId="4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11" fillId="2" borderId="0" xfId="2" applyFill="1"/>
    <xf numFmtId="0" fontId="11" fillId="2" borderId="0" xfId="2" applyFill="1" applyAlignment="1">
      <alignment horizontal="center"/>
    </xf>
    <xf numFmtId="0" fontId="12" fillId="2" borderId="0" xfId="2" applyFont="1" applyFill="1" applyAlignment="1">
      <alignment vertical="center"/>
    </xf>
    <xf numFmtId="0" fontId="1" fillId="2" borderId="0" xfId="2" applyFont="1" applyFill="1" applyAlignment="1">
      <alignment horizontal="left" vertical="center"/>
    </xf>
    <xf numFmtId="0" fontId="1" fillId="2" borderId="0" xfId="2" applyFont="1" applyFill="1" applyAlignment="1">
      <alignment vertical="center"/>
    </xf>
    <xf numFmtId="0" fontId="14" fillId="2" borderId="0" xfId="2" applyFont="1" applyFill="1"/>
    <xf numFmtId="0" fontId="1" fillId="2" borderId="0" xfId="2" applyFont="1" applyFill="1"/>
    <xf numFmtId="0" fontId="1" fillId="2" borderId="0" xfId="2" applyFont="1" applyFill="1" applyAlignment="1">
      <alignment horizontal="left"/>
    </xf>
    <xf numFmtId="0" fontId="11" fillId="0" borderId="0" xfId="2"/>
    <xf numFmtId="0" fontId="3" fillId="3" borderId="21" xfId="2" applyFont="1" applyFill="1" applyBorder="1" applyAlignment="1">
      <alignment horizontal="center" vertical="center" wrapText="1"/>
    </xf>
    <xf numFmtId="0" fontId="3" fillId="3" borderId="21" xfId="2" applyFont="1" applyFill="1" applyBorder="1" applyAlignment="1">
      <alignment horizontal="center" vertical="center"/>
    </xf>
    <xf numFmtId="0" fontId="5" fillId="4" borderId="24" xfId="2" applyFont="1" applyFill="1" applyBorder="1" applyAlignment="1">
      <alignment horizontal="center" vertical="center" wrapText="1"/>
    </xf>
    <xf numFmtId="0" fontId="3" fillId="3" borderId="25" xfId="2" applyFont="1" applyFill="1" applyBorder="1" applyAlignment="1">
      <alignment horizontal="center" vertical="center"/>
    </xf>
    <xf numFmtId="0" fontId="4" fillId="0" borderId="0" xfId="2" applyFont="1"/>
    <xf numFmtId="0" fontId="15" fillId="2" borderId="6" xfId="2" applyFont="1" applyFill="1" applyBorder="1" applyAlignment="1">
      <alignment horizontal="center" vertical="center" wrapText="1"/>
    </xf>
    <xf numFmtId="0" fontId="12" fillId="2" borderId="15" xfId="2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12" fillId="2" borderId="16" xfId="2" applyFont="1" applyFill="1" applyBorder="1" applyAlignment="1">
      <alignment horizontal="center" vertical="center" wrapText="1"/>
    </xf>
    <xf numFmtId="0" fontId="6" fillId="0" borderId="0" xfId="2" applyFont="1"/>
    <xf numFmtId="0" fontId="6" fillId="2" borderId="0" xfId="2" applyFont="1" applyFill="1" applyAlignment="1">
      <alignment horizontal="center" vertical="center"/>
    </xf>
    <xf numFmtId="0" fontId="11" fillId="5" borderId="0" xfId="2" applyFill="1"/>
    <xf numFmtId="0" fontId="11" fillId="6" borderId="0" xfId="2" applyFill="1"/>
    <xf numFmtId="0" fontId="5" fillId="4" borderId="10" xfId="2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vertical="center" wrapText="1"/>
    </xf>
    <xf numFmtId="0" fontId="17" fillId="2" borderId="16" xfId="2" applyFont="1" applyFill="1" applyBorder="1" applyAlignment="1">
      <alignment horizontal="center" vertical="center" wrapText="1"/>
    </xf>
    <xf numFmtId="0" fontId="0" fillId="2" borderId="17" xfId="1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/>
    </xf>
    <xf numFmtId="0" fontId="15" fillId="2" borderId="6" xfId="3" applyFont="1" applyFill="1" applyBorder="1" applyAlignment="1">
      <alignment horizontal="center" vertical="center" wrapText="1"/>
    </xf>
    <xf numFmtId="0" fontId="12" fillId="2" borderId="15" xfId="3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0" fillId="2" borderId="14" xfId="1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12" borderId="4" xfId="0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" fillId="7" borderId="21" xfId="0" applyFont="1" applyFill="1" applyBorder="1" applyAlignment="1">
      <alignment horizontal="left" vertical="center"/>
    </xf>
    <xf numFmtId="0" fontId="1" fillId="7" borderId="23" xfId="0" applyFont="1" applyFill="1" applyBorder="1" applyAlignment="1">
      <alignment horizontal="left" vertical="center"/>
    </xf>
    <xf numFmtId="0" fontId="1" fillId="7" borderId="22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2" fillId="2" borderId="26" xfId="2" applyFont="1" applyFill="1" applyBorder="1" applyAlignment="1">
      <alignment horizontal="right" vertical="center" wrapText="1"/>
    </xf>
    <xf numFmtId="0" fontId="12" fillId="2" borderId="2" xfId="2" applyFont="1" applyFill="1" applyBorder="1" applyAlignment="1">
      <alignment horizontal="right" vertical="center" wrapText="1"/>
    </xf>
    <xf numFmtId="0" fontId="12" fillId="2" borderId="3" xfId="2" applyFont="1" applyFill="1" applyBorder="1" applyAlignment="1">
      <alignment horizontal="right" vertical="center" wrapText="1"/>
    </xf>
    <xf numFmtId="0" fontId="1" fillId="2" borderId="0" xfId="2" applyFont="1" applyFill="1" applyAlignment="1">
      <alignment horizontal="center" vertical="center"/>
    </xf>
    <xf numFmtId="0" fontId="2" fillId="2" borderId="21" xfId="2" applyFont="1" applyFill="1" applyBorder="1" applyAlignment="1">
      <alignment horizontal="center" vertical="center"/>
    </xf>
    <xf numFmtId="0" fontId="2" fillId="2" borderId="23" xfId="2" applyFont="1" applyFill="1" applyBorder="1" applyAlignment="1">
      <alignment horizontal="center" vertical="center"/>
    </xf>
    <xf numFmtId="0" fontId="2" fillId="2" borderId="22" xfId="2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10" fillId="0" borderId="0" xfId="0" applyFont="1" applyFill="1"/>
    <xf numFmtId="0" fontId="0" fillId="0" borderId="0" xfId="0" applyFill="1"/>
    <xf numFmtId="0" fontId="0" fillId="0" borderId="4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164" fontId="0" fillId="0" borderId="4" xfId="0" applyNumberFormat="1" applyFill="1" applyBorder="1" applyAlignment="1">
      <alignment horizontal="center" vertical="center"/>
    </xf>
  </cellXfs>
  <cellStyles count="4">
    <cellStyle name="Normal" xfId="0" builtinId="0"/>
    <cellStyle name="Normal 2" xfId="2" xr:uid="{29DC33C2-ED34-47D9-B6FD-D61DD017D699}"/>
    <cellStyle name="Normal 2 2" xfId="3" xr:uid="{8C93AFBF-AD38-45F1-B434-5493638397D7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D51D5-5F90-4E61-8723-931824F466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3ACA-BBA1-4D5A-AB0C-5ED0D9565B4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CAMINIAN, MARIA CRIS FE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D1CB5B-2AC2-45D4-B3DF-F6A2E865464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HT-I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25BB-43BF-424D-ADCE-12698C02A034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GMNHS-BINULIG EXT.</a:t>
          </a:r>
        </a:p>
      </xdr:txBody>
    </xdr:sp>
    <xdr:clientData/>
  </xdr:twoCellAnchor>
  <xdr:twoCellAnchor>
    <xdr:from>
      <xdr:col>5</xdr:col>
      <xdr:colOff>347452</xdr:colOff>
      <xdr:row>64</xdr:row>
      <xdr:rowOff>53914</xdr:rowOff>
    </xdr:from>
    <xdr:to>
      <xdr:col>9</xdr:col>
      <xdr:colOff>672043</xdr:colOff>
      <xdr:row>69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BE3077-D463-4A68-BFBD-76ABF04E2E09}"/>
            </a:ext>
          </a:extLst>
        </xdr:cNvPr>
        <xdr:cNvSpPr txBox="1"/>
      </xdr:nvSpPr>
      <xdr:spPr>
        <a:xfrm>
          <a:off x="5871952" y="843591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B3F06-6C96-4963-A080-0170E25AEB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962025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DF812C-4D8A-418B-AA27-85FB8B231868}"/>
            </a:ext>
          </a:extLst>
        </xdr:cNvPr>
        <xdr:cNvSpPr txBox="1"/>
      </xdr:nvSpPr>
      <xdr:spPr>
        <a:xfrm>
          <a:off x="76200" y="4953000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20</xdr:row>
      <xdr:rowOff>236220</xdr:rowOff>
    </xdr:from>
    <xdr:to>
      <xdr:col>6</xdr:col>
      <xdr:colOff>476250</xdr:colOff>
      <xdr:row>22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EB84D3-E752-4B55-8588-2A947603ED5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B98-E462-49CF-93A3-891E3961A3BD}">
  <sheetPr>
    <pageSetUpPr fitToPage="1"/>
  </sheetPr>
  <dimension ref="A1:K68"/>
  <sheetViews>
    <sheetView tabSelected="1" view="pageBreakPreview" topLeftCell="A49" zoomScale="106" zoomScaleNormal="100" zoomScaleSheetLayoutView="106" workbookViewId="0">
      <selection activeCell="A59" sqref="A59:XFD59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19" customWidth="1"/>
    <col min="8" max="10" width="11.5703125" customWidth="1"/>
    <col min="11" max="11" width="26.42578125" style="15" customWidth="1"/>
  </cols>
  <sheetData>
    <row r="1" spans="1:11" s="1" customFormat="1" ht="52.5" customHeight="1" x14ac:dyDescent="0.25"/>
    <row r="2" spans="1:11" s="1" customFormat="1" ht="10.5" customHeight="1" x14ac:dyDescent="0.25">
      <c r="A2" s="64" t="s">
        <v>0</v>
      </c>
      <c r="B2" s="64"/>
      <c r="C2" s="64"/>
      <c r="D2" s="64"/>
      <c r="E2" s="64"/>
      <c r="F2" s="64"/>
      <c r="G2" s="64"/>
      <c r="H2" s="64"/>
      <c r="I2" s="64"/>
      <c r="J2" s="64"/>
    </row>
    <row r="3" spans="1:11" s="1" customFormat="1" ht="15.95" customHeight="1" x14ac:dyDescent="0.25">
      <c r="A3" s="64" t="s">
        <v>1</v>
      </c>
      <c r="B3" s="64"/>
      <c r="C3" s="64"/>
      <c r="D3" s="64"/>
      <c r="E3" s="64"/>
      <c r="F3" s="64"/>
      <c r="G3" s="64"/>
      <c r="H3" s="64"/>
      <c r="I3" s="64"/>
      <c r="J3" s="64"/>
    </row>
    <row r="4" spans="1:11" s="1" customFormat="1" ht="15.95" customHeight="1" x14ac:dyDescent="0.25">
      <c r="A4" s="64" t="s">
        <v>2</v>
      </c>
      <c r="B4" s="64"/>
      <c r="C4" s="64"/>
      <c r="D4" s="64"/>
      <c r="E4" s="64"/>
      <c r="F4" s="64"/>
      <c r="G4" s="64"/>
      <c r="H4" s="64"/>
      <c r="I4" s="64"/>
      <c r="J4" s="64"/>
    </row>
    <row r="5" spans="1:11" s="1" customFormat="1" ht="15.95" customHeight="1" x14ac:dyDescent="0.25">
      <c r="A5" s="64" t="s">
        <v>3</v>
      </c>
      <c r="B5" s="64"/>
      <c r="C5" s="64"/>
      <c r="D5" s="64"/>
      <c r="E5" s="64"/>
      <c r="F5" s="64"/>
      <c r="G5" s="64"/>
      <c r="H5" s="64"/>
      <c r="I5" s="64"/>
      <c r="J5" s="64"/>
    </row>
    <row r="6" spans="1:11" s="1" customFormat="1" ht="8.25" customHeight="1" x14ac:dyDescent="0.25"/>
    <row r="7" spans="1:11" s="1" customFormat="1" ht="12" customHeight="1" x14ac:dyDescent="0.25">
      <c r="A7" s="1" t="s">
        <v>10</v>
      </c>
      <c r="B7" s="63" t="s">
        <v>11</v>
      </c>
      <c r="C7" s="63"/>
      <c r="D7" s="63"/>
      <c r="H7" s="2" t="s">
        <v>12</v>
      </c>
      <c r="I7" s="7"/>
      <c r="J7" s="2"/>
    </row>
    <row r="8" spans="1:11" s="1" customFormat="1" ht="12" customHeight="1" x14ac:dyDescent="0.25">
      <c r="B8" s="3"/>
      <c r="C8" s="3"/>
      <c r="H8" s="3"/>
      <c r="I8" s="3"/>
      <c r="J8" s="3"/>
    </row>
    <row r="9" spans="1:11" s="1" customFormat="1" ht="12" customHeight="1" x14ac:dyDescent="0.25">
      <c r="A9" s="1" t="s">
        <v>13</v>
      </c>
      <c r="B9" s="63" t="s">
        <v>14</v>
      </c>
      <c r="C9" s="63"/>
      <c r="D9" s="63"/>
      <c r="H9" s="2" t="s">
        <v>15</v>
      </c>
      <c r="I9" s="8"/>
      <c r="J9" s="2"/>
    </row>
    <row r="10" spans="1:11" ht="23.25" customHeight="1" thickBot="1" x14ac:dyDescent="0.3">
      <c r="A10" s="69" t="s">
        <v>16</v>
      </c>
      <c r="B10" s="69"/>
      <c r="C10" s="69"/>
      <c r="D10" s="69"/>
      <c r="E10" s="69"/>
      <c r="F10" s="69"/>
      <c r="G10" s="69"/>
      <c r="H10" s="69"/>
      <c r="I10" s="69"/>
      <c r="J10" s="69"/>
      <c r="K10"/>
    </row>
    <row r="11" spans="1:11" ht="18.75" customHeight="1" x14ac:dyDescent="0.25">
      <c r="A11" s="70" t="s">
        <v>4</v>
      </c>
      <c r="B11" s="72" t="s">
        <v>5</v>
      </c>
      <c r="C11" s="73"/>
      <c r="D11" s="74" t="s">
        <v>17</v>
      </c>
      <c r="E11" s="75"/>
      <c r="F11" s="75"/>
      <c r="G11" s="76"/>
      <c r="H11" s="77" t="s">
        <v>18</v>
      </c>
      <c r="I11" s="78"/>
      <c r="J11" s="79" t="s">
        <v>6</v>
      </c>
      <c r="K11" s="65" t="s">
        <v>19</v>
      </c>
    </row>
    <row r="12" spans="1:11" ht="15.75" thickBot="1" x14ac:dyDescent="0.3">
      <c r="A12" s="71"/>
      <c r="B12" s="9" t="s">
        <v>20</v>
      </c>
      <c r="C12" s="9" t="s">
        <v>21</v>
      </c>
      <c r="D12" s="9" t="s">
        <v>20</v>
      </c>
      <c r="E12" s="9" t="s">
        <v>21</v>
      </c>
      <c r="F12" s="9" t="s">
        <v>22</v>
      </c>
      <c r="G12" s="9" t="s">
        <v>23</v>
      </c>
      <c r="H12" s="9" t="s">
        <v>20</v>
      </c>
      <c r="I12" s="9" t="s">
        <v>21</v>
      </c>
      <c r="J12" s="80"/>
      <c r="K12" s="65"/>
    </row>
    <row r="13" spans="1:11" ht="15.75" thickBot="1" x14ac:dyDescent="0.3">
      <c r="A13" s="66" t="s">
        <v>36</v>
      </c>
      <c r="B13" s="67"/>
      <c r="C13" s="67"/>
      <c r="D13" s="67"/>
      <c r="E13" s="67"/>
      <c r="F13" s="67"/>
      <c r="G13" s="67"/>
      <c r="H13" s="67"/>
      <c r="I13" s="67"/>
      <c r="J13" s="68"/>
      <c r="K13" s="10"/>
    </row>
    <row r="14" spans="1:11" ht="76.5" customHeight="1" x14ac:dyDescent="0.25">
      <c r="A14" s="11" t="s">
        <v>54</v>
      </c>
      <c r="B14" s="13">
        <v>4.13</v>
      </c>
      <c r="C14" s="61">
        <v>4.13</v>
      </c>
      <c r="D14" s="22"/>
      <c r="E14" s="21"/>
      <c r="F14" s="21"/>
      <c r="G14" s="21"/>
      <c r="H14" s="13">
        <f>B14</f>
        <v>4.13</v>
      </c>
      <c r="I14" s="13">
        <f>C14</f>
        <v>4.13</v>
      </c>
      <c r="J14" s="14">
        <f>SUM(H14:I14)</f>
        <v>8.26</v>
      </c>
    </row>
    <row r="15" spans="1:11" ht="17.25" customHeight="1" x14ac:dyDescent="0.25">
      <c r="A15" s="11" t="s">
        <v>37</v>
      </c>
      <c r="B15" s="21">
        <v>1.167</v>
      </c>
      <c r="C15" s="22">
        <v>1.167</v>
      </c>
      <c r="D15" s="12"/>
      <c r="E15" s="5"/>
      <c r="F15" s="5"/>
      <c r="G15" s="5"/>
      <c r="H15" s="16">
        <f>H14-F15-D15+B15</f>
        <v>5.2969999999999997</v>
      </c>
      <c r="I15" s="16">
        <f>I14-E15+C15</f>
        <v>5.2969999999999997</v>
      </c>
      <c r="J15" s="17">
        <f>SUM(H15:I15)</f>
        <v>10.593999999999999</v>
      </c>
    </row>
    <row r="16" spans="1:11" ht="17.25" customHeight="1" x14ac:dyDescent="0.25">
      <c r="A16" s="11" t="s">
        <v>38</v>
      </c>
      <c r="B16" s="21">
        <v>3.75</v>
      </c>
      <c r="C16" s="22">
        <v>3.75</v>
      </c>
      <c r="D16" s="12"/>
      <c r="E16" s="5"/>
      <c r="F16" s="5"/>
      <c r="G16" s="5"/>
      <c r="H16" s="16">
        <f t="shared" ref="H16:H17" si="0">H15-F16-D16+B16</f>
        <v>9.0470000000000006</v>
      </c>
      <c r="I16" s="16">
        <f t="shared" ref="I16:I17" si="1">I15-E16+C16</f>
        <v>9.0470000000000006</v>
      </c>
      <c r="J16" s="17">
        <f t="shared" ref="J16:J17" si="2">SUM(H16:I16)</f>
        <v>18.094000000000001</v>
      </c>
    </row>
    <row r="17" spans="1:10" ht="15.75" customHeight="1" x14ac:dyDescent="0.25">
      <c r="A17" s="53" t="s">
        <v>41</v>
      </c>
      <c r="B17" s="54"/>
      <c r="C17" s="55"/>
      <c r="D17" s="55"/>
      <c r="E17" s="54">
        <v>1</v>
      </c>
      <c r="F17" s="54"/>
      <c r="G17" s="5"/>
      <c r="H17" s="16">
        <f t="shared" si="0"/>
        <v>9.0470000000000006</v>
      </c>
      <c r="I17" s="16">
        <f t="shared" si="1"/>
        <v>8.0470000000000006</v>
      </c>
      <c r="J17" s="17">
        <f t="shared" si="2"/>
        <v>17.094000000000001</v>
      </c>
    </row>
    <row r="18" spans="1:10" ht="15.75" hidden="1" customHeight="1" x14ac:dyDescent="0.25">
      <c r="A18" s="53"/>
      <c r="B18" s="54"/>
      <c r="C18" s="55"/>
      <c r="D18" s="55"/>
      <c r="E18" s="54"/>
      <c r="F18" s="54"/>
      <c r="G18" s="5"/>
      <c r="H18" s="16">
        <f t="shared" ref="H18:H49" si="3">H17-F18-D18+B18</f>
        <v>9.0470000000000006</v>
      </c>
      <c r="I18" s="16">
        <f t="shared" ref="I18:I49" si="4">I17-E18+C18</f>
        <v>8.0470000000000006</v>
      </c>
      <c r="J18" s="17">
        <f t="shared" ref="J18:J49" si="5">SUM(H18:I18)</f>
        <v>17.094000000000001</v>
      </c>
    </row>
    <row r="19" spans="1:10" ht="17.25" hidden="1" customHeight="1" x14ac:dyDescent="0.25">
      <c r="A19" s="53"/>
      <c r="B19" s="54"/>
      <c r="C19" s="55"/>
      <c r="D19" s="55"/>
      <c r="E19" s="54"/>
      <c r="F19" s="54"/>
      <c r="G19" s="5"/>
      <c r="H19" s="16">
        <f t="shared" si="3"/>
        <v>9.0470000000000006</v>
      </c>
      <c r="I19" s="16">
        <f t="shared" si="4"/>
        <v>8.0470000000000006</v>
      </c>
      <c r="J19" s="17">
        <f t="shared" si="5"/>
        <v>17.094000000000001</v>
      </c>
    </row>
    <row r="20" spans="1:10" ht="17.25" hidden="1" customHeight="1" x14ac:dyDescent="0.25">
      <c r="A20" s="53"/>
      <c r="B20" s="54"/>
      <c r="C20" s="55"/>
      <c r="D20" s="55"/>
      <c r="E20" s="54"/>
      <c r="F20" s="54"/>
      <c r="G20" s="5"/>
      <c r="H20" s="16">
        <f t="shared" si="3"/>
        <v>9.0470000000000006</v>
      </c>
      <c r="I20" s="16">
        <f t="shared" si="4"/>
        <v>8.0470000000000006</v>
      </c>
      <c r="J20" s="17">
        <f t="shared" si="5"/>
        <v>17.094000000000001</v>
      </c>
    </row>
    <row r="21" spans="1:10" ht="13.5" hidden="1" customHeight="1" x14ac:dyDescent="0.25">
      <c r="A21" s="53"/>
      <c r="B21" s="54"/>
      <c r="C21" s="55"/>
      <c r="D21" s="55"/>
      <c r="E21" s="54"/>
      <c r="F21" s="54"/>
      <c r="G21" s="5"/>
      <c r="H21" s="16">
        <f t="shared" si="3"/>
        <v>9.0470000000000006</v>
      </c>
      <c r="I21" s="16">
        <f t="shared" si="4"/>
        <v>8.0470000000000006</v>
      </c>
      <c r="J21" s="17">
        <f t="shared" si="5"/>
        <v>17.094000000000001</v>
      </c>
    </row>
    <row r="22" spans="1:10" ht="12" hidden="1" customHeight="1" x14ac:dyDescent="0.25">
      <c r="A22" s="53"/>
      <c r="B22" s="54"/>
      <c r="C22" s="55"/>
      <c r="D22" s="55"/>
      <c r="E22" s="54"/>
      <c r="F22" s="54"/>
      <c r="G22" s="5"/>
      <c r="H22" s="16">
        <f t="shared" si="3"/>
        <v>9.0470000000000006</v>
      </c>
      <c r="I22" s="16">
        <f t="shared" si="4"/>
        <v>8.0470000000000006</v>
      </c>
      <c r="J22" s="17">
        <f t="shared" si="5"/>
        <v>17.094000000000001</v>
      </c>
    </row>
    <row r="23" spans="1:10" ht="12" hidden="1" customHeight="1" x14ac:dyDescent="0.25">
      <c r="A23" s="53"/>
      <c r="B23" s="54"/>
      <c r="C23" s="55"/>
      <c r="D23" s="55"/>
      <c r="E23" s="54"/>
      <c r="F23" s="54"/>
      <c r="G23" s="5"/>
      <c r="H23" s="16">
        <f t="shared" si="3"/>
        <v>9.0470000000000006</v>
      </c>
      <c r="I23" s="16">
        <f t="shared" si="4"/>
        <v>8.0470000000000006</v>
      </c>
      <c r="J23" s="17">
        <f t="shared" si="5"/>
        <v>17.094000000000001</v>
      </c>
    </row>
    <row r="24" spans="1:10" ht="12" hidden="1" customHeight="1" x14ac:dyDescent="0.25">
      <c r="A24" s="53"/>
      <c r="B24" s="54"/>
      <c r="C24" s="55"/>
      <c r="D24" s="55"/>
      <c r="E24" s="54"/>
      <c r="F24" s="54"/>
      <c r="G24" s="5"/>
      <c r="H24" s="16">
        <f t="shared" si="3"/>
        <v>9.0470000000000006</v>
      </c>
      <c r="I24" s="16">
        <f t="shared" si="4"/>
        <v>8.0470000000000006</v>
      </c>
      <c r="J24" s="17">
        <f t="shared" si="5"/>
        <v>17.094000000000001</v>
      </c>
    </row>
    <row r="25" spans="1:10" ht="12" hidden="1" customHeight="1" x14ac:dyDescent="0.25">
      <c r="A25" s="53"/>
      <c r="B25" s="54"/>
      <c r="C25" s="55"/>
      <c r="D25" s="55"/>
      <c r="E25" s="54"/>
      <c r="F25" s="54"/>
      <c r="G25" s="5"/>
      <c r="H25" s="16">
        <f t="shared" si="3"/>
        <v>9.0470000000000006</v>
      </c>
      <c r="I25" s="16">
        <f t="shared" si="4"/>
        <v>8.0470000000000006</v>
      </c>
      <c r="J25" s="17">
        <f t="shared" si="5"/>
        <v>17.094000000000001</v>
      </c>
    </row>
    <row r="26" spans="1:10" ht="12" hidden="1" customHeight="1" x14ac:dyDescent="0.25">
      <c r="A26" s="11"/>
      <c r="B26" s="5"/>
      <c r="C26" s="12"/>
      <c r="D26" s="12"/>
      <c r="E26" s="5"/>
      <c r="F26" s="5"/>
      <c r="G26" s="5"/>
      <c r="H26" s="16">
        <f t="shared" si="3"/>
        <v>9.0470000000000006</v>
      </c>
      <c r="I26" s="16">
        <f t="shared" si="4"/>
        <v>8.0470000000000006</v>
      </c>
      <c r="J26" s="17">
        <f t="shared" si="5"/>
        <v>17.094000000000001</v>
      </c>
    </row>
    <row r="27" spans="1:10" ht="12" hidden="1" customHeight="1" x14ac:dyDescent="0.25">
      <c r="A27" s="11"/>
      <c r="B27" s="5"/>
      <c r="C27" s="12"/>
      <c r="D27" s="12"/>
      <c r="E27" s="5"/>
      <c r="F27" s="5"/>
      <c r="G27" s="5"/>
      <c r="H27" s="16">
        <f t="shared" si="3"/>
        <v>9.0470000000000006</v>
      </c>
      <c r="I27" s="16">
        <f t="shared" si="4"/>
        <v>8.0470000000000006</v>
      </c>
      <c r="J27" s="17">
        <f t="shared" si="5"/>
        <v>17.094000000000001</v>
      </c>
    </row>
    <row r="28" spans="1:10" ht="16.5" hidden="1" customHeight="1" x14ac:dyDescent="0.25">
      <c r="A28" s="11"/>
      <c r="B28" s="5"/>
      <c r="C28" s="12"/>
      <c r="D28" s="12"/>
      <c r="E28" s="5"/>
      <c r="F28" s="5"/>
      <c r="G28" s="5"/>
      <c r="H28" s="16">
        <f t="shared" si="3"/>
        <v>9.0470000000000006</v>
      </c>
      <c r="I28" s="16">
        <f t="shared" si="4"/>
        <v>8.0470000000000006</v>
      </c>
      <c r="J28" s="17">
        <f t="shared" si="5"/>
        <v>17.094000000000001</v>
      </c>
    </row>
    <row r="29" spans="1:10" ht="12" hidden="1" customHeight="1" x14ac:dyDescent="0.25">
      <c r="A29" s="11"/>
      <c r="B29" s="5"/>
      <c r="C29" s="12"/>
      <c r="D29" s="12"/>
      <c r="E29" s="5"/>
      <c r="F29" s="5"/>
      <c r="G29" s="5"/>
      <c r="H29" s="16">
        <f t="shared" si="3"/>
        <v>9.0470000000000006</v>
      </c>
      <c r="I29" s="16">
        <f t="shared" si="4"/>
        <v>8.0470000000000006</v>
      </c>
      <c r="J29" s="17">
        <f t="shared" si="5"/>
        <v>17.094000000000001</v>
      </c>
    </row>
    <row r="30" spans="1:10" ht="12" hidden="1" customHeight="1" x14ac:dyDescent="0.25">
      <c r="A30" s="11"/>
      <c r="B30" s="5"/>
      <c r="C30" s="12"/>
      <c r="D30" s="12"/>
      <c r="E30" s="5"/>
      <c r="F30" s="5"/>
      <c r="G30" s="5"/>
      <c r="H30" s="16">
        <f t="shared" si="3"/>
        <v>9.0470000000000006</v>
      </c>
      <c r="I30" s="16">
        <f t="shared" si="4"/>
        <v>8.0470000000000006</v>
      </c>
      <c r="J30" s="17">
        <f t="shared" si="5"/>
        <v>17.094000000000001</v>
      </c>
    </row>
    <row r="31" spans="1:10" ht="12" hidden="1" customHeight="1" x14ac:dyDescent="0.25">
      <c r="A31" s="11"/>
      <c r="B31" s="5"/>
      <c r="C31" s="12"/>
      <c r="D31" s="12"/>
      <c r="E31" s="5"/>
      <c r="F31" s="5"/>
      <c r="G31" s="5"/>
      <c r="H31" s="16">
        <f t="shared" si="3"/>
        <v>9.0470000000000006</v>
      </c>
      <c r="I31" s="16">
        <f t="shared" si="4"/>
        <v>8.0470000000000006</v>
      </c>
      <c r="J31" s="17">
        <f t="shared" si="5"/>
        <v>17.094000000000001</v>
      </c>
    </row>
    <row r="32" spans="1:10" ht="12" hidden="1" customHeight="1" x14ac:dyDescent="0.25">
      <c r="A32" s="11"/>
      <c r="B32" s="5"/>
      <c r="C32" s="12"/>
      <c r="D32" s="12"/>
      <c r="E32" s="5"/>
      <c r="F32" s="5"/>
      <c r="G32" s="5"/>
      <c r="H32" s="16">
        <f t="shared" si="3"/>
        <v>9.0470000000000006</v>
      </c>
      <c r="I32" s="16">
        <f t="shared" si="4"/>
        <v>8.0470000000000006</v>
      </c>
      <c r="J32" s="17">
        <f t="shared" si="5"/>
        <v>17.094000000000001</v>
      </c>
    </row>
    <row r="33" spans="1:11" ht="12" hidden="1" customHeight="1" x14ac:dyDescent="0.25">
      <c r="A33" s="11"/>
      <c r="B33" s="5"/>
      <c r="C33" s="12"/>
      <c r="D33" s="12"/>
      <c r="E33" s="5"/>
      <c r="F33" s="5"/>
      <c r="G33" s="5"/>
      <c r="H33" s="16">
        <f t="shared" si="3"/>
        <v>9.0470000000000006</v>
      </c>
      <c r="I33" s="16">
        <f t="shared" si="4"/>
        <v>8.0470000000000006</v>
      </c>
      <c r="J33" s="17">
        <f t="shared" si="5"/>
        <v>17.094000000000001</v>
      </c>
    </row>
    <row r="34" spans="1:11" ht="12" hidden="1" customHeight="1" x14ac:dyDescent="0.25">
      <c r="A34" s="11"/>
      <c r="B34" s="5"/>
      <c r="C34" s="5"/>
      <c r="D34" s="12"/>
      <c r="E34" s="5"/>
      <c r="F34" s="5"/>
      <c r="G34" s="5"/>
      <c r="H34" s="16">
        <f t="shared" si="3"/>
        <v>9.0470000000000006</v>
      </c>
      <c r="I34" s="16">
        <f t="shared" si="4"/>
        <v>8.0470000000000006</v>
      </c>
      <c r="J34" s="17">
        <f t="shared" si="5"/>
        <v>17.094000000000001</v>
      </c>
    </row>
    <row r="35" spans="1:11" s="4" customFormat="1" ht="12" hidden="1" customHeight="1" x14ac:dyDescent="0.25">
      <c r="A35" s="11"/>
      <c r="B35" s="5"/>
      <c r="C35" s="12"/>
      <c r="D35" s="12"/>
      <c r="E35" s="5"/>
      <c r="F35" s="5"/>
      <c r="G35" s="5"/>
      <c r="H35" s="16">
        <f t="shared" si="3"/>
        <v>9.0470000000000006</v>
      </c>
      <c r="I35" s="16">
        <f t="shared" si="4"/>
        <v>8.0470000000000006</v>
      </c>
      <c r="J35" s="17">
        <f t="shared" si="5"/>
        <v>17.094000000000001</v>
      </c>
      <c r="K35" s="18"/>
    </row>
    <row r="36" spans="1:11" s="4" customFormat="1" ht="12" hidden="1" customHeight="1" x14ac:dyDescent="0.25">
      <c r="A36" s="11"/>
      <c r="B36" s="5"/>
      <c r="C36" s="5"/>
      <c r="D36" s="12"/>
      <c r="E36" s="5"/>
      <c r="F36" s="5"/>
      <c r="G36" s="5"/>
      <c r="H36" s="16">
        <f t="shared" si="3"/>
        <v>9.0470000000000006</v>
      </c>
      <c r="I36" s="16">
        <f t="shared" si="4"/>
        <v>8.0470000000000006</v>
      </c>
      <c r="J36" s="17">
        <f t="shared" si="5"/>
        <v>17.094000000000001</v>
      </c>
      <c r="K36" s="18"/>
    </row>
    <row r="37" spans="1:11" s="4" customFormat="1" ht="12" hidden="1" customHeight="1" x14ac:dyDescent="0.25">
      <c r="A37" s="11"/>
      <c r="B37" s="5"/>
      <c r="C37" s="12"/>
      <c r="D37" s="12"/>
      <c r="E37" s="5"/>
      <c r="F37" s="5"/>
      <c r="G37" s="5"/>
      <c r="H37" s="16">
        <f t="shared" si="3"/>
        <v>9.0470000000000006</v>
      </c>
      <c r="I37" s="16">
        <f t="shared" si="4"/>
        <v>8.0470000000000006</v>
      </c>
      <c r="J37" s="17">
        <f t="shared" si="5"/>
        <v>17.094000000000001</v>
      </c>
      <c r="K37" s="18"/>
    </row>
    <row r="38" spans="1:11" s="4" customFormat="1" ht="12.75" hidden="1" customHeight="1" x14ac:dyDescent="0.25">
      <c r="A38" s="11"/>
      <c r="B38" s="5"/>
      <c r="C38" s="12"/>
      <c r="D38" s="12"/>
      <c r="E38" s="5"/>
      <c r="F38" s="5"/>
      <c r="G38" s="5"/>
      <c r="H38" s="16">
        <f t="shared" si="3"/>
        <v>9.0470000000000006</v>
      </c>
      <c r="I38" s="16">
        <f t="shared" si="4"/>
        <v>8.0470000000000006</v>
      </c>
      <c r="J38" s="17">
        <f t="shared" si="5"/>
        <v>17.094000000000001</v>
      </c>
      <c r="K38" s="18"/>
    </row>
    <row r="39" spans="1:11" ht="12" hidden="1" customHeight="1" x14ac:dyDescent="0.25">
      <c r="A39" s="11"/>
      <c r="B39" s="5"/>
      <c r="C39" s="12"/>
      <c r="D39" s="12"/>
      <c r="E39" s="5"/>
      <c r="F39" s="5"/>
      <c r="G39" s="5"/>
      <c r="H39" s="16">
        <f t="shared" si="3"/>
        <v>9.0470000000000006</v>
      </c>
      <c r="I39" s="16">
        <f t="shared" si="4"/>
        <v>8.0470000000000006</v>
      </c>
      <c r="J39" s="17">
        <f t="shared" si="5"/>
        <v>17.094000000000001</v>
      </c>
    </row>
    <row r="40" spans="1:11" s="4" customFormat="1" ht="12" hidden="1" customHeight="1" x14ac:dyDescent="0.25">
      <c r="A40" s="11"/>
      <c r="B40" s="5"/>
      <c r="C40" s="12"/>
      <c r="D40" s="12"/>
      <c r="E40" s="5"/>
      <c r="F40" s="5"/>
      <c r="G40" s="5"/>
      <c r="H40" s="16">
        <f t="shared" si="3"/>
        <v>9.0470000000000006</v>
      </c>
      <c r="I40" s="16">
        <f t="shared" si="4"/>
        <v>8.0470000000000006</v>
      </c>
      <c r="J40" s="17">
        <f t="shared" si="5"/>
        <v>17.094000000000001</v>
      </c>
      <c r="K40" s="18"/>
    </row>
    <row r="41" spans="1:11" s="4" customFormat="1" ht="15" hidden="1" customHeight="1" x14ac:dyDescent="0.25">
      <c r="A41" s="11"/>
      <c r="B41" s="5"/>
      <c r="C41" s="12"/>
      <c r="D41" s="12"/>
      <c r="E41" s="5"/>
      <c r="F41" s="5"/>
      <c r="G41" s="5"/>
      <c r="H41" s="16">
        <f t="shared" si="3"/>
        <v>9.0470000000000006</v>
      </c>
      <c r="I41" s="16">
        <f t="shared" si="4"/>
        <v>8.0470000000000006</v>
      </c>
      <c r="J41" s="17">
        <f t="shared" si="5"/>
        <v>17.094000000000001</v>
      </c>
      <c r="K41" s="18"/>
    </row>
    <row r="42" spans="1:11" s="4" customFormat="1" ht="16.5" hidden="1" customHeight="1" x14ac:dyDescent="0.25">
      <c r="A42" s="11"/>
      <c r="B42" s="5"/>
      <c r="C42" s="12"/>
      <c r="D42" s="12"/>
      <c r="E42" s="5"/>
      <c r="F42" s="5"/>
      <c r="G42" s="5"/>
      <c r="H42" s="16">
        <f t="shared" si="3"/>
        <v>9.0470000000000006</v>
      </c>
      <c r="I42" s="16">
        <f t="shared" si="4"/>
        <v>8.0470000000000006</v>
      </c>
      <c r="J42" s="17">
        <f t="shared" si="5"/>
        <v>17.094000000000001</v>
      </c>
      <c r="K42" s="18"/>
    </row>
    <row r="43" spans="1:11" s="4" customFormat="1" ht="16.5" hidden="1" customHeight="1" x14ac:dyDescent="0.25">
      <c r="A43" s="11"/>
      <c r="B43" s="5"/>
      <c r="C43" s="12"/>
      <c r="D43" s="12"/>
      <c r="E43" s="5"/>
      <c r="F43" s="5"/>
      <c r="G43" s="5"/>
      <c r="H43" s="16">
        <f t="shared" si="3"/>
        <v>9.0470000000000006</v>
      </c>
      <c r="I43" s="16">
        <f t="shared" si="4"/>
        <v>8.0470000000000006</v>
      </c>
      <c r="J43" s="17">
        <f t="shared" si="5"/>
        <v>17.094000000000001</v>
      </c>
      <c r="K43" s="18"/>
    </row>
    <row r="44" spans="1:11" hidden="1" x14ac:dyDescent="0.25">
      <c r="A44" s="11"/>
      <c r="B44" s="5"/>
      <c r="C44" s="12"/>
      <c r="D44" s="12"/>
      <c r="E44" s="5"/>
      <c r="F44" s="5"/>
      <c r="G44" s="5"/>
      <c r="H44" s="16">
        <f t="shared" si="3"/>
        <v>9.0470000000000006</v>
      </c>
      <c r="I44" s="16">
        <f t="shared" si="4"/>
        <v>8.0470000000000006</v>
      </c>
      <c r="J44" s="17">
        <f t="shared" si="5"/>
        <v>17.094000000000001</v>
      </c>
    </row>
    <row r="45" spans="1:11" hidden="1" x14ac:dyDescent="0.25">
      <c r="A45" s="11"/>
      <c r="B45" s="5"/>
      <c r="C45" s="12"/>
      <c r="D45" s="12"/>
      <c r="E45" s="5"/>
      <c r="F45" s="5"/>
      <c r="G45" s="5"/>
      <c r="H45" s="16">
        <f t="shared" si="3"/>
        <v>9.0470000000000006</v>
      </c>
      <c r="I45" s="16">
        <f t="shared" si="4"/>
        <v>8.0470000000000006</v>
      </c>
      <c r="J45" s="17">
        <f t="shared" si="5"/>
        <v>17.094000000000001</v>
      </c>
    </row>
    <row r="46" spans="1:11" hidden="1" x14ac:dyDescent="0.25">
      <c r="A46" s="11"/>
      <c r="B46" s="5"/>
      <c r="C46" s="12"/>
      <c r="D46" s="12"/>
      <c r="E46" s="5"/>
      <c r="F46" s="5"/>
      <c r="G46" s="5"/>
      <c r="H46" s="16">
        <f t="shared" si="3"/>
        <v>9.0470000000000006</v>
      </c>
      <c r="I46" s="16">
        <f t="shared" si="4"/>
        <v>8.0470000000000006</v>
      </c>
      <c r="J46" s="17">
        <f t="shared" si="5"/>
        <v>17.094000000000001</v>
      </c>
    </row>
    <row r="47" spans="1:11" x14ac:dyDescent="0.25">
      <c r="A47" s="12" t="s">
        <v>42</v>
      </c>
      <c r="B47" s="5">
        <v>3.75</v>
      </c>
      <c r="C47" s="12">
        <v>3.75</v>
      </c>
      <c r="D47" s="12"/>
      <c r="E47" s="5"/>
      <c r="F47" s="5"/>
      <c r="G47" s="5"/>
      <c r="H47" s="16">
        <f t="shared" si="3"/>
        <v>12.797000000000001</v>
      </c>
      <c r="I47" s="16">
        <f t="shared" si="4"/>
        <v>11.797000000000001</v>
      </c>
      <c r="J47" s="17">
        <f t="shared" si="5"/>
        <v>24.594000000000001</v>
      </c>
    </row>
    <row r="48" spans="1:11" x14ac:dyDescent="0.25">
      <c r="A48" s="12" t="s">
        <v>43</v>
      </c>
      <c r="B48" s="5">
        <v>2.5</v>
      </c>
      <c r="C48" s="12">
        <v>2.5</v>
      </c>
      <c r="D48" s="12"/>
      <c r="E48" s="5"/>
      <c r="F48" s="5"/>
      <c r="G48" s="5"/>
      <c r="H48" s="16">
        <f t="shared" si="3"/>
        <v>15.297000000000001</v>
      </c>
      <c r="I48" s="16">
        <f t="shared" si="4"/>
        <v>14.297000000000001</v>
      </c>
      <c r="J48" s="17">
        <f t="shared" si="5"/>
        <v>29.594000000000001</v>
      </c>
    </row>
    <row r="49" spans="1:11" x14ac:dyDescent="0.25">
      <c r="A49" s="12" t="s">
        <v>44</v>
      </c>
      <c r="B49" s="5"/>
      <c r="C49" s="12"/>
      <c r="D49" s="12"/>
      <c r="E49" s="5"/>
      <c r="F49" s="5"/>
      <c r="G49" s="58">
        <v>1</v>
      </c>
      <c r="H49" s="16">
        <f t="shared" si="3"/>
        <v>15.297000000000001</v>
      </c>
      <c r="I49" s="16">
        <f t="shared" si="4"/>
        <v>14.297000000000001</v>
      </c>
      <c r="J49" s="17">
        <f t="shared" si="5"/>
        <v>29.594000000000001</v>
      </c>
    </row>
    <row r="50" spans="1:11" x14ac:dyDescent="0.25">
      <c r="A50" s="12" t="s">
        <v>45</v>
      </c>
      <c r="B50" s="5">
        <v>2.5</v>
      </c>
      <c r="C50" s="12">
        <v>2.5</v>
      </c>
      <c r="D50" s="12"/>
      <c r="E50" s="5"/>
      <c r="F50" s="5"/>
      <c r="G50" s="5"/>
      <c r="H50" s="16">
        <f t="shared" ref="H50" si="6">H49-F50-D50+B50</f>
        <v>17.797000000000001</v>
      </c>
      <c r="I50" s="16">
        <f t="shared" ref="I50" si="7">I49-E50+C50</f>
        <v>16.797000000000001</v>
      </c>
      <c r="J50" s="17">
        <f t="shared" ref="J50" si="8">SUM(H50:I50)</f>
        <v>34.594000000000001</v>
      </c>
    </row>
    <row r="51" spans="1:11" x14ac:dyDescent="0.25">
      <c r="A51" s="59" t="s">
        <v>46</v>
      </c>
      <c r="B51" s="59"/>
      <c r="C51" s="59"/>
      <c r="D51" s="59"/>
      <c r="E51" s="59"/>
      <c r="F51" s="60">
        <v>3</v>
      </c>
      <c r="G51" s="54"/>
      <c r="H51" s="16">
        <f t="shared" ref="H51" si="9">H50-F51-D51+B51</f>
        <v>14.797000000000001</v>
      </c>
      <c r="I51" s="16">
        <f t="shared" ref="I51" si="10">I50-E51+C51</f>
        <v>16.797000000000001</v>
      </c>
      <c r="J51" s="17">
        <f t="shared" ref="J51" si="11">SUM(H51:I51)</f>
        <v>31.594000000000001</v>
      </c>
    </row>
    <row r="52" spans="1:11" x14ac:dyDescent="0.25">
      <c r="A52" s="59" t="s">
        <v>47</v>
      </c>
      <c r="B52" s="59">
        <v>2.5</v>
      </c>
      <c r="C52" s="59">
        <v>2.5</v>
      </c>
      <c r="D52" s="59"/>
      <c r="E52" s="59"/>
      <c r="F52" s="54"/>
      <c r="G52" s="54"/>
      <c r="H52" s="16">
        <f t="shared" ref="H52" si="12">H51-F52-D52+B52</f>
        <v>17.297000000000001</v>
      </c>
      <c r="I52" s="16">
        <f t="shared" ref="I52" si="13">I51-E52+C52</f>
        <v>19.297000000000001</v>
      </c>
      <c r="J52" s="17">
        <f t="shared" ref="J52" si="14">SUM(H52:I52)</f>
        <v>36.594000000000001</v>
      </c>
    </row>
    <row r="53" spans="1:11" x14ac:dyDescent="0.25">
      <c r="A53" s="59" t="s">
        <v>55</v>
      </c>
      <c r="B53" s="59"/>
      <c r="C53" s="59"/>
      <c r="D53" s="59">
        <v>10</v>
      </c>
      <c r="E53" s="59"/>
      <c r="F53" s="54"/>
      <c r="G53" s="54"/>
      <c r="H53" s="16">
        <f t="shared" ref="H53" si="15">H52-F53-D53+B53</f>
        <v>7.2970000000000006</v>
      </c>
      <c r="I53" s="16">
        <f t="shared" ref="I53" si="16">I52-E53+C53</f>
        <v>19.297000000000001</v>
      </c>
      <c r="J53" s="17">
        <f t="shared" ref="J53" si="17">SUM(H53:I53)</f>
        <v>26.594000000000001</v>
      </c>
    </row>
    <row r="54" spans="1:11" x14ac:dyDescent="0.25">
      <c r="A54" s="59" t="s">
        <v>56</v>
      </c>
      <c r="B54" s="59">
        <v>1.25</v>
      </c>
      <c r="C54" s="59">
        <v>1.25</v>
      </c>
      <c r="D54" s="59"/>
      <c r="E54" s="59"/>
      <c r="F54" s="54"/>
      <c r="G54" s="54"/>
      <c r="H54" s="16">
        <f t="shared" ref="H54:H56" si="18">H53-F54-D54+B54</f>
        <v>8.5470000000000006</v>
      </c>
      <c r="I54" s="16">
        <f t="shared" ref="I54:I56" si="19">I53-E54+C54</f>
        <v>20.547000000000001</v>
      </c>
      <c r="J54" s="17">
        <f t="shared" ref="J54:J56" si="20">SUM(H54:I54)</f>
        <v>29.094000000000001</v>
      </c>
    </row>
    <row r="55" spans="1:11" x14ac:dyDescent="0.25">
      <c r="A55" s="59" t="s">
        <v>57</v>
      </c>
      <c r="B55" s="59"/>
      <c r="C55" s="59"/>
      <c r="D55" s="59"/>
      <c r="E55" s="59">
        <v>1</v>
      </c>
      <c r="F55" s="54"/>
      <c r="G55" s="54"/>
      <c r="H55" s="16">
        <f t="shared" si="18"/>
        <v>8.5470000000000006</v>
      </c>
      <c r="I55" s="16">
        <f t="shared" si="19"/>
        <v>19.547000000000001</v>
      </c>
      <c r="J55" s="17">
        <f t="shared" si="20"/>
        <v>28.094000000000001</v>
      </c>
    </row>
    <row r="56" spans="1:11" x14ac:dyDescent="0.25">
      <c r="A56" s="59" t="s">
        <v>58</v>
      </c>
      <c r="B56" s="59"/>
      <c r="C56" s="59"/>
      <c r="D56" s="59"/>
      <c r="E56" s="59">
        <v>1</v>
      </c>
      <c r="F56" s="54"/>
      <c r="G56" s="54"/>
      <c r="H56" s="16">
        <f t="shared" si="18"/>
        <v>8.5470000000000006</v>
      </c>
      <c r="I56" s="16">
        <f t="shared" si="19"/>
        <v>18.547000000000001</v>
      </c>
      <c r="J56" s="17">
        <f t="shared" si="20"/>
        <v>27.094000000000001</v>
      </c>
    </row>
    <row r="57" spans="1:11" x14ac:dyDescent="0.25">
      <c r="A57" s="59" t="s">
        <v>59</v>
      </c>
      <c r="B57" s="59">
        <v>1.25</v>
      </c>
      <c r="C57" s="59">
        <v>1.25</v>
      </c>
      <c r="D57" s="59"/>
      <c r="E57" s="59"/>
      <c r="F57" s="54"/>
      <c r="G57" s="54"/>
      <c r="H57" s="16">
        <f t="shared" ref="H57:H58" si="21">H56-F57-D57+B57</f>
        <v>9.7970000000000006</v>
      </c>
      <c r="I57" s="16">
        <f t="shared" ref="I57:I58" si="22">I56-E57+C57</f>
        <v>19.797000000000001</v>
      </c>
      <c r="J57" s="17">
        <f t="shared" ref="J57:J58" si="23">SUM(H57:I57)</f>
        <v>29.594000000000001</v>
      </c>
    </row>
    <row r="58" spans="1:11" x14ac:dyDescent="0.25">
      <c r="A58" s="59" t="s">
        <v>60</v>
      </c>
      <c r="B58" s="59"/>
      <c r="C58" s="59"/>
      <c r="D58" s="59"/>
      <c r="E58" s="59"/>
      <c r="F58" s="60">
        <v>2</v>
      </c>
      <c r="G58" s="54"/>
      <c r="H58" s="16">
        <f t="shared" si="21"/>
        <v>7.7970000000000006</v>
      </c>
      <c r="I58" s="16">
        <f t="shared" si="22"/>
        <v>19.797000000000001</v>
      </c>
      <c r="J58" s="17">
        <f t="shared" si="23"/>
        <v>27.594000000000001</v>
      </c>
    </row>
    <row r="59" spans="1:11" s="92" customFormat="1" x14ac:dyDescent="0.25">
      <c r="A59" s="93" t="s">
        <v>62</v>
      </c>
      <c r="B59" s="93">
        <v>3.75</v>
      </c>
      <c r="C59" s="93">
        <v>3.75</v>
      </c>
      <c r="D59" s="93"/>
      <c r="E59" s="93"/>
      <c r="F59" s="94"/>
      <c r="G59" s="94"/>
      <c r="H59" s="16">
        <f t="shared" ref="H59:H60" si="24">H58-F59-D59+B59</f>
        <v>11.547000000000001</v>
      </c>
      <c r="I59" s="16">
        <f t="shared" ref="I59:I60" si="25">I58-E59+C59</f>
        <v>23.547000000000001</v>
      </c>
      <c r="J59" s="17">
        <f t="shared" ref="J59:J60" si="26">SUM(H59:I59)</f>
        <v>35.094000000000001</v>
      </c>
      <c r="K59" s="91"/>
    </row>
    <row r="60" spans="1:11" s="92" customFormat="1" x14ac:dyDescent="0.25">
      <c r="A60" s="93" t="s">
        <v>61</v>
      </c>
      <c r="B60" s="93"/>
      <c r="C60" s="93"/>
      <c r="D60" s="93"/>
      <c r="E60" s="93">
        <v>3</v>
      </c>
      <c r="F60" s="94"/>
      <c r="G60" s="94"/>
      <c r="H60" s="16">
        <f t="shared" si="24"/>
        <v>11.547000000000001</v>
      </c>
      <c r="I60" s="16">
        <f t="shared" si="25"/>
        <v>20.547000000000001</v>
      </c>
      <c r="J60" s="17">
        <f t="shared" si="26"/>
        <v>32.094000000000001</v>
      </c>
      <c r="K60" s="91"/>
    </row>
    <row r="61" spans="1:11" s="92" customFormat="1" x14ac:dyDescent="0.25">
      <c r="A61" s="93"/>
      <c r="B61" s="93"/>
      <c r="C61" s="93"/>
      <c r="D61" s="93"/>
      <c r="E61" s="93"/>
      <c r="F61" s="94"/>
      <c r="G61" s="94"/>
      <c r="H61" s="95"/>
      <c r="I61" s="95"/>
      <c r="J61" s="95"/>
      <c r="K61" s="91"/>
    </row>
    <row r="62" spans="1:11" s="92" customFormat="1" x14ac:dyDescent="0.25">
      <c r="A62" s="88"/>
      <c r="B62" s="88"/>
      <c r="C62" s="88"/>
      <c r="D62" s="88"/>
      <c r="E62" s="88"/>
      <c r="F62" s="89"/>
      <c r="G62" s="89"/>
      <c r="H62" s="90"/>
      <c r="I62" s="90"/>
      <c r="J62" s="90"/>
      <c r="K62" s="91"/>
    </row>
    <row r="63" spans="1:11" x14ac:dyDescent="0.25">
      <c r="A63" s="62"/>
      <c r="B63" s="62"/>
      <c r="C63" s="62"/>
      <c r="D63" s="62"/>
      <c r="E63" s="62"/>
      <c r="H63" s="20"/>
      <c r="I63" s="20"/>
      <c r="J63" s="20"/>
    </row>
    <row r="64" spans="1:11" x14ac:dyDescent="0.25">
      <c r="H64" s="20"/>
      <c r="I64" s="20"/>
      <c r="J64" s="20"/>
    </row>
    <row r="68" spans="6:6" x14ac:dyDescent="0.25">
      <c r="F68" s="19" t="s">
        <v>24</v>
      </c>
    </row>
  </sheetData>
  <mergeCells count="14">
    <mergeCell ref="K11:K12"/>
    <mergeCell ref="A13:J13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scale="72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62F5-4C72-4DAF-8CB6-2930EE428E71}">
  <dimension ref="A1:G23"/>
  <sheetViews>
    <sheetView view="pageBreakPreview" zoomScaleNormal="100" workbookViewId="0">
      <selection activeCell="A16" sqref="A16"/>
    </sheetView>
  </sheetViews>
  <sheetFormatPr defaultColWidth="9" defaultRowHeight="15" x14ac:dyDescent="0.25"/>
  <cols>
    <col min="1" max="1" width="23.5703125" style="32" customWidth="1"/>
    <col min="2" max="2" width="18.85546875" style="32" customWidth="1"/>
    <col min="3" max="3" width="35" style="44" customWidth="1"/>
    <col min="4" max="4" width="11.7109375" style="45" customWidth="1"/>
    <col min="5" max="5" width="11" style="32" customWidth="1"/>
    <col min="6" max="6" width="11.85546875" style="45" customWidth="1"/>
    <col min="7" max="7" width="22" style="32" customWidth="1"/>
    <col min="8" max="16384" width="9" style="32"/>
  </cols>
  <sheetData>
    <row r="1" spans="1:7" s="24" customFormat="1" ht="52.5" customHeight="1" x14ac:dyDescent="0.25">
      <c r="E1" s="25"/>
    </row>
    <row r="2" spans="1:7" s="24" customFormat="1" ht="10.5" customHeight="1" x14ac:dyDescent="0.25">
      <c r="A2" s="84" t="s">
        <v>0</v>
      </c>
      <c r="B2" s="84"/>
      <c r="C2" s="84"/>
      <c r="D2" s="84"/>
      <c r="E2" s="84"/>
      <c r="F2" s="84"/>
      <c r="G2" s="84"/>
    </row>
    <row r="3" spans="1:7" s="24" customFormat="1" ht="15.95" customHeight="1" x14ac:dyDescent="0.25">
      <c r="A3" s="84" t="s">
        <v>1</v>
      </c>
      <c r="B3" s="84"/>
      <c r="C3" s="84"/>
      <c r="D3" s="84"/>
      <c r="E3" s="84"/>
      <c r="F3" s="84"/>
      <c r="G3" s="84"/>
    </row>
    <row r="4" spans="1:7" s="24" customFormat="1" ht="15.95" customHeight="1" x14ac:dyDescent="0.25">
      <c r="A4" s="84" t="s">
        <v>2</v>
      </c>
      <c r="B4" s="84"/>
      <c r="C4" s="84"/>
      <c r="D4" s="84"/>
      <c r="E4" s="84"/>
      <c r="F4" s="84"/>
      <c r="G4" s="84"/>
    </row>
    <row r="5" spans="1:7" s="24" customFormat="1" ht="15.95" customHeight="1" x14ac:dyDescent="0.25">
      <c r="A5" s="84" t="s">
        <v>3</v>
      </c>
      <c r="B5" s="84"/>
      <c r="C5" s="84"/>
      <c r="D5" s="84"/>
      <c r="E5" s="84"/>
      <c r="F5" s="84"/>
      <c r="G5" s="84"/>
    </row>
    <row r="6" spans="1:7" s="24" customFormat="1" ht="8.25" customHeight="1" x14ac:dyDescent="0.25">
      <c r="E6" s="25"/>
    </row>
    <row r="7" spans="1:7" s="24" customFormat="1" ht="8.25" customHeight="1" x14ac:dyDescent="0.25">
      <c r="E7" s="25"/>
    </row>
    <row r="8" spans="1:7" s="24" customFormat="1" ht="17.25" customHeight="1" x14ac:dyDescent="0.25">
      <c r="A8" s="26" t="s">
        <v>35</v>
      </c>
      <c r="B8" s="26"/>
      <c r="C8" s="26" t="s">
        <v>25</v>
      </c>
      <c r="D8" s="27"/>
      <c r="E8" s="26" t="s">
        <v>26</v>
      </c>
      <c r="F8" s="27"/>
      <c r="G8" s="28"/>
    </row>
    <row r="9" spans="1:7" s="24" customFormat="1" ht="12" customHeight="1" x14ac:dyDescent="0.25">
      <c r="A9" s="29"/>
      <c r="B9" s="29"/>
      <c r="C9" s="30"/>
      <c r="E9" s="26" t="s">
        <v>27</v>
      </c>
      <c r="F9" s="31"/>
      <c r="G9" s="30"/>
    </row>
    <row r="10" spans="1:7" s="24" customFormat="1" ht="14.25" customHeight="1" x14ac:dyDescent="0.25">
      <c r="A10" s="26" t="s">
        <v>28</v>
      </c>
      <c r="B10" s="26"/>
      <c r="C10" s="26" t="s">
        <v>29</v>
      </c>
      <c r="D10" s="27"/>
      <c r="E10" s="26" t="s">
        <v>30</v>
      </c>
      <c r="F10" s="27"/>
      <c r="G10" s="28"/>
    </row>
    <row r="11" spans="1:7" s="24" customFormat="1" ht="12" customHeight="1" thickBot="1" x14ac:dyDescent="0.3">
      <c r="A11" s="28"/>
      <c r="B11" s="28"/>
      <c r="C11" s="28"/>
      <c r="F11" s="27"/>
      <c r="G11" s="28"/>
    </row>
    <row r="12" spans="1:7" ht="23.25" customHeight="1" thickBot="1" x14ac:dyDescent="0.3">
      <c r="A12" s="85" t="s">
        <v>31</v>
      </c>
      <c r="B12" s="86"/>
      <c r="C12" s="86"/>
      <c r="D12" s="86"/>
      <c r="E12" s="86"/>
      <c r="F12" s="86"/>
      <c r="G12" s="87"/>
    </row>
    <row r="13" spans="1:7" s="37" customFormat="1" ht="37.5" customHeight="1" thickBot="1" x14ac:dyDescent="0.25">
      <c r="A13" s="33" t="s">
        <v>32</v>
      </c>
      <c r="B13" s="34" t="s">
        <v>33</v>
      </c>
      <c r="C13" s="46" t="s">
        <v>34</v>
      </c>
      <c r="D13" s="46" t="s">
        <v>7</v>
      </c>
      <c r="E13" s="35" t="s">
        <v>8</v>
      </c>
      <c r="F13" s="35" t="s">
        <v>9</v>
      </c>
      <c r="G13" s="36" t="s">
        <v>6</v>
      </c>
    </row>
    <row r="14" spans="1:7" s="37" customFormat="1" ht="25.5" customHeight="1" x14ac:dyDescent="0.2">
      <c r="A14" s="57" t="s">
        <v>49</v>
      </c>
      <c r="B14" s="50"/>
      <c r="C14" s="47" t="s">
        <v>50</v>
      </c>
      <c r="D14" s="23">
        <v>7</v>
      </c>
      <c r="E14" s="38">
        <v>0</v>
      </c>
      <c r="F14" s="38">
        <v>7</v>
      </c>
      <c r="G14" s="39">
        <v>7</v>
      </c>
    </row>
    <row r="15" spans="1:7" s="37" customFormat="1" ht="24" customHeight="1" x14ac:dyDescent="0.2">
      <c r="A15" s="57" t="s">
        <v>51</v>
      </c>
      <c r="B15" s="50"/>
      <c r="C15" s="47" t="s">
        <v>52</v>
      </c>
      <c r="D15" s="23">
        <v>7</v>
      </c>
      <c r="E15" s="38">
        <v>0</v>
      </c>
      <c r="F15" s="38">
        <v>7</v>
      </c>
      <c r="G15" s="39">
        <v>7</v>
      </c>
    </row>
    <row r="16" spans="1:7" s="37" customFormat="1" ht="15.75" customHeight="1" x14ac:dyDescent="0.2">
      <c r="A16" s="57" t="s">
        <v>48</v>
      </c>
      <c r="B16" s="50" t="s">
        <v>39</v>
      </c>
      <c r="C16" s="47" t="s">
        <v>40</v>
      </c>
      <c r="D16" s="23">
        <v>5</v>
      </c>
      <c r="E16" s="38">
        <v>0</v>
      </c>
      <c r="F16" s="38">
        <v>5</v>
      </c>
      <c r="G16" s="39">
        <v>5</v>
      </c>
    </row>
    <row r="17" spans="1:7" s="37" customFormat="1" ht="24" customHeight="1" x14ac:dyDescent="0.2">
      <c r="A17" s="49"/>
      <c r="B17" s="50"/>
      <c r="C17" s="47"/>
      <c r="D17" s="56"/>
      <c r="E17" s="51"/>
      <c r="F17" s="51"/>
      <c r="G17" s="52"/>
    </row>
    <row r="18" spans="1:7" s="42" customFormat="1" ht="15.75" x14ac:dyDescent="0.2">
      <c r="A18" s="6"/>
      <c r="B18" s="6"/>
      <c r="C18" s="47"/>
      <c r="D18" s="40"/>
      <c r="E18" s="40"/>
      <c r="F18" s="40"/>
      <c r="G18" s="39"/>
    </row>
    <row r="19" spans="1:7" s="42" customFormat="1" ht="15.75" x14ac:dyDescent="0.2">
      <c r="A19" s="6"/>
      <c r="B19" s="6"/>
      <c r="C19" s="47"/>
      <c r="D19" s="40"/>
      <c r="E19" s="40"/>
      <c r="F19" s="40"/>
      <c r="G19" s="41"/>
    </row>
    <row r="20" spans="1:7" s="42" customFormat="1" ht="15.75" x14ac:dyDescent="0.2">
      <c r="A20" s="81" t="s">
        <v>6</v>
      </c>
      <c r="B20" s="82"/>
      <c r="C20" s="82"/>
      <c r="D20" s="82"/>
      <c r="E20" s="82"/>
      <c r="F20" s="83"/>
      <c r="G20" s="48" t="s">
        <v>53</v>
      </c>
    </row>
    <row r="21" spans="1:7" s="24" customFormat="1" ht="75.75" customHeight="1" x14ac:dyDescent="0.25">
      <c r="A21" s="43"/>
      <c r="B21" s="43"/>
      <c r="G21" s="43"/>
    </row>
    <row r="22" spans="1:7" s="24" customFormat="1" x14ac:dyDescent="0.25"/>
    <row r="23" spans="1:7" s="24" customFormat="1" x14ac:dyDescent="0.25"/>
  </sheetData>
  <mergeCells count="6">
    <mergeCell ref="A20:F20"/>
    <mergeCell ref="A2:G2"/>
    <mergeCell ref="A3:G3"/>
    <mergeCell ref="A4:G4"/>
    <mergeCell ref="A5:G5"/>
    <mergeCell ref="A12:G12"/>
  </mergeCells>
  <phoneticPr fontId="7" type="noConversion"/>
  <pageMargins left="0.25" right="0.25" top="0.75" bottom="0.75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as TIC</vt:lpstr>
      <vt:lpstr>Election &amp; NLC</vt:lpstr>
      <vt:lpstr>'Election &amp; NLC'!Print_Area</vt:lpstr>
      <vt:lpstr>'Leave Card as TIC'!Print_Area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2026-01-07T06:49:36Z</cp:lastPrinted>
  <dcterms:created xsi:type="dcterms:W3CDTF">2022-11-24T07:01:13Z</dcterms:created>
  <dcterms:modified xsi:type="dcterms:W3CDTF">2026-01-07T06:50:40Z</dcterms:modified>
</cp:coreProperties>
</file>