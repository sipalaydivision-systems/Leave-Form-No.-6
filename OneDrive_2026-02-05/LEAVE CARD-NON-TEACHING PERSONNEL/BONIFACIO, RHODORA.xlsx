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99EFBE2C-3B9D-40CD-AA8F-2A2925722095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CORRECTED" sheetId="9" r:id="rId1"/>
    <sheet name="Leave Card" sheetId="8" r:id="rId2"/>
  </sheets>
  <definedNames>
    <definedName name="_xlnm.Print_Area" localSheetId="0">CORRECTED!$A$1:$J$110</definedName>
    <definedName name="_xlnm.Print_Area" localSheetId="1">'Leave Card'!$A$1:$J$78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9" l="1"/>
  <c r="J103" i="9" s="1"/>
  <c r="I103" i="9"/>
  <c r="H101" i="9"/>
  <c r="I101" i="9"/>
  <c r="I102" i="9" s="1"/>
  <c r="J101" i="9"/>
  <c r="H102" i="9"/>
  <c r="I13" i="9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H13" i="9"/>
  <c r="J102" i="9" l="1"/>
  <c r="J13" i="9"/>
  <c r="H14" i="9"/>
  <c r="J14" i="9" s="1"/>
  <c r="H15" i="9" l="1"/>
  <c r="J15" i="9" s="1"/>
  <c r="H16" i="9" l="1"/>
  <c r="J16" i="9" s="1"/>
  <c r="H17" i="9" l="1"/>
  <c r="J17" i="9" s="1"/>
  <c r="H18" i="9" l="1"/>
  <c r="J18" i="9" s="1"/>
  <c r="H19" i="9" l="1"/>
  <c r="J19" i="9" l="1"/>
  <c r="H20" i="9"/>
  <c r="H21" i="9" l="1"/>
  <c r="J20" i="9"/>
  <c r="J21" i="9" l="1"/>
  <c r="H22" i="9"/>
  <c r="J22" i="9" l="1"/>
  <c r="H23" i="9"/>
  <c r="H24" i="9" l="1"/>
  <c r="J23" i="9"/>
  <c r="J24" i="9" l="1"/>
  <c r="H25" i="9"/>
  <c r="H26" i="9" l="1"/>
  <c r="J25" i="9"/>
  <c r="J26" i="9" l="1"/>
  <c r="H27" i="9"/>
  <c r="H28" i="9" l="1"/>
  <c r="J27" i="9"/>
  <c r="H29" i="9" l="1"/>
  <c r="J28" i="9"/>
  <c r="J29" i="9" l="1"/>
  <c r="H30" i="9"/>
  <c r="J30" i="9" l="1"/>
  <c r="H31" i="9"/>
  <c r="H32" i="9" l="1"/>
  <c r="J31" i="9"/>
  <c r="J32" i="9" l="1"/>
  <c r="H33" i="9"/>
  <c r="J33" i="9" l="1"/>
  <c r="H34" i="9"/>
  <c r="H35" i="9" l="1"/>
  <c r="J34" i="9"/>
  <c r="H36" i="9" l="1"/>
  <c r="J35" i="9"/>
  <c r="J36" i="9" l="1"/>
  <c r="H37" i="9"/>
  <c r="H38" i="9" l="1"/>
  <c r="J37" i="9"/>
  <c r="H39" i="9" l="1"/>
  <c r="J38" i="9"/>
  <c r="H40" i="9" l="1"/>
  <c r="J39" i="9"/>
  <c r="J40" i="9" l="1"/>
  <c r="H41" i="9"/>
  <c r="H42" i="9" l="1"/>
  <c r="J41" i="9"/>
  <c r="B59" i="8"/>
  <c r="C59" i="8" s="1"/>
  <c r="J42" i="9" l="1"/>
  <c r="H43" i="9"/>
  <c r="B57" i="8"/>
  <c r="H44" i="9" l="1"/>
  <c r="H45" i="9" s="1"/>
  <c r="J43" i="9"/>
  <c r="C57" i="8"/>
  <c r="B55" i="8"/>
  <c r="C55" i="8" s="1"/>
  <c r="B53" i="8"/>
  <c r="C53" i="8" s="1"/>
  <c r="B51" i="8"/>
  <c r="C51" i="8" s="1"/>
  <c r="B48" i="8"/>
  <c r="C48" i="8" s="1"/>
  <c r="B45" i="8"/>
  <c r="C45" i="8" s="1"/>
  <c r="B43" i="8"/>
  <c r="C43" i="8" s="1"/>
  <c r="B39" i="8"/>
  <c r="C39" i="8" s="1"/>
  <c r="B37" i="8"/>
  <c r="C37" i="8" s="1"/>
  <c r="B33" i="8"/>
  <c r="C33" i="8" s="1"/>
  <c r="B31" i="8"/>
  <c r="C31" i="8" s="1"/>
  <c r="B28" i="8"/>
  <c r="C28" i="8" s="1"/>
  <c r="B26" i="8"/>
  <c r="C26" i="8" s="1"/>
  <c r="B23" i="8"/>
  <c r="C23" i="8" s="1"/>
  <c r="B21" i="8"/>
  <c r="C21" i="8" s="1"/>
  <c r="B17" i="8"/>
  <c r="C17" i="8" s="1"/>
  <c r="B15" i="8"/>
  <c r="H15" i="8" s="1"/>
  <c r="H16" i="8" s="1"/>
  <c r="J14" i="8"/>
  <c r="H46" i="9" l="1"/>
  <c r="J45" i="9"/>
  <c r="J44" i="9"/>
  <c r="H17" i="8"/>
  <c r="C15" i="8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H47" i="9" l="1"/>
  <c r="J46" i="9"/>
  <c r="I62" i="8"/>
  <c r="I63" i="8" s="1"/>
  <c r="I64" i="8" s="1"/>
  <c r="I65" i="8" s="1"/>
  <c r="I66" i="8" s="1"/>
  <c r="I67" i="8" s="1"/>
  <c r="I68" i="8" s="1"/>
  <c r="I69" i="8" s="1"/>
  <c r="H18" i="8"/>
  <c r="J17" i="8"/>
  <c r="J16" i="8"/>
  <c r="J15" i="8"/>
  <c r="J47" i="9" l="1"/>
  <c r="H48" i="9"/>
  <c r="H19" i="8"/>
  <c r="J18" i="8"/>
  <c r="J48" i="9" l="1"/>
  <c r="H49" i="9"/>
  <c r="H20" i="8"/>
  <c r="J19" i="8"/>
  <c r="J49" i="9" l="1"/>
  <c r="H50" i="9"/>
  <c r="H21" i="8"/>
  <c r="J20" i="8"/>
  <c r="H51" i="9" l="1"/>
  <c r="J50" i="9"/>
  <c r="H22" i="8"/>
  <c r="J21" i="8"/>
  <c r="J51" i="9" l="1"/>
  <c r="H52" i="9"/>
  <c r="H23" i="8"/>
  <c r="J22" i="8"/>
  <c r="H53" i="9" l="1"/>
  <c r="J52" i="9"/>
  <c r="H24" i="8"/>
  <c r="J23" i="8"/>
  <c r="J53" i="9" l="1"/>
  <c r="H54" i="9"/>
  <c r="H55" i="9" s="1"/>
  <c r="H25" i="8"/>
  <c r="J24" i="8"/>
  <c r="H56" i="9" l="1"/>
  <c r="J55" i="9"/>
  <c r="J54" i="9"/>
  <c r="H26" i="8"/>
  <c r="J25" i="8"/>
  <c r="J56" i="9" l="1"/>
  <c r="H57" i="9"/>
  <c r="H27" i="8"/>
  <c r="J26" i="8"/>
  <c r="H58" i="9" l="1"/>
  <c r="J57" i="9"/>
  <c r="H28" i="8"/>
  <c r="J27" i="8"/>
  <c r="J58" i="9" l="1"/>
  <c r="H59" i="9"/>
  <c r="H29" i="8"/>
  <c r="J28" i="8"/>
  <c r="H60" i="9" l="1"/>
  <c r="J59" i="9"/>
  <c r="H30" i="8"/>
  <c r="J29" i="8"/>
  <c r="J60" i="9" l="1"/>
  <c r="H61" i="9"/>
  <c r="H31" i="8"/>
  <c r="J30" i="8"/>
  <c r="H62" i="9" l="1"/>
  <c r="J61" i="9"/>
  <c r="H32" i="8"/>
  <c r="J31" i="8"/>
  <c r="J62" i="9" l="1"/>
  <c r="H63" i="9"/>
  <c r="H33" i="8"/>
  <c r="J32" i="8"/>
  <c r="H64" i="9" l="1"/>
  <c r="J63" i="9"/>
  <c r="H34" i="8"/>
  <c r="J33" i="8"/>
  <c r="J64" i="9" l="1"/>
  <c r="H65" i="9"/>
  <c r="H35" i="8"/>
  <c r="J34" i="8"/>
  <c r="H66" i="9" l="1"/>
  <c r="J65" i="9"/>
  <c r="H36" i="8"/>
  <c r="J35" i="8"/>
  <c r="J66" i="9" l="1"/>
  <c r="H67" i="9"/>
  <c r="H37" i="8"/>
  <c r="J36" i="8"/>
  <c r="H68" i="9" l="1"/>
  <c r="J67" i="9"/>
  <c r="J37" i="8"/>
  <c r="H38" i="8"/>
  <c r="J68" i="9" l="1"/>
  <c r="H69" i="9"/>
  <c r="H39" i="8"/>
  <c r="J38" i="8"/>
  <c r="H70" i="9" l="1"/>
  <c r="J69" i="9"/>
  <c r="H40" i="8"/>
  <c r="J39" i="8"/>
  <c r="H71" i="9" l="1"/>
  <c r="J70" i="9"/>
  <c r="H41" i="8"/>
  <c r="J40" i="8"/>
  <c r="H72" i="9" l="1"/>
  <c r="J71" i="9"/>
  <c r="H42" i="8"/>
  <c r="J41" i="8"/>
  <c r="J72" i="9" l="1"/>
  <c r="H73" i="9"/>
  <c r="H43" i="8"/>
  <c r="J42" i="8"/>
  <c r="H74" i="9" l="1"/>
  <c r="J73" i="9"/>
  <c r="H44" i="8"/>
  <c r="J43" i="8"/>
  <c r="J74" i="9" l="1"/>
  <c r="H75" i="9"/>
  <c r="H45" i="8"/>
  <c r="J44" i="8"/>
  <c r="H76" i="9" l="1"/>
  <c r="J75" i="9"/>
  <c r="H46" i="8"/>
  <c r="J45" i="8"/>
  <c r="J76" i="9" l="1"/>
  <c r="H77" i="9"/>
  <c r="H47" i="8"/>
  <c r="J46" i="8"/>
  <c r="H78" i="9" l="1"/>
  <c r="J77" i="9"/>
  <c r="H48" i="8"/>
  <c r="J47" i="8"/>
  <c r="J78" i="9" l="1"/>
  <c r="H79" i="9"/>
  <c r="H49" i="8"/>
  <c r="J48" i="8"/>
  <c r="J79" i="9" l="1"/>
  <c r="H80" i="9"/>
  <c r="H50" i="8"/>
  <c r="J49" i="8"/>
  <c r="J80" i="9" l="1"/>
  <c r="H81" i="9"/>
  <c r="H51" i="8"/>
  <c r="J50" i="8"/>
  <c r="H82" i="9" l="1"/>
  <c r="J81" i="9"/>
  <c r="H52" i="8"/>
  <c r="J51" i="8"/>
  <c r="J82" i="9" l="1"/>
  <c r="H83" i="9"/>
  <c r="H53" i="8"/>
  <c r="J52" i="8"/>
  <c r="H84" i="9" l="1"/>
  <c r="J83" i="9"/>
  <c r="H54" i="8"/>
  <c r="J53" i="8"/>
  <c r="J84" i="9" l="1"/>
  <c r="H85" i="9"/>
  <c r="H55" i="8"/>
  <c r="J54" i="8"/>
  <c r="H86" i="9" l="1"/>
  <c r="J85" i="9"/>
  <c r="H56" i="8"/>
  <c r="J55" i="8"/>
  <c r="J86" i="9" l="1"/>
  <c r="H87" i="9"/>
  <c r="H57" i="8"/>
  <c r="J56" i="8"/>
  <c r="H88" i="9" l="1"/>
  <c r="J87" i="9"/>
  <c r="H58" i="8"/>
  <c r="J57" i="8"/>
  <c r="J88" i="9" l="1"/>
  <c r="H89" i="9"/>
  <c r="H59" i="8"/>
  <c r="J58" i="8"/>
  <c r="H90" i="9" l="1"/>
  <c r="J89" i="9"/>
  <c r="H60" i="8"/>
  <c r="H61" i="8" s="1"/>
  <c r="J59" i="8"/>
  <c r="J90" i="9" l="1"/>
  <c r="H91" i="9"/>
  <c r="H62" i="8"/>
  <c r="J61" i="8"/>
  <c r="J60" i="8"/>
  <c r="H92" i="9" l="1"/>
  <c r="J91" i="9"/>
  <c r="H63" i="8"/>
  <c r="J62" i="8"/>
  <c r="J92" i="9" l="1"/>
  <c r="H93" i="9"/>
  <c r="H64" i="8"/>
  <c r="J63" i="8"/>
  <c r="H94" i="9" l="1"/>
  <c r="J93" i="9"/>
  <c r="J64" i="8"/>
  <c r="H65" i="8"/>
  <c r="J94" i="9" l="1"/>
  <c r="H95" i="9"/>
  <c r="J65" i="8"/>
  <c r="H66" i="8"/>
  <c r="H67" i="8" s="1"/>
  <c r="J95" i="9" l="1"/>
  <c r="H96" i="9"/>
  <c r="H68" i="8"/>
  <c r="J67" i="8"/>
  <c r="J66" i="8"/>
  <c r="H97" i="9" l="1"/>
  <c r="J96" i="9"/>
  <c r="J68" i="8"/>
  <c r="H69" i="8"/>
  <c r="J69" i="8" s="1"/>
  <c r="J97" i="9" l="1"/>
  <c r="H98" i="9"/>
  <c r="J98" i="9" l="1"/>
  <c r="H99" i="9"/>
  <c r="J99" i="9" l="1"/>
  <c r="H100" i="9"/>
  <c r="J100" i="9" s="1"/>
</calcChain>
</file>

<file path=xl/sharedStrings.xml><?xml version="1.0" encoding="utf-8"?>
<sst xmlns="http://schemas.openxmlformats.org/spreadsheetml/2006/main" count="198" uniqueCount="153">
  <si>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</si>
  <si>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</si>
  <si>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</si>
  <si>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</si>
  <si>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</si>
  <si>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</si>
  <si>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</si>
  <si>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</si>
  <si>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</si>
  <si>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</si>
  <si>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</si>
  <si>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</si>
  <si>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</si>
  <si>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DATE OF APPOINTMENT: NOVEMBER 16, 2007</t>
  </si>
  <si>
    <t>Balance Forwarded from Schools Division of Neg. Occ. (12/31/2013)</t>
  </si>
  <si>
    <t>Add: 01/01/2014 - 08/31/2014</t>
  </si>
  <si>
    <t>Less: Monetization (09/22/2014)</t>
  </si>
  <si>
    <t>Add: 09/01/2014 - 12/31/2014</t>
  </si>
  <si>
    <t>Less: Forced Leave (2014)</t>
  </si>
  <si>
    <t>Less: Monetization F.Y. 2014</t>
  </si>
  <si>
    <t>Add: 01/01/2015 - 01/31/2015</t>
  </si>
  <si>
    <t>Add: 02/01/2015 - 09/30/2015</t>
  </si>
  <si>
    <t>Less: Monetization F.Y. 2015</t>
  </si>
  <si>
    <t>Add: 10/01/2015 - 12/31/2015</t>
  </si>
  <si>
    <t>Less: Forced Leave (2015)</t>
  </si>
  <si>
    <t>Less: Monetization (Addt'l-2015)</t>
  </si>
  <si>
    <t>Add: 01/01/2016 - 08/31/2016</t>
  </si>
  <si>
    <t>Less: Monetization F.Y. 2016 (09/22/2016)</t>
  </si>
  <si>
    <t>Add: 09/01/2016 - 12/31/2016</t>
  </si>
  <si>
    <t xml:space="preserve">Less: Monetization (12/14/2016) </t>
  </si>
  <si>
    <t>Less: Forced Leave (2016)</t>
  </si>
  <si>
    <t>Add: 01/01/2017 - 07/31/2017</t>
  </si>
  <si>
    <t>Add: 08/01/2017 - 12/31/2017</t>
  </si>
  <si>
    <t>Less: Forced Leave (2017)</t>
  </si>
  <si>
    <t>Less: Monetization F.Y. 2017</t>
  </si>
  <si>
    <t>Add: 01/01/2018 - 07/31/2018</t>
  </si>
  <si>
    <t>Less: 15 Days Monetization</t>
  </si>
  <si>
    <t>Less: 10 Days Monetization</t>
  </si>
  <si>
    <t>Add: 12/01/2018 - 12/31/2018</t>
  </si>
  <si>
    <t>Less: Forced Leave (2018)</t>
  </si>
  <si>
    <t>Add: 01/01/2019 - 07/31/2019</t>
  </si>
  <si>
    <t>Add: 08/01/2019 - 11/302019</t>
  </si>
  <si>
    <t>Add: 12/01/2019 - 12/31/2019</t>
  </si>
  <si>
    <t>Add: 01/01/2020 - 12/31/2020</t>
  </si>
  <si>
    <t>Less: Forced Leave (2020)</t>
  </si>
  <si>
    <t>Less: Forced Leave (2019)</t>
  </si>
  <si>
    <t>Add: 01/01/2021 - 06/30/2021</t>
  </si>
  <si>
    <t>Less: 10 Days Monetization (2021)</t>
  </si>
  <si>
    <t>Add: 07/01/2021 - 10/31/2021</t>
  </si>
  <si>
    <t>Less: 15 Days Mon. (11/24/2021)</t>
  </si>
  <si>
    <t>Add: 11/01/2021 - 12/31/2021</t>
  </si>
  <si>
    <t>Less: Forced Leave (2021)</t>
  </si>
  <si>
    <t>Add: 01/01/2022 - 06/30/2022</t>
  </si>
  <si>
    <t>Less: 25 days Monetization (2022)</t>
  </si>
  <si>
    <t>Add: 07/01/2022 - 08/31/2022</t>
  </si>
  <si>
    <t>Less: 08/08/2022 - 08/09/2022</t>
  </si>
  <si>
    <t>Name: _____________________________</t>
  </si>
  <si>
    <t>DISTRICT: ____________________________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</si>
  <si>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</si>
  <si>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</si>
  <si>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</si>
  <si>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</si>
  <si>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</si>
  <si>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LESS: MONETIZATION 2017 - CANCELLED</t>
  </si>
  <si>
    <t>ADD: CANCELLED MONETIZATION 2017</t>
  </si>
  <si>
    <t>ADD: 9/01/22 - 12/31/22</t>
  </si>
  <si>
    <t>Less: Forced Leave (2022)</t>
  </si>
  <si>
    <t>ADD: 01/01/2023 - 06/30/2023</t>
  </si>
  <si>
    <t>Less: Monetization 2023</t>
  </si>
  <si>
    <t>LESS: ADDT'L MONETIZATION 2023</t>
  </si>
  <si>
    <t>Less: Forced Leave (2023)</t>
  </si>
  <si>
    <t>ADD: 07/01/2023-12/31/2023</t>
  </si>
  <si>
    <t>ADD: 08/1/2018-11/30/2018</t>
  </si>
  <si>
    <t>ADD: 01/1/2024-07/31/2024</t>
  </si>
  <si>
    <t>LESS: MONETIZATION 2024</t>
  </si>
  <si>
    <t>DISTRICT: ___________________________</t>
  </si>
  <si>
    <t>DATE FILED/RECEIVED</t>
  </si>
  <si>
    <t>SPECIAL</t>
  </si>
  <si>
    <t>ADD: 12/1-31/2007</t>
  </si>
  <si>
    <t>LESS: MONETIZATION CY 2009</t>
  </si>
  <si>
    <t>LESS: MONETIZATION CY 2010</t>
  </si>
  <si>
    <t>ADD: 01/01/2020-12/31/2020</t>
  </si>
  <si>
    <t xml:space="preserve">  </t>
  </si>
  <si>
    <t>ADD: 11/16-30/2007</t>
  </si>
  <si>
    <t>ADD: 01/1/2008-12/31/2008</t>
  </si>
  <si>
    <t>LESS: MANDATORY FL 2008</t>
  </si>
  <si>
    <t>ADD: 01/1/2009-4/30/2009</t>
  </si>
  <si>
    <t>LESS: MANDATORY FL 2009</t>
  </si>
  <si>
    <t>ADD: 01/1/2010-10/31/2010</t>
  </si>
  <si>
    <t>ADD: 11/1/2010-12/31/2010</t>
  </si>
  <si>
    <t>LESS: MANDATORY FL 2010</t>
  </si>
  <si>
    <t>ADD: 01/1/2011-10/31/2011</t>
  </si>
  <si>
    <t>LESS: MONETIZATION CY 2011</t>
  </si>
  <si>
    <t>ADD: 11/1/2011-12/31/2011</t>
  </si>
  <si>
    <t>LESS: MANDATORY FL 2011</t>
  </si>
  <si>
    <t>ADD: 01/1/2012-07/31/2012</t>
  </si>
  <si>
    <t>LESS: MONETIZATION CY 2012</t>
  </si>
  <si>
    <t>ADD: 05/1/2009-09/30/2009</t>
  </si>
  <si>
    <t>LESS: 10/1/2009-12/31/2009</t>
  </si>
  <si>
    <t>ADD: 08/1/2012-12/31/2012</t>
  </si>
  <si>
    <t>LESS: MANDATORY FL 2012</t>
  </si>
  <si>
    <t>ADD: 01/1/2013-12/31/2013</t>
  </si>
  <si>
    <t>LESS: MANDATORY FL 2013</t>
  </si>
  <si>
    <t>ADD: 01/01/2014-08/31/2014</t>
  </si>
  <si>
    <t>LESS: MONETIZATION 2014</t>
  </si>
  <si>
    <t>ADD: 09/1/2014-12/31/2014</t>
  </si>
  <si>
    <t>LESS: MANDATORY FL 2014</t>
  </si>
  <si>
    <t>ADD: 1/1-31/2015</t>
  </si>
  <si>
    <t>LESS: MONETIZATION 2024 (ADDT'L)</t>
  </si>
  <si>
    <t>ADD: 02/1/2015-09/30/2015</t>
  </si>
  <si>
    <t>LESS: MONETIZATION FY 2015</t>
  </si>
  <si>
    <t>ADD: 10/1/2015-12/31/2015</t>
  </si>
  <si>
    <t>LESS: MANDATORY FL 2015</t>
  </si>
  <si>
    <t>LESS: MONETIZATION 2015 (ADDT'L)</t>
  </si>
  <si>
    <t>ADD: 01/01/2016-08/31/2016</t>
  </si>
  <si>
    <t>LESS: MONETIZATION FY 2016 (9/22/2016)</t>
  </si>
  <si>
    <t>ADD: 09/1/2016-12/31/2016</t>
  </si>
  <si>
    <t>LESS: MONETIZATION (12/14/2016)</t>
  </si>
  <si>
    <t>LESS: MANDATORY FL 2016</t>
  </si>
  <si>
    <t>ADD: 01/1/2017-07/31/2017</t>
  </si>
  <si>
    <t>LESS: MONETIZATION FY 2017</t>
  </si>
  <si>
    <t>LESS: MANDATORY FL 2017</t>
  </si>
  <si>
    <t>ADD: 01/1/2018-07/31/2018</t>
  </si>
  <si>
    <t>LESS: MONETIZATION 2018</t>
  </si>
  <si>
    <t>LESS: MONETIZATION (ADDT'L)</t>
  </si>
  <si>
    <t>ADD: 08/1/2017-12/31/2017</t>
  </si>
  <si>
    <t>ADD: 12/1-31/2018</t>
  </si>
  <si>
    <t>LESS: MANDATORY FL 2018</t>
  </si>
  <si>
    <t>ADD: 01/1/2019-7/31/2019</t>
  </si>
  <si>
    <t>LESS: MONETIZATION 2019</t>
  </si>
  <si>
    <t>ADD: 08/1/2019-12/31/2019</t>
  </si>
  <si>
    <t>LESS: MANDATORY FL 2019</t>
  </si>
  <si>
    <t>LESS: MANDATORY FL 2020</t>
  </si>
  <si>
    <t>LESS: MANDATORY FL 2021</t>
  </si>
  <si>
    <t>LESS: MONETIZATION 2020</t>
  </si>
  <si>
    <t>ADD: 01/1/2021-06/30/2021</t>
  </si>
  <si>
    <t>LESS: MONETIZATION 2021</t>
  </si>
  <si>
    <t>ADD: 07/1/2021-10/31/2021</t>
  </si>
  <si>
    <t>ADD: 11/1/2021-12/31/2021</t>
  </si>
  <si>
    <t>LESS: MONETIZATION 2017 (CANCELLED)</t>
  </si>
  <si>
    <t>LESS: MONETIZATION CY 2013</t>
  </si>
  <si>
    <t>ADD: 08/1/2024-12/31/2024</t>
  </si>
  <si>
    <t>ADD: 01/1-31/2025</t>
  </si>
  <si>
    <t>LESS: 02/18/2025</t>
  </si>
  <si>
    <t>ADD: 02/1/2025-03/31/2025</t>
  </si>
  <si>
    <t>LESS: MONETIZATION 2025</t>
  </si>
  <si>
    <t>ADD: 04/1/2025-05/31/2025</t>
  </si>
  <si>
    <t>LESS: 06/13/2025</t>
  </si>
  <si>
    <t>LESS: 06/27/2025</t>
  </si>
  <si>
    <t>ADD: 06/1/2025-08/31/2025</t>
  </si>
  <si>
    <t>LESS: 09/4-5/2025</t>
  </si>
  <si>
    <t>LESS:  FL 2024</t>
  </si>
  <si>
    <t>LESS: 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</si>
</sst>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5" fillId="0" borderId="0" xfId="0" applyFont="1"/>
    <xf numFmtId="0" fontId="0" fillId="0" borderId="0" xfId="0" applyAlignment="1">
      <alignment horizontal="center"/>
    </xf>
    <xf numFmtId="0" fontId="5" fillId="2" borderId="0" xfId="0" applyFont="1" applyFill="1"/>
    <xf numFmtId="0" fontId="4" fillId="2" borderId="0" xfId="0" applyFont="1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vertical="center"/>
    </xf>
    <xf numFmtId="164" fontId="0" fillId="2" borderId="16" xfId="0" applyNumberForma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 wrapText="1"/>
    </xf>
    <xf numFmtId="164" fontId="0" fillId="10" borderId="2" xfId="0" applyNumberForma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0" fontId="8" fillId="0" borderId="0" xfId="0" applyFont="1"/>
    <xf numFmtId="164" fontId="0" fillId="2" borderId="1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1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 wrapText="1"/>
    </xf>
    <xf numFmtId="164" fontId="0" fillId="11" borderId="2" xfId="0" applyNumberFormat="1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1" fillId="2" borderId="29" xfId="0" applyFont="1" applyFill="1" applyBorder="1" applyAlignment="1">
      <alignment vertical="center"/>
    </xf>
    <xf numFmtId="0" fontId="1" fillId="2" borderId="29" xfId="0" applyFont="1" applyFill="1" applyBorder="1"/>
    <xf numFmtId="0" fontId="0" fillId="0" borderId="32" xfId="0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164" fontId="0" fillId="2" borderId="29" xfId="0" applyNumberForma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3" xfId="0" applyBorder="1"/>
    <xf numFmtId="0" fontId="7" fillId="0" borderId="0" xfId="0" applyFont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2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A2577-9DD5-4004-A9F2-1D0D794B1D4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DF372A-4818-4F0E-B358-A42B445E5FB4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RHODORA V.</a:t>
          </a:r>
          <a:r>
            <a:rPr lang="en-US" sz="1100" baseline="0"/>
            <a:t> BONIFACIO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14BFC4-4202-4A26-A8E2-577A1E39D231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81BFF32-1B29-48AF-988B-1F1DFBF1DA05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NNHS</a:t>
          </a:r>
        </a:p>
      </xdr:txBody>
    </xdr:sp>
    <xdr:clientData/>
  </xdr:twoCellAnchor>
  <xdr:twoCellAnchor>
    <xdr:from>
      <xdr:col>5</xdr:col>
      <xdr:colOff>347452</xdr:colOff>
      <xdr:row>104</xdr:row>
      <xdr:rowOff>53914</xdr:rowOff>
    </xdr:from>
    <xdr:to>
      <xdr:col>9</xdr:col>
      <xdr:colOff>672043</xdr:colOff>
      <xdr:row>109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3EBA745-094B-4EBA-8DED-B65CA4E0487C}"/>
            </a:ext>
          </a:extLst>
        </xdr:cNvPr>
        <xdr:cNvSpPr txBox="1"/>
      </xdr:nvSpPr>
      <xdr:spPr>
        <a:xfrm>
          <a:off x="5871952" y="1553203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248008</xdr:colOff>
      <xdr:row>69</xdr:row>
      <xdr:rowOff>56611</xdr:rowOff>
    </xdr:from>
    <xdr:to>
      <xdr:col>9</xdr:col>
      <xdr:colOff>620022</xdr:colOff>
      <xdr:row>75</xdr:row>
      <xdr:rowOff>71887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6645933" y="14335125"/>
          <a:ext cx="2690363" cy="12014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149884</xdr:colOff>
      <xdr:row>0</xdr:row>
      <xdr:rowOff>50080</xdr:rowOff>
    </xdr:from>
    <xdr:to>
      <xdr:col>4</xdr:col>
      <xdr:colOff>71887</xdr:colOff>
      <xdr:row>0</xdr:row>
      <xdr:rowOff>646981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FF746F-1D1F-4E65-8AE6-110E3D0FD16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5922" y="50080"/>
          <a:ext cx="736720" cy="5969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407358</xdr:colOff>
      <xdr:row>4</xdr:row>
      <xdr:rowOff>170961</xdr:rowOff>
    </xdr:from>
    <xdr:to>
      <xdr:col>1</xdr:col>
      <xdr:colOff>687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DA4CE0-93FD-4BB7-8BA5-5CC1C81CBB0E}"/>
            </a:ext>
          </a:extLst>
        </xdr:cNvPr>
        <xdr:cNvSpPr txBox="1"/>
      </xdr:nvSpPr>
      <xdr:spPr>
        <a:xfrm>
          <a:off x="407358" y="1375065"/>
          <a:ext cx="1749933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RHODORA V. BONIFACIO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5974BAA-B07E-44FD-BB34-61D80210DB39}"/>
            </a:ext>
          </a:extLst>
        </xdr:cNvPr>
        <xdr:cNvSpPr txBox="1"/>
      </xdr:nvSpPr>
      <xdr:spPr>
        <a:xfrm>
          <a:off x="616683" y="1724757"/>
          <a:ext cx="200879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III/BOOKKEEPER</a:t>
          </a:r>
        </a:p>
      </xdr:txBody>
    </xdr:sp>
    <xdr:clientData/>
  </xdr:twoCellAnchor>
  <xdr:twoCellAnchor>
    <xdr:from>
      <xdr:col>2</xdr:col>
      <xdr:colOff>415192</xdr:colOff>
      <xdr:row>7</xdr:row>
      <xdr:rowOff>50800</xdr:rowOff>
    </xdr:from>
    <xdr:to>
      <xdr:col>4</xdr:col>
      <xdr:colOff>438149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986ABA-2875-4D7F-946A-D91CBEC01920}"/>
            </a:ext>
          </a:extLst>
        </xdr:cNvPr>
        <xdr:cNvSpPr txBox="1"/>
      </xdr:nvSpPr>
      <xdr:spPr>
        <a:xfrm>
          <a:off x="3901342" y="1714500"/>
          <a:ext cx="1648557" cy="242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NNHS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F402-53D2-4A20-A65A-AD9C407D9B48}">
  <sheetPr>
    <pageSetUpPr fitToPage="1"/>
  </sheetPr>
  <dimension ref="A1:K110"/>
  <sheetViews>
    <sheetView tabSelected="1" view="pageBreakPreview" topLeftCell="A75" zoomScale="106" zoomScaleNormal="100" zoomScaleSheetLayoutView="106" workbookViewId="0">
      <selection activeCell="A102" sqref="A102:XFD102"/>
    </sheetView>
  </sheetViews>
  <sheetFormatPr defaultRowHeight="15" x14ac:dyDescent="0.25"/>
  <cols>
    <col min="1" max="1" width="37.7109375" customWidth="1"/>
    <col min="2" max="5" width="11.5703125" customWidth="1"/>
    <col min="6" max="7" width="11.5703125" style="31" customWidth="1"/>
    <col min="8" max="10" width="11.5703125" customWidth="1"/>
    <col min="11" max="11" width="26.42578125" style="42" customWidth="1"/>
  </cols>
  <sheetData>
    <row r="1" spans="1:11" s="1" customFormat="1" ht="52.5" customHeight="1" x14ac:dyDescent="0.25">
      <c r="A1" s="57"/>
      <c r="B1" s="58"/>
      <c r="C1" s="58"/>
      <c r="D1" s="58"/>
      <c r="E1" s="58"/>
      <c r="F1" s="58"/>
      <c r="G1" s="58"/>
      <c r="H1" s="58"/>
      <c r="I1" s="58"/>
      <c r="J1" s="59"/>
    </row>
    <row r="2" spans="1:11" s="1" customFormat="1" ht="10.5" customHeight="1" x14ac:dyDescent="0.25">
      <c r="A2" s="91" t="s">
        <v>9</v>
      </c>
      <c r="B2" s="92"/>
      <c r="C2" s="92"/>
      <c r="D2" s="92"/>
      <c r="E2" s="92"/>
      <c r="F2" s="92"/>
      <c r="G2" s="92"/>
      <c r="H2" s="92"/>
      <c r="I2" s="92"/>
      <c r="J2" s="93"/>
    </row>
    <row r="3" spans="1:11" s="1" customFormat="1" ht="15.95" customHeight="1" x14ac:dyDescent="0.25">
      <c r="A3" s="91" t="s">
        <v>10</v>
      </c>
      <c r="B3" s="92"/>
      <c r="C3" s="92"/>
      <c r="D3" s="92"/>
      <c r="E3" s="92"/>
      <c r="F3" s="92"/>
      <c r="G3" s="92"/>
      <c r="H3" s="92"/>
      <c r="I3" s="92"/>
      <c r="J3" s="93"/>
    </row>
    <row r="4" spans="1:11" s="1" customFormat="1" ht="15.95" customHeight="1" x14ac:dyDescent="0.25">
      <c r="A4" s="91" t="s">
        <v>11</v>
      </c>
      <c r="B4" s="92"/>
      <c r="C4" s="92"/>
      <c r="D4" s="92"/>
      <c r="E4" s="92"/>
      <c r="F4" s="92"/>
      <c r="G4" s="92"/>
      <c r="H4" s="92"/>
      <c r="I4" s="92"/>
      <c r="J4" s="93"/>
    </row>
    <row r="5" spans="1:11" s="1" customFormat="1" ht="15.95" customHeight="1" x14ac:dyDescent="0.25">
      <c r="A5" s="91" t="s">
        <v>12</v>
      </c>
      <c r="B5" s="92"/>
      <c r="C5" s="92"/>
      <c r="D5" s="92"/>
      <c r="E5" s="92"/>
      <c r="F5" s="92"/>
      <c r="G5" s="92"/>
      <c r="H5" s="92"/>
      <c r="I5" s="92"/>
      <c r="J5" s="93"/>
    </row>
    <row r="6" spans="1:11" s="1" customFormat="1" ht="8.25" customHeight="1" x14ac:dyDescent="0.25">
      <c r="A6" s="60"/>
      <c r="J6" s="61"/>
    </row>
    <row r="7" spans="1:11" s="1" customFormat="1" ht="12" customHeight="1" x14ac:dyDescent="0.25">
      <c r="A7" s="60" t="s">
        <v>56</v>
      </c>
      <c r="B7" s="90" t="s">
        <v>75</v>
      </c>
      <c r="C7" s="90"/>
      <c r="D7" s="90"/>
      <c r="H7" s="16" t="s">
        <v>58</v>
      </c>
      <c r="I7" s="17"/>
      <c r="J7" s="62"/>
    </row>
    <row r="8" spans="1:11" s="1" customFormat="1" ht="12" customHeight="1" x14ac:dyDescent="0.25">
      <c r="A8" s="60"/>
      <c r="B8" s="18"/>
      <c r="C8" s="18"/>
      <c r="H8" s="18"/>
      <c r="I8" s="18"/>
      <c r="J8" s="63"/>
    </row>
    <row r="9" spans="1:11" s="1" customFormat="1" ht="12" customHeight="1" x14ac:dyDescent="0.25">
      <c r="A9" s="60" t="s">
        <v>59</v>
      </c>
      <c r="B9" s="90" t="s">
        <v>60</v>
      </c>
      <c r="C9" s="90"/>
      <c r="D9" s="90"/>
      <c r="H9" s="16" t="s">
        <v>61</v>
      </c>
      <c r="I9" s="19"/>
      <c r="J9" s="62"/>
    </row>
    <row r="10" spans="1:11" ht="23.25" customHeight="1" thickBot="1" x14ac:dyDescent="0.3">
      <c r="A10" s="76" t="s">
        <v>62</v>
      </c>
      <c r="B10" s="77"/>
      <c r="C10" s="77"/>
      <c r="D10" s="77"/>
      <c r="E10" s="77"/>
      <c r="F10" s="77"/>
      <c r="G10" s="77"/>
      <c r="H10" s="77"/>
      <c r="I10" s="77"/>
      <c r="J10" s="78"/>
      <c r="K10"/>
    </row>
    <row r="11" spans="1:11" ht="18.75" customHeight="1" x14ac:dyDescent="0.25">
      <c r="A11" s="79" t="s">
        <v>3</v>
      </c>
      <c r="B11" s="81" t="s">
        <v>4</v>
      </c>
      <c r="C11" s="82"/>
      <c r="D11" s="83" t="s">
        <v>5</v>
      </c>
      <c r="E11" s="84"/>
      <c r="F11" s="84"/>
      <c r="G11" s="85"/>
      <c r="H11" s="86" t="s">
        <v>6</v>
      </c>
      <c r="I11" s="87"/>
      <c r="J11" s="88" t="s">
        <v>7</v>
      </c>
      <c r="K11" s="75" t="s">
        <v>76</v>
      </c>
    </row>
    <row r="12" spans="1:11" ht="18.75" customHeight="1" thickBot="1" x14ac:dyDescent="0.3">
      <c r="A12" s="80"/>
      <c r="B12" s="39" t="s">
        <v>0</v>
      </c>
      <c r="C12" s="39" t="s">
        <v>1</v>
      </c>
      <c r="D12" s="39" t="s">
        <v>0</v>
      </c>
      <c r="E12" s="39" t="s">
        <v>1</v>
      </c>
      <c r="F12" s="39" t="s">
        <v>2</v>
      </c>
      <c r="G12" s="39" t="s">
        <v>77</v>
      </c>
      <c r="H12" s="39" t="s">
        <v>0</v>
      </c>
      <c r="I12" s="39" t="s">
        <v>1</v>
      </c>
      <c r="J12" s="89"/>
      <c r="K12" s="75"/>
    </row>
    <row r="13" spans="1:11" ht="30.75" customHeight="1" x14ac:dyDescent="0.25">
      <c r="A13" s="64" t="s">
        <v>83</v>
      </c>
      <c r="B13" s="40">
        <v>0.625</v>
      </c>
      <c r="C13" s="40">
        <v>0.625</v>
      </c>
      <c r="D13" s="40"/>
      <c r="E13" s="40"/>
      <c r="F13" s="40"/>
      <c r="G13" s="40"/>
      <c r="H13" s="41">
        <f>B13</f>
        <v>0.625</v>
      </c>
      <c r="I13" s="41">
        <f>C13</f>
        <v>0.625</v>
      </c>
      <c r="J13" s="41">
        <f>SUM(H13:I13)</f>
        <v>1.25</v>
      </c>
    </row>
    <row r="14" spans="1:11" ht="12" customHeight="1" x14ac:dyDescent="0.25">
      <c r="A14" s="48" t="s">
        <v>78</v>
      </c>
      <c r="B14" s="28">
        <v>1.25</v>
      </c>
      <c r="C14" s="28">
        <v>1.25</v>
      </c>
      <c r="D14" s="28"/>
      <c r="E14" s="28"/>
      <c r="F14" s="28"/>
      <c r="G14" s="28"/>
      <c r="H14" s="43">
        <f>H13-F14-D14+B14</f>
        <v>1.875</v>
      </c>
      <c r="I14" s="43">
        <f>I13-E14+C14</f>
        <v>1.875</v>
      </c>
      <c r="J14" s="43">
        <f>SUM(H14:I14)</f>
        <v>3.75</v>
      </c>
    </row>
    <row r="15" spans="1:11" ht="12" customHeight="1" x14ac:dyDescent="0.25">
      <c r="A15" s="48" t="s">
        <v>84</v>
      </c>
      <c r="B15" s="28">
        <v>15</v>
      </c>
      <c r="C15" s="28">
        <v>15</v>
      </c>
      <c r="D15" s="28"/>
      <c r="E15" s="28"/>
      <c r="F15" s="28"/>
      <c r="G15" s="28"/>
      <c r="H15" s="43">
        <f t="shared" ref="H15:H16" si="0">H14-F15-D15+B15</f>
        <v>16.875</v>
      </c>
      <c r="I15" s="43">
        <f t="shared" ref="I15:I16" si="1">I14-E15+C15</f>
        <v>16.875</v>
      </c>
      <c r="J15" s="43">
        <f t="shared" ref="J15:J19" si="2">SUM(H15:I15)</f>
        <v>33.75</v>
      </c>
    </row>
    <row r="16" spans="1:11" ht="12.75" customHeight="1" x14ac:dyDescent="0.25">
      <c r="A16" s="48" t="s">
        <v>85</v>
      </c>
      <c r="B16" s="28"/>
      <c r="C16" s="28"/>
      <c r="D16" s="28"/>
      <c r="E16" s="28"/>
      <c r="F16" s="28">
        <v>5</v>
      </c>
      <c r="G16" s="28"/>
      <c r="H16" s="43">
        <f t="shared" si="0"/>
        <v>11.875</v>
      </c>
      <c r="I16" s="43">
        <f t="shared" si="1"/>
        <v>16.875</v>
      </c>
      <c r="J16" s="43">
        <f t="shared" si="2"/>
        <v>28.75</v>
      </c>
    </row>
    <row r="17" spans="1:10" ht="12.75" customHeight="1" x14ac:dyDescent="0.25">
      <c r="A17" s="48" t="s">
        <v>86</v>
      </c>
      <c r="B17" s="28">
        <v>5</v>
      </c>
      <c r="C17" s="28">
        <v>5</v>
      </c>
      <c r="D17" s="28"/>
      <c r="E17" s="28"/>
      <c r="F17" s="28"/>
      <c r="G17" s="28"/>
      <c r="H17" s="43">
        <f>H16-F17-D17+B17</f>
        <v>16.875</v>
      </c>
      <c r="I17" s="43">
        <f>I16-E17+C17</f>
        <v>21.875</v>
      </c>
      <c r="J17" s="43">
        <f t="shared" si="2"/>
        <v>38.75</v>
      </c>
    </row>
    <row r="18" spans="1:10" ht="12" customHeight="1" x14ac:dyDescent="0.25">
      <c r="A18" s="48" t="s">
        <v>79</v>
      </c>
      <c r="B18" s="28"/>
      <c r="C18" s="28"/>
      <c r="D18" s="28">
        <v>8</v>
      </c>
      <c r="E18" s="28">
        <v>8</v>
      </c>
      <c r="F18" s="28"/>
      <c r="G18" s="28"/>
      <c r="H18" s="43">
        <f>H17-F18-D18+B18</f>
        <v>8.875</v>
      </c>
      <c r="I18" s="43">
        <f>I17-E18+C18</f>
        <v>13.875</v>
      </c>
      <c r="J18" s="43">
        <f t="shared" si="2"/>
        <v>22.75</v>
      </c>
    </row>
    <row r="19" spans="1:10" s="42" customFormat="1" ht="12" customHeight="1" x14ac:dyDescent="0.25">
      <c r="A19" s="48" t="s">
        <v>97</v>
      </c>
      <c r="B19" s="28">
        <v>6.25</v>
      </c>
      <c r="C19" s="28">
        <v>6.25</v>
      </c>
      <c r="D19" s="28"/>
      <c r="E19" s="28"/>
      <c r="F19" s="28"/>
      <c r="G19" s="28"/>
      <c r="H19" s="43">
        <f>H18-F19-D19+B19</f>
        <v>15.125</v>
      </c>
      <c r="I19" s="43">
        <f>I18-E19+C19</f>
        <v>20.125</v>
      </c>
      <c r="J19" s="43">
        <f t="shared" si="2"/>
        <v>35.25</v>
      </c>
    </row>
    <row r="20" spans="1:10" s="42" customFormat="1" ht="12" customHeight="1" x14ac:dyDescent="0.25">
      <c r="A20" s="48" t="s">
        <v>79</v>
      </c>
      <c r="B20" s="28"/>
      <c r="C20" s="28"/>
      <c r="D20" s="28">
        <v>10</v>
      </c>
      <c r="E20" s="28">
        <v>15</v>
      </c>
      <c r="F20" s="28"/>
      <c r="G20" s="28"/>
      <c r="H20" s="43">
        <f t="shared" ref="H20:H44" si="3">H19-F20-D20+B20</f>
        <v>5.125</v>
      </c>
      <c r="I20" s="43">
        <f t="shared" ref="I20:I44" si="4">I19-E20+C20</f>
        <v>5.125</v>
      </c>
      <c r="J20" s="43">
        <f t="shared" ref="J20:J44" si="5">SUM(H20:I20)</f>
        <v>10.25</v>
      </c>
    </row>
    <row r="21" spans="1:10" s="42" customFormat="1" ht="12" customHeight="1" x14ac:dyDescent="0.25">
      <c r="A21" s="48" t="s">
        <v>98</v>
      </c>
      <c r="B21" s="28">
        <v>3.75</v>
      </c>
      <c r="C21" s="28">
        <v>3.75</v>
      </c>
      <c r="D21" s="28"/>
      <c r="E21" s="28"/>
      <c r="F21" s="28"/>
      <c r="G21" s="28"/>
      <c r="H21" s="43">
        <f t="shared" si="3"/>
        <v>8.875</v>
      </c>
      <c r="I21" s="43">
        <f t="shared" si="4"/>
        <v>8.875</v>
      </c>
      <c r="J21" s="43">
        <f t="shared" si="5"/>
        <v>17.75</v>
      </c>
    </row>
    <row r="22" spans="1:10" s="42" customFormat="1" ht="12" customHeight="1" x14ac:dyDescent="0.25">
      <c r="A22" s="48" t="s">
        <v>87</v>
      </c>
      <c r="B22" s="28"/>
      <c r="C22" s="28"/>
      <c r="D22" s="28"/>
      <c r="E22" s="28"/>
      <c r="F22" s="28">
        <v>5</v>
      </c>
      <c r="G22" s="28"/>
      <c r="H22" s="43">
        <f t="shared" si="3"/>
        <v>3.875</v>
      </c>
      <c r="I22" s="43">
        <f t="shared" si="4"/>
        <v>8.875</v>
      </c>
      <c r="J22" s="43">
        <f t="shared" si="5"/>
        <v>12.75</v>
      </c>
    </row>
    <row r="23" spans="1:10" s="42" customFormat="1" ht="12" customHeight="1" x14ac:dyDescent="0.25">
      <c r="A23" s="48" t="s">
        <v>88</v>
      </c>
      <c r="B23" s="28">
        <v>12.5</v>
      </c>
      <c r="C23" s="28">
        <v>12.5</v>
      </c>
      <c r="D23" s="28"/>
      <c r="E23" s="28"/>
      <c r="F23" s="28"/>
      <c r="G23" s="28"/>
      <c r="H23" s="43">
        <f t="shared" si="3"/>
        <v>16.375</v>
      </c>
      <c r="I23" s="43">
        <f t="shared" si="4"/>
        <v>21.375</v>
      </c>
      <c r="J23" s="43">
        <f t="shared" si="5"/>
        <v>37.75</v>
      </c>
    </row>
    <row r="24" spans="1:10" s="42" customFormat="1" ht="12" customHeight="1" x14ac:dyDescent="0.25">
      <c r="A24" s="48" t="s">
        <v>80</v>
      </c>
      <c r="B24" s="28"/>
      <c r="C24" s="28"/>
      <c r="D24" s="28">
        <v>11</v>
      </c>
      <c r="E24" s="28">
        <v>19</v>
      </c>
      <c r="F24" s="28"/>
      <c r="G24" s="28"/>
      <c r="H24" s="43">
        <f t="shared" si="3"/>
        <v>5.375</v>
      </c>
      <c r="I24" s="43">
        <f t="shared" si="4"/>
        <v>2.375</v>
      </c>
      <c r="J24" s="43">
        <f t="shared" si="5"/>
        <v>7.75</v>
      </c>
    </row>
    <row r="25" spans="1:10" s="42" customFormat="1" ht="12" customHeight="1" x14ac:dyDescent="0.25">
      <c r="A25" s="48" t="s">
        <v>89</v>
      </c>
      <c r="B25" s="28">
        <v>2.5</v>
      </c>
      <c r="C25" s="28">
        <v>2.5</v>
      </c>
      <c r="D25" s="28"/>
      <c r="E25" s="28"/>
      <c r="F25" s="28"/>
      <c r="G25" s="28"/>
      <c r="H25" s="43">
        <f t="shared" si="3"/>
        <v>7.875</v>
      </c>
      <c r="I25" s="43">
        <f t="shared" si="4"/>
        <v>4.875</v>
      </c>
      <c r="J25" s="43">
        <f t="shared" si="5"/>
        <v>12.75</v>
      </c>
    </row>
    <row r="26" spans="1:10" s="42" customFormat="1" ht="12" customHeight="1" x14ac:dyDescent="0.25">
      <c r="A26" s="48" t="s">
        <v>90</v>
      </c>
      <c r="B26" s="28"/>
      <c r="C26" s="28"/>
      <c r="D26" s="28"/>
      <c r="E26" s="28"/>
      <c r="F26" s="28">
        <v>5</v>
      </c>
      <c r="G26" s="28"/>
      <c r="H26" s="43">
        <f t="shared" si="3"/>
        <v>2.875</v>
      </c>
      <c r="I26" s="43">
        <f t="shared" si="4"/>
        <v>4.875</v>
      </c>
      <c r="J26" s="43">
        <f t="shared" si="5"/>
        <v>7.75</v>
      </c>
    </row>
    <row r="27" spans="1:10" s="42" customFormat="1" ht="12.75" customHeight="1" x14ac:dyDescent="0.25">
      <c r="A27" s="48" t="s">
        <v>91</v>
      </c>
      <c r="B27" s="28">
        <v>12.5</v>
      </c>
      <c r="C27" s="28">
        <v>12.5</v>
      </c>
      <c r="D27" s="28"/>
      <c r="E27" s="28"/>
      <c r="F27" s="28"/>
      <c r="G27" s="28"/>
      <c r="H27" s="43">
        <f t="shared" si="3"/>
        <v>15.375</v>
      </c>
      <c r="I27" s="43">
        <f t="shared" si="4"/>
        <v>17.375</v>
      </c>
      <c r="J27" s="43">
        <f t="shared" si="5"/>
        <v>32.75</v>
      </c>
    </row>
    <row r="28" spans="1:10" s="42" customFormat="1" ht="12" customHeight="1" x14ac:dyDescent="0.25">
      <c r="A28" s="48" t="s">
        <v>92</v>
      </c>
      <c r="B28" s="28"/>
      <c r="C28" s="28"/>
      <c r="D28" s="28">
        <v>10</v>
      </c>
      <c r="E28" s="28">
        <v>10</v>
      </c>
      <c r="F28" s="28"/>
      <c r="G28" s="28"/>
      <c r="H28" s="43">
        <f t="shared" si="3"/>
        <v>5.375</v>
      </c>
      <c r="I28" s="43">
        <f t="shared" si="4"/>
        <v>7.375</v>
      </c>
      <c r="J28" s="43">
        <f t="shared" si="5"/>
        <v>12.75</v>
      </c>
    </row>
    <row r="29" spans="1:10" s="42" customFormat="1" ht="12" customHeight="1" x14ac:dyDescent="0.25">
      <c r="A29" s="48" t="s">
        <v>93</v>
      </c>
      <c r="B29" s="28">
        <v>2.5</v>
      </c>
      <c r="C29" s="28">
        <v>2.5</v>
      </c>
      <c r="D29" s="28"/>
      <c r="E29" s="28"/>
      <c r="F29" s="28"/>
      <c r="G29" s="28"/>
      <c r="H29" s="43">
        <f t="shared" si="3"/>
        <v>7.875</v>
      </c>
      <c r="I29" s="43">
        <f t="shared" si="4"/>
        <v>9.875</v>
      </c>
      <c r="J29" s="43">
        <f t="shared" si="5"/>
        <v>17.75</v>
      </c>
    </row>
    <row r="30" spans="1:10" s="42" customFormat="1" ht="12" customHeight="1" x14ac:dyDescent="0.25">
      <c r="A30" s="48" t="s">
        <v>94</v>
      </c>
      <c r="B30" s="28"/>
      <c r="C30" s="28"/>
      <c r="D30" s="28"/>
      <c r="E30" s="28"/>
      <c r="F30" s="28">
        <v>5</v>
      </c>
      <c r="G30" s="28"/>
      <c r="H30" s="43">
        <f t="shared" si="3"/>
        <v>2.875</v>
      </c>
      <c r="I30" s="43">
        <f t="shared" si="4"/>
        <v>9.875</v>
      </c>
      <c r="J30" s="43">
        <f t="shared" si="5"/>
        <v>12.75</v>
      </c>
    </row>
    <row r="31" spans="1:10" s="42" customFormat="1" ht="12" customHeight="1" x14ac:dyDescent="0.25">
      <c r="A31" s="48" t="s">
        <v>95</v>
      </c>
      <c r="B31" s="28">
        <v>8.75</v>
      </c>
      <c r="C31" s="28">
        <v>8.75</v>
      </c>
      <c r="D31" s="28"/>
      <c r="E31" s="28"/>
      <c r="F31" s="28"/>
      <c r="G31" s="28"/>
      <c r="H31" s="43">
        <f t="shared" si="3"/>
        <v>11.625</v>
      </c>
      <c r="I31" s="43">
        <f t="shared" si="4"/>
        <v>18.625</v>
      </c>
      <c r="J31" s="43">
        <f t="shared" si="5"/>
        <v>30.25</v>
      </c>
    </row>
    <row r="32" spans="1:10" s="42" customFormat="1" ht="14.25" customHeight="1" x14ac:dyDescent="0.25">
      <c r="A32" s="48" t="s">
        <v>96</v>
      </c>
      <c r="B32" s="44"/>
      <c r="C32" s="28"/>
      <c r="D32" s="28">
        <v>7.5</v>
      </c>
      <c r="E32" s="28">
        <v>17.5</v>
      </c>
      <c r="F32" s="28"/>
      <c r="G32" s="28"/>
      <c r="H32" s="43">
        <f t="shared" si="3"/>
        <v>4.125</v>
      </c>
      <c r="I32" s="43">
        <f t="shared" si="4"/>
        <v>1.125</v>
      </c>
      <c r="J32" s="43">
        <f t="shared" si="5"/>
        <v>5.25</v>
      </c>
    </row>
    <row r="33" spans="1:11" s="42" customFormat="1" ht="12" customHeight="1" x14ac:dyDescent="0.25">
      <c r="A33" s="65" t="s">
        <v>99</v>
      </c>
      <c r="B33" s="28">
        <v>6.25</v>
      </c>
      <c r="C33" s="28">
        <v>6.25</v>
      </c>
      <c r="D33" s="28"/>
      <c r="E33" s="28"/>
      <c r="F33" s="28"/>
      <c r="G33" s="28"/>
      <c r="H33" s="43">
        <f t="shared" si="3"/>
        <v>10.375</v>
      </c>
      <c r="I33" s="43">
        <f t="shared" si="4"/>
        <v>7.375</v>
      </c>
      <c r="J33" s="43">
        <f t="shared" si="5"/>
        <v>17.75</v>
      </c>
    </row>
    <row r="34" spans="1:11" s="42" customFormat="1" ht="13.5" customHeight="1" x14ac:dyDescent="0.25">
      <c r="A34" s="65" t="s">
        <v>100</v>
      </c>
      <c r="B34" s="28"/>
      <c r="C34" s="28"/>
      <c r="D34" s="28"/>
      <c r="E34" s="28"/>
      <c r="F34" s="28">
        <v>5</v>
      </c>
      <c r="G34" s="28"/>
      <c r="H34" s="43">
        <f t="shared" si="3"/>
        <v>5.375</v>
      </c>
      <c r="I34" s="43">
        <f t="shared" si="4"/>
        <v>7.375</v>
      </c>
      <c r="J34" s="43">
        <f t="shared" si="5"/>
        <v>12.75</v>
      </c>
    </row>
    <row r="35" spans="1:11" ht="12" customHeight="1" x14ac:dyDescent="0.25">
      <c r="A35" s="48" t="s">
        <v>101</v>
      </c>
      <c r="B35" s="28">
        <v>15</v>
      </c>
      <c r="C35" s="28">
        <v>15</v>
      </c>
      <c r="D35" s="28"/>
      <c r="E35" s="28"/>
      <c r="F35" s="28"/>
      <c r="G35" s="28"/>
      <c r="H35" s="43">
        <f t="shared" si="3"/>
        <v>20.375</v>
      </c>
      <c r="I35" s="43">
        <f t="shared" si="4"/>
        <v>22.375</v>
      </c>
      <c r="J35" s="43">
        <f t="shared" si="5"/>
        <v>42.75</v>
      </c>
    </row>
    <row r="36" spans="1:11" ht="12" customHeight="1" x14ac:dyDescent="0.25">
      <c r="A36" s="48" t="s">
        <v>140</v>
      </c>
      <c r="B36" s="28"/>
      <c r="C36" s="28"/>
      <c r="D36" s="28">
        <v>10</v>
      </c>
      <c r="E36" s="28">
        <v>20</v>
      </c>
      <c r="F36" s="28"/>
      <c r="G36" s="28"/>
      <c r="H36" s="43">
        <f t="shared" si="3"/>
        <v>10.375</v>
      </c>
      <c r="I36" s="43">
        <f t="shared" si="4"/>
        <v>2.375</v>
      </c>
      <c r="J36" s="43">
        <f t="shared" si="5"/>
        <v>12.75</v>
      </c>
    </row>
    <row r="37" spans="1:11" ht="14.25" customHeight="1" x14ac:dyDescent="0.25">
      <c r="A37" s="48" t="s">
        <v>102</v>
      </c>
      <c r="B37" s="28"/>
      <c r="C37" s="28"/>
      <c r="D37" s="28"/>
      <c r="E37" s="28"/>
      <c r="F37" s="28">
        <v>5</v>
      </c>
      <c r="G37" s="28"/>
      <c r="H37" s="43">
        <f t="shared" si="3"/>
        <v>5.375</v>
      </c>
      <c r="I37" s="43">
        <f t="shared" si="4"/>
        <v>2.375</v>
      </c>
      <c r="J37" s="43">
        <f t="shared" si="5"/>
        <v>7.75</v>
      </c>
    </row>
    <row r="38" spans="1:11" ht="12" customHeight="1" x14ac:dyDescent="0.25">
      <c r="A38" s="48" t="s">
        <v>103</v>
      </c>
      <c r="B38" s="28">
        <v>10</v>
      </c>
      <c r="C38" s="28">
        <v>10</v>
      </c>
      <c r="D38" s="28"/>
      <c r="E38" s="28"/>
      <c r="F38" s="28"/>
      <c r="G38" s="28"/>
      <c r="H38" s="43">
        <f t="shared" si="3"/>
        <v>15.375</v>
      </c>
      <c r="I38" s="43">
        <f t="shared" si="4"/>
        <v>12.375</v>
      </c>
      <c r="J38" s="43">
        <f t="shared" si="5"/>
        <v>27.75</v>
      </c>
    </row>
    <row r="39" spans="1:11" ht="12" customHeight="1" x14ac:dyDescent="0.25">
      <c r="A39" s="48" t="s">
        <v>104</v>
      </c>
      <c r="B39" s="28"/>
      <c r="C39" s="28"/>
      <c r="D39" s="28">
        <v>10</v>
      </c>
      <c r="E39" s="28">
        <v>10</v>
      </c>
      <c r="F39" s="28"/>
      <c r="G39" s="28"/>
      <c r="H39" s="43">
        <f t="shared" si="3"/>
        <v>5.375</v>
      </c>
      <c r="I39" s="43">
        <f t="shared" si="4"/>
        <v>2.375</v>
      </c>
      <c r="J39" s="43">
        <f t="shared" si="5"/>
        <v>7.75</v>
      </c>
    </row>
    <row r="40" spans="1:11" ht="12" customHeight="1" x14ac:dyDescent="0.25">
      <c r="A40" s="48" t="s">
        <v>105</v>
      </c>
      <c r="B40" s="28">
        <v>5</v>
      </c>
      <c r="C40" s="28">
        <v>5</v>
      </c>
      <c r="D40" s="28"/>
      <c r="E40" s="28"/>
      <c r="F40" s="28"/>
      <c r="G40" s="28"/>
      <c r="H40" s="43">
        <f t="shared" si="3"/>
        <v>10.375</v>
      </c>
      <c r="I40" s="43">
        <f t="shared" si="4"/>
        <v>7.375</v>
      </c>
      <c r="J40" s="43">
        <f t="shared" si="5"/>
        <v>17.75</v>
      </c>
    </row>
    <row r="41" spans="1:11" s="46" customFormat="1" ht="12" customHeight="1" x14ac:dyDescent="0.25">
      <c r="A41" s="48" t="s">
        <v>106</v>
      </c>
      <c r="B41" s="28"/>
      <c r="C41" s="28"/>
      <c r="D41" s="28"/>
      <c r="E41" s="28"/>
      <c r="F41" s="28">
        <v>5</v>
      </c>
      <c r="G41" s="28"/>
      <c r="H41" s="43">
        <f t="shared" si="3"/>
        <v>5.375</v>
      </c>
      <c r="I41" s="43">
        <f t="shared" si="4"/>
        <v>7.375</v>
      </c>
      <c r="J41" s="43">
        <f t="shared" si="5"/>
        <v>12.75</v>
      </c>
      <c r="K41" s="45"/>
    </row>
    <row r="42" spans="1:11" s="46" customFormat="1" ht="12" customHeight="1" x14ac:dyDescent="0.25">
      <c r="A42" s="48" t="s">
        <v>107</v>
      </c>
      <c r="B42" s="28">
        <v>1.25</v>
      </c>
      <c r="C42" s="28">
        <v>1.25</v>
      </c>
      <c r="D42" s="28"/>
      <c r="E42" s="28"/>
      <c r="F42" s="28"/>
      <c r="G42" s="28"/>
      <c r="H42" s="43">
        <f t="shared" si="3"/>
        <v>6.625</v>
      </c>
      <c r="I42" s="43">
        <f t="shared" si="4"/>
        <v>8.625</v>
      </c>
      <c r="J42" s="43">
        <f t="shared" si="5"/>
        <v>15.25</v>
      </c>
      <c r="K42" s="45"/>
    </row>
    <row r="43" spans="1:11" s="46" customFormat="1" ht="12.75" customHeight="1" x14ac:dyDescent="0.25">
      <c r="A43" s="48" t="s">
        <v>108</v>
      </c>
      <c r="B43" s="28"/>
      <c r="C43" s="28"/>
      <c r="D43" s="28">
        <v>2</v>
      </c>
      <c r="E43" s="28">
        <v>8</v>
      </c>
      <c r="F43" s="28"/>
      <c r="G43" s="28"/>
      <c r="H43" s="43">
        <f t="shared" si="3"/>
        <v>4.625</v>
      </c>
      <c r="I43" s="43">
        <f t="shared" si="4"/>
        <v>0.625</v>
      </c>
      <c r="J43" s="43">
        <f t="shared" si="5"/>
        <v>5.25</v>
      </c>
      <c r="K43" s="45"/>
    </row>
    <row r="44" spans="1:11" ht="12" customHeight="1" x14ac:dyDescent="0.25">
      <c r="A44" s="48" t="s">
        <v>109</v>
      </c>
      <c r="B44" s="28">
        <v>10</v>
      </c>
      <c r="C44" s="28">
        <v>10</v>
      </c>
      <c r="D44" s="28"/>
      <c r="E44" s="28"/>
      <c r="F44" s="28"/>
      <c r="G44" s="28"/>
      <c r="H44" s="43">
        <f t="shared" si="3"/>
        <v>14.625</v>
      </c>
      <c r="I44" s="43">
        <f t="shared" si="4"/>
        <v>10.625</v>
      </c>
      <c r="J44" s="43">
        <f t="shared" si="5"/>
        <v>25.25</v>
      </c>
    </row>
    <row r="45" spans="1:11" ht="15.75" customHeight="1" x14ac:dyDescent="0.25">
      <c r="A45" s="28" t="s">
        <v>110</v>
      </c>
      <c r="C45" s="28"/>
      <c r="D45" s="28">
        <v>10</v>
      </c>
      <c r="E45" s="28"/>
      <c r="F45" s="28"/>
      <c r="G45" s="28"/>
      <c r="H45" s="43">
        <f t="shared" ref="H45:H54" si="6">H44-F45-D45+B45</f>
        <v>4.625</v>
      </c>
      <c r="I45" s="43">
        <f t="shared" ref="I45:I54" si="7">I44-E45+C45</f>
        <v>10.625</v>
      </c>
      <c r="J45" s="43">
        <f t="shared" ref="J45:J54" si="8">SUM(H45:I45)</f>
        <v>15.25</v>
      </c>
    </row>
    <row r="46" spans="1:11" s="46" customFormat="1" ht="16.5" customHeight="1" x14ac:dyDescent="0.25">
      <c r="A46" s="48" t="s">
        <v>111</v>
      </c>
      <c r="B46" s="28">
        <v>3.75</v>
      </c>
      <c r="C46" s="28">
        <v>3.75</v>
      </c>
      <c r="D46" s="28"/>
      <c r="E46" s="28"/>
      <c r="F46" s="28"/>
      <c r="G46" s="28"/>
      <c r="H46" s="43">
        <f t="shared" si="6"/>
        <v>8.375</v>
      </c>
      <c r="I46" s="43">
        <f t="shared" si="7"/>
        <v>14.375</v>
      </c>
      <c r="J46" s="43">
        <f t="shared" si="8"/>
        <v>22.75</v>
      </c>
      <c r="K46" s="45"/>
    </row>
    <row r="47" spans="1:11" s="46" customFormat="1" ht="12" customHeight="1" x14ac:dyDescent="0.25">
      <c r="A47" s="48" t="s">
        <v>112</v>
      </c>
      <c r="B47" s="28"/>
      <c r="C47" s="28"/>
      <c r="D47" s="28"/>
      <c r="E47" s="28"/>
      <c r="F47" s="28">
        <v>5</v>
      </c>
      <c r="G47" s="28"/>
      <c r="H47" s="43">
        <f t="shared" si="6"/>
        <v>3.375</v>
      </c>
      <c r="I47" s="43">
        <f t="shared" si="7"/>
        <v>14.375</v>
      </c>
      <c r="J47" s="43">
        <f t="shared" si="8"/>
        <v>17.75</v>
      </c>
      <c r="K47" s="45"/>
    </row>
    <row r="48" spans="1:11" ht="12" customHeight="1" x14ac:dyDescent="0.25">
      <c r="A48" s="48" t="s">
        <v>113</v>
      </c>
      <c r="B48" s="28"/>
      <c r="C48" s="28"/>
      <c r="D48" s="28"/>
      <c r="E48" s="28">
        <v>9</v>
      </c>
      <c r="F48" s="28"/>
      <c r="G48" s="28"/>
      <c r="H48" s="43">
        <f t="shared" si="6"/>
        <v>3.375</v>
      </c>
      <c r="I48" s="43">
        <f t="shared" si="7"/>
        <v>5.375</v>
      </c>
      <c r="J48" s="43">
        <f t="shared" si="8"/>
        <v>8.75</v>
      </c>
    </row>
    <row r="49" spans="1:10" ht="16.5" customHeight="1" x14ac:dyDescent="0.25">
      <c r="A49" s="48" t="s">
        <v>114</v>
      </c>
      <c r="B49" s="28">
        <v>10</v>
      </c>
      <c r="C49" s="28">
        <v>10</v>
      </c>
      <c r="D49" s="28"/>
      <c r="E49" s="28"/>
      <c r="F49" s="28"/>
      <c r="G49" s="28"/>
      <c r="H49" s="43">
        <f t="shared" si="6"/>
        <v>13.375</v>
      </c>
      <c r="I49" s="43">
        <f t="shared" si="7"/>
        <v>15.375</v>
      </c>
      <c r="J49" s="43">
        <f t="shared" si="8"/>
        <v>28.75</v>
      </c>
    </row>
    <row r="50" spans="1:10" ht="12" customHeight="1" x14ac:dyDescent="0.25">
      <c r="A50" s="48" t="s">
        <v>115</v>
      </c>
      <c r="B50" s="28"/>
      <c r="C50" s="28"/>
      <c r="D50" s="28">
        <v>5</v>
      </c>
      <c r="E50" s="28">
        <v>10</v>
      </c>
      <c r="F50" s="28"/>
      <c r="G50" s="28"/>
      <c r="H50" s="43">
        <f t="shared" si="6"/>
        <v>8.375</v>
      </c>
      <c r="I50" s="43">
        <f t="shared" si="7"/>
        <v>5.375</v>
      </c>
      <c r="J50" s="43">
        <f t="shared" si="8"/>
        <v>13.75</v>
      </c>
    </row>
    <row r="51" spans="1:10" s="42" customFormat="1" ht="12" customHeight="1" x14ac:dyDescent="0.25">
      <c r="A51" s="48" t="s">
        <v>116</v>
      </c>
      <c r="B51" s="28">
        <v>5</v>
      </c>
      <c r="C51" s="28">
        <v>5</v>
      </c>
      <c r="D51" s="28"/>
      <c r="E51" s="28"/>
      <c r="F51" s="28"/>
      <c r="G51" s="47"/>
      <c r="H51" s="43">
        <f t="shared" si="6"/>
        <v>13.375</v>
      </c>
      <c r="I51" s="43">
        <f t="shared" si="7"/>
        <v>10.375</v>
      </c>
      <c r="J51" s="43">
        <f t="shared" si="8"/>
        <v>23.75</v>
      </c>
    </row>
    <row r="52" spans="1:10" s="42" customFormat="1" ht="12" customHeight="1" x14ac:dyDescent="0.25">
      <c r="A52" s="48" t="s">
        <v>117</v>
      </c>
      <c r="B52" s="28"/>
      <c r="C52" s="28"/>
      <c r="D52" s="28">
        <v>6</v>
      </c>
      <c r="E52" s="28">
        <v>8</v>
      </c>
      <c r="F52" s="28"/>
      <c r="G52" s="47"/>
      <c r="H52" s="43">
        <f t="shared" si="6"/>
        <v>7.375</v>
      </c>
      <c r="I52" s="43">
        <f t="shared" si="7"/>
        <v>2.375</v>
      </c>
      <c r="J52" s="43">
        <f t="shared" si="8"/>
        <v>9.75</v>
      </c>
    </row>
    <row r="53" spans="1:10" s="42" customFormat="1" ht="12" customHeight="1" x14ac:dyDescent="0.25">
      <c r="A53" s="66" t="s">
        <v>118</v>
      </c>
      <c r="B53" s="47"/>
      <c r="C53" s="47"/>
      <c r="D53" s="47"/>
      <c r="E53" s="47"/>
      <c r="F53" s="47">
        <v>5</v>
      </c>
      <c r="G53" s="47"/>
      <c r="H53" s="43">
        <f t="shared" si="6"/>
        <v>2.375</v>
      </c>
      <c r="I53" s="43">
        <f t="shared" si="7"/>
        <v>2.375</v>
      </c>
      <c r="J53" s="43">
        <f t="shared" si="8"/>
        <v>4.75</v>
      </c>
    </row>
    <row r="54" spans="1:10" s="42" customFormat="1" ht="12" customHeight="1" x14ac:dyDescent="0.25">
      <c r="A54" s="48" t="s">
        <v>119</v>
      </c>
      <c r="B54" s="47">
        <v>8.75</v>
      </c>
      <c r="C54" s="47">
        <v>8.75</v>
      </c>
      <c r="D54" s="47"/>
      <c r="E54" s="47"/>
      <c r="F54" s="47"/>
      <c r="G54" s="47"/>
      <c r="H54" s="43">
        <f t="shared" si="6"/>
        <v>11.125</v>
      </c>
      <c r="I54" s="43">
        <f t="shared" si="7"/>
        <v>11.125</v>
      </c>
      <c r="J54" s="43">
        <f t="shared" si="8"/>
        <v>22.25</v>
      </c>
    </row>
    <row r="55" spans="1:10" s="42" customFormat="1" ht="12" customHeight="1" x14ac:dyDescent="0.25">
      <c r="A55" s="48" t="s">
        <v>139</v>
      </c>
      <c r="B55" s="47"/>
      <c r="C55" s="47"/>
      <c r="D55" s="47">
        <v>4</v>
      </c>
      <c r="E55" s="47">
        <v>6</v>
      </c>
      <c r="F55" s="47"/>
      <c r="G55" s="47"/>
      <c r="H55" s="43">
        <f t="shared" ref="H55:H94" si="9">H54-F55-D55+B55</f>
        <v>7.125</v>
      </c>
      <c r="I55" s="43">
        <f t="shared" ref="I55:I94" si="10">I54-E55+C55</f>
        <v>5.125</v>
      </c>
      <c r="J55" s="43">
        <f t="shared" ref="J55:J94" si="11">SUM(H55:I55)</f>
        <v>12.25</v>
      </c>
    </row>
    <row r="56" spans="1:10" s="42" customFormat="1" ht="12" customHeight="1" x14ac:dyDescent="0.25">
      <c r="A56" s="48" t="s">
        <v>125</v>
      </c>
      <c r="B56" s="47">
        <v>6.25</v>
      </c>
      <c r="C56" s="47">
        <v>6.25</v>
      </c>
      <c r="D56" s="47"/>
      <c r="E56" s="47"/>
      <c r="F56" s="47"/>
      <c r="G56" s="47"/>
      <c r="H56" s="43">
        <f t="shared" si="9"/>
        <v>13.375</v>
      </c>
      <c r="I56" s="43">
        <f t="shared" si="10"/>
        <v>11.375</v>
      </c>
      <c r="J56" s="43">
        <f t="shared" si="11"/>
        <v>24.75</v>
      </c>
    </row>
    <row r="57" spans="1:10" s="42" customFormat="1" ht="12" customHeight="1" x14ac:dyDescent="0.25">
      <c r="A57" s="48" t="s">
        <v>64</v>
      </c>
      <c r="B57" s="47">
        <v>4</v>
      </c>
      <c r="C57" s="47">
        <v>6</v>
      </c>
      <c r="D57" s="47"/>
      <c r="E57" s="47"/>
      <c r="F57" s="47"/>
      <c r="G57" s="47"/>
      <c r="H57" s="43">
        <f t="shared" si="9"/>
        <v>17.375</v>
      </c>
      <c r="I57" s="43">
        <f t="shared" si="10"/>
        <v>17.375</v>
      </c>
      <c r="J57" s="43">
        <f t="shared" si="11"/>
        <v>34.75</v>
      </c>
    </row>
    <row r="58" spans="1:10" s="42" customFormat="1" ht="14.25" customHeight="1" x14ac:dyDescent="0.25">
      <c r="A58" s="48" t="s">
        <v>120</v>
      </c>
      <c r="B58" s="47"/>
      <c r="C58" s="47"/>
      <c r="D58" s="47">
        <v>5</v>
      </c>
      <c r="E58" s="47">
        <v>14</v>
      </c>
      <c r="F58" s="47"/>
      <c r="G58" s="47"/>
      <c r="H58" s="43">
        <f t="shared" si="9"/>
        <v>12.375</v>
      </c>
      <c r="I58" s="43">
        <f t="shared" si="10"/>
        <v>3.375</v>
      </c>
      <c r="J58" s="43">
        <f t="shared" si="11"/>
        <v>15.75</v>
      </c>
    </row>
    <row r="59" spans="1:10" s="42" customFormat="1" ht="12" customHeight="1" x14ac:dyDescent="0.25">
      <c r="A59" s="48" t="s">
        <v>121</v>
      </c>
      <c r="B59" s="28"/>
      <c r="C59" s="28"/>
      <c r="D59" s="28"/>
      <c r="E59" s="28"/>
      <c r="F59" s="28">
        <v>5</v>
      </c>
      <c r="G59" s="28"/>
      <c r="H59" s="43">
        <f t="shared" si="9"/>
        <v>7.375</v>
      </c>
      <c r="I59" s="43">
        <f t="shared" si="10"/>
        <v>3.375</v>
      </c>
      <c r="J59" s="43">
        <f t="shared" si="11"/>
        <v>10.75</v>
      </c>
    </row>
    <row r="60" spans="1:10" s="42" customFormat="1" ht="15.75" customHeight="1" x14ac:dyDescent="0.25">
      <c r="A60" s="48" t="s">
        <v>122</v>
      </c>
      <c r="B60" s="28">
        <v>8.75</v>
      </c>
      <c r="C60" s="28">
        <v>8.75</v>
      </c>
      <c r="D60" s="28"/>
      <c r="E60" s="28"/>
      <c r="F60" s="28"/>
      <c r="G60" s="28"/>
      <c r="H60" s="43">
        <f t="shared" si="9"/>
        <v>16.125</v>
      </c>
      <c r="I60" s="43">
        <f t="shared" si="10"/>
        <v>12.125</v>
      </c>
      <c r="J60" s="43">
        <f t="shared" si="11"/>
        <v>28.25</v>
      </c>
    </row>
    <row r="61" spans="1:10" s="42" customFormat="1" ht="12" customHeight="1" x14ac:dyDescent="0.25">
      <c r="A61" s="48" t="s">
        <v>123</v>
      </c>
      <c r="B61" s="28"/>
      <c r="C61" s="28"/>
      <c r="D61" s="28">
        <v>10</v>
      </c>
      <c r="E61" s="28">
        <v>5</v>
      </c>
      <c r="F61" s="28"/>
      <c r="G61" s="28"/>
      <c r="H61" s="43">
        <f t="shared" si="9"/>
        <v>6.125</v>
      </c>
      <c r="I61" s="43">
        <f t="shared" si="10"/>
        <v>7.125</v>
      </c>
      <c r="J61" s="43">
        <f t="shared" si="11"/>
        <v>13.25</v>
      </c>
    </row>
    <row r="62" spans="1:10" s="42" customFormat="1" ht="14.25" customHeight="1" x14ac:dyDescent="0.25">
      <c r="A62" s="48" t="s">
        <v>72</v>
      </c>
      <c r="B62" s="28">
        <v>5</v>
      </c>
      <c r="C62" s="28">
        <v>5</v>
      </c>
      <c r="D62" s="28"/>
      <c r="E62" s="28"/>
      <c r="F62" s="28"/>
      <c r="G62" s="28"/>
      <c r="H62" s="43">
        <f t="shared" si="9"/>
        <v>11.125</v>
      </c>
      <c r="I62" s="43">
        <f t="shared" si="10"/>
        <v>12.125</v>
      </c>
      <c r="J62" s="43">
        <f t="shared" si="11"/>
        <v>23.25</v>
      </c>
    </row>
    <row r="63" spans="1:10" s="42" customFormat="1" ht="15" customHeight="1" x14ac:dyDescent="0.25">
      <c r="A63" s="48" t="s">
        <v>124</v>
      </c>
      <c r="B63" s="28"/>
      <c r="C63" s="28"/>
      <c r="D63" s="28">
        <v>5</v>
      </c>
      <c r="E63" s="28">
        <v>5</v>
      </c>
      <c r="F63" s="28"/>
      <c r="G63" s="28"/>
      <c r="H63" s="43">
        <f t="shared" si="9"/>
        <v>6.125</v>
      </c>
      <c r="I63" s="43">
        <f t="shared" si="10"/>
        <v>7.125</v>
      </c>
      <c r="J63" s="43">
        <f t="shared" si="11"/>
        <v>13.25</v>
      </c>
    </row>
    <row r="64" spans="1:10" s="42" customFormat="1" ht="12" customHeight="1" x14ac:dyDescent="0.25">
      <c r="A64" s="48" t="s">
        <v>126</v>
      </c>
      <c r="B64" s="47">
        <v>1.25</v>
      </c>
      <c r="C64" s="47">
        <v>1.25</v>
      </c>
      <c r="D64" s="28"/>
      <c r="E64" s="28"/>
      <c r="F64" s="28"/>
      <c r="G64" s="28"/>
      <c r="H64" s="43">
        <f t="shared" si="9"/>
        <v>7.375</v>
      </c>
      <c r="I64" s="43">
        <f t="shared" si="10"/>
        <v>8.375</v>
      </c>
      <c r="J64" s="43">
        <f t="shared" si="11"/>
        <v>15.75</v>
      </c>
    </row>
    <row r="65" spans="1:10" s="42" customFormat="1" ht="12" customHeight="1" x14ac:dyDescent="0.25">
      <c r="A65" s="48" t="s">
        <v>127</v>
      </c>
      <c r="B65" s="28"/>
      <c r="C65" s="28"/>
      <c r="D65" s="28"/>
      <c r="E65" s="28"/>
      <c r="F65" s="28">
        <v>5</v>
      </c>
      <c r="G65" s="28"/>
      <c r="H65" s="43">
        <f t="shared" si="9"/>
        <v>2.375</v>
      </c>
      <c r="I65" s="43">
        <f t="shared" si="10"/>
        <v>8.375</v>
      </c>
      <c r="J65" s="43">
        <f t="shared" si="11"/>
        <v>10.75</v>
      </c>
    </row>
    <row r="66" spans="1:10" s="42" customFormat="1" ht="12" customHeight="1" x14ac:dyDescent="0.25">
      <c r="A66" s="48" t="s">
        <v>128</v>
      </c>
      <c r="B66" s="28">
        <v>8.75</v>
      </c>
      <c r="C66" s="28">
        <v>8.75</v>
      </c>
      <c r="D66" s="28"/>
      <c r="E66" s="28"/>
      <c r="F66" s="28"/>
      <c r="G66" s="28"/>
      <c r="H66" s="43">
        <f t="shared" si="9"/>
        <v>11.125</v>
      </c>
      <c r="I66" s="43">
        <f t="shared" si="10"/>
        <v>17.125</v>
      </c>
      <c r="J66" s="43">
        <f t="shared" si="11"/>
        <v>28.25</v>
      </c>
    </row>
    <row r="67" spans="1:10" s="42" customFormat="1" ht="15.75" customHeight="1" x14ac:dyDescent="0.25">
      <c r="A67" s="48" t="s">
        <v>129</v>
      </c>
      <c r="B67" s="28"/>
      <c r="C67" s="28"/>
      <c r="D67" s="28">
        <v>5</v>
      </c>
      <c r="E67" s="28">
        <v>5</v>
      </c>
      <c r="F67" s="28"/>
      <c r="G67" s="28"/>
      <c r="H67" s="43">
        <f t="shared" si="9"/>
        <v>6.125</v>
      </c>
      <c r="I67" s="43">
        <f t="shared" si="10"/>
        <v>12.125</v>
      </c>
      <c r="J67" s="43">
        <f t="shared" si="11"/>
        <v>18.25</v>
      </c>
    </row>
    <row r="68" spans="1:10" s="42" customFormat="1" ht="13.5" customHeight="1" x14ac:dyDescent="0.25">
      <c r="A68" s="48" t="s">
        <v>130</v>
      </c>
      <c r="B68" s="28">
        <v>6.25</v>
      </c>
      <c r="C68" s="28">
        <v>6.25</v>
      </c>
      <c r="D68" s="28"/>
      <c r="E68" s="28"/>
      <c r="F68" s="28"/>
      <c r="G68" s="28"/>
      <c r="H68" s="43">
        <f t="shared" si="9"/>
        <v>12.375</v>
      </c>
      <c r="I68" s="43">
        <f t="shared" si="10"/>
        <v>18.375</v>
      </c>
      <c r="J68" s="43">
        <f t="shared" si="11"/>
        <v>30.75</v>
      </c>
    </row>
    <row r="69" spans="1:10" s="42" customFormat="1" ht="12" customHeight="1" x14ac:dyDescent="0.25">
      <c r="A69" s="66" t="s">
        <v>131</v>
      </c>
      <c r="B69" s="47"/>
      <c r="C69" s="47"/>
      <c r="D69" s="28"/>
      <c r="E69" s="28"/>
      <c r="F69" s="28">
        <v>5</v>
      </c>
      <c r="G69" s="28"/>
      <c r="H69" s="43">
        <f t="shared" si="9"/>
        <v>7.375</v>
      </c>
      <c r="I69" s="43">
        <f t="shared" si="10"/>
        <v>18.375</v>
      </c>
      <c r="J69" s="43">
        <f t="shared" si="11"/>
        <v>25.75</v>
      </c>
    </row>
    <row r="70" spans="1:10" s="42" customFormat="1" ht="12" customHeight="1" x14ac:dyDescent="0.25">
      <c r="A70" s="66" t="s">
        <v>81</v>
      </c>
      <c r="B70" s="47">
        <v>15</v>
      </c>
      <c r="C70" s="47">
        <v>15</v>
      </c>
      <c r="D70" s="28"/>
      <c r="E70" s="28"/>
      <c r="F70" s="28"/>
      <c r="G70" s="28"/>
      <c r="H70" s="43">
        <f t="shared" si="9"/>
        <v>22.375</v>
      </c>
      <c r="I70" s="43">
        <f t="shared" si="10"/>
        <v>33.375</v>
      </c>
      <c r="J70" s="43">
        <f t="shared" si="11"/>
        <v>55.75</v>
      </c>
    </row>
    <row r="71" spans="1:10" s="42" customFormat="1" ht="12" customHeight="1" x14ac:dyDescent="0.25">
      <c r="A71" s="66" t="s">
        <v>134</v>
      </c>
      <c r="B71" s="47"/>
      <c r="C71" s="47"/>
      <c r="D71" s="28">
        <v>15</v>
      </c>
      <c r="E71" s="28"/>
      <c r="F71" s="28"/>
      <c r="G71" s="28"/>
      <c r="H71" s="43">
        <f t="shared" si="9"/>
        <v>7.375</v>
      </c>
      <c r="I71" s="43">
        <f t="shared" si="10"/>
        <v>33.375</v>
      </c>
      <c r="J71" s="43">
        <f t="shared" si="11"/>
        <v>40.75</v>
      </c>
    </row>
    <row r="72" spans="1:10" s="42" customFormat="1" ht="12" customHeight="1" x14ac:dyDescent="0.25">
      <c r="A72" s="27" t="s">
        <v>132</v>
      </c>
      <c r="B72" s="28"/>
      <c r="C72" s="28"/>
      <c r="D72" s="28"/>
      <c r="E72" s="28"/>
      <c r="F72" s="28">
        <v>5</v>
      </c>
      <c r="G72" s="28"/>
      <c r="H72" s="43">
        <f t="shared" si="9"/>
        <v>2.375</v>
      </c>
      <c r="I72" s="43">
        <f t="shared" si="10"/>
        <v>33.375</v>
      </c>
      <c r="J72" s="43">
        <f t="shared" si="11"/>
        <v>35.75</v>
      </c>
    </row>
    <row r="73" spans="1:10" s="42" customFormat="1" ht="12" customHeight="1" x14ac:dyDescent="0.25">
      <c r="A73" s="27" t="s">
        <v>135</v>
      </c>
      <c r="B73" s="47">
        <v>7.5</v>
      </c>
      <c r="C73" s="47">
        <v>7.5</v>
      </c>
      <c r="D73" s="47"/>
      <c r="E73" s="47"/>
      <c r="F73" s="47"/>
      <c r="G73" s="47"/>
      <c r="H73" s="43">
        <f t="shared" si="9"/>
        <v>9.875</v>
      </c>
      <c r="I73" s="43">
        <f t="shared" si="10"/>
        <v>40.875</v>
      </c>
      <c r="J73" s="43">
        <f t="shared" si="11"/>
        <v>50.75</v>
      </c>
    </row>
    <row r="74" spans="1:10" s="42" customFormat="1" ht="12" customHeight="1" x14ac:dyDescent="0.25">
      <c r="A74" s="27" t="s">
        <v>136</v>
      </c>
      <c r="B74" s="28"/>
      <c r="C74" s="28"/>
      <c r="D74" s="28"/>
      <c r="E74" s="28">
        <v>10</v>
      </c>
      <c r="F74" s="28"/>
      <c r="G74" s="28"/>
      <c r="H74" s="43">
        <f t="shared" si="9"/>
        <v>9.875</v>
      </c>
      <c r="I74" s="43">
        <f t="shared" si="10"/>
        <v>30.875</v>
      </c>
      <c r="J74" s="43">
        <f t="shared" si="11"/>
        <v>40.75</v>
      </c>
    </row>
    <row r="75" spans="1:10" s="42" customFormat="1" ht="12" customHeight="1" x14ac:dyDescent="0.25">
      <c r="A75" s="27" t="s">
        <v>137</v>
      </c>
      <c r="B75" s="28">
        <v>5</v>
      </c>
      <c r="C75" s="28">
        <v>5</v>
      </c>
      <c r="D75" s="28"/>
      <c r="E75" s="28"/>
      <c r="F75" s="28"/>
      <c r="G75" s="28"/>
      <c r="H75" s="43">
        <f t="shared" si="9"/>
        <v>14.875</v>
      </c>
      <c r="I75" s="43">
        <f t="shared" si="10"/>
        <v>35.875</v>
      </c>
      <c r="J75" s="43">
        <f t="shared" si="11"/>
        <v>50.75</v>
      </c>
    </row>
    <row r="76" spans="1:10" s="42" customFormat="1" ht="12" customHeight="1" x14ac:dyDescent="0.25">
      <c r="A76" s="27" t="s">
        <v>124</v>
      </c>
      <c r="B76" s="28"/>
      <c r="C76" s="28"/>
      <c r="D76" s="28">
        <v>8</v>
      </c>
      <c r="E76" s="28">
        <v>7</v>
      </c>
      <c r="F76" s="28"/>
      <c r="G76" s="28"/>
      <c r="H76" s="43">
        <f t="shared" si="9"/>
        <v>6.875</v>
      </c>
      <c r="I76" s="43">
        <f t="shared" si="10"/>
        <v>28.875</v>
      </c>
      <c r="J76" s="43">
        <f t="shared" si="11"/>
        <v>35.75</v>
      </c>
    </row>
    <row r="77" spans="1:10" s="42" customFormat="1" ht="12" customHeight="1" x14ac:dyDescent="0.25">
      <c r="A77" s="27" t="s">
        <v>138</v>
      </c>
      <c r="B77" s="28">
        <v>2.5</v>
      </c>
      <c r="C77" s="28">
        <v>2.5</v>
      </c>
      <c r="D77" s="28"/>
      <c r="E77" s="28"/>
      <c r="F77" s="28"/>
      <c r="G77" s="28"/>
      <c r="H77" s="43">
        <f t="shared" si="9"/>
        <v>9.375</v>
      </c>
      <c r="I77" s="43">
        <f t="shared" si="10"/>
        <v>31.375</v>
      </c>
      <c r="J77" s="43">
        <f t="shared" si="11"/>
        <v>40.75</v>
      </c>
    </row>
    <row r="78" spans="1:10" s="42" customFormat="1" ht="12" customHeight="1" x14ac:dyDescent="0.25">
      <c r="A78" s="27" t="s">
        <v>133</v>
      </c>
      <c r="B78" s="47"/>
      <c r="C78" s="47"/>
      <c r="D78" s="28"/>
      <c r="E78" s="28"/>
      <c r="F78" s="28">
        <v>5</v>
      </c>
      <c r="G78" s="28"/>
      <c r="H78" s="43">
        <f t="shared" si="9"/>
        <v>4.375</v>
      </c>
      <c r="I78" s="43">
        <f t="shared" si="10"/>
        <v>31.375</v>
      </c>
      <c r="J78" s="43">
        <f t="shared" si="11"/>
        <v>35.75</v>
      </c>
    </row>
    <row r="79" spans="1:10" s="42" customFormat="1" ht="12" customHeight="1" x14ac:dyDescent="0.25">
      <c r="A79" s="27" t="s">
        <v>52</v>
      </c>
      <c r="B79" s="47">
        <v>7.5</v>
      </c>
      <c r="C79" s="47">
        <v>7.5</v>
      </c>
      <c r="D79" s="28"/>
      <c r="E79" s="28"/>
      <c r="F79" s="28"/>
      <c r="G79" s="28"/>
      <c r="H79" s="43">
        <f t="shared" si="9"/>
        <v>11.875</v>
      </c>
      <c r="I79" s="43">
        <f t="shared" si="10"/>
        <v>38.875</v>
      </c>
      <c r="J79" s="43">
        <f t="shared" si="11"/>
        <v>50.75</v>
      </c>
    </row>
    <row r="80" spans="1:10" s="42" customFormat="1" ht="12" customHeight="1" x14ac:dyDescent="0.25">
      <c r="A80" s="27" t="s">
        <v>53</v>
      </c>
      <c r="B80" s="28"/>
      <c r="C80" s="28"/>
      <c r="D80" s="28">
        <v>5</v>
      </c>
      <c r="E80" s="28">
        <v>20</v>
      </c>
      <c r="F80" s="28"/>
      <c r="G80" s="28"/>
      <c r="H80" s="43">
        <f t="shared" si="9"/>
        <v>6.875</v>
      </c>
      <c r="I80" s="43">
        <f t="shared" si="10"/>
        <v>18.875</v>
      </c>
      <c r="J80" s="43">
        <f t="shared" si="11"/>
        <v>25.75</v>
      </c>
    </row>
    <row r="81" spans="1:10" s="42" customFormat="1" ht="12" customHeight="1" x14ac:dyDescent="0.25">
      <c r="A81" s="48" t="s">
        <v>54</v>
      </c>
      <c r="B81" s="28">
        <v>2.5</v>
      </c>
      <c r="C81" s="28">
        <v>2.5</v>
      </c>
      <c r="D81" s="28"/>
      <c r="E81" s="28"/>
      <c r="F81" s="28"/>
      <c r="G81" s="28"/>
      <c r="H81" s="43">
        <f t="shared" si="9"/>
        <v>9.375</v>
      </c>
      <c r="I81" s="43">
        <f t="shared" si="10"/>
        <v>21.375</v>
      </c>
      <c r="J81" s="43">
        <f t="shared" si="11"/>
        <v>30.75</v>
      </c>
    </row>
    <row r="82" spans="1:10" s="42" customFormat="1" ht="12" customHeight="1" x14ac:dyDescent="0.25">
      <c r="A82" s="27" t="s">
        <v>55</v>
      </c>
      <c r="B82" s="28"/>
      <c r="C82" s="28"/>
      <c r="D82" s="28"/>
      <c r="E82" s="28">
        <v>2</v>
      </c>
      <c r="F82" s="28"/>
      <c r="G82" s="28"/>
      <c r="H82" s="43">
        <f t="shared" si="9"/>
        <v>9.375</v>
      </c>
      <c r="I82" s="43">
        <f t="shared" si="10"/>
        <v>19.375</v>
      </c>
      <c r="J82" s="43">
        <f t="shared" si="11"/>
        <v>28.75</v>
      </c>
    </row>
    <row r="83" spans="1:10" s="42" customFormat="1" ht="12" customHeight="1" x14ac:dyDescent="0.25">
      <c r="A83" s="27" t="s">
        <v>65</v>
      </c>
      <c r="B83" s="28">
        <v>5</v>
      </c>
      <c r="C83" s="28">
        <v>5</v>
      </c>
      <c r="D83" s="28"/>
      <c r="E83" s="28"/>
      <c r="F83" s="28"/>
      <c r="G83" s="28"/>
      <c r="H83" s="43">
        <f t="shared" si="9"/>
        <v>14.375</v>
      </c>
      <c r="I83" s="43">
        <f t="shared" si="10"/>
        <v>24.375</v>
      </c>
      <c r="J83" s="43">
        <f t="shared" si="11"/>
        <v>38.75</v>
      </c>
    </row>
    <row r="84" spans="1:10" s="42" customFormat="1" ht="13.5" customHeight="1" x14ac:dyDescent="0.25">
      <c r="A84" s="49" t="s">
        <v>66</v>
      </c>
      <c r="B84" s="47"/>
      <c r="C84" s="47"/>
      <c r="D84" s="47"/>
      <c r="E84" s="47"/>
      <c r="F84" s="47">
        <v>5</v>
      </c>
      <c r="G84" s="47"/>
      <c r="H84" s="43">
        <f t="shared" si="9"/>
        <v>9.375</v>
      </c>
      <c r="I84" s="43">
        <f t="shared" si="10"/>
        <v>24.375</v>
      </c>
      <c r="J84" s="43">
        <f t="shared" si="11"/>
        <v>33.75</v>
      </c>
    </row>
    <row r="85" spans="1:10" s="42" customFormat="1" ht="12" customHeight="1" x14ac:dyDescent="0.25">
      <c r="A85" s="49" t="s">
        <v>67</v>
      </c>
      <c r="B85" s="47">
        <v>7.5</v>
      </c>
      <c r="C85" s="47">
        <v>7.5</v>
      </c>
      <c r="D85" s="47"/>
      <c r="E85" s="47"/>
      <c r="F85" s="47"/>
      <c r="G85" s="47"/>
      <c r="H85" s="43">
        <f t="shared" si="9"/>
        <v>16.875</v>
      </c>
      <c r="I85" s="43">
        <f t="shared" si="10"/>
        <v>31.875</v>
      </c>
      <c r="J85" s="43">
        <f t="shared" si="11"/>
        <v>48.75</v>
      </c>
    </row>
    <row r="86" spans="1:10" s="42" customFormat="1" ht="12" customHeight="1" x14ac:dyDescent="0.25">
      <c r="A86" s="27" t="s">
        <v>68</v>
      </c>
      <c r="B86" s="28"/>
      <c r="C86" s="28"/>
      <c r="D86" s="28">
        <v>1</v>
      </c>
      <c r="E86" s="28">
        <v>24</v>
      </c>
      <c r="F86" s="28"/>
      <c r="G86" s="28"/>
      <c r="H86" s="43">
        <f t="shared" si="9"/>
        <v>15.875</v>
      </c>
      <c r="I86" s="43">
        <f t="shared" si="10"/>
        <v>7.875</v>
      </c>
      <c r="J86" s="43">
        <f t="shared" si="11"/>
        <v>23.75</v>
      </c>
    </row>
    <row r="87" spans="1:10" s="42" customFormat="1" ht="14.25" customHeight="1" x14ac:dyDescent="0.25">
      <c r="A87" s="50" t="s">
        <v>71</v>
      </c>
      <c r="B87" s="50">
        <v>7.5</v>
      </c>
      <c r="C87" s="50">
        <v>7.5</v>
      </c>
      <c r="D87" s="50"/>
      <c r="E87" s="28"/>
      <c r="F87" s="28"/>
      <c r="G87" s="28"/>
      <c r="H87" s="43">
        <f t="shared" si="9"/>
        <v>23.375</v>
      </c>
      <c r="I87" s="43">
        <f t="shared" si="10"/>
        <v>15.375</v>
      </c>
      <c r="J87" s="43">
        <f t="shared" si="11"/>
        <v>38.75</v>
      </c>
    </row>
    <row r="88" spans="1:10" s="42" customFormat="1" ht="14.25" customHeight="1" x14ac:dyDescent="0.25">
      <c r="A88" s="50" t="s">
        <v>69</v>
      </c>
      <c r="B88" s="50"/>
      <c r="C88" s="50"/>
      <c r="D88" s="50">
        <v>7</v>
      </c>
      <c r="E88" s="28">
        <v>8</v>
      </c>
      <c r="F88" s="28"/>
      <c r="G88" s="28"/>
      <c r="H88" s="43">
        <f t="shared" si="9"/>
        <v>16.375</v>
      </c>
      <c r="I88" s="43">
        <f t="shared" si="10"/>
        <v>7.375</v>
      </c>
      <c r="J88" s="43">
        <f t="shared" si="11"/>
        <v>23.75</v>
      </c>
    </row>
    <row r="89" spans="1:10" s="42" customFormat="1" ht="14.25" customHeight="1" x14ac:dyDescent="0.25">
      <c r="A89" s="50" t="s">
        <v>70</v>
      </c>
      <c r="B89" s="50"/>
      <c r="C89" s="50"/>
      <c r="D89" s="50"/>
      <c r="E89" s="28"/>
      <c r="F89" s="28">
        <v>5</v>
      </c>
      <c r="G89" s="28"/>
      <c r="H89" s="43">
        <f t="shared" si="9"/>
        <v>11.375</v>
      </c>
      <c r="I89" s="43">
        <f t="shared" si="10"/>
        <v>7.375</v>
      </c>
      <c r="J89" s="43">
        <f t="shared" si="11"/>
        <v>18.75</v>
      </c>
    </row>
    <row r="90" spans="1:10" s="42" customFormat="1" ht="14.25" customHeight="1" x14ac:dyDescent="0.25">
      <c r="A90" s="50" t="s">
        <v>73</v>
      </c>
      <c r="B90" s="50">
        <v>8.75</v>
      </c>
      <c r="C90" s="50">
        <v>8.75</v>
      </c>
      <c r="D90" s="50"/>
      <c r="E90" s="28"/>
      <c r="F90" s="28"/>
      <c r="G90" s="28"/>
      <c r="H90" s="43">
        <f t="shared" si="9"/>
        <v>20.125</v>
      </c>
      <c r="I90" s="43">
        <f t="shared" si="10"/>
        <v>16.125</v>
      </c>
      <c r="J90" s="43">
        <f t="shared" si="11"/>
        <v>36.25</v>
      </c>
    </row>
    <row r="91" spans="1:10" s="42" customFormat="1" ht="14.25" customHeight="1" x14ac:dyDescent="0.25">
      <c r="A91" s="50" t="s">
        <v>74</v>
      </c>
      <c r="B91" s="50"/>
      <c r="C91" s="50"/>
      <c r="D91" s="50">
        <v>10</v>
      </c>
      <c r="E91" s="28"/>
      <c r="F91" s="28"/>
      <c r="G91" s="28"/>
      <c r="H91" s="43">
        <f t="shared" si="9"/>
        <v>10.125</v>
      </c>
      <c r="I91" s="43">
        <f t="shared" si="10"/>
        <v>16.125</v>
      </c>
      <c r="J91" s="43">
        <f t="shared" si="11"/>
        <v>26.25</v>
      </c>
    </row>
    <row r="92" spans="1:10" s="42" customFormat="1" ht="14.25" customHeight="1" x14ac:dyDescent="0.25">
      <c r="A92" s="50" t="s">
        <v>141</v>
      </c>
      <c r="B92" s="50">
        <v>6.25</v>
      </c>
      <c r="C92" s="50">
        <v>6.25</v>
      </c>
      <c r="D92" s="50"/>
      <c r="E92" s="28"/>
      <c r="F92" s="28"/>
      <c r="G92" s="28"/>
      <c r="H92" s="43">
        <f t="shared" si="9"/>
        <v>16.375</v>
      </c>
      <c r="I92" s="43">
        <f t="shared" si="10"/>
        <v>22.375</v>
      </c>
      <c r="J92" s="43">
        <f t="shared" si="11"/>
        <v>38.75</v>
      </c>
    </row>
    <row r="93" spans="1:10" s="42" customFormat="1" ht="14.25" customHeight="1" x14ac:dyDescent="0.25">
      <c r="A93" s="50" t="s">
        <v>151</v>
      </c>
      <c r="B93" s="50"/>
      <c r="C93" s="50"/>
      <c r="D93" s="50"/>
      <c r="E93" s="28"/>
      <c r="F93" s="28">
        <v>5</v>
      </c>
      <c r="G93" s="28"/>
      <c r="H93" s="43">
        <f t="shared" si="9"/>
        <v>11.375</v>
      </c>
      <c r="I93" s="43">
        <f t="shared" si="10"/>
        <v>22.375</v>
      </c>
      <c r="J93" s="43">
        <f t="shared" si="11"/>
        <v>33.75</v>
      </c>
    </row>
    <row r="94" spans="1:10" s="42" customFormat="1" ht="14.25" customHeight="1" x14ac:dyDescent="0.25">
      <c r="A94" s="50" t="s">
        <v>142</v>
      </c>
      <c r="B94" s="50">
        <v>1.25</v>
      </c>
      <c r="C94" s="50">
        <v>1.25</v>
      </c>
      <c r="D94" s="50"/>
      <c r="E94" s="28"/>
      <c r="F94" s="28"/>
      <c r="G94" s="28"/>
      <c r="H94" s="43">
        <f t="shared" si="9"/>
        <v>12.625</v>
      </c>
      <c r="I94" s="43">
        <f t="shared" si="10"/>
        <v>23.625</v>
      </c>
      <c r="J94" s="43">
        <f t="shared" si="11"/>
        <v>36.25</v>
      </c>
    </row>
    <row r="95" spans="1:10" s="42" customFormat="1" ht="14.25" customHeight="1" x14ac:dyDescent="0.25">
      <c r="A95" s="50" t="s">
        <v>143</v>
      </c>
      <c r="B95" s="50"/>
      <c r="C95" s="50"/>
      <c r="D95" s="50"/>
      <c r="E95" s="28">
        <v>1</v>
      </c>
      <c r="F95" s="28"/>
      <c r="G95" s="28"/>
      <c r="H95" s="43">
        <f t="shared" ref="H95" si="12">H94-F95-D95+B95</f>
        <v>12.625</v>
      </c>
      <c r="I95" s="43">
        <f t="shared" ref="I95" si="13">I94-E95+C95</f>
        <v>22.625</v>
      </c>
      <c r="J95" s="43">
        <f t="shared" ref="J95" si="14">SUM(H95:I95)</f>
        <v>35.25</v>
      </c>
    </row>
    <row r="96" spans="1:10" s="42" customFormat="1" ht="14.25" customHeight="1" x14ac:dyDescent="0.25">
      <c r="A96" s="50" t="s">
        <v>144</v>
      </c>
      <c r="B96" s="50">
        <v>2.5</v>
      </c>
      <c r="C96" s="50">
        <v>2.5</v>
      </c>
      <c r="D96" s="50"/>
      <c r="E96" s="28"/>
      <c r="F96" s="28"/>
      <c r="G96" s="28"/>
      <c r="H96" s="43">
        <f t="shared" ref="H96:H97" si="15">H95-F96-D96+B96</f>
        <v>15.125</v>
      </c>
      <c r="I96" s="43">
        <f t="shared" ref="I96:I97" si="16">I95-E96+C96</f>
        <v>25.125</v>
      </c>
      <c r="J96" s="43">
        <f t="shared" ref="J96:J97" si="17">SUM(H96:I96)</f>
        <v>40.25</v>
      </c>
    </row>
    <row r="97" spans="1:10" s="42" customFormat="1" ht="14.25" customHeight="1" x14ac:dyDescent="0.25">
      <c r="A97" s="50" t="s">
        <v>145</v>
      </c>
      <c r="B97" s="50"/>
      <c r="C97" s="50"/>
      <c r="D97" s="50">
        <v>10</v>
      </c>
      <c r="E97" s="28"/>
      <c r="F97" s="28"/>
      <c r="G97" s="28"/>
      <c r="H97" s="43">
        <f t="shared" si="15"/>
        <v>5.125</v>
      </c>
      <c r="I97" s="43">
        <f t="shared" si="16"/>
        <v>25.125</v>
      </c>
      <c r="J97" s="43">
        <f t="shared" si="17"/>
        <v>30.25</v>
      </c>
    </row>
    <row r="98" spans="1:10" s="42" customFormat="1" ht="14.25" customHeight="1" x14ac:dyDescent="0.25">
      <c r="A98" s="50" t="s">
        <v>146</v>
      </c>
      <c r="B98" s="50">
        <v>2.5</v>
      </c>
      <c r="C98" s="50">
        <v>2.5</v>
      </c>
      <c r="D98" s="50"/>
      <c r="E98" s="28"/>
      <c r="F98" s="28"/>
      <c r="G98" s="28"/>
      <c r="H98" s="43">
        <f t="shared" ref="H98:H99" si="18">H97-F98-D98+B98</f>
        <v>7.625</v>
      </c>
      <c r="I98" s="43">
        <f t="shared" ref="I98:I99" si="19">I97-E98+C98</f>
        <v>27.625</v>
      </c>
      <c r="J98" s="43">
        <f t="shared" ref="J98:J99" si="20">SUM(H98:I98)</f>
        <v>35.25</v>
      </c>
    </row>
    <row r="99" spans="1:10" s="42" customFormat="1" ht="14.25" customHeight="1" x14ac:dyDescent="0.25">
      <c r="A99" s="50" t="s">
        <v>147</v>
      </c>
      <c r="B99" s="50"/>
      <c r="C99" s="50"/>
      <c r="D99" s="50"/>
      <c r="E99" s="28">
        <v>1</v>
      </c>
      <c r="F99" s="28"/>
      <c r="G99" s="28"/>
      <c r="H99" s="43">
        <f t="shared" si="18"/>
        <v>7.625</v>
      </c>
      <c r="I99" s="43">
        <f t="shared" si="19"/>
        <v>26.625</v>
      </c>
      <c r="J99" s="43">
        <f t="shared" si="20"/>
        <v>34.25</v>
      </c>
    </row>
    <row r="100" spans="1:10" s="42" customFormat="1" ht="14.25" customHeight="1" x14ac:dyDescent="0.25">
      <c r="A100" s="50" t="s">
        <v>148</v>
      </c>
      <c r="B100" s="50"/>
      <c r="C100" s="50"/>
      <c r="D100" s="50"/>
      <c r="E100" s="28">
        <v>1</v>
      </c>
      <c r="F100" s="28"/>
      <c r="G100" s="28"/>
      <c r="H100" s="43">
        <f t="shared" ref="H100" si="21">H99-F100-D100+B100</f>
        <v>7.625</v>
      </c>
      <c r="I100" s="43">
        <f t="shared" ref="I100" si="22">I99-E100+C100</f>
        <v>25.625</v>
      </c>
      <c r="J100" s="43">
        <f t="shared" ref="J100" si="23">SUM(H100:I100)</f>
        <v>33.25</v>
      </c>
    </row>
    <row r="101" spans="1:10" s="42" customFormat="1" ht="14.25" customHeight="1" x14ac:dyDescent="0.25">
      <c r="A101" s="50" t="s">
        <v>149</v>
      </c>
      <c r="B101" s="50">
        <v>3.75</v>
      </c>
      <c r="C101" s="50">
        <v>3.75</v>
      </c>
      <c r="D101" s="50"/>
      <c r="E101" s="28"/>
      <c r="F101" s="28"/>
      <c r="G101" s="28"/>
      <c r="H101" s="43">
        <f t="shared" ref="H101:H102" si="24">H100-F101-D101+B101</f>
        <v>11.375</v>
      </c>
      <c r="I101" s="43">
        <f t="shared" ref="I101:I102" si="25">I100-E101+C101</f>
        <v>29.375</v>
      </c>
      <c r="J101" s="43">
        <f t="shared" ref="J101:J102" si="26">SUM(H101:I101)</f>
        <v>40.75</v>
      </c>
    </row>
    <row r="102" spans="1:10" s="42" customFormat="1" ht="14.25" customHeight="1" x14ac:dyDescent="0.25">
      <c r="A102" s="50" t="s">
        <v>150</v>
      </c>
      <c r="B102" s="50"/>
      <c r="C102" s="50"/>
      <c r="D102" s="50"/>
      <c r="E102" s="28">
        <v>2</v>
      </c>
      <c r="F102" s="28"/>
      <c r="G102" s="28"/>
      <c r="H102" s="43">
        <f t="shared" si="24"/>
        <v>11.375</v>
      </c>
      <c r="I102" s="43">
        <f t="shared" si="25"/>
        <v>27.375</v>
      </c>
      <c r="J102" s="43">
        <f t="shared" si="26"/>
        <v>38.75</v>
      </c>
    </row>
    <row r="103" spans="1:10" s="42" customFormat="1" ht="14.25" customHeight="1" x14ac:dyDescent="0.25">
      <c r="A103" s="50" t="s">
        <v>152</v>
      </c>
      <c r="B103" s="50"/>
      <c r="C103" s="50"/>
      <c r="D103" s="50"/>
      <c r="E103" s="28">
        <v>1</v>
      </c>
      <c r="F103" s="28"/>
      <c r="G103" s="28"/>
      <c r="H103" s="43">
        <f t="shared" ref="H103" si="27">H102-F103-D103+B103</f>
        <v>11.375</v>
      </c>
      <c r="I103" s="43">
        <f t="shared" ref="I103" si="28">I102-E103+C103</f>
        <v>26.375</v>
      </c>
      <c r="J103" s="43">
        <f t="shared" ref="J103" si="29">SUM(H103:I103)</f>
        <v>37.75</v>
      </c>
    </row>
    <row r="104" spans="1:10" s="42" customFormat="1" ht="14.25" customHeight="1" x14ac:dyDescent="0.25">
      <c r="A104" s="67"/>
      <c r="B104" s="3"/>
      <c r="C104" s="3"/>
      <c r="D104" s="3"/>
      <c r="E104" s="32"/>
      <c r="F104" s="32"/>
      <c r="G104" s="32"/>
      <c r="H104" s="56"/>
      <c r="I104" s="56"/>
      <c r="J104" s="68"/>
    </row>
    <row r="105" spans="1:10" x14ac:dyDescent="0.25">
      <c r="A105" s="69"/>
      <c r="J105" s="70"/>
    </row>
    <row r="106" spans="1:10" x14ac:dyDescent="0.25">
      <c r="A106" s="69"/>
      <c r="J106" s="70"/>
    </row>
    <row r="107" spans="1:10" x14ac:dyDescent="0.25">
      <c r="A107" s="69"/>
      <c r="J107" s="70"/>
    </row>
    <row r="108" spans="1:10" s="42" customFormat="1" x14ac:dyDescent="0.25">
      <c r="A108" s="69"/>
      <c r="B108"/>
      <c r="C108"/>
      <c r="D108"/>
      <c r="E108"/>
      <c r="F108" s="31" t="s">
        <v>82</v>
      </c>
      <c r="G108" s="31"/>
      <c r="H108"/>
      <c r="I108"/>
      <c r="J108" s="70"/>
    </row>
    <row r="109" spans="1:10" x14ac:dyDescent="0.25">
      <c r="A109" s="69"/>
      <c r="J109" s="70"/>
    </row>
    <row r="110" spans="1:10" x14ac:dyDescent="0.25">
      <c r="A110" s="71"/>
      <c r="B110" s="72"/>
      <c r="C110" s="72"/>
      <c r="D110" s="72"/>
      <c r="E110" s="72"/>
      <c r="F110" s="73"/>
      <c r="G110" s="73"/>
      <c r="H110" s="72"/>
      <c r="I110" s="72"/>
      <c r="J110" s="74"/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honeticPr fontId="9" type="noConversion"/>
  <printOptions horizontalCentered="1"/>
  <pageMargins left="0.23622047244094491" right="0.23622047244094491" top="0.59055118110236227" bottom="0.51181102362204722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5E6E-5FD9-4E30-B981-22326D257E22}">
  <sheetPr>
    <pageSetUpPr fitToPage="1"/>
  </sheetPr>
  <dimension ref="A1:J78"/>
  <sheetViews>
    <sheetView view="pageBreakPreview" topLeftCell="A44" zoomScale="106" zoomScaleNormal="100" zoomScaleSheetLayoutView="106" workbookViewId="0">
      <selection activeCell="A52" sqref="A52:XFD52"/>
    </sheetView>
  </sheetViews>
  <sheetFormatPr defaultRowHeight="15" x14ac:dyDescent="0.25"/>
  <cols>
    <col min="1" max="1" width="38" style="3" customWidth="1"/>
    <col min="2" max="2" width="11.5703125" style="6" customWidth="1"/>
    <col min="3" max="3" width="11.5703125" style="7" customWidth="1"/>
    <col min="4" max="4" width="11.5703125" style="6" customWidth="1"/>
    <col min="5" max="5" width="11.5703125" style="7" customWidth="1"/>
    <col min="6" max="6" width="11.5703125" style="8" customWidth="1"/>
    <col min="7" max="7" width="11.5703125" style="3" customWidth="1"/>
    <col min="8" max="8" width="11.5703125" style="6" customWidth="1"/>
    <col min="9" max="9" width="11.5703125" style="7" customWidth="1"/>
    <col min="10" max="10" width="11.5703125" style="3" customWidth="1"/>
  </cols>
  <sheetData>
    <row r="1" spans="1:10" s="1" customFormat="1" ht="52.5" customHeight="1" x14ac:dyDescent="0.25"/>
    <row r="2" spans="1:10" s="1" customFormat="1" ht="10.5" customHeight="1" x14ac:dyDescent="0.25">
      <c r="A2" s="92" t="s">
        <v>9</v>
      </c>
      <c r="B2" s="92"/>
      <c r="C2" s="92"/>
      <c r="D2" s="92"/>
      <c r="E2" s="92"/>
      <c r="F2" s="92"/>
      <c r="G2" s="92"/>
      <c r="H2" s="92"/>
      <c r="I2" s="92"/>
    </row>
    <row r="3" spans="1:10" s="1" customFormat="1" ht="15.95" customHeight="1" x14ac:dyDescent="0.25">
      <c r="A3" s="92" t="s">
        <v>10</v>
      </c>
      <c r="B3" s="92"/>
      <c r="C3" s="92"/>
      <c r="D3" s="92"/>
      <c r="E3" s="92"/>
      <c r="F3" s="92"/>
      <c r="G3" s="92"/>
      <c r="H3" s="92"/>
      <c r="I3" s="92"/>
    </row>
    <row r="4" spans="1:10" s="1" customFormat="1" ht="15.95" customHeight="1" x14ac:dyDescent="0.25">
      <c r="A4" s="92" t="s">
        <v>11</v>
      </c>
      <c r="B4" s="92"/>
      <c r="C4" s="92"/>
      <c r="D4" s="92"/>
      <c r="E4" s="92"/>
      <c r="F4" s="92"/>
      <c r="G4" s="92"/>
      <c r="H4" s="92"/>
      <c r="I4" s="92"/>
    </row>
    <row r="5" spans="1:10" s="1" customFormat="1" ht="15.95" customHeight="1" x14ac:dyDescent="0.25">
      <c r="A5" s="92" t="s">
        <v>12</v>
      </c>
      <c r="B5" s="92"/>
      <c r="C5" s="92"/>
      <c r="D5" s="92"/>
      <c r="E5" s="92"/>
      <c r="F5" s="92"/>
      <c r="G5" s="92"/>
      <c r="H5" s="92"/>
      <c r="I5" s="92"/>
    </row>
    <row r="6" spans="1:10" s="1" customFormat="1" ht="8.25" customHeight="1" x14ac:dyDescent="0.25"/>
    <row r="7" spans="1:10" s="1" customFormat="1" ht="12" customHeight="1" x14ac:dyDescent="0.25">
      <c r="A7" s="1" t="s">
        <v>56</v>
      </c>
      <c r="B7" s="16" t="s">
        <v>57</v>
      </c>
      <c r="C7" s="16"/>
      <c r="G7" s="16" t="s">
        <v>58</v>
      </c>
      <c r="H7" s="17"/>
      <c r="I7" s="16"/>
    </row>
    <row r="8" spans="1:10" s="1" customFormat="1" ht="12" customHeight="1" x14ac:dyDescent="0.25">
      <c r="B8" s="18"/>
      <c r="C8" s="18"/>
      <c r="G8" s="18"/>
      <c r="H8" s="18"/>
      <c r="I8" s="18"/>
    </row>
    <row r="9" spans="1:10" s="1" customFormat="1" ht="12" customHeight="1" x14ac:dyDescent="0.25">
      <c r="A9" s="1" t="s">
        <v>59</v>
      </c>
      <c r="B9" s="16" t="s">
        <v>60</v>
      </c>
      <c r="C9" s="16"/>
      <c r="G9" s="16" t="s">
        <v>61</v>
      </c>
      <c r="H9" s="19"/>
      <c r="I9" s="16"/>
    </row>
    <row r="10" spans="1:10" ht="16.5" customHeight="1" thickBot="1" x14ac:dyDescent="0.3">
      <c r="A10" s="77" t="s">
        <v>62</v>
      </c>
      <c r="B10" s="77"/>
      <c r="C10" s="77"/>
      <c r="D10" s="77"/>
      <c r="E10" s="77"/>
      <c r="F10" s="77"/>
      <c r="G10" s="77"/>
      <c r="H10" s="77"/>
      <c r="I10" s="77"/>
      <c r="J10" s="77"/>
    </row>
    <row r="11" spans="1:10" s="2" customFormat="1" ht="18.75" customHeight="1" thickBot="1" x14ac:dyDescent="0.25">
      <c r="A11" s="94" t="s">
        <v>13</v>
      </c>
      <c r="B11" s="95"/>
      <c r="C11" s="95"/>
      <c r="D11" s="95"/>
      <c r="E11" s="95"/>
      <c r="F11" s="95"/>
      <c r="G11" s="95"/>
      <c r="H11" s="95"/>
      <c r="I11" s="95"/>
      <c r="J11" s="96"/>
    </row>
    <row r="12" spans="1:10" s="2" customFormat="1" ht="15.95" customHeight="1" x14ac:dyDescent="0.2">
      <c r="A12" s="97" t="s">
        <v>3</v>
      </c>
      <c r="B12" s="99" t="s">
        <v>4</v>
      </c>
      <c r="C12" s="100"/>
      <c r="D12" s="101" t="s">
        <v>5</v>
      </c>
      <c r="E12" s="102"/>
      <c r="F12" s="102"/>
      <c r="G12" s="102"/>
      <c r="H12" s="103" t="s">
        <v>6</v>
      </c>
      <c r="I12" s="104"/>
      <c r="J12" s="105" t="s">
        <v>7</v>
      </c>
    </row>
    <row r="13" spans="1:10" s="2" customFormat="1" ht="24.75" customHeight="1" thickBot="1" x14ac:dyDescent="0.25">
      <c r="A13" s="98"/>
      <c r="B13" s="9" t="s">
        <v>0</v>
      </c>
      <c r="C13" s="10" t="s">
        <v>1</v>
      </c>
      <c r="D13" s="9" t="s">
        <v>0</v>
      </c>
      <c r="E13" s="10" t="s">
        <v>1</v>
      </c>
      <c r="F13" s="11" t="s">
        <v>2</v>
      </c>
      <c r="G13" s="12" t="s">
        <v>8</v>
      </c>
      <c r="H13" s="9" t="s">
        <v>0</v>
      </c>
      <c r="I13" s="10" t="s">
        <v>1</v>
      </c>
      <c r="J13" s="106"/>
    </row>
    <row r="14" spans="1:10" s="4" customFormat="1" ht="30.75" customHeight="1" x14ac:dyDescent="0.2">
      <c r="A14" s="13" t="s">
        <v>14</v>
      </c>
      <c r="B14" s="24"/>
      <c r="C14" s="25"/>
      <c r="D14" s="25"/>
      <c r="E14" s="25"/>
      <c r="F14" s="25"/>
      <c r="G14" s="26"/>
      <c r="H14" s="25">
        <v>3.38</v>
      </c>
      <c r="I14" s="25">
        <v>4.38</v>
      </c>
      <c r="J14" s="20">
        <f>H14+I14</f>
        <v>7.76</v>
      </c>
    </row>
    <row r="15" spans="1:10" s="5" customFormat="1" ht="15.95" customHeight="1" x14ac:dyDescent="0.2">
      <c r="A15" s="14" t="s">
        <v>15</v>
      </c>
      <c r="B15" s="27">
        <f>1.25*8</f>
        <v>10</v>
      </c>
      <c r="C15" s="28">
        <f>B15</f>
        <v>10</v>
      </c>
      <c r="D15" s="28"/>
      <c r="E15" s="28"/>
      <c r="F15" s="28"/>
      <c r="G15" s="29"/>
      <c r="H15" s="28">
        <f>H14-F15-D15+B15</f>
        <v>13.379999999999999</v>
      </c>
      <c r="I15" s="28">
        <f>I14-E15+C15</f>
        <v>14.379999999999999</v>
      </c>
      <c r="J15" s="21">
        <f t="shared" ref="J15" si="0">H15+I15</f>
        <v>27.759999999999998</v>
      </c>
    </row>
    <row r="16" spans="1:10" s="5" customFormat="1" ht="15.95" customHeight="1" x14ac:dyDescent="0.2">
      <c r="A16" s="14" t="s">
        <v>16</v>
      </c>
      <c r="B16" s="27"/>
      <c r="C16" s="28"/>
      <c r="D16" s="28">
        <v>10</v>
      </c>
      <c r="E16" s="28">
        <v>10</v>
      </c>
      <c r="F16" s="28"/>
      <c r="G16" s="29"/>
      <c r="H16" s="28">
        <f t="shared" ref="H16:H60" si="1">H15-F16-D16+B16</f>
        <v>3.379999999999999</v>
      </c>
      <c r="I16" s="28">
        <f t="shared" ref="I16:I60" si="2">I15-E16+C16</f>
        <v>4.379999999999999</v>
      </c>
      <c r="J16" s="21">
        <f t="shared" ref="J16:J31" si="3">H16+I16</f>
        <v>7.759999999999998</v>
      </c>
    </row>
    <row r="17" spans="1:10" s="5" customFormat="1" ht="15.95" customHeight="1" x14ac:dyDescent="0.2">
      <c r="A17" s="14" t="s">
        <v>17</v>
      </c>
      <c r="B17" s="27">
        <f>1.25*4</f>
        <v>5</v>
      </c>
      <c r="C17" s="28">
        <f>B17</f>
        <v>5</v>
      </c>
      <c r="D17" s="28"/>
      <c r="E17" s="28"/>
      <c r="F17" s="28"/>
      <c r="G17" s="29"/>
      <c r="H17" s="28">
        <f t="shared" si="1"/>
        <v>8.379999999999999</v>
      </c>
      <c r="I17" s="28">
        <f t="shared" si="2"/>
        <v>9.379999999999999</v>
      </c>
      <c r="J17" s="21">
        <f t="shared" si="3"/>
        <v>17.759999999999998</v>
      </c>
    </row>
    <row r="18" spans="1:10" s="5" customFormat="1" ht="15.95" customHeight="1" x14ac:dyDescent="0.2">
      <c r="A18" s="14" t="s">
        <v>18</v>
      </c>
      <c r="B18" s="27"/>
      <c r="C18" s="28"/>
      <c r="D18" s="28"/>
      <c r="E18" s="28"/>
      <c r="F18" s="28">
        <v>5</v>
      </c>
      <c r="G18" s="29"/>
      <c r="H18" s="28">
        <f t="shared" si="1"/>
        <v>3.379999999999999</v>
      </c>
      <c r="I18" s="28">
        <f t="shared" si="2"/>
        <v>9.379999999999999</v>
      </c>
      <c r="J18" s="21">
        <f t="shared" si="3"/>
        <v>12.759999999999998</v>
      </c>
    </row>
    <row r="19" spans="1:10" s="5" customFormat="1" ht="15.95" customHeight="1" x14ac:dyDescent="0.2">
      <c r="A19" s="14" t="s">
        <v>20</v>
      </c>
      <c r="B19" s="27">
        <v>1.25</v>
      </c>
      <c r="C19" s="28">
        <v>1.25</v>
      </c>
      <c r="D19" s="28"/>
      <c r="E19" s="28"/>
      <c r="F19" s="28"/>
      <c r="G19" s="29"/>
      <c r="H19" s="28">
        <f t="shared" si="1"/>
        <v>4.629999999999999</v>
      </c>
      <c r="I19" s="28">
        <f t="shared" si="2"/>
        <v>10.629999999999999</v>
      </c>
      <c r="J19" s="21">
        <f t="shared" si="3"/>
        <v>15.259999999999998</v>
      </c>
    </row>
    <row r="20" spans="1:10" s="5" customFormat="1" ht="15.95" customHeight="1" x14ac:dyDescent="0.2">
      <c r="A20" s="14" t="s">
        <v>19</v>
      </c>
      <c r="B20" s="27"/>
      <c r="C20" s="28"/>
      <c r="D20" s="28">
        <v>2</v>
      </c>
      <c r="E20" s="28">
        <v>8</v>
      </c>
      <c r="F20" s="28"/>
      <c r="G20" s="29"/>
      <c r="H20" s="28">
        <f t="shared" si="1"/>
        <v>2.629999999999999</v>
      </c>
      <c r="I20" s="28">
        <f t="shared" si="2"/>
        <v>2.629999999999999</v>
      </c>
      <c r="J20" s="21">
        <f t="shared" si="3"/>
        <v>5.259999999999998</v>
      </c>
    </row>
    <row r="21" spans="1:10" s="5" customFormat="1" ht="15.95" customHeight="1" x14ac:dyDescent="0.2">
      <c r="A21" s="14" t="s">
        <v>21</v>
      </c>
      <c r="B21" s="27">
        <f>1.25*8</f>
        <v>10</v>
      </c>
      <c r="C21" s="28">
        <f>B21</f>
        <v>10</v>
      </c>
      <c r="D21" s="28"/>
      <c r="E21" s="28"/>
      <c r="F21" s="28"/>
      <c r="G21" s="29"/>
      <c r="H21" s="28">
        <f t="shared" si="1"/>
        <v>12.629999999999999</v>
      </c>
      <c r="I21" s="28">
        <f t="shared" si="2"/>
        <v>12.629999999999999</v>
      </c>
      <c r="J21" s="21">
        <f t="shared" si="3"/>
        <v>25.259999999999998</v>
      </c>
    </row>
    <row r="22" spans="1:10" s="5" customFormat="1" ht="15.95" customHeight="1" x14ac:dyDescent="0.2">
      <c r="A22" s="14" t="s">
        <v>22</v>
      </c>
      <c r="B22" s="27"/>
      <c r="C22" s="28"/>
      <c r="D22" s="28">
        <v>10</v>
      </c>
      <c r="E22" s="28"/>
      <c r="F22" s="28"/>
      <c r="G22" s="29"/>
      <c r="H22" s="28">
        <f t="shared" si="1"/>
        <v>2.629999999999999</v>
      </c>
      <c r="I22" s="28">
        <f t="shared" si="2"/>
        <v>12.629999999999999</v>
      </c>
      <c r="J22" s="21">
        <f t="shared" si="3"/>
        <v>15.259999999999998</v>
      </c>
    </row>
    <row r="23" spans="1:10" s="5" customFormat="1" ht="15.95" customHeight="1" x14ac:dyDescent="0.2">
      <c r="A23" s="14" t="s">
        <v>23</v>
      </c>
      <c r="B23" s="27">
        <f>1.25*3</f>
        <v>3.75</v>
      </c>
      <c r="C23" s="28">
        <f>B23</f>
        <v>3.75</v>
      </c>
      <c r="D23" s="28"/>
      <c r="E23" s="28"/>
      <c r="F23" s="28"/>
      <c r="G23" s="29"/>
      <c r="H23" s="28">
        <f t="shared" si="1"/>
        <v>6.379999999999999</v>
      </c>
      <c r="I23" s="28">
        <f t="shared" si="2"/>
        <v>16.38</v>
      </c>
      <c r="J23" s="21">
        <f t="shared" si="3"/>
        <v>22.759999999999998</v>
      </c>
    </row>
    <row r="24" spans="1:10" s="5" customFormat="1" ht="15.95" customHeight="1" x14ac:dyDescent="0.2">
      <c r="A24" s="15" t="s">
        <v>24</v>
      </c>
      <c r="B24" s="27"/>
      <c r="C24" s="28"/>
      <c r="D24" s="28"/>
      <c r="E24" s="28"/>
      <c r="F24" s="28">
        <v>5</v>
      </c>
      <c r="G24" s="29"/>
      <c r="H24" s="28">
        <f t="shared" si="1"/>
        <v>1.379999999999999</v>
      </c>
      <c r="I24" s="28">
        <f t="shared" si="2"/>
        <v>16.38</v>
      </c>
      <c r="J24" s="21">
        <f t="shared" si="3"/>
        <v>17.759999999999998</v>
      </c>
    </row>
    <row r="25" spans="1:10" s="5" customFormat="1" ht="15.95" customHeight="1" x14ac:dyDescent="0.2">
      <c r="A25" s="15" t="s">
        <v>25</v>
      </c>
      <c r="B25" s="27"/>
      <c r="C25" s="28"/>
      <c r="D25" s="28"/>
      <c r="E25" s="28">
        <v>9</v>
      </c>
      <c r="F25" s="28"/>
      <c r="G25" s="29"/>
      <c r="H25" s="28">
        <f t="shared" si="1"/>
        <v>1.379999999999999</v>
      </c>
      <c r="I25" s="28">
        <f t="shared" si="2"/>
        <v>7.379999999999999</v>
      </c>
      <c r="J25" s="21">
        <f t="shared" si="3"/>
        <v>8.759999999999998</v>
      </c>
    </row>
    <row r="26" spans="1:10" s="5" customFormat="1" ht="15.95" customHeight="1" x14ac:dyDescent="0.2">
      <c r="A26" s="15" t="s">
        <v>26</v>
      </c>
      <c r="B26" s="27">
        <f>1.25*8</f>
        <v>10</v>
      </c>
      <c r="C26" s="28">
        <f>B26</f>
        <v>10</v>
      </c>
      <c r="D26" s="28"/>
      <c r="E26" s="28"/>
      <c r="F26" s="28"/>
      <c r="G26" s="29"/>
      <c r="H26" s="28">
        <f t="shared" si="1"/>
        <v>11.379999999999999</v>
      </c>
      <c r="I26" s="28">
        <f t="shared" si="2"/>
        <v>17.38</v>
      </c>
      <c r="J26" s="21">
        <f t="shared" si="3"/>
        <v>28.759999999999998</v>
      </c>
    </row>
    <row r="27" spans="1:10" s="5" customFormat="1" ht="26.45" customHeight="1" x14ac:dyDescent="0.2">
      <c r="A27" s="14" t="s">
        <v>27</v>
      </c>
      <c r="B27" s="27"/>
      <c r="C27" s="28"/>
      <c r="D27" s="28">
        <v>5</v>
      </c>
      <c r="E27" s="28">
        <v>10</v>
      </c>
      <c r="F27" s="28"/>
      <c r="G27" s="29"/>
      <c r="H27" s="28">
        <f t="shared" si="1"/>
        <v>6.379999999999999</v>
      </c>
      <c r="I27" s="28">
        <f t="shared" si="2"/>
        <v>7.379999999999999</v>
      </c>
      <c r="J27" s="21">
        <f t="shared" si="3"/>
        <v>13.759999999999998</v>
      </c>
    </row>
    <row r="28" spans="1:10" s="5" customFormat="1" ht="15.95" customHeight="1" x14ac:dyDescent="0.2">
      <c r="A28" s="15" t="s">
        <v>28</v>
      </c>
      <c r="B28" s="27">
        <f>1.25*4</f>
        <v>5</v>
      </c>
      <c r="C28" s="28">
        <f>B28</f>
        <v>5</v>
      </c>
      <c r="D28" s="28"/>
      <c r="E28" s="28"/>
      <c r="F28" s="28"/>
      <c r="G28" s="29"/>
      <c r="H28" s="28">
        <f t="shared" si="1"/>
        <v>11.379999999999999</v>
      </c>
      <c r="I28" s="28">
        <f t="shared" si="2"/>
        <v>12.379999999999999</v>
      </c>
      <c r="J28" s="21">
        <f t="shared" si="3"/>
        <v>23.759999999999998</v>
      </c>
    </row>
    <row r="29" spans="1:10" s="5" customFormat="1" ht="15.95" customHeight="1" x14ac:dyDescent="0.2">
      <c r="A29" s="15" t="s">
        <v>29</v>
      </c>
      <c r="B29" s="27"/>
      <c r="C29" s="28"/>
      <c r="D29" s="28">
        <v>6</v>
      </c>
      <c r="E29" s="28">
        <v>8</v>
      </c>
      <c r="F29" s="28"/>
      <c r="G29" s="29"/>
      <c r="H29" s="28">
        <f t="shared" si="1"/>
        <v>5.379999999999999</v>
      </c>
      <c r="I29" s="28">
        <f t="shared" si="2"/>
        <v>4.379999999999999</v>
      </c>
      <c r="J29" s="21">
        <f t="shared" si="3"/>
        <v>9.759999999999998</v>
      </c>
    </row>
    <row r="30" spans="1:10" s="5" customFormat="1" ht="15.95" customHeight="1" x14ac:dyDescent="0.2">
      <c r="A30" s="15" t="s">
        <v>30</v>
      </c>
      <c r="B30" s="27"/>
      <c r="C30" s="28"/>
      <c r="D30" s="28"/>
      <c r="E30" s="28"/>
      <c r="F30" s="28">
        <v>5</v>
      </c>
      <c r="G30" s="29"/>
      <c r="H30" s="28">
        <f t="shared" si="1"/>
        <v>0.37999999999999901</v>
      </c>
      <c r="I30" s="28">
        <f t="shared" si="2"/>
        <v>4.379999999999999</v>
      </c>
      <c r="J30" s="21">
        <f t="shared" si="3"/>
        <v>4.759999999999998</v>
      </c>
    </row>
    <row r="31" spans="1:10" s="5" customFormat="1" ht="15.95" customHeight="1" x14ac:dyDescent="0.2">
      <c r="A31" s="15" t="s">
        <v>31</v>
      </c>
      <c r="B31" s="27">
        <f>1.25*7</f>
        <v>8.75</v>
      </c>
      <c r="C31" s="28">
        <f>B31</f>
        <v>8.75</v>
      </c>
      <c r="D31" s="28"/>
      <c r="E31" s="28"/>
      <c r="F31" s="28"/>
      <c r="G31" s="29"/>
      <c r="H31" s="28">
        <f t="shared" si="1"/>
        <v>9.129999999999999</v>
      </c>
      <c r="I31" s="28">
        <f t="shared" si="2"/>
        <v>13.129999999999999</v>
      </c>
      <c r="J31" s="21">
        <f t="shared" si="3"/>
        <v>22.259999999999998</v>
      </c>
    </row>
    <row r="32" spans="1:10" s="5" customFormat="1" ht="15.95" customHeight="1" x14ac:dyDescent="0.2">
      <c r="A32" s="51" t="s">
        <v>63</v>
      </c>
      <c r="B32" s="52"/>
      <c r="C32" s="53"/>
      <c r="D32" s="53">
        <v>4</v>
      </c>
      <c r="E32" s="53">
        <v>6</v>
      </c>
      <c r="F32" s="53"/>
      <c r="G32" s="54"/>
      <c r="H32" s="53">
        <f t="shared" si="1"/>
        <v>5.129999999999999</v>
      </c>
      <c r="I32" s="53">
        <f t="shared" si="2"/>
        <v>7.129999999999999</v>
      </c>
      <c r="J32" s="55">
        <f t="shared" ref="J32:J33" si="4">H32+I32</f>
        <v>12.259999999999998</v>
      </c>
    </row>
    <row r="33" spans="1:10" s="5" customFormat="1" ht="15.95" customHeight="1" x14ac:dyDescent="0.2">
      <c r="A33" s="15" t="s">
        <v>32</v>
      </c>
      <c r="B33" s="27">
        <f>1.25*5</f>
        <v>6.25</v>
      </c>
      <c r="C33" s="28">
        <f>B33</f>
        <v>6.25</v>
      </c>
      <c r="D33" s="28"/>
      <c r="E33" s="28"/>
      <c r="F33" s="28"/>
      <c r="G33" s="29"/>
      <c r="H33" s="28">
        <f t="shared" si="1"/>
        <v>11.379999999999999</v>
      </c>
      <c r="I33" s="28">
        <f t="shared" si="2"/>
        <v>13.379999999999999</v>
      </c>
      <c r="J33" s="21">
        <f t="shared" si="4"/>
        <v>24.759999999999998</v>
      </c>
    </row>
    <row r="34" spans="1:10" s="5" customFormat="1" ht="15.95" customHeight="1" x14ac:dyDescent="0.2">
      <c r="A34" s="15" t="s">
        <v>33</v>
      </c>
      <c r="B34" s="27"/>
      <c r="C34" s="28"/>
      <c r="D34" s="28"/>
      <c r="E34" s="28"/>
      <c r="F34" s="28">
        <v>5</v>
      </c>
      <c r="G34" s="29"/>
      <c r="H34" s="28">
        <f t="shared" si="1"/>
        <v>6.379999999999999</v>
      </c>
      <c r="I34" s="28">
        <f t="shared" si="2"/>
        <v>13.379999999999999</v>
      </c>
      <c r="J34" s="21">
        <f t="shared" ref="J34:J35" si="5">H34+I34</f>
        <v>19.759999999999998</v>
      </c>
    </row>
    <row r="35" spans="1:10" s="5" customFormat="1" ht="15.95" customHeight="1" x14ac:dyDescent="0.2">
      <c r="A35" s="51" t="s">
        <v>34</v>
      </c>
      <c r="B35" s="52"/>
      <c r="C35" s="53"/>
      <c r="D35" s="53">
        <v>5</v>
      </c>
      <c r="E35" s="53">
        <v>14</v>
      </c>
      <c r="F35" s="53"/>
      <c r="G35" s="54"/>
      <c r="H35" s="53">
        <f t="shared" si="1"/>
        <v>1.379999999999999</v>
      </c>
      <c r="I35" s="53">
        <f t="shared" si="2"/>
        <v>-0.62000000000000099</v>
      </c>
      <c r="J35" s="55">
        <f t="shared" si="5"/>
        <v>0.75999999999999801</v>
      </c>
    </row>
    <row r="36" spans="1:10" s="5" customFormat="1" ht="15.95" customHeight="1" x14ac:dyDescent="0.2">
      <c r="A36" s="15" t="s">
        <v>64</v>
      </c>
      <c r="B36" s="27">
        <v>4</v>
      </c>
      <c r="C36" s="28">
        <v>6</v>
      </c>
      <c r="D36" s="28"/>
      <c r="E36" s="28"/>
      <c r="F36" s="28"/>
      <c r="G36" s="29"/>
      <c r="H36" s="28">
        <f t="shared" si="1"/>
        <v>5.379999999999999</v>
      </c>
      <c r="I36" s="28">
        <f t="shared" si="2"/>
        <v>5.379999999999999</v>
      </c>
      <c r="J36" s="21">
        <f t="shared" ref="J36:J37" si="6">H36+I36</f>
        <v>10.759999999999998</v>
      </c>
    </row>
    <row r="37" spans="1:10" s="5" customFormat="1" ht="15.95" customHeight="1" x14ac:dyDescent="0.2">
      <c r="A37" s="15" t="s">
        <v>35</v>
      </c>
      <c r="B37" s="27">
        <f>1.25*7</f>
        <v>8.75</v>
      </c>
      <c r="C37" s="28">
        <f>B37</f>
        <v>8.75</v>
      </c>
      <c r="D37" s="28"/>
      <c r="E37" s="28"/>
      <c r="F37" s="28"/>
      <c r="G37" s="29"/>
      <c r="H37" s="28">
        <f t="shared" si="1"/>
        <v>14.129999999999999</v>
      </c>
      <c r="I37" s="28">
        <f t="shared" si="2"/>
        <v>14.129999999999999</v>
      </c>
      <c r="J37" s="21">
        <f t="shared" si="6"/>
        <v>28.259999999999998</v>
      </c>
    </row>
    <row r="38" spans="1:10" s="5" customFormat="1" ht="15.95" customHeight="1" x14ac:dyDescent="0.2">
      <c r="A38" s="15" t="s">
        <v>36</v>
      </c>
      <c r="B38" s="27"/>
      <c r="C38" s="28"/>
      <c r="D38" s="28">
        <v>10</v>
      </c>
      <c r="E38" s="28">
        <v>5</v>
      </c>
      <c r="F38" s="28"/>
      <c r="G38" s="29"/>
      <c r="H38" s="28">
        <f t="shared" si="1"/>
        <v>4.129999999999999</v>
      </c>
      <c r="I38" s="28">
        <f t="shared" si="2"/>
        <v>9.129999999999999</v>
      </c>
      <c r="J38" s="21">
        <f t="shared" ref="J38:J60" si="7">H38+I38</f>
        <v>13.259999999999998</v>
      </c>
    </row>
    <row r="39" spans="1:10" s="5" customFormat="1" ht="15.95" customHeight="1" x14ac:dyDescent="0.2">
      <c r="A39" s="15" t="s">
        <v>72</v>
      </c>
      <c r="B39" s="27">
        <f>1.25*4</f>
        <v>5</v>
      </c>
      <c r="C39" s="28">
        <f>B39</f>
        <v>5</v>
      </c>
      <c r="D39" s="28"/>
      <c r="E39" s="28"/>
      <c r="F39" s="28"/>
      <c r="G39" s="29"/>
      <c r="H39" s="28">
        <f t="shared" si="1"/>
        <v>9.129999999999999</v>
      </c>
      <c r="I39" s="28">
        <f t="shared" si="2"/>
        <v>14.129999999999999</v>
      </c>
      <c r="J39" s="21">
        <f t="shared" si="7"/>
        <v>23.259999999999998</v>
      </c>
    </row>
    <row r="40" spans="1:10" s="5" customFormat="1" ht="15.95" customHeight="1" x14ac:dyDescent="0.2">
      <c r="A40" s="15" t="s">
        <v>37</v>
      </c>
      <c r="B40" s="27"/>
      <c r="C40" s="28"/>
      <c r="D40" s="28">
        <v>5</v>
      </c>
      <c r="E40" s="28">
        <v>5</v>
      </c>
      <c r="F40" s="28"/>
      <c r="G40" s="29"/>
      <c r="H40" s="28">
        <f t="shared" si="1"/>
        <v>4.129999999999999</v>
      </c>
      <c r="I40" s="28">
        <f t="shared" si="2"/>
        <v>9.129999999999999</v>
      </c>
      <c r="J40" s="21">
        <f t="shared" si="7"/>
        <v>13.259999999999998</v>
      </c>
    </row>
    <row r="41" spans="1:10" s="5" customFormat="1" ht="15.95" customHeight="1" x14ac:dyDescent="0.2">
      <c r="A41" s="15" t="s">
        <v>38</v>
      </c>
      <c r="B41" s="27">
        <v>1.25</v>
      </c>
      <c r="C41" s="28">
        <v>1.25</v>
      </c>
      <c r="D41" s="28"/>
      <c r="E41" s="28"/>
      <c r="F41" s="28"/>
      <c r="G41" s="29"/>
      <c r="H41" s="28">
        <f t="shared" si="1"/>
        <v>5.379999999999999</v>
      </c>
      <c r="I41" s="28">
        <f t="shared" si="2"/>
        <v>10.379999999999999</v>
      </c>
      <c r="J41" s="21">
        <f t="shared" si="7"/>
        <v>15.759999999999998</v>
      </c>
    </row>
    <row r="42" spans="1:10" s="5" customFormat="1" ht="15.95" customHeight="1" x14ac:dyDescent="0.2">
      <c r="A42" s="15" t="s">
        <v>39</v>
      </c>
      <c r="B42" s="27"/>
      <c r="C42" s="28"/>
      <c r="D42" s="28"/>
      <c r="E42" s="28"/>
      <c r="F42" s="28">
        <v>5</v>
      </c>
      <c r="G42" s="29"/>
      <c r="H42" s="28">
        <f t="shared" si="1"/>
        <v>0.37999999999999901</v>
      </c>
      <c r="I42" s="28">
        <f t="shared" si="2"/>
        <v>10.379999999999999</v>
      </c>
      <c r="J42" s="21">
        <f t="shared" si="7"/>
        <v>10.759999999999998</v>
      </c>
    </row>
    <row r="43" spans="1:10" s="5" customFormat="1" ht="15.95" customHeight="1" x14ac:dyDescent="0.2">
      <c r="A43" s="15" t="s">
        <v>40</v>
      </c>
      <c r="B43" s="27">
        <f>1.25*7</f>
        <v>8.75</v>
      </c>
      <c r="C43" s="28">
        <f>B43</f>
        <v>8.75</v>
      </c>
      <c r="D43" s="28"/>
      <c r="E43" s="28"/>
      <c r="F43" s="28"/>
      <c r="G43" s="29"/>
      <c r="H43" s="28">
        <f t="shared" si="1"/>
        <v>9.129999999999999</v>
      </c>
      <c r="I43" s="28">
        <f t="shared" si="2"/>
        <v>19.13</v>
      </c>
      <c r="J43" s="21">
        <f t="shared" si="7"/>
        <v>28.259999999999998</v>
      </c>
    </row>
    <row r="44" spans="1:10" s="5" customFormat="1" ht="15.95" customHeight="1" x14ac:dyDescent="0.2">
      <c r="A44" s="15" t="s">
        <v>37</v>
      </c>
      <c r="B44" s="27"/>
      <c r="C44" s="28"/>
      <c r="D44" s="28">
        <v>5</v>
      </c>
      <c r="E44" s="28">
        <v>5</v>
      </c>
      <c r="F44" s="28"/>
      <c r="G44" s="29"/>
      <c r="H44" s="28">
        <f t="shared" si="1"/>
        <v>4.129999999999999</v>
      </c>
      <c r="I44" s="28">
        <f t="shared" si="2"/>
        <v>14.129999999999999</v>
      </c>
      <c r="J44" s="21">
        <f t="shared" si="7"/>
        <v>18.259999999999998</v>
      </c>
    </row>
    <row r="45" spans="1:10" s="5" customFormat="1" ht="15.95" customHeight="1" x14ac:dyDescent="0.2">
      <c r="A45" s="15" t="s">
        <v>41</v>
      </c>
      <c r="B45" s="27">
        <f>1.25*4</f>
        <v>5</v>
      </c>
      <c r="C45" s="28">
        <f>B45</f>
        <v>5</v>
      </c>
      <c r="D45" s="28"/>
      <c r="E45" s="28"/>
      <c r="F45" s="28"/>
      <c r="G45" s="29"/>
      <c r="H45" s="28">
        <f t="shared" si="1"/>
        <v>9.129999999999999</v>
      </c>
      <c r="I45" s="28">
        <f t="shared" si="2"/>
        <v>19.13</v>
      </c>
      <c r="J45" s="21">
        <f t="shared" si="7"/>
        <v>28.259999999999998</v>
      </c>
    </row>
    <row r="46" spans="1:10" s="5" customFormat="1" ht="15.95" customHeight="1" x14ac:dyDescent="0.2">
      <c r="A46" s="15" t="s">
        <v>42</v>
      </c>
      <c r="B46" s="27">
        <v>1.25</v>
      </c>
      <c r="C46" s="28">
        <v>1.25</v>
      </c>
      <c r="D46" s="28"/>
      <c r="E46" s="28"/>
      <c r="F46" s="28"/>
      <c r="G46" s="29"/>
      <c r="H46" s="28">
        <f t="shared" si="1"/>
        <v>10.379999999999999</v>
      </c>
      <c r="I46" s="28">
        <f t="shared" si="2"/>
        <v>20.38</v>
      </c>
      <c r="J46" s="21">
        <f t="shared" si="7"/>
        <v>30.759999999999998</v>
      </c>
    </row>
    <row r="47" spans="1:10" s="5" customFormat="1" ht="15.95" customHeight="1" x14ac:dyDescent="0.2">
      <c r="A47" s="15" t="s">
        <v>45</v>
      </c>
      <c r="B47" s="27"/>
      <c r="C47" s="28"/>
      <c r="D47" s="28"/>
      <c r="E47" s="28"/>
      <c r="F47" s="28">
        <v>5</v>
      </c>
      <c r="G47" s="29"/>
      <c r="H47" s="28">
        <f t="shared" si="1"/>
        <v>5.379999999999999</v>
      </c>
      <c r="I47" s="28">
        <f t="shared" si="2"/>
        <v>20.38</v>
      </c>
      <c r="J47" s="21">
        <f t="shared" si="7"/>
        <v>25.759999999999998</v>
      </c>
    </row>
    <row r="48" spans="1:10" s="5" customFormat="1" ht="15.95" customHeight="1" x14ac:dyDescent="0.2">
      <c r="A48" s="15" t="s">
        <v>43</v>
      </c>
      <c r="B48" s="27">
        <f>1.25*12</f>
        <v>15</v>
      </c>
      <c r="C48" s="28">
        <f>B48</f>
        <v>15</v>
      </c>
      <c r="D48" s="28"/>
      <c r="E48" s="28"/>
      <c r="F48" s="28"/>
      <c r="G48" s="29"/>
      <c r="H48" s="28">
        <f t="shared" si="1"/>
        <v>20.38</v>
      </c>
      <c r="I48" s="28">
        <f t="shared" si="2"/>
        <v>35.379999999999995</v>
      </c>
      <c r="J48" s="21">
        <f t="shared" si="7"/>
        <v>55.759999999999991</v>
      </c>
    </row>
    <row r="49" spans="1:10" s="5" customFormat="1" ht="15.95" customHeight="1" x14ac:dyDescent="0.2">
      <c r="A49" s="15" t="s">
        <v>36</v>
      </c>
      <c r="B49" s="27"/>
      <c r="C49" s="28"/>
      <c r="D49" s="28">
        <v>15</v>
      </c>
      <c r="E49" s="28"/>
      <c r="F49" s="28"/>
      <c r="G49" s="29"/>
      <c r="H49" s="28">
        <f t="shared" si="1"/>
        <v>5.379999999999999</v>
      </c>
      <c r="I49" s="28">
        <f t="shared" si="2"/>
        <v>35.379999999999995</v>
      </c>
      <c r="J49" s="21">
        <f t="shared" si="7"/>
        <v>40.759999999999991</v>
      </c>
    </row>
    <row r="50" spans="1:10" s="5" customFormat="1" ht="15.95" customHeight="1" x14ac:dyDescent="0.2">
      <c r="A50" s="15" t="s">
        <v>44</v>
      </c>
      <c r="B50" s="27"/>
      <c r="C50" s="28"/>
      <c r="D50" s="28"/>
      <c r="E50" s="28"/>
      <c r="F50" s="28">
        <v>5</v>
      </c>
      <c r="G50" s="29"/>
      <c r="H50" s="28">
        <f t="shared" si="1"/>
        <v>0.37999999999999901</v>
      </c>
      <c r="I50" s="28">
        <f t="shared" si="2"/>
        <v>35.379999999999995</v>
      </c>
      <c r="J50" s="21">
        <f t="shared" si="7"/>
        <v>35.759999999999991</v>
      </c>
    </row>
    <row r="51" spans="1:10" s="5" customFormat="1" ht="15.95" customHeight="1" x14ac:dyDescent="0.2">
      <c r="A51" s="15" t="s">
        <v>46</v>
      </c>
      <c r="B51" s="27">
        <f>1.25*6</f>
        <v>7.5</v>
      </c>
      <c r="C51" s="28">
        <f>B51</f>
        <v>7.5</v>
      </c>
      <c r="D51" s="28"/>
      <c r="E51" s="28"/>
      <c r="F51" s="28"/>
      <c r="G51" s="29"/>
      <c r="H51" s="28">
        <f t="shared" si="1"/>
        <v>7.879999999999999</v>
      </c>
      <c r="I51" s="28">
        <f t="shared" si="2"/>
        <v>42.879999999999995</v>
      </c>
      <c r="J51" s="21">
        <f t="shared" si="7"/>
        <v>50.759999999999991</v>
      </c>
    </row>
    <row r="52" spans="1:10" s="5" customFormat="1" ht="15.95" customHeight="1" x14ac:dyDescent="0.2">
      <c r="A52" s="15" t="s">
        <v>47</v>
      </c>
      <c r="B52" s="27"/>
      <c r="C52" s="28"/>
      <c r="D52" s="28"/>
      <c r="E52" s="28">
        <v>10</v>
      </c>
      <c r="F52" s="28"/>
      <c r="G52" s="29"/>
      <c r="H52" s="28">
        <f t="shared" si="1"/>
        <v>7.879999999999999</v>
      </c>
      <c r="I52" s="28">
        <f t="shared" si="2"/>
        <v>32.879999999999995</v>
      </c>
      <c r="J52" s="21">
        <f t="shared" si="7"/>
        <v>40.759999999999991</v>
      </c>
    </row>
    <row r="53" spans="1:10" s="5" customFormat="1" ht="15.95" customHeight="1" x14ac:dyDescent="0.2">
      <c r="A53" s="15" t="s">
        <v>48</v>
      </c>
      <c r="B53" s="27">
        <f>1.25*4</f>
        <v>5</v>
      </c>
      <c r="C53" s="28">
        <f>B53</f>
        <v>5</v>
      </c>
      <c r="D53" s="28"/>
      <c r="E53" s="28"/>
      <c r="F53" s="28"/>
      <c r="G53" s="29"/>
      <c r="H53" s="28">
        <f t="shared" si="1"/>
        <v>12.879999999999999</v>
      </c>
      <c r="I53" s="28">
        <f t="shared" si="2"/>
        <v>37.879999999999995</v>
      </c>
      <c r="J53" s="21">
        <f t="shared" si="7"/>
        <v>50.759999999999991</v>
      </c>
    </row>
    <row r="54" spans="1:10" s="5" customFormat="1" ht="15.95" customHeight="1" x14ac:dyDescent="0.2">
      <c r="A54" s="15" t="s">
        <v>49</v>
      </c>
      <c r="B54" s="27"/>
      <c r="C54" s="28"/>
      <c r="D54" s="28">
        <v>8</v>
      </c>
      <c r="E54" s="28">
        <v>7</v>
      </c>
      <c r="F54" s="28"/>
      <c r="G54" s="29"/>
      <c r="H54" s="28">
        <f t="shared" si="1"/>
        <v>4.879999999999999</v>
      </c>
      <c r="I54" s="28">
        <f t="shared" si="2"/>
        <v>30.879999999999995</v>
      </c>
      <c r="J54" s="21">
        <f t="shared" si="7"/>
        <v>35.759999999999991</v>
      </c>
    </row>
    <row r="55" spans="1:10" s="5" customFormat="1" ht="15.95" customHeight="1" x14ac:dyDescent="0.2">
      <c r="A55" s="15" t="s">
        <v>50</v>
      </c>
      <c r="B55" s="27">
        <f>1.25*2</f>
        <v>2.5</v>
      </c>
      <c r="C55" s="28">
        <f>B55</f>
        <v>2.5</v>
      </c>
      <c r="D55" s="28"/>
      <c r="E55" s="28"/>
      <c r="F55" s="28"/>
      <c r="G55" s="29"/>
      <c r="H55" s="28">
        <f t="shared" si="1"/>
        <v>7.379999999999999</v>
      </c>
      <c r="I55" s="28">
        <f t="shared" si="2"/>
        <v>33.379999999999995</v>
      </c>
      <c r="J55" s="21">
        <f t="shared" si="7"/>
        <v>40.759999999999991</v>
      </c>
    </row>
    <row r="56" spans="1:10" s="5" customFormat="1" ht="15.95" customHeight="1" x14ac:dyDescent="0.2">
      <c r="A56" s="15" t="s">
        <v>51</v>
      </c>
      <c r="B56" s="27"/>
      <c r="C56" s="28"/>
      <c r="D56" s="28"/>
      <c r="E56" s="28"/>
      <c r="F56" s="28">
        <v>5</v>
      </c>
      <c r="G56" s="29"/>
      <c r="H56" s="28">
        <f t="shared" si="1"/>
        <v>2.379999999999999</v>
      </c>
      <c r="I56" s="28">
        <f t="shared" si="2"/>
        <v>33.379999999999995</v>
      </c>
      <c r="J56" s="21">
        <f t="shared" si="7"/>
        <v>35.759999999999991</v>
      </c>
    </row>
    <row r="57" spans="1:10" s="5" customFormat="1" ht="15.95" customHeight="1" x14ac:dyDescent="0.2">
      <c r="A57" s="15" t="s">
        <v>52</v>
      </c>
      <c r="B57" s="27">
        <f>1.25*6</f>
        <v>7.5</v>
      </c>
      <c r="C57" s="28">
        <f>B57</f>
        <v>7.5</v>
      </c>
      <c r="D57" s="28"/>
      <c r="E57" s="28"/>
      <c r="F57" s="28"/>
      <c r="G57" s="29"/>
      <c r="H57" s="28">
        <f t="shared" si="1"/>
        <v>9.879999999999999</v>
      </c>
      <c r="I57" s="28">
        <f t="shared" si="2"/>
        <v>40.879999999999995</v>
      </c>
      <c r="J57" s="21">
        <f t="shared" si="7"/>
        <v>50.759999999999991</v>
      </c>
    </row>
    <row r="58" spans="1:10" s="5" customFormat="1" ht="15.95" customHeight="1" x14ac:dyDescent="0.2">
      <c r="A58" s="15" t="s">
        <v>53</v>
      </c>
      <c r="B58" s="27"/>
      <c r="C58" s="28"/>
      <c r="D58" s="28">
        <v>5</v>
      </c>
      <c r="E58" s="28">
        <v>20</v>
      </c>
      <c r="F58" s="28"/>
      <c r="G58" s="29"/>
      <c r="H58" s="28">
        <f t="shared" si="1"/>
        <v>4.879999999999999</v>
      </c>
      <c r="I58" s="28">
        <f t="shared" si="2"/>
        <v>20.879999999999995</v>
      </c>
      <c r="J58" s="21">
        <f t="shared" si="7"/>
        <v>25.759999999999994</v>
      </c>
    </row>
    <row r="59" spans="1:10" s="5" customFormat="1" ht="15.95" customHeight="1" x14ac:dyDescent="0.2">
      <c r="A59" s="15" t="s">
        <v>54</v>
      </c>
      <c r="B59" s="27">
        <f>1.25*2</f>
        <v>2.5</v>
      </c>
      <c r="C59" s="28">
        <f>B59</f>
        <v>2.5</v>
      </c>
      <c r="D59" s="28"/>
      <c r="E59" s="28"/>
      <c r="F59" s="28"/>
      <c r="G59" s="29"/>
      <c r="H59" s="28">
        <f t="shared" si="1"/>
        <v>7.379999999999999</v>
      </c>
      <c r="I59" s="28">
        <f t="shared" si="2"/>
        <v>23.379999999999995</v>
      </c>
      <c r="J59" s="21">
        <f t="shared" si="7"/>
        <v>30.759999999999994</v>
      </c>
    </row>
    <row r="60" spans="1:10" s="5" customFormat="1" ht="15.95" customHeight="1" x14ac:dyDescent="0.2">
      <c r="A60" s="15" t="s">
        <v>55</v>
      </c>
      <c r="B60" s="27"/>
      <c r="C60" s="28"/>
      <c r="D60" s="28"/>
      <c r="E60" s="28">
        <v>2</v>
      </c>
      <c r="F60" s="28"/>
      <c r="G60" s="29"/>
      <c r="H60" s="28">
        <f t="shared" si="1"/>
        <v>7.379999999999999</v>
      </c>
      <c r="I60" s="28">
        <f t="shared" si="2"/>
        <v>21.379999999999995</v>
      </c>
      <c r="J60" s="21">
        <f t="shared" si="7"/>
        <v>28.759999999999994</v>
      </c>
    </row>
    <row r="61" spans="1:10" s="5" customFormat="1" ht="15.95" customHeight="1" x14ac:dyDescent="0.2">
      <c r="A61" s="15" t="s">
        <v>65</v>
      </c>
      <c r="B61" s="27">
        <v>5</v>
      </c>
      <c r="C61" s="28">
        <v>5</v>
      </c>
      <c r="D61" s="28"/>
      <c r="E61" s="28"/>
      <c r="F61" s="28"/>
      <c r="G61" s="29"/>
      <c r="H61" s="28">
        <f t="shared" ref="H61:H64" si="8">H60-F61-D61+B61</f>
        <v>12.379999999999999</v>
      </c>
      <c r="I61" s="28">
        <f t="shared" ref="I61:I64" si="9">I60-E61+C61</f>
        <v>26.379999999999995</v>
      </c>
      <c r="J61" s="21">
        <f t="shared" ref="J61:J64" si="10">H61+I61</f>
        <v>38.759999999999991</v>
      </c>
    </row>
    <row r="62" spans="1:10" s="5" customFormat="1" ht="15.95" customHeight="1" x14ac:dyDescent="0.2">
      <c r="A62" s="15" t="s">
        <v>66</v>
      </c>
      <c r="B62" s="27"/>
      <c r="C62" s="28"/>
      <c r="D62" s="28"/>
      <c r="E62" s="28"/>
      <c r="F62" s="28">
        <v>5</v>
      </c>
      <c r="G62" s="29"/>
      <c r="H62" s="28">
        <f t="shared" si="8"/>
        <v>7.379999999999999</v>
      </c>
      <c r="I62" s="28">
        <f t="shared" si="9"/>
        <v>26.379999999999995</v>
      </c>
      <c r="J62" s="21">
        <f t="shared" si="10"/>
        <v>33.759999999999991</v>
      </c>
    </row>
    <row r="63" spans="1:10" s="5" customFormat="1" ht="15.95" customHeight="1" x14ac:dyDescent="0.2">
      <c r="A63" s="15" t="s">
        <v>67</v>
      </c>
      <c r="B63" s="27">
        <v>7.5</v>
      </c>
      <c r="C63" s="28">
        <v>7.5</v>
      </c>
      <c r="D63" s="28"/>
      <c r="E63" s="28"/>
      <c r="F63" s="28"/>
      <c r="G63" s="29"/>
      <c r="H63" s="28">
        <f t="shared" si="8"/>
        <v>14.879999999999999</v>
      </c>
      <c r="I63" s="28">
        <f t="shared" si="9"/>
        <v>33.879999999999995</v>
      </c>
      <c r="J63" s="21">
        <f t="shared" si="10"/>
        <v>48.759999999999991</v>
      </c>
    </row>
    <row r="64" spans="1:10" s="5" customFormat="1" ht="15.95" customHeight="1" x14ac:dyDescent="0.2">
      <c r="A64" s="15" t="s">
        <v>68</v>
      </c>
      <c r="B64" s="27"/>
      <c r="C64" s="28"/>
      <c r="D64" s="28">
        <v>1</v>
      </c>
      <c r="E64" s="28">
        <v>24</v>
      </c>
      <c r="F64" s="28"/>
      <c r="G64" s="29"/>
      <c r="H64" s="28">
        <f t="shared" si="8"/>
        <v>13.879999999999999</v>
      </c>
      <c r="I64" s="28">
        <f t="shared" si="9"/>
        <v>9.8799999999999955</v>
      </c>
      <c r="J64" s="21">
        <f t="shared" si="10"/>
        <v>23.759999999999994</v>
      </c>
    </row>
    <row r="65" spans="1:10" s="5" customFormat="1" ht="15.95" customHeight="1" x14ac:dyDescent="0.2">
      <c r="A65" s="23" t="s">
        <v>71</v>
      </c>
      <c r="B65" s="27">
        <v>7.5</v>
      </c>
      <c r="C65" s="28">
        <v>7.5</v>
      </c>
      <c r="D65" s="28"/>
      <c r="E65" s="28"/>
      <c r="F65" s="28"/>
      <c r="G65" s="29"/>
      <c r="H65" s="28">
        <f t="shared" ref="H65:H66" si="11">H64-F65-D65+B65</f>
        <v>21.38</v>
      </c>
      <c r="I65" s="28">
        <f t="shared" ref="I65:I66" si="12">I64-E65+C65</f>
        <v>17.379999999999995</v>
      </c>
      <c r="J65" s="21">
        <f t="shared" ref="J65:J66" si="13">H65+I65</f>
        <v>38.759999999999991</v>
      </c>
    </row>
    <row r="66" spans="1:10" s="5" customFormat="1" ht="15.95" customHeight="1" x14ac:dyDescent="0.2">
      <c r="A66" s="23" t="s">
        <v>69</v>
      </c>
      <c r="B66" s="27"/>
      <c r="C66" s="28"/>
      <c r="D66" s="28">
        <v>7</v>
      </c>
      <c r="E66" s="28">
        <v>8</v>
      </c>
      <c r="F66" s="28"/>
      <c r="G66" s="29"/>
      <c r="H66" s="28">
        <f t="shared" si="11"/>
        <v>14.379999999999999</v>
      </c>
      <c r="I66" s="28">
        <f t="shared" si="12"/>
        <v>9.3799999999999955</v>
      </c>
      <c r="J66" s="21">
        <f t="shared" si="13"/>
        <v>23.759999999999994</v>
      </c>
    </row>
    <row r="67" spans="1:10" s="5" customFormat="1" ht="15.95" customHeight="1" x14ac:dyDescent="0.2">
      <c r="A67" s="15" t="s">
        <v>70</v>
      </c>
      <c r="B67" s="27"/>
      <c r="C67" s="28"/>
      <c r="D67" s="28"/>
      <c r="E67" s="28"/>
      <c r="F67" s="28">
        <v>5</v>
      </c>
      <c r="G67" s="29"/>
      <c r="H67" s="28">
        <f t="shared" ref="H67:H68" si="14">H66-F67-D67+B67</f>
        <v>9.379999999999999</v>
      </c>
      <c r="I67" s="28">
        <f t="shared" ref="I67:I68" si="15">I66-E67+C67</f>
        <v>9.3799999999999955</v>
      </c>
      <c r="J67" s="21">
        <f t="shared" ref="J67:J68" si="16">H67+I67</f>
        <v>18.759999999999994</v>
      </c>
    </row>
    <row r="68" spans="1:10" s="5" customFormat="1" ht="15.95" customHeight="1" x14ac:dyDescent="0.2">
      <c r="A68" s="23" t="s">
        <v>73</v>
      </c>
      <c r="B68" s="27">
        <v>8.75</v>
      </c>
      <c r="C68" s="28">
        <v>8.75</v>
      </c>
      <c r="D68" s="28"/>
      <c r="E68" s="28"/>
      <c r="F68" s="28"/>
      <c r="G68" s="29"/>
      <c r="H68" s="28">
        <f t="shared" si="14"/>
        <v>18.13</v>
      </c>
      <c r="I68" s="28">
        <f t="shared" si="15"/>
        <v>18.129999999999995</v>
      </c>
      <c r="J68" s="21">
        <f t="shared" si="16"/>
        <v>36.259999999999991</v>
      </c>
    </row>
    <row r="69" spans="1:10" s="5" customFormat="1" ht="15.95" customHeight="1" x14ac:dyDescent="0.2">
      <c r="A69" s="35" t="s">
        <v>74</v>
      </c>
      <c r="B69" s="35"/>
      <c r="C69" s="36"/>
      <c r="D69" s="36">
        <v>10</v>
      </c>
      <c r="E69" s="36"/>
      <c r="F69" s="36"/>
      <c r="G69" s="37"/>
      <c r="H69" s="36">
        <f t="shared" ref="H69" si="17">H68-F69-D69+B69</f>
        <v>8.129999999999999</v>
      </c>
      <c r="I69" s="36">
        <f t="shared" ref="I69" si="18">I68-E69+C69</f>
        <v>18.129999999999995</v>
      </c>
      <c r="J69" s="38">
        <f t="shared" ref="J69" si="19">H69+I69</f>
        <v>26.259999999999994</v>
      </c>
    </row>
    <row r="70" spans="1:10" s="5" customFormat="1" ht="15.95" customHeight="1" x14ac:dyDescent="0.2">
      <c r="A70" s="30"/>
      <c r="B70" s="31"/>
      <c r="C70" s="32"/>
      <c r="D70" s="32"/>
      <c r="E70" s="32"/>
      <c r="F70" s="32"/>
      <c r="G70" s="33"/>
      <c r="H70" s="32"/>
      <c r="I70" s="32"/>
      <c r="J70" s="34"/>
    </row>
    <row r="71" spans="1:10" s="5" customFormat="1" ht="15.95" customHeight="1" x14ac:dyDescent="0.2">
      <c r="A71" s="30"/>
      <c r="B71" s="31"/>
      <c r="C71" s="32"/>
      <c r="D71" s="32"/>
      <c r="E71" s="32"/>
      <c r="F71" s="32"/>
      <c r="G71" s="33"/>
      <c r="H71" s="32"/>
      <c r="I71" s="32"/>
      <c r="J71" s="34"/>
    </row>
    <row r="72" spans="1:10" s="5" customFormat="1" ht="15.95" customHeight="1" x14ac:dyDescent="0.2">
      <c r="A72" s="30"/>
      <c r="B72" s="31"/>
      <c r="C72" s="32"/>
      <c r="D72" s="32"/>
      <c r="E72" s="32"/>
      <c r="F72" s="32"/>
      <c r="G72" s="33"/>
      <c r="H72" s="32"/>
      <c r="I72" s="32"/>
      <c r="J72" s="34"/>
    </row>
    <row r="73" spans="1:10" s="92" customFormat="1" ht="15.95" customHeight="1" x14ac:dyDescent="0.25"/>
    <row r="74" spans="1:10" s="92" customFormat="1" ht="15.95" customHeight="1" x14ac:dyDescent="0.25"/>
    <row r="75" spans="1:10" s="92" customFormat="1" ht="15.95" customHeight="1" x14ac:dyDescent="0.25"/>
    <row r="76" spans="1:10" s="92" customFormat="1" ht="15.95" customHeight="1" x14ac:dyDescent="0.25"/>
    <row r="77" spans="1:10" s="1" customForma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s="1" customForma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</row>
  </sheetData>
  <mergeCells count="12">
    <mergeCell ref="A11:J11"/>
    <mergeCell ref="A73:XFD76"/>
    <mergeCell ref="A12:A13"/>
    <mergeCell ref="B12:C12"/>
    <mergeCell ref="D12:G12"/>
    <mergeCell ref="H12:I12"/>
    <mergeCell ref="J12:J13"/>
    <mergeCell ref="A2:I2"/>
    <mergeCell ref="A3:I3"/>
    <mergeCell ref="A4:I4"/>
    <mergeCell ref="A5:I5"/>
    <mergeCell ref="A10:J10"/>
  </mergeCells>
  <printOptions horizontalCentered="1"/>
  <pageMargins left="0.23622047244094491" right="0.23622047244094491" top="7.874015748031496E-2" bottom="7.874015748031496E-2" header="0.31496062992125984" footer="0.31496062992125984"/>
  <pageSetup paperSize="9" scale="7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CORRECTED</vt:lpstr>
      <vt:lpstr>Leave Card</vt:lpstr>
      <vt:lpstr>CORRECTED!Print_Area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2025-09-17T06:47:10Z</cp:lastPrinted>
  <dcterms:created xsi:type="dcterms:W3CDTF">2021-10-07T06:10:16Z</dcterms:created>
  <dcterms:modified xsi:type="dcterms:W3CDTF">2025-09-17T06:48:25Z</dcterms:modified>
</cp:coreProperties>
</file>