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Leave Card (NE)" sheetId="6" r:id="rId1"/>
    <sheet name="Leave Card (Addt'l)" sheetId="7" r:id="rId2"/>
    <sheet name="ELECTION" sheetId="8" r:id="rId3"/>
  </sheets>
  <definedNames>
    <definedName name="_xlnm.Print_Area" localSheetId="1">'Leave Card (Addt''l)'!$A$1:$K$28</definedName>
    <definedName name="_xlnm.Print_Area" localSheetId="0">'Leave Card (NE)'!$A$1:$J$70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<sst xmlns="http://schemas.openxmlformats.org/spreadsheetml/2006/main" count="141" uniqueCount="100">
  <si>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</si>
  <si>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</si>
  <si>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</si>
  <si>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</si>
  <si>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</si>
  <si>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</si>
  <si>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</si>
  <si>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</si>
  <si>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</si>
  <si>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</si>
  <si>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</si>
  <si>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PERIOD COVERED</t>
  </si>
  <si>
    <t>LEAVE EARNED</t>
  </si>
  <si>
    <t>LEAVE SPENT</t>
  </si>
  <si>
    <t>BALANCE</t>
  </si>
  <si>
    <t>TOTAL</t>
  </si>
  <si>
    <t>DATE FILED/RECEIVED</t>
  </si>
  <si>
    <t>VACATION</t>
  </si>
  <si>
    <t>SICK</t>
  </si>
  <si>
    <t>FORCED</t>
  </si>
  <si>
    <t>SPECIAL</t>
  </si>
  <si>
    <t>ADD: 07/16/2019 - 07/31/2019</t>
  </si>
  <si>
    <t>ADD: 08/01/2019 - 12/31/2019</t>
  </si>
  <si>
    <t>LESS: 12/26 &amp; 27/2019</t>
  </si>
  <si>
    <t>ADD: 01/01/2020 - 12/31/2020</t>
  </si>
  <si>
    <t>LESS: 02/07/2020</t>
  </si>
  <si>
    <t>LESS: 02/18/2020</t>
  </si>
  <si>
    <t>LESS: FL 2020</t>
  </si>
  <si>
    <t>ADD: 01/01/2021 - 12/31/2021</t>
  </si>
  <si>
    <t>LESS: 05/25 - 06/03/2021</t>
  </si>
  <si>
    <t>LESS: MONETIZATION 2021</t>
  </si>
  <si>
    <t>LESS: 12/23, 27, 29 &amp; 31/2021</t>
  </si>
  <si>
    <t>ADD: 01/01/22 - 01/31/22</t>
  </si>
  <si>
    <t>LESS: 02/15/2022</t>
  </si>
  <si>
    <t>ADD: 02/01/22 - 02/28/22</t>
  </si>
  <si>
    <t>ADD: 03/01/22 - 04/30/22</t>
  </si>
  <si>
    <t>LESS: 03/17 &amp; 18/ 22</t>
  </si>
  <si>
    <t>LESS: 05/02/2022</t>
  </si>
  <si>
    <t>ADD: 05/01/22 - 05/31/22</t>
  </si>
  <si>
    <t>05/30/2022</t>
  </si>
  <si>
    <t>ADD: 06/01/22 - 07/31/22</t>
  </si>
  <si>
    <t>ADD: 08/01/22 - 08/31/22</t>
  </si>
  <si>
    <t>LESS: MONETIZATION 2022</t>
  </si>
  <si>
    <t>ADD: 09/01/22 - 10/31/22</t>
  </si>
  <si>
    <t>LESS: 11/22 &amp; 23/2022</t>
  </si>
  <si>
    <t>ADD: 11/01/22 - 12/31/22</t>
  </si>
  <si>
    <t>ADD: 01/01/23 - 04/30/23</t>
  </si>
  <si>
    <t>LESS: 05/19/23</t>
  </si>
  <si>
    <t>ADD: 05/01/23-06/30/2023</t>
  </si>
  <si>
    <t>LESS: 05/30/23</t>
  </si>
  <si>
    <t>ADD: 07/01/23-08/31/2023</t>
  </si>
  <si>
    <t>LESS: MONETIZATION 2023</t>
  </si>
  <si>
    <t>LESS: 09/05/2023</t>
  </si>
  <si>
    <t>ADD: 09/01/2023-10/31/2023</t>
  </si>
  <si>
    <t>LESS: 11/03/2023</t>
  </si>
  <si>
    <t>ADD: 11/01-12/31/2023</t>
  </si>
  <si>
    <t>LESS: FL 2023</t>
  </si>
  <si>
    <t>ADD:01/1/2024-07/31/2024</t>
  </si>
  <si>
    <t>ADD: CONVERTED UNUSED LEAVE CREDITS EARNED FROM ELECTION        (35 DAYS)</t>
  </si>
  <si>
    <t>LESS: MONETIZATION 2024</t>
  </si>
  <si>
    <t>ADD: 08/1/2024-11/30/2024</t>
  </si>
  <si>
    <t>LESS: 12/16-18/2024</t>
  </si>
  <si>
    <t>LESS: 12/19, 23, 24, 26, 27/2024</t>
  </si>
  <si>
    <t>ADD: 12/1-31/2024</t>
  </si>
  <si>
    <t>ADD: 1/1-31/2025</t>
  </si>
  <si>
    <t>LESS: 02/25-26/2025</t>
  </si>
  <si>
    <t>ADD: 02/1/2025-11/30/2025</t>
  </si>
  <si>
    <t>LESS: 12/15 &amp; 26/2025</t>
  </si>
  <si>
    <t>DATE FILED: DEC. 15, 26, 29</t>
  </si>
  <si>
    <t>LESS: 12/16, 22, 23/2025</t>
  </si>
  <si>
    <t>Certified Correct:</t>
  </si>
  <si>
    <t>MA. LUISA B. CATIGAN</t>
  </si>
  <si>
    <t>Administrative Officer IV</t>
  </si>
  <si>
    <t xml:space="preserve">                HRMO</t>
  </si>
  <si>
    <r>
      <rPr>
        <b/>
        <sz val="12"/>
        <color theme="1"/>
        <rFont val="Calibri"/>
        <charset val="134"/>
        <scheme val="minor"/>
      </rPr>
      <t>Republic of the Philippines</t>
    </r>
    <r>
      <rPr>
        <b/>
        <sz val="11"/>
        <color theme="1"/>
        <rFont val="Calibri"/>
        <charset val="134"/>
        <scheme val="minor"/>
      </rPr>
      <t xml:space="preserve">
Department of Education
REGION VI-WESTERN VISAYAS
SCHOOLS DIVISION OF SIPALAY CITY</t>
    </r>
  </si>
  <si>
    <r>
      <rPr>
        <b/>
        <sz val="11"/>
        <color theme="1"/>
        <rFont val="Calibri"/>
        <charset val="134"/>
        <scheme val="minor"/>
      </rPr>
      <t xml:space="preserve">NAME: </t>
    </r>
    <r>
      <rPr>
        <b/>
        <u/>
        <sz val="11"/>
        <color theme="1"/>
        <rFont val="Calibri"/>
        <charset val="134"/>
        <scheme val="minor"/>
      </rPr>
      <t>LIRAZAN, FERNANDO</t>
    </r>
  </si>
  <si>
    <t>EMPLOYEE NO: _______________________________</t>
  </si>
  <si>
    <r>
      <rPr>
        <b/>
        <sz val="11"/>
        <color theme="1"/>
        <rFont val="Calibri"/>
        <charset val="134"/>
        <scheme val="minor"/>
      </rPr>
      <t xml:space="preserve">POSITION: </t>
    </r>
    <r>
      <rPr>
        <b/>
        <u/>
        <sz val="11"/>
        <color theme="1"/>
        <rFont val="Calibri"/>
        <charset val="134"/>
        <scheme val="minor"/>
      </rPr>
      <t>EPS II ALS</t>
    </r>
  </si>
  <si>
    <t>STATION: ____________________________________</t>
  </si>
  <si>
    <t xml:space="preserve">     </t>
  </si>
  <si>
    <t xml:space="preserve">   </t>
  </si>
  <si>
    <t xml:space="preserve">            DISTRICT: ___________________________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</si>
  <si>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</si>
  <si>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</si>
  <si>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</si>
  <si>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</si>
  <si>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No. of Days Granted</t>
  </si>
  <si>
    <t>No. of Days Used</t>
  </si>
  <si>
    <t>Balance</t>
  </si>
  <si>
    <t>COMELEC CERTIFICATION</t>
  </si>
  <si>
    <t>OCTOBER 29, 2007</t>
  </si>
  <si>
    <t>BRGY. &amp; SK ELECTION</t>
  </si>
  <si>
    <t>MAY 10, 2010</t>
  </si>
  <si>
    <t>NATIONAL &amp; LOCAL ELECTION</t>
  </si>
  <si>
    <t>MAY 09, 2016</t>
  </si>
  <si>
    <t>MAY 14, 2018</t>
  </si>
  <si>
    <t>MAY 13, 2019</t>
  </si>
  <si>
    <t>MAY 09, 2022</t>
  </si>
  <si>
    <t xml:space="preserve">OCTOBER 30, 2023 </t>
  </si>
  <si>
    <r>
      <rPr>
        <b/>
        <sz val="12"/>
        <color rgb="FFFF0000"/>
        <rFont val="Calibri"/>
        <charset val="134"/>
        <scheme val="minor"/>
      </rPr>
      <t>(CONVERTED FOR MONETIZATION 2024/CANNOT BE USED ANYMORE)</t>
    </r>
    <r>
      <rPr>
        <b/>
        <sz val="12"/>
        <color theme="1"/>
        <rFont val="Calibri"/>
        <charset val="134"/>
        <scheme val="minor"/>
      </rPr>
      <t xml:space="preserve"> TOTAL UNUSED  SERVICE LEAVE CREDITS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</si>
</sst>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"/>
    <numFmt numFmtId="177" formatCode="0.00000"/>
  </numFmts>
  <fonts count="38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0"/>
      <name val="Calibri"/>
      <charset val="134"/>
      <scheme val="minor"/>
    </font>
    <font>
      <sz val="1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8"/>
      <color theme="1"/>
      <name val="Calibri"/>
      <charset val="134"/>
      <scheme val="minor"/>
    </font>
    <font>
      <b/>
      <sz val="10.5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2"/>
      <color rgb="FFFF0000"/>
      <name val="Calibri"/>
      <charset val="134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12" borderId="51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52" applyNumberFormat="0" applyFill="0" applyAlignment="0" applyProtection="0">
      <alignment vertical="center"/>
    </xf>
    <xf numFmtId="0" fontId="24" fillId="0" borderId="52" applyNumberFormat="0" applyFill="0" applyAlignment="0" applyProtection="0">
      <alignment vertical="center"/>
    </xf>
    <xf numFmtId="0" fontId="25" fillId="0" borderId="53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3" borderId="54" applyNumberFormat="0" applyAlignment="0" applyProtection="0">
      <alignment vertical="center"/>
    </xf>
    <xf numFmtId="0" fontId="27" fillId="14" borderId="55" applyNumberFormat="0" applyAlignment="0" applyProtection="0">
      <alignment vertical="center"/>
    </xf>
    <xf numFmtId="0" fontId="28" fillId="14" borderId="54" applyNumberFormat="0" applyAlignment="0" applyProtection="0">
      <alignment vertical="center"/>
    </xf>
    <xf numFmtId="0" fontId="29" fillId="15" borderId="56" applyNumberFormat="0" applyAlignment="0" applyProtection="0">
      <alignment vertical="center"/>
    </xf>
    <xf numFmtId="0" fontId="30" fillId="0" borderId="57" applyNumberFormat="0" applyFill="0" applyAlignment="0" applyProtection="0">
      <alignment vertical="center"/>
    </xf>
    <xf numFmtId="0" fontId="31" fillId="0" borderId="58" applyNumberFormat="0" applyFill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</cellStyleXfs>
  <cellXfs count="124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4" fillId="2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right" vertical="center" wrapText="1"/>
    </xf>
    <xf numFmtId="0" fontId="9" fillId="2" borderId="25" xfId="0" applyFont="1" applyFill="1" applyBorder="1" applyAlignment="1">
      <alignment horizontal="right" vertical="center" wrapText="1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2" borderId="26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vertical="center"/>
    </xf>
    <xf numFmtId="0" fontId="5" fillId="3" borderId="27" xfId="0" applyFont="1" applyFill="1" applyBorder="1" applyAlignment="1">
      <alignment horizontal="center" vertical="center"/>
    </xf>
    <xf numFmtId="0" fontId="5" fillId="3" borderId="28" xfId="0" applyFont="1" applyFill="1" applyBorder="1" applyAlignment="1">
      <alignment horizontal="center" vertical="center"/>
    </xf>
    <xf numFmtId="0" fontId="5" fillId="3" borderId="29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9" fillId="2" borderId="22" xfId="0" applyFont="1" applyFill="1" applyBorder="1" applyAlignment="1">
      <alignment horizontal="right" vertical="center" wrapText="1"/>
    </xf>
    <xf numFmtId="0" fontId="4" fillId="5" borderId="2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2" borderId="30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0" fillId="2" borderId="36" xfId="0" applyFill="1" applyBorder="1"/>
    <xf numFmtId="0" fontId="3" fillId="2" borderId="15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176" fontId="10" fillId="2" borderId="20" xfId="0" applyNumberFormat="1" applyFont="1" applyFill="1" applyBorder="1" applyAlignment="1">
      <alignment horizontal="center" vertical="center"/>
    </xf>
    <xf numFmtId="0" fontId="10" fillId="2" borderId="20" xfId="0" applyFont="1" applyFill="1" applyBorder="1" applyAlignment="1">
      <alignment horizontal="center" vertical="center"/>
    </xf>
    <xf numFmtId="0" fontId="11" fillId="2" borderId="37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5" fillId="2" borderId="37" xfId="0" applyFont="1" applyFill="1" applyBorder="1" applyAlignment="1">
      <alignment vertical="center"/>
    </xf>
    <xf numFmtId="0" fontId="5" fillId="2" borderId="20" xfId="0" applyFont="1" applyFill="1" applyBorder="1" applyAlignment="1">
      <alignment vertical="center"/>
    </xf>
    <xf numFmtId="0" fontId="5" fillId="2" borderId="37" xfId="0" applyFont="1" applyFill="1" applyBorder="1" applyAlignment="1">
      <alignment horizontal="center" vertical="center"/>
    </xf>
    <xf numFmtId="0" fontId="12" fillId="2" borderId="38" xfId="0" applyFont="1" applyFill="1" applyBorder="1" applyAlignment="1">
      <alignment vertical="center" wrapText="1"/>
    </xf>
    <xf numFmtId="0" fontId="12" fillId="2" borderId="39" xfId="0" applyFont="1" applyFill="1" applyBorder="1" applyAlignment="1">
      <alignment vertical="center" wrapText="1"/>
    </xf>
    <xf numFmtId="0" fontId="3" fillId="2" borderId="40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/>
    </xf>
    <xf numFmtId="176" fontId="10" fillId="2" borderId="42" xfId="0" applyNumberFormat="1" applyFont="1" applyFill="1" applyBorder="1" applyAlignment="1">
      <alignment horizontal="center" vertical="center"/>
    </xf>
    <xf numFmtId="0" fontId="10" fillId="2" borderId="42" xfId="0" applyFont="1" applyFill="1" applyBorder="1" applyAlignment="1">
      <alignment horizontal="center" vertical="center"/>
    </xf>
    <xf numFmtId="0" fontId="12" fillId="2" borderId="43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3" fillId="0" borderId="0" xfId="0" applyFont="1"/>
    <xf numFmtId="0" fontId="3" fillId="6" borderId="2" xfId="0" applyFont="1" applyFill="1" applyBorder="1" applyAlignment="1">
      <alignment horizontal="center" vertical="center"/>
    </xf>
    <xf numFmtId="0" fontId="3" fillId="7" borderId="44" xfId="0" applyFont="1" applyFill="1" applyBorder="1" applyAlignment="1">
      <alignment horizontal="center" vertical="center"/>
    </xf>
    <xf numFmtId="0" fontId="3" fillId="8" borderId="16" xfId="0" applyFont="1" applyFill="1" applyBorder="1" applyAlignment="1">
      <alignment horizontal="center" vertical="center"/>
    </xf>
    <xf numFmtId="0" fontId="3" fillId="8" borderId="45" xfId="0" applyFont="1" applyFill="1" applyBorder="1" applyAlignment="1">
      <alignment horizontal="center" vertical="center"/>
    </xf>
    <xf numFmtId="0" fontId="3" fillId="8" borderId="19" xfId="0" applyFont="1" applyFill="1" applyBorder="1" applyAlignment="1">
      <alignment horizontal="center" vertical="center"/>
    </xf>
    <xf numFmtId="0" fontId="3" fillId="9" borderId="44" xfId="0" applyFont="1" applyFill="1" applyBorder="1" applyAlignment="1">
      <alignment horizontal="center" vertical="center"/>
    </xf>
    <xf numFmtId="0" fontId="3" fillId="6" borderId="46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176" fontId="0" fillId="2" borderId="20" xfId="0" applyNumberFormat="1" applyFill="1" applyBorder="1" applyAlignment="1">
      <alignment horizontal="center" vertical="center"/>
    </xf>
    <xf numFmtId="58" fontId="0" fillId="0" borderId="47" xfId="0" applyNumberForma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176" fontId="0" fillId="2" borderId="49" xfId="0" applyNumberFormat="1" applyFill="1" applyBorder="1" applyAlignment="1">
      <alignment horizontal="center" vertical="center" wrapText="1"/>
    </xf>
    <xf numFmtId="0" fontId="0" fillId="0" borderId="20" xfId="0" applyBorder="1" applyAlignment="1">
      <alignment horizontal="center"/>
    </xf>
    <xf numFmtId="176" fontId="0" fillId="0" borderId="20" xfId="0" applyNumberFormat="1" applyBorder="1" applyAlignment="1">
      <alignment horizontal="center"/>
    </xf>
    <xf numFmtId="176" fontId="0" fillId="0" borderId="20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0" xfId="0" applyBorder="1" applyAlignment="1">
      <alignment horizontal="center" vertical="center" wrapText="1"/>
    </xf>
    <xf numFmtId="177" fontId="0" fillId="0" borderId="20" xfId="0" applyNumberFormat="1" applyBorder="1" applyAlignment="1">
      <alignment horizontal="center" vertical="center"/>
    </xf>
    <xf numFmtId="176" fontId="0" fillId="10" borderId="20" xfId="0" applyNumberForma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76" fontId="0" fillId="0" borderId="20" xfId="0" applyNumberFormat="1" applyBorder="1" applyAlignment="1">
      <alignment horizontal="center" vertical="center"/>
    </xf>
    <xf numFmtId="177" fontId="0" fillId="0" borderId="20" xfId="0" applyNumberFormat="1" applyBorder="1" applyAlignment="1">
      <alignment horizontal="center" vertical="center"/>
    </xf>
    <xf numFmtId="176" fontId="0" fillId="11" borderId="20" xfId="0" applyNumberForma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3" fillId="6" borderId="41" xfId="0" applyFont="1" applyFill="1" applyBorder="1" applyAlignment="1">
      <alignment horizontal="center" vertical="center"/>
    </xf>
    <xf numFmtId="176" fontId="0" fillId="2" borderId="42" xfId="0" applyNumberFormat="1" applyFill="1" applyBorder="1" applyAlignment="1">
      <alignment horizontal="center" vertical="center"/>
    </xf>
    <xf numFmtId="176" fontId="0" fillId="2" borderId="50" xfId="0" applyNumberForma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0" fontId="16" fillId="2" borderId="0" xfId="0" applyFont="1" applyFill="1"/>
    <xf numFmtId="176" fontId="0" fillId="0" borderId="0" xfId="0" applyNumberForma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358776</xdr:colOff>
      <xdr:row>0</xdr:row>
      <xdr:rowOff>95250</xdr:rowOff>
    </xdr:from>
    <xdr:to>
      <xdr:col>4</xdr:col>
      <xdr:colOff>409705</xdr:colOff>
      <xdr:row>0</xdr:row>
      <xdr:rowOff>625475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326890" y="95250"/>
          <a:ext cx="844550" cy="53022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>
      <xdr:nvSpPr>
        <xdr:cNvPr id="4" name="TextBox 3"/>
        <xdr:cNvSpPr txBox="1"/>
      </xdr:nvSpPr>
      <xdr:spPr>
        <a:xfrm>
          <a:off x="573405" y="1376045"/>
          <a:ext cx="1807210" cy="2520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LIRAZAN, FERNANDO</a:t>
          </a:r>
          <a:endParaRPr lang="en-US" sz="1100"/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>
      <xdr:nvSpPr>
        <xdr:cNvPr id="5" name="TextBox 4"/>
        <xdr:cNvSpPr txBox="1"/>
      </xdr:nvSpPr>
      <xdr:spPr>
        <a:xfrm>
          <a:off x="616585" y="1725930"/>
          <a:ext cx="1764030" cy="2495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EPS - II (ALS)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>
      <xdr:nvSpPr>
        <xdr:cNvPr id="6" name="TextBox 5"/>
        <xdr:cNvSpPr txBox="1"/>
      </xdr:nvSpPr>
      <xdr:spPr>
        <a:xfrm>
          <a:off x="3589020" y="1707515"/>
          <a:ext cx="1776730" cy="2501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CID</a:t>
          </a:r>
          <a:r>
            <a:rPr lang="en-US" sz="1100" baseline="0"/>
            <a:t> - </a:t>
          </a:r>
          <a:r>
            <a:rPr lang="en-US" sz="1100"/>
            <a:t>SDO SIPALAY CITY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282576</xdr:colOff>
      <xdr:row>0</xdr:row>
      <xdr:rowOff>76200</xdr:rowOff>
    </xdr:from>
    <xdr:to>
      <xdr:col>5</xdr:col>
      <xdr:colOff>409705</xdr:colOff>
      <xdr:row>1</xdr:row>
      <xdr:rowOff>180975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80535" y="76200"/>
          <a:ext cx="852170" cy="533400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95250</xdr:colOff>
      <xdr:row>23</xdr:row>
      <xdr:rowOff>285750</xdr:rowOff>
    </xdr:from>
    <xdr:to>
      <xdr:col>12</xdr:col>
      <xdr:colOff>381000</xdr:colOff>
      <xdr:row>26</xdr:row>
      <xdr:rowOff>123825</xdr:rowOff>
    </xdr:to>
    <xdr:sp>
      <xdr:nvSpPr>
        <xdr:cNvPr id="2" name="TextBox 1"/>
        <xdr:cNvSpPr txBox="1"/>
      </xdr:nvSpPr>
      <xdr:spPr>
        <a:xfrm>
          <a:off x="6913245" y="7541895"/>
          <a:ext cx="3155315" cy="11658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600" baseline="0"/>
        </a:p>
        <a:p>
          <a:r>
            <a:rPr lang="en-US" sz="1100" b="1" baseline="0"/>
            <a:t>	</a:t>
          </a:r>
          <a:r>
            <a:rPr lang="en-US" sz="1200" b="1" u="sng" baseline="0">
              <a:latin typeface="+mn-lt"/>
            </a:rPr>
            <a:t>MA. LUISA B. CATIGAN</a:t>
          </a:r>
          <a:endParaRPr lang="en-US" sz="1100" b="1" u="sng" baseline="0">
            <a:latin typeface="+mn-lt"/>
          </a:endParaRPr>
        </a:p>
        <a:p>
          <a:r>
            <a:rPr lang="en-US" sz="1100" baseline="0"/>
            <a:t>	 Administrative Officer IV</a:t>
          </a:r>
          <a:endParaRPr lang="en-US" sz="1100" baseline="0"/>
        </a:p>
        <a:p>
          <a:r>
            <a:rPr lang="en-US" sz="1100" baseline="0"/>
            <a:t>	                  HRMO</a:t>
          </a:r>
          <a:endParaRPr lang="en-US" sz="1100"/>
        </a:p>
      </xdr:txBody>
    </xdr:sp>
    <xdr:clientData/>
  </xdr:twoCellAnchor>
  <xdr:twoCellAnchor editAs="oneCell">
    <xdr:from>
      <xdr:col>2</xdr:col>
      <xdr:colOff>1057275</xdr:colOff>
      <xdr:row>0</xdr:row>
      <xdr:rowOff>38407</xdr:rowOff>
    </xdr:from>
    <xdr:to>
      <xdr:col>3</xdr:col>
      <xdr:colOff>464731</xdr:colOff>
      <xdr:row>0</xdr:row>
      <xdr:rowOff>659683</xdr:rowOff>
    </xdr:to>
    <xdr:pic>
      <xdr:nvPicPr>
        <xdr:cNvPr id="3" name="Picture 2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378325" y="38100"/>
          <a:ext cx="699770" cy="62103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554892</xdr:colOff>
      <xdr:row>5</xdr:row>
      <xdr:rowOff>18561</xdr:rowOff>
    </xdr:from>
    <xdr:to>
      <xdr:col>1</xdr:col>
      <xdr:colOff>190500</xdr:colOff>
      <xdr:row>7</xdr:row>
      <xdr:rowOff>11235</xdr:rowOff>
    </xdr:to>
    <xdr:sp>
      <xdr:nvSpPr>
        <xdr:cNvPr id="4" name="TextBox 3"/>
        <xdr:cNvSpPr txBox="1"/>
      </xdr:nvSpPr>
      <xdr:spPr>
        <a:xfrm>
          <a:off x="554355" y="1426210"/>
          <a:ext cx="1614805" cy="2495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LIRAZAN, FERNANDO P.  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654783</xdr:colOff>
      <xdr:row>7</xdr:row>
      <xdr:rowOff>89632</xdr:rowOff>
    </xdr:from>
    <xdr:to>
      <xdr:col>1</xdr:col>
      <xdr:colOff>34682</xdr:colOff>
      <xdr:row>11</xdr:row>
      <xdr:rowOff>28575</xdr:rowOff>
    </xdr:to>
    <xdr:sp>
      <xdr:nvSpPr>
        <xdr:cNvPr id="5" name="TextBox 4"/>
        <xdr:cNvSpPr txBox="1"/>
      </xdr:nvSpPr>
      <xdr:spPr>
        <a:xfrm>
          <a:off x="654685" y="1754505"/>
          <a:ext cx="1358265" cy="5772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EPS-II (ALS)</a:t>
          </a:r>
          <a:endParaRPr lang="en-US" sz="1100"/>
        </a:p>
      </xdr:txBody>
    </xdr:sp>
    <xdr:clientData/>
  </xdr:twoCellAnchor>
  <xdr:twoCellAnchor>
    <xdr:from>
      <xdr:col>1</xdr:col>
      <xdr:colOff>1058795</xdr:colOff>
      <xdr:row>7</xdr:row>
      <xdr:rowOff>93234</xdr:rowOff>
    </xdr:from>
    <xdr:to>
      <xdr:col>3</xdr:col>
      <xdr:colOff>411178</xdr:colOff>
      <xdr:row>11</xdr:row>
      <xdr:rowOff>20928</xdr:rowOff>
    </xdr:to>
    <xdr:sp>
      <xdr:nvSpPr>
        <xdr:cNvPr id="6" name="TextBox 5"/>
        <xdr:cNvSpPr txBox="1"/>
      </xdr:nvSpPr>
      <xdr:spPr>
        <a:xfrm>
          <a:off x="3037205" y="1757680"/>
          <a:ext cx="1987550" cy="565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CID-SDO SIPALAY CITY</a:t>
          </a:r>
          <a:endParaRPr lang="en-US" sz="1100"/>
        </a:p>
      </xdr:txBody>
    </xdr:sp>
    <xdr:clientData/>
  </xdr:twoCellAnchor>
  <xdr:twoCellAnchor>
    <xdr:from>
      <xdr:col>0</xdr:col>
      <xdr:colOff>171450</xdr:colOff>
      <xdr:row>23</xdr:row>
      <xdr:rowOff>276225</xdr:rowOff>
    </xdr:from>
    <xdr:to>
      <xdr:col>2</xdr:col>
      <xdr:colOff>28575</xdr:colOff>
      <xdr:row>26</xdr:row>
      <xdr:rowOff>114300</xdr:rowOff>
    </xdr:to>
    <xdr:sp>
      <xdr:nvSpPr>
        <xdr:cNvPr id="7" name="TextBox 6"/>
        <xdr:cNvSpPr txBox="1"/>
      </xdr:nvSpPr>
      <xdr:spPr>
        <a:xfrm>
          <a:off x="171450" y="7532370"/>
          <a:ext cx="3178175" cy="11658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Prepared by:</a:t>
          </a:r>
          <a:endParaRPr lang="en-US" sz="1100" baseline="0"/>
        </a:p>
        <a:p>
          <a:endParaRPr lang="en-US" sz="1600" baseline="0"/>
        </a:p>
        <a:p>
          <a:r>
            <a:rPr lang="en-US" sz="1100" b="1" baseline="0"/>
            <a:t>	 </a:t>
          </a:r>
          <a:r>
            <a:rPr lang="en-US" sz="1200" b="1" u="sng" baseline="0">
              <a:latin typeface="+mn-lt"/>
            </a:rPr>
            <a:t>JOCELYN M. PLOTEÑA</a:t>
          </a:r>
          <a:endParaRPr lang="en-US" sz="1100" b="1" u="sng" baseline="0">
            <a:latin typeface="+mn-lt"/>
          </a:endParaRPr>
        </a:p>
        <a:p>
          <a:r>
            <a:rPr lang="en-US" sz="1100" baseline="0"/>
            <a:t>	Administrative Assistant III</a:t>
          </a:r>
          <a:endParaRPr lang="en-US" sz="1100" baseline="0"/>
        </a:p>
        <a:p>
          <a:r>
            <a:rPr lang="en-US" sz="1100" baseline="0"/>
            <a:t>                                           HRMO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70"/>
  <sheetViews>
    <sheetView tabSelected="1" view="pageBreakPreview" zoomScaleNormal="100" topLeftCell="A51" workbookViewId="0">
      <selection activeCell="A62" sqref="$A62:$XFD62"/>
    </sheetView>
  </sheetViews>
  <sheetFormatPr defaultColWidth="9" defaultRowHeight="14.4"/>
  <cols>
    <col min="1" max="1" width="34.712962962963" customWidth="1"/>
    <col min="2" max="10" width="11.5740740740741" customWidth="1"/>
    <col min="11" max="11" width="26.4259259259259" style="87" customWidth="1"/>
  </cols>
  <sheetData>
    <row r="1" s="1" customFormat="1" ht="52.5" customHeight="1"/>
    <row r="2" s="1" customFormat="1" ht="10.5" customHeight="1" spans="1:10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</row>
    <row r="3" s="1" customFormat="1" ht="15.95" customHeight="1" spans="1:10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</row>
    <row r="4" s="1" customFormat="1" ht="15.95" customHeight="1" spans="1:10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</row>
    <row r="5" s="1" customFormat="1" ht="15.95" customHeight="1" spans="1:10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</row>
    <row r="6" s="1" customFormat="1" ht="8.25" customHeight="1"/>
    <row r="7" s="1" customFormat="1" ht="12" customHeight="1" spans="1:10">
      <c r="A7" s="1" t="s">
        <v>4</v>
      </c>
      <c r="B7" s="5" t="s">
        <v>5</v>
      </c>
      <c r="C7" s="5"/>
      <c r="D7" s="5"/>
      <c r="H7" s="6" t="s">
        <v>6</v>
      </c>
      <c r="I7" s="49"/>
      <c r="J7" s="6"/>
    </row>
    <row r="8" s="1" customFormat="1" ht="12" customHeight="1" spans="2:10">
      <c r="B8" s="7"/>
      <c r="C8" s="7"/>
      <c r="H8" s="7"/>
      <c r="I8" s="7"/>
      <c r="J8" s="7"/>
    </row>
    <row r="9" s="1" customFormat="1" ht="12" customHeight="1" spans="1:10">
      <c r="A9" s="1" t="s">
        <v>7</v>
      </c>
      <c r="B9" s="5" t="s">
        <v>8</v>
      </c>
      <c r="C9" s="5"/>
      <c r="D9" s="5"/>
      <c r="H9" s="6" t="s">
        <v>9</v>
      </c>
      <c r="I9" s="50"/>
      <c r="J9" s="6"/>
    </row>
    <row r="10" ht="16.5" customHeight="1" spans="1:11">
      <c r="A10" s="8" t="s">
        <v>10</v>
      </c>
      <c r="B10" s="8"/>
      <c r="C10" s="8"/>
      <c r="D10" s="8"/>
      <c r="E10" s="8"/>
      <c r="F10" s="8"/>
      <c r="G10" s="8"/>
      <c r="H10" s="8"/>
      <c r="I10" s="8"/>
      <c r="J10" s="8"/>
      <c r="K10"/>
    </row>
    <row r="11" ht="18.75" customHeight="1" spans="1:11">
      <c r="A11" s="88" t="s">
        <v>11</v>
      </c>
      <c r="B11" s="89" t="s">
        <v>12</v>
      </c>
      <c r="C11" s="89"/>
      <c r="D11" s="90" t="s">
        <v>13</v>
      </c>
      <c r="E11" s="91"/>
      <c r="F11" s="91"/>
      <c r="G11" s="92"/>
      <c r="H11" s="93" t="s">
        <v>14</v>
      </c>
      <c r="I11" s="93"/>
      <c r="J11" s="112" t="s">
        <v>15</v>
      </c>
      <c r="K11" s="113" t="s">
        <v>16</v>
      </c>
    </row>
    <row r="12" ht="18.75" customHeight="1" spans="1:11">
      <c r="A12" s="94"/>
      <c r="B12" s="95" t="s">
        <v>17</v>
      </c>
      <c r="C12" s="95" t="s">
        <v>18</v>
      </c>
      <c r="D12" s="95" t="s">
        <v>17</v>
      </c>
      <c r="E12" s="95" t="s">
        <v>18</v>
      </c>
      <c r="F12" s="95" t="s">
        <v>19</v>
      </c>
      <c r="G12" s="95" t="s">
        <v>20</v>
      </c>
      <c r="H12" s="95" t="s">
        <v>17</v>
      </c>
      <c r="I12" s="95" t="s">
        <v>18</v>
      </c>
      <c r="J12" s="114"/>
      <c r="K12" s="113"/>
    </row>
    <row r="13" ht="18.75" customHeight="1" spans="1:10">
      <c r="A13" s="96" t="s">
        <v>21</v>
      </c>
      <c r="B13" s="97">
        <v>0.667</v>
      </c>
      <c r="C13" s="97">
        <v>0.667</v>
      </c>
      <c r="D13" s="97"/>
      <c r="E13" s="97"/>
      <c r="F13" s="97"/>
      <c r="G13" s="97"/>
      <c r="H13" s="97">
        <f>B13</f>
        <v>0.667</v>
      </c>
      <c r="I13" s="97">
        <f>C13</f>
        <v>0.667</v>
      </c>
      <c r="J13" s="115">
        <f>SUM(H13:I13)</f>
        <v>1.334</v>
      </c>
    </row>
    <row r="14" ht="18.75" customHeight="1" spans="1:10">
      <c r="A14" s="96" t="s">
        <v>22</v>
      </c>
      <c r="B14" s="97">
        <v>6.25</v>
      </c>
      <c r="C14" s="97">
        <v>6.25</v>
      </c>
      <c r="D14" s="97"/>
      <c r="E14" s="97"/>
      <c r="F14" s="97"/>
      <c r="G14" s="97"/>
      <c r="H14" s="97">
        <f>H13-F14-D14+B14</f>
        <v>6.917</v>
      </c>
      <c r="I14" s="97">
        <f>I13-E14+C14</f>
        <v>6.917</v>
      </c>
      <c r="J14" s="115">
        <f>SUM(H14:I14)</f>
        <v>13.834</v>
      </c>
    </row>
    <row r="15" ht="18.75" customHeight="1" spans="1:10">
      <c r="A15" s="96" t="s">
        <v>23</v>
      </c>
      <c r="B15" s="97"/>
      <c r="C15" s="97"/>
      <c r="D15" s="97"/>
      <c r="E15" s="97"/>
      <c r="F15" s="97">
        <v>2</v>
      </c>
      <c r="G15" s="97"/>
      <c r="H15" s="97">
        <f t="shared" ref="H15:H46" si="0">H14-F15-D15+B15</f>
        <v>4.917</v>
      </c>
      <c r="I15" s="97">
        <f t="shared" ref="I15:I46" si="1">I14-E15+C15</f>
        <v>6.917</v>
      </c>
      <c r="J15" s="115">
        <f t="shared" ref="J15:J16" si="2">SUM(H15:I15)</f>
        <v>11.834</v>
      </c>
    </row>
    <row r="16" ht="18.75" customHeight="1" spans="1:10">
      <c r="A16" s="96" t="s">
        <v>24</v>
      </c>
      <c r="B16" s="97">
        <v>15</v>
      </c>
      <c r="C16" s="97">
        <v>15</v>
      </c>
      <c r="D16" s="97"/>
      <c r="E16" s="97"/>
      <c r="F16" s="97"/>
      <c r="G16" s="97"/>
      <c r="H16" s="97">
        <f t="shared" si="0"/>
        <v>19.917</v>
      </c>
      <c r="I16" s="97">
        <f t="shared" si="1"/>
        <v>21.917</v>
      </c>
      <c r="J16" s="115">
        <f t="shared" si="2"/>
        <v>41.834</v>
      </c>
    </row>
    <row r="17" ht="18.75" customHeight="1" spans="1:10">
      <c r="A17" s="96" t="s">
        <v>25</v>
      </c>
      <c r="B17" s="97"/>
      <c r="C17" s="97"/>
      <c r="D17" s="97"/>
      <c r="E17" s="97"/>
      <c r="F17" s="97">
        <v>1</v>
      </c>
      <c r="G17" s="97"/>
      <c r="H17" s="97">
        <f t="shared" si="0"/>
        <v>18.917</v>
      </c>
      <c r="I17" s="97">
        <f t="shared" si="1"/>
        <v>21.917</v>
      </c>
      <c r="J17" s="115">
        <f t="shared" ref="J17:J41" si="3">SUM(H17:I17)</f>
        <v>40.834</v>
      </c>
    </row>
    <row r="18" ht="18.75" customHeight="1" spans="1:10">
      <c r="A18" s="96" t="s">
        <v>26</v>
      </c>
      <c r="B18" s="97"/>
      <c r="C18" s="97"/>
      <c r="D18" s="97"/>
      <c r="E18" s="97"/>
      <c r="F18" s="97">
        <v>1</v>
      </c>
      <c r="G18" s="97"/>
      <c r="H18" s="97">
        <f t="shared" si="0"/>
        <v>17.917</v>
      </c>
      <c r="I18" s="97">
        <f t="shared" si="1"/>
        <v>21.917</v>
      </c>
      <c r="J18" s="115">
        <f t="shared" si="3"/>
        <v>39.834</v>
      </c>
    </row>
    <row r="19" ht="18.75" customHeight="1" spans="1:10">
      <c r="A19" s="96" t="s">
        <v>27</v>
      </c>
      <c r="B19" s="97"/>
      <c r="C19" s="97"/>
      <c r="D19" s="97"/>
      <c r="E19" s="97"/>
      <c r="F19" s="97">
        <v>3</v>
      </c>
      <c r="G19" s="97"/>
      <c r="H19" s="97">
        <f t="shared" si="0"/>
        <v>14.917</v>
      </c>
      <c r="I19" s="97">
        <f t="shared" si="1"/>
        <v>21.917</v>
      </c>
      <c r="J19" s="115">
        <f t="shared" si="3"/>
        <v>36.834</v>
      </c>
    </row>
    <row r="20" ht="18.75" customHeight="1" spans="1:10">
      <c r="A20" s="96" t="s">
        <v>28</v>
      </c>
      <c r="B20" s="97">
        <v>15</v>
      </c>
      <c r="C20" s="97">
        <v>15</v>
      </c>
      <c r="D20" s="97"/>
      <c r="E20" s="97"/>
      <c r="F20" s="97"/>
      <c r="G20" s="97"/>
      <c r="H20" s="97">
        <f t="shared" si="0"/>
        <v>29.917</v>
      </c>
      <c r="I20" s="97">
        <f t="shared" si="1"/>
        <v>36.917</v>
      </c>
      <c r="J20" s="115">
        <f t="shared" si="3"/>
        <v>66.834</v>
      </c>
    </row>
    <row r="21" ht="18.75" customHeight="1" spans="1:10">
      <c r="A21" s="96" t="s">
        <v>29</v>
      </c>
      <c r="B21" s="97"/>
      <c r="C21" s="97"/>
      <c r="D21" s="97">
        <v>7</v>
      </c>
      <c r="E21" s="97"/>
      <c r="F21" s="97">
        <v>1</v>
      </c>
      <c r="G21" s="97"/>
      <c r="H21" s="97">
        <f t="shared" si="0"/>
        <v>21.917</v>
      </c>
      <c r="I21" s="97">
        <f t="shared" si="1"/>
        <v>36.917</v>
      </c>
      <c r="J21" s="115">
        <f t="shared" si="3"/>
        <v>58.834</v>
      </c>
    </row>
    <row r="22" ht="18.75" customHeight="1" spans="1:10">
      <c r="A22" s="96" t="s">
        <v>30</v>
      </c>
      <c r="B22" s="97"/>
      <c r="C22" s="97"/>
      <c r="D22" s="97">
        <v>16</v>
      </c>
      <c r="E22" s="97">
        <v>13</v>
      </c>
      <c r="F22" s="97"/>
      <c r="G22" s="97"/>
      <c r="H22" s="97">
        <f t="shared" si="0"/>
        <v>5.917</v>
      </c>
      <c r="I22" s="97">
        <f t="shared" si="1"/>
        <v>23.917</v>
      </c>
      <c r="J22" s="115">
        <f t="shared" si="3"/>
        <v>29.834</v>
      </c>
    </row>
    <row r="23" ht="18.75" customHeight="1" spans="1:10">
      <c r="A23" s="96" t="s">
        <v>31</v>
      </c>
      <c r="B23" s="97"/>
      <c r="C23" s="97"/>
      <c r="D23" s="97"/>
      <c r="E23" s="97"/>
      <c r="F23" s="97">
        <v>4</v>
      </c>
      <c r="G23" s="97"/>
      <c r="H23" s="97">
        <f t="shared" si="0"/>
        <v>1.917</v>
      </c>
      <c r="I23" s="97">
        <f t="shared" si="1"/>
        <v>23.917</v>
      </c>
      <c r="J23" s="115">
        <f t="shared" si="3"/>
        <v>25.834</v>
      </c>
    </row>
    <row r="24" ht="18.75" customHeight="1" spans="1:10">
      <c r="A24" s="96" t="s">
        <v>32</v>
      </c>
      <c r="B24" s="97">
        <v>1.25</v>
      </c>
      <c r="C24" s="97">
        <v>1.25</v>
      </c>
      <c r="D24" s="97"/>
      <c r="E24" s="97"/>
      <c r="F24" s="97"/>
      <c r="G24" s="97"/>
      <c r="H24" s="97">
        <f t="shared" si="0"/>
        <v>3.167</v>
      </c>
      <c r="I24" s="97">
        <f t="shared" si="1"/>
        <v>25.167</v>
      </c>
      <c r="J24" s="115">
        <f t="shared" si="3"/>
        <v>28.334</v>
      </c>
    </row>
    <row r="25" ht="18.75" customHeight="1" spans="1:10">
      <c r="A25" s="98" t="s">
        <v>33</v>
      </c>
      <c r="B25" s="97"/>
      <c r="C25" s="97"/>
      <c r="D25" s="97"/>
      <c r="E25" s="97"/>
      <c r="F25" s="97">
        <v>1</v>
      </c>
      <c r="G25" s="97"/>
      <c r="H25" s="97">
        <f t="shared" si="0"/>
        <v>2.167</v>
      </c>
      <c r="I25" s="97">
        <f t="shared" si="1"/>
        <v>25.167</v>
      </c>
      <c r="J25" s="115">
        <f t="shared" si="3"/>
        <v>27.334</v>
      </c>
    </row>
    <row r="26" ht="18.75" customHeight="1" spans="1:10">
      <c r="A26" s="98">
        <v>44610</v>
      </c>
      <c r="B26" s="97"/>
      <c r="C26" s="97"/>
      <c r="D26" s="97"/>
      <c r="E26" s="97"/>
      <c r="F26" s="97"/>
      <c r="G26" s="97">
        <v>1</v>
      </c>
      <c r="H26" s="97">
        <f t="shared" si="0"/>
        <v>2.167</v>
      </c>
      <c r="I26" s="97">
        <f t="shared" si="1"/>
        <v>25.167</v>
      </c>
      <c r="J26" s="115">
        <f t="shared" si="3"/>
        <v>27.334</v>
      </c>
    </row>
    <row r="27" ht="18.75" customHeight="1" spans="1:10">
      <c r="A27" s="96" t="s">
        <v>34</v>
      </c>
      <c r="B27" s="97">
        <v>1.25</v>
      </c>
      <c r="C27" s="97">
        <v>1.25</v>
      </c>
      <c r="D27" s="97"/>
      <c r="E27" s="97"/>
      <c r="F27" s="97"/>
      <c r="G27" s="97"/>
      <c r="H27" s="97">
        <f t="shared" si="0"/>
        <v>3.417</v>
      </c>
      <c r="I27" s="97">
        <f t="shared" si="1"/>
        <v>26.417</v>
      </c>
      <c r="J27" s="115">
        <f t="shared" si="3"/>
        <v>29.834</v>
      </c>
    </row>
    <row r="28" ht="18.75" customHeight="1" spans="1:10">
      <c r="A28" s="98">
        <v>44624</v>
      </c>
      <c r="B28" s="97"/>
      <c r="C28" s="97"/>
      <c r="D28" s="97"/>
      <c r="E28" s="97"/>
      <c r="F28" s="97"/>
      <c r="G28" s="97">
        <v>1</v>
      </c>
      <c r="H28" s="97">
        <f t="shared" si="0"/>
        <v>3.417</v>
      </c>
      <c r="I28" s="97">
        <f t="shared" si="1"/>
        <v>26.417</v>
      </c>
      <c r="J28" s="115">
        <f t="shared" si="3"/>
        <v>29.834</v>
      </c>
    </row>
    <row r="29" ht="18.75" customHeight="1" spans="1:10">
      <c r="A29" s="96" t="s">
        <v>35</v>
      </c>
      <c r="B29" s="97">
        <v>2.5</v>
      </c>
      <c r="C29" s="97">
        <v>2.5</v>
      </c>
      <c r="D29" s="97"/>
      <c r="E29" s="97"/>
      <c r="F29" s="97"/>
      <c r="G29" s="97"/>
      <c r="H29" s="97">
        <f t="shared" si="0"/>
        <v>5.917</v>
      </c>
      <c r="I29" s="97">
        <f t="shared" si="1"/>
        <v>28.917</v>
      </c>
      <c r="J29" s="115">
        <f t="shared" si="3"/>
        <v>34.834</v>
      </c>
    </row>
    <row r="30" ht="18.75" customHeight="1" spans="1:10">
      <c r="A30" s="96" t="s">
        <v>36</v>
      </c>
      <c r="B30" s="97"/>
      <c r="C30" s="97"/>
      <c r="D30" s="97"/>
      <c r="E30" s="97"/>
      <c r="F30" s="97">
        <v>2</v>
      </c>
      <c r="G30" s="97"/>
      <c r="H30" s="97">
        <f t="shared" si="0"/>
        <v>3.917</v>
      </c>
      <c r="I30" s="97">
        <f t="shared" si="1"/>
        <v>28.917</v>
      </c>
      <c r="J30" s="115">
        <f t="shared" si="3"/>
        <v>32.834</v>
      </c>
    </row>
    <row r="31" ht="18.75" customHeight="1" spans="1:10">
      <c r="A31" s="96" t="s">
        <v>37</v>
      </c>
      <c r="B31" s="97"/>
      <c r="C31" s="97"/>
      <c r="D31" s="97"/>
      <c r="E31" s="97">
        <v>1</v>
      </c>
      <c r="F31" s="97"/>
      <c r="G31" s="97"/>
      <c r="H31" s="97">
        <f t="shared" si="0"/>
        <v>3.917</v>
      </c>
      <c r="I31" s="97">
        <f t="shared" si="1"/>
        <v>27.917</v>
      </c>
      <c r="J31" s="115">
        <f t="shared" si="3"/>
        <v>31.834</v>
      </c>
    </row>
    <row r="32" ht="18.75" customHeight="1" spans="1:10">
      <c r="A32" s="96" t="s">
        <v>38</v>
      </c>
      <c r="B32" s="97">
        <v>1.25</v>
      </c>
      <c r="C32" s="97">
        <v>1.25</v>
      </c>
      <c r="D32" s="97"/>
      <c r="E32" s="97"/>
      <c r="F32" s="97"/>
      <c r="G32" s="97"/>
      <c r="H32" s="97">
        <f t="shared" si="0"/>
        <v>5.167</v>
      </c>
      <c r="I32" s="97">
        <f t="shared" si="1"/>
        <v>29.167</v>
      </c>
      <c r="J32" s="115">
        <f t="shared" si="3"/>
        <v>34.334</v>
      </c>
    </row>
    <row r="33" ht="18.75" customHeight="1" spans="1:10">
      <c r="A33" s="98" t="s">
        <v>39</v>
      </c>
      <c r="B33" s="97"/>
      <c r="C33" s="97"/>
      <c r="D33" s="97"/>
      <c r="E33" s="97"/>
      <c r="F33" s="97"/>
      <c r="G33" s="97">
        <v>1</v>
      </c>
      <c r="H33" s="97">
        <f t="shared" si="0"/>
        <v>5.167</v>
      </c>
      <c r="I33" s="97">
        <f t="shared" si="1"/>
        <v>29.167</v>
      </c>
      <c r="J33" s="115">
        <f t="shared" si="3"/>
        <v>34.334</v>
      </c>
    </row>
    <row r="34" ht="18.75" customHeight="1" spans="1:10">
      <c r="A34" s="96" t="s">
        <v>40</v>
      </c>
      <c r="B34" s="97">
        <v>2.5</v>
      </c>
      <c r="C34" s="97">
        <v>2.5</v>
      </c>
      <c r="D34" s="97"/>
      <c r="E34" s="97"/>
      <c r="F34" s="97"/>
      <c r="G34" s="97"/>
      <c r="H34" s="97">
        <f t="shared" si="0"/>
        <v>7.667</v>
      </c>
      <c r="I34" s="97">
        <f t="shared" si="1"/>
        <v>31.667</v>
      </c>
      <c r="J34" s="115">
        <f t="shared" si="3"/>
        <v>39.334</v>
      </c>
    </row>
    <row r="35" ht="18.75" customHeight="1" spans="1:10">
      <c r="A35" s="98">
        <v>44812</v>
      </c>
      <c r="B35" s="97"/>
      <c r="C35" s="97">
        <v>1</v>
      </c>
      <c r="D35" s="97"/>
      <c r="E35" s="97"/>
      <c r="F35" s="97"/>
      <c r="G35" s="97"/>
      <c r="H35" s="97">
        <f t="shared" si="0"/>
        <v>7.667</v>
      </c>
      <c r="I35" s="97">
        <f t="shared" si="1"/>
        <v>32.667</v>
      </c>
      <c r="J35" s="115">
        <f t="shared" si="3"/>
        <v>40.334</v>
      </c>
    </row>
    <row r="36" ht="18.75" customHeight="1" spans="1:10">
      <c r="A36" s="96" t="s">
        <v>41</v>
      </c>
      <c r="B36" s="97">
        <v>1.25</v>
      </c>
      <c r="C36" s="97">
        <v>1.25</v>
      </c>
      <c r="D36" s="97"/>
      <c r="E36" s="97"/>
      <c r="F36" s="97"/>
      <c r="G36" s="97"/>
      <c r="H36" s="97">
        <f t="shared" si="0"/>
        <v>8.917</v>
      </c>
      <c r="I36" s="97">
        <f t="shared" si="1"/>
        <v>33.917</v>
      </c>
      <c r="J36" s="115">
        <f t="shared" si="3"/>
        <v>42.834</v>
      </c>
    </row>
    <row r="37" ht="18.75" customHeight="1" spans="1:10">
      <c r="A37" s="96" t="s">
        <v>42</v>
      </c>
      <c r="B37" s="97"/>
      <c r="C37" s="97"/>
      <c r="D37" s="97">
        <v>5</v>
      </c>
      <c r="E37" s="97">
        <v>24</v>
      </c>
      <c r="F37" s="97"/>
      <c r="G37" s="97"/>
      <c r="H37" s="97">
        <f t="shared" si="0"/>
        <v>3.917</v>
      </c>
      <c r="I37" s="97">
        <f t="shared" si="1"/>
        <v>9.917</v>
      </c>
      <c r="J37" s="115">
        <f t="shared" si="3"/>
        <v>13.834</v>
      </c>
    </row>
    <row r="38" ht="18.75" customHeight="1" spans="1:10">
      <c r="A38" s="96" t="s">
        <v>43</v>
      </c>
      <c r="B38" s="97">
        <v>2.5</v>
      </c>
      <c r="C38" s="97">
        <v>2.5</v>
      </c>
      <c r="D38" s="97"/>
      <c r="E38" s="97"/>
      <c r="F38" s="97"/>
      <c r="G38" s="97"/>
      <c r="H38" s="97">
        <f t="shared" si="0"/>
        <v>6.417</v>
      </c>
      <c r="I38" s="97">
        <f t="shared" si="1"/>
        <v>12.417</v>
      </c>
      <c r="J38" s="115">
        <f t="shared" si="3"/>
        <v>18.834</v>
      </c>
    </row>
    <row r="39" ht="18.75" customHeight="1" spans="1:10">
      <c r="A39" s="96" t="s">
        <v>44</v>
      </c>
      <c r="B39" s="97"/>
      <c r="C39" s="97"/>
      <c r="D39" s="97"/>
      <c r="E39" s="97"/>
      <c r="F39" s="97">
        <v>2</v>
      </c>
      <c r="G39" s="97"/>
      <c r="H39" s="97">
        <f t="shared" si="0"/>
        <v>4.417</v>
      </c>
      <c r="I39" s="97">
        <f t="shared" si="1"/>
        <v>12.417</v>
      </c>
      <c r="J39" s="115">
        <f t="shared" si="3"/>
        <v>16.834</v>
      </c>
    </row>
    <row r="40" ht="18.75" customHeight="1" spans="1:10">
      <c r="A40" s="96" t="s">
        <v>45</v>
      </c>
      <c r="B40" s="97">
        <v>2.5</v>
      </c>
      <c r="C40" s="97">
        <v>2.5</v>
      </c>
      <c r="D40" s="97"/>
      <c r="E40" s="97"/>
      <c r="F40" s="97"/>
      <c r="G40" s="97"/>
      <c r="H40" s="97">
        <f t="shared" si="0"/>
        <v>6.917</v>
      </c>
      <c r="I40" s="97">
        <f t="shared" si="1"/>
        <v>14.917</v>
      </c>
      <c r="J40" s="115">
        <f t="shared" si="3"/>
        <v>21.834</v>
      </c>
    </row>
    <row r="41" ht="18.75" customHeight="1" spans="1:10">
      <c r="A41" s="96" t="s">
        <v>46</v>
      </c>
      <c r="B41" s="97">
        <v>5</v>
      </c>
      <c r="C41" s="97">
        <v>5</v>
      </c>
      <c r="D41" s="97"/>
      <c r="E41" s="97"/>
      <c r="F41" s="97"/>
      <c r="G41" s="97"/>
      <c r="H41" s="97">
        <f t="shared" si="0"/>
        <v>11.917</v>
      </c>
      <c r="I41" s="97">
        <f t="shared" si="1"/>
        <v>19.917</v>
      </c>
      <c r="J41" s="115">
        <f t="shared" si="3"/>
        <v>31.834</v>
      </c>
    </row>
    <row r="42" ht="18.75" customHeight="1" spans="1:10">
      <c r="A42" s="99" t="s">
        <v>47</v>
      </c>
      <c r="B42" s="100"/>
      <c r="C42" s="100"/>
      <c r="D42" s="100"/>
      <c r="E42" s="100">
        <v>1</v>
      </c>
      <c r="F42" s="100"/>
      <c r="G42" s="100"/>
      <c r="H42" s="97">
        <f t="shared" si="0"/>
        <v>11.917</v>
      </c>
      <c r="I42" s="97">
        <f t="shared" si="1"/>
        <v>18.917</v>
      </c>
      <c r="J42" s="116">
        <f t="shared" ref="J42:J43" si="4">SUM(H42:I42)</f>
        <v>30.834</v>
      </c>
    </row>
    <row r="43" s="85" customFormat="1" spans="1:11">
      <c r="A43" s="101" t="s">
        <v>48</v>
      </c>
      <c r="B43" s="97">
        <v>2.5</v>
      </c>
      <c r="C43" s="97">
        <v>2.5</v>
      </c>
      <c r="D43" s="102"/>
      <c r="E43" s="102"/>
      <c r="F43" s="102"/>
      <c r="G43" s="102"/>
      <c r="H43" s="97">
        <f t="shared" si="0"/>
        <v>14.417</v>
      </c>
      <c r="I43" s="97">
        <f t="shared" si="1"/>
        <v>21.417</v>
      </c>
      <c r="J43" s="102">
        <f t="shared" si="4"/>
        <v>35.834</v>
      </c>
      <c r="K43" s="117"/>
    </row>
    <row r="44" s="85" customFormat="1" spans="1:11">
      <c r="A44" s="101" t="s">
        <v>49</v>
      </c>
      <c r="B44" s="102"/>
      <c r="C44" s="102"/>
      <c r="D44" s="102"/>
      <c r="E44" s="102"/>
      <c r="F44" s="102"/>
      <c r="G44" s="102">
        <v>1</v>
      </c>
      <c r="H44" s="97">
        <f t="shared" si="0"/>
        <v>14.417</v>
      </c>
      <c r="I44" s="97">
        <f t="shared" si="1"/>
        <v>21.417</v>
      </c>
      <c r="J44" s="102">
        <f t="shared" ref="J44" si="5">SUM(H44:I44)</f>
        <v>35.834</v>
      </c>
      <c r="K44" s="117"/>
    </row>
    <row r="45" spans="1:10">
      <c r="A45" s="101" t="s">
        <v>50</v>
      </c>
      <c r="B45" s="103">
        <v>2.5</v>
      </c>
      <c r="C45" s="103">
        <v>2.5</v>
      </c>
      <c r="D45" s="103"/>
      <c r="E45" s="103"/>
      <c r="F45" s="103"/>
      <c r="G45" s="103"/>
      <c r="H45" s="97">
        <f t="shared" si="0"/>
        <v>16.917</v>
      </c>
      <c r="I45" s="97">
        <f t="shared" si="1"/>
        <v>23.917</v>
      </c>
      <c r="J45" s="103">
        <f t="shared" ref="J45" si="6">SUM(H45:I45)</f>
        <v>40.834</v>
      </c>
    </row>
    <row r="46" s="86" customFormat="1" spans="1:11">
      <c r="A46" s="104" t="s">
        <v>51</v>
      </c>
      <c r="B46" s="103"/>
      <c r="C46" s="103"/>
      <c r="D46" s="103">
        <v>11</v>
      </c>
      <c r="E46" s="103">
        <v>18</v>
      </c>
      <c r="F46" s="103"/>
      <c r="G46" s="103"/>
      <c r="H46" s="97">
        <f t="shared" si="0"/>
        <v>5.917</v>
      </c>
      <c r="I46" s="97">
        <f t="shared" si="1"/>
        <v>5.917</v>
      </c>
      <c r="J46" s="103">
        <f t="shared" ref="J46" si="7">SUM(H46:I46)</f>
        <v>11.834</v>
      </c>
      <c r="K46" s="118"/>
    </row>
    <row r="47" s="86" customFormat="1" spans="1:11">
      <c r="A47" s="104" t="s">
        <v>52</v>
      </c>
      <c r="B47" s="103"/>
      <c r="C47" s="103"/>
      <c r="D47" s="103"/>
      <c r="E47" s="103"/>
      <c r="F47" s="103"/>
      <c r="G47" s="103">
        <v>1</v>
      </c>
      <c r="H47" s="97">
        <f t="shared" ref="H47" si="8">H46-F47-D47+B47</f>
        <v>5.917</v>
      </c>
      <c r="I47" s="97">
        <f t="shared" ref="I47" si="9">I46-E47+C47</f>
        <v>5.917</v>
      </c>
      <c r="J47" s="103">
        <f t="shared" ref="J47" si="10">SUM(H47:I47)</f>
        <v>11.834</v>
      </c>
      <c r="K47" s="118"/>
    </row>
    <row r="48" s="86" customFormat="1" spans="1:11">
      <c r="A48" s="104" t="s">
        <v>53</v>
      </c>
      <c r="B48" s="103">
        <v>2.5</v>
      </c>
      <c r="C48" s="103">
        <v>2.5</v>
      </c>
      <c r="D48" s="103"/>
      <c r="E48" s="103"/>
      <c r="F48" s="103"/>
      <c r="G48" s="103"/>
      <c r="H48" s="97">
        <f t="shared" ref="H48:H50" si="11">H47-F48-D48+B48</f>
        <v>8.417</v>
      </c>
      <c r="I48" s="97">
        <f t="shared" ref="I48:I50" si="12">I47-E48+C48</f>
        <v>8.417</v>
      </c>
      <c r="J48" s="103">
        <f t="shared" ref="J48:J50" si="13">SUM(H48:I48)</f>
        <v>16.834</v>
      </c>
      <c r="K48" s="118"/>
    </row>
    <row r="49" s="86" customFormat="1" spans="1:11">
      <c r="A49" s="104" t="s">
        <v>54</v>
      </c>
      <c r="B49" s="103"/>
      <c r="C49" s="103"/>
      <c r="D49" s="103"/>
      <c r="E49" s="103"/>
      <c r="F49" s="103"/>
      <c r="G49" s="103">
        <v>1</v>
      </c>
      <c r="H49" s="97">
        <f t="shared" si="11"/>
        <v>8.417</v>
      </c>
      <c r="I49" s="97">
        <f t="shared" si="12"/>
        <v>8.417</v>
      </c>
      <c r="J49" s="103">
        <f t="shared" si="13"/>
        <v>16.834</v>
      </c>
      <c r="K49" s="118"/>
    </row>
    <row r="50" s="86" customFormat="1" spans="1:11">
      <c r="A50" s="104" t="s">
        <v>55</v>
      </c>
      <c r="B50" s="103">
        <v>2.5</v>
      </c>
      <c r="C50" s="103">
        <v>2.5</v>
      </c>
      <c r="D50" s="103"/>
      <c r="E50" s="103"/>
      <c r="F50" s="103"/>
      <c r="G50" s="103"/>
      <c r="H50" s="97">
        <f t="shared" si="11"/>
        <v>10.917</v>
      </c>
      <c r="I50" s="97">
        <f t="shared" si="12"/>
        <v>10.917</v>
      </c>
      <c r="J50" s="103">
        <f t="shared" si="13"/>
        <v>21.834</v>
      </c>
      <c r="K50" s="118"/>
    </row>
    <row r="51" s="86" customFormat="1" spans="1:11">
      <c r="A51" s="104" t="s">
        <v>56</v>
      </c>
      <c r="B51" s="103"/>
      <c r="C51" s="103"/>
      <c r="D51" s="103"/>
      <c r="E51" s="103"/>
      <c r="F51" s="103">
        <v>5</v>
      </c>
      <c r="G51" s="103"/>
      <c r="H51" s="97">
        <f t="shared" ref="H51:H54" si="14">H50-F51-D51+B51</f>
        <v>5.917</v>
      </c>
      <c r="I51" s="97">
        <f t="shared" ref="I51:I52" si="15">I50-E51+C51</f>
        <v>10.917</v>
      </c>
      <c r="J51" s="103">
        <f t="shared" ref="J51:J52" si="16">SUM(H51:I51)</f>
        <v>16.834</v>
      </c>
      <c r="K51" s="118"/>
    </row>
    <row r="52" s="86" customFormat="1" spans="1:11">
      <c r="A52" s="104" t="s">
        <v>57</v>
      </c>
      <c r="B52" s="103">
        <v>8.75</v>
      </c>
      <c r="C52" s="103">
        <v>8.75</v>
      </c>
      <c r="D52" s="103"/>
      <c r="E52" s="103"/>
      <c r="F52" s="103"/>
      <c r="G52" s="103"/>
      <c r="H52" s="97">
        <f t="shared" si="14"/>
        <v>14.667</v>
      </c>
      <c r="I52" s="97">
        <f t="shared" si="15"/>
        <v>19.667</v>
      </c>
      <c r="J52" s="103">
        <f t="shared" si="16"/>
        <v>34.334</v>
      </c>
      <c r="K52" s="118"/>
    </row>
    <row r="53" s="86" customFormat="1" ht="43.2" spans="1:11">
      <c r="A53" s="105" t="s">
        <v>58</v>
      </c>
      <c r="B53" s="103">
        <v>7.608</v>
      </c>
      <c r="C53" s="103">
        <v>7.608</v>
      </c>
      <c r="D53" s="103"/>
      <c r="E53" s="103"/>
      <c r="F53" s="103"/>
      <c r="G53" s="103"/>
      <c r="H53" s="103">
        <f t="shared" si="14"/>
        <v>22.275</v>
      </c>
      <c r="I53" s="103">
        <f t="shared" ref="I53" si="17">I52-E53+C53</f>
        <v>27.275</v>
      </c>
      <c r="J53" s="103">
        <f t="shared" ref="J53" si="18">SUM(H53:I53)</f>
        <v>49.55</v>
      </c>
      <c r="K53" s="118"/>
    </row>
    <row r="54" s="86" customFormat="1" ht="18" customHeight="1" spans="1:11">
      <c r="A54" s="104" t="s">
        <v>59</v>
      </c>
      <c r="B54" s="103"/>
      <c r="C54" s="103"/>
      <c r="D54" s="103">
        <v>17</v>
      </c>
      <c r="E54" s="103"/>
      <c r="F54" s="103"/>
      <c r="G54" s="103"/>
      <c r="H54" s="103">
        <f t="shared" si="14"/>
        <v>5.275</v>
      </c>
      <c r="I54" s="103">
        <f t="shared" ref="I54" si="19">I53-E54+C54</f>
        <v>27.275</v>
      </c>
      <c r="J54" s="103">
        <f t="shared" ref="J54" si="20">SUM(H54:I54)</f>
        <v>32.55</v>
      </c>
      <c r="K54" s="118"/>
    </row>
    <row r="55" s="86" customFormat="1" ht="18" customHeight="1" spans="1:11">
      <c r="A55" s="104" t="s">
        <v>60</v>
      </c>
      <c r="B55" s="103">
        <v>5</v>
      </c>
      <c r="C55" s="103">
        <v>5</v>
      </c>
      <c r="D55" s="103"/>
      <c r="E55" s="103"/>
      <c r="F55" s="103"/>
      <c r="G55" s="103"/>
      <c r="H55" s="103">
        <f t="shared" ref="H55:H57" si="21">H54-F55-D55+B55</f>
        <v>10.275</v>
      </c>
      <c r="I55" s="103">
        <f t="shared" ref="I55:I57" si="22">I54-E55+C55</f>
        <v>32.275</v>
      </c>
      <c r="J55" s="103">
        <f t="shared" ref="J55:J57" si="23">SUM(H55:I55)</f>
        <v>42.55</v>
      </c>
      <c r="K55" s="118"/>
    </row>
    <row r="56" s="86" customFormat="1" ht="18" customHeight="1" spans="1:11">
      <c r="A56" s="104" t="s">
        <v>61</v>
      </c>
      <c r="B56" s="103"/>
      <c r="C56" s="103"/>
      <c r="D56" s="103"/>
      <c r="E56" s="103"/>
      <c r="F56" s="103"/>
      <c r="G56" s="103">
        <v>3</v>
      </c>
      <c r="H56" s="103">
        <f t="shared" si="21"/>
        <v>10.275</v>
      </c>
      <c r="I56" s="103">
        <f t="shared" si="22"/>
        <v>32.275</v>
      </c>
      <c r="J56" s="103">
        <f t="shared" si="23"/>
        <v>42.55</v>
      </c>
      <c r="K56" s="118"/>
    </row>
    <row r="57" s="86" customFormat="1" ht="18" customHeight="1" spans="1:11">
      <c r="A57" s="104" t="s">
        <v>62</v>
      </c>
      <c r="B57" s="103"/>
      <c r="C57" s="103"/>
      <c r="D57" s="103"/>
      <c r="E57" s="103"/>
      <c r="F57" s="103">
        <v>5</v>
      </c>
      <c r="G57" s="103"/>
      <c r="H57" s="103">
        <f t="shared" si="21"/>
        <v>5.275</v>
      </c>
      <c r="I57" s="103">
        <f t="shared" si="22"/>
        <v>32.275</v>
      </c>
      <c r="J57" s="103">
        <f t="shared" si="23"/>
        <v>37.55</v>
      </c>
      <c r="K57" s="118"/>
    </row>
    <row r="58" s="86" customFormat="1" ht="18" customHeight="1" spans="1:11">
      <c r="A58" s="104" t="s">
        <v>63</v>
      </c>
      <c r="B58" s="103">
        <v>1.25</v>
      </c>
      <c r="C58" s="103">
        <v>1.25</v>
      </c>
      <c r="D58" s="103"/>
      <c r="E58" s="103"/>
      <c r="F58" s="103"/>
      <c r="G58" s="103"/>
      <c r="H58" s="103">
        <f t="shared" ref="H58:H60" si="24">H57-F58-D58+B58</f>
        <v>6.525</v>
      </c>
      <c r="I58" s="103">
        <f t="shared" ref="I58:I60" si="25">I57-E58+C58</f>
        <v>33.525</v>
      </c>
      <c r="J58" s="103">
        <f t="shared" ref="J58:J60" si="26">SUM(H58:I58)</f>
        <v>40.05</v>
      </c>
      <c r="K58" s="118"/>
    </row>
    <row r="59" s="86" customFormat="1" ht="18" customHeight="1" spans="1:11">
      <c r="A59" s="104" t="s">
        <v>64</v>
      </c>
      <c r="B59" s="103">
        <v>1.25</v>
      </c>
      <c r="C59" s="103">
        <v>1.25</v>
      </c>
      <c r="D59" s="103"/>
      <c r="E59" s="103"/>
      <c r="F59" s="103"/>
      <c r="G59" s="103"/>
      <c r="H59" s="103">
        <f t="shared" si="24"/>
        <v>7.775</v>
      </c>
      <c r="I59" s="103">
        <f t="shared" si="25"/>
        <v>34.775</v>
      </c>
      <c r="J59" s="103">
        <f t="shared" si="26"/>
        <v>42.55</v>
      </c>
      <c r="K59" s="118"/>
    </row>
    <row r="60" s="86" customFormat="1" ht="18" customHeight="1" spans="1:11">
      <c r="A60" s="104" t="s">
        <v>65</v>
      </c>
      <c r="B60" s="106"/>
      <c r="C60" s="106"/>
      <c r="D60" s="106"/>
      <c r="E60" s="106"/>
      <c r="F60" s="107">
        <v>2</v>
      </c>
      <c r="G60" s="106"/>
      <c r="H60" s="103">
        <f t="shared" si="24"/>
        <v>5.775</v>
      </c>
      <c r="I60" s="103">
        <f t="shared" si="25"/>
        <v>34.775</v>
      </c>
      <c r="J60" s="103">
        <f t="shared" si="26"/>
        <v>40.55</v>
      </c>
      <c r="K60" s="118"/>
    </row>
    <row r="61" s="86" customFormat="1" spans="1:11">
      <c r="A61" s="104" t="s">
        <v>66</v>
      </c>
      <c r="B61" s="103">
        <v>12.5</v>
      </c>
      <c r="C61" s="103">
        <v>12.5</v>
      </c>
      <c r="D61" s="106"/>
      <c r="E61" s="106"/>
      <c r="F61" s="106"/>
      <c r="G61" s="106"/>
      <c r="H61" s="103">
        <f t="shared" ref="H61" si="27">H60-F61-D61+B61</f>
        <v>18.275</v>
      </c>
      <c r="I61" s="103">
        <f t="shared" ref="I61" si="28">I60-E61+C61</f>
        <v>47.275</v>
      </c>
      <c r="J61" s="103">
        <f t="shared" ref="J61" si="29">SUM(H61:I61)</f>
        <v>65.55</v>
      </c>
      <c r="K61" s="118"/>
    </row>
    <row r="62" s="86" customFormat="1" spans="1:11">
      <c r="A62" s="108" t="s">
        <v>67</v>
      </c>
      <c r="B62" s="109"/>
      <c r="C62" s="109"/>
      <c r="D62" s="110"/>
      <c r="E62" s="110"/>
      <c r="F62" s="110"/>
      <c r="G62" s="111">
        <v>2</v>
      </c>
      <c r="H62" s="103">
        <f>H61-F62-D62+B62</f>
        <v>18.275</v>
      </c>
      <c r="I62" s="103">
        <f>I61-E62+C62</f>
        <v>47.275</v>
      </c>
      <c r="J62" s="103">
        <f>SUM(H62:I62)</f>
        <v>65.55</v>
      </c>
      <c r="K62" s="119" t="s">
        <v>68</v>
      </c>
    </row>
    <row r="63" s="86" customFormat="1" spans="1:11">
      <c r="A63" s="108" t="s">
        <v>69</v>
      </c>
      <c r="B63" s="109"/>
      <c r="C63" s="109"/>
      <c r="D63" s="110"/>
      <c r="E63" s="110"/>
      <c r="F63" s="107">
        <v>3</v>
      </c>
      <c r="G63" s="110"/>
      <c r="H63" s="103">
        <f>H62-F63-D63+B63</f>
        <v>15.275</v>
      </c>
      <c r="I63" s="103">
        <f>I62-E63+C63</f>
        <v>47.275</v>
      </c>
      <c r="J63" s="103">
        <f>SUM(H63:I63)</f>
        <v>62.55</v>
      </c>
      <c r="K63" s="118"/>
    </row>
    <row r="64" s="86" customFormat="1" spans="1:11">
      <c r="A64" s="108"/>
      <c r="B64" s="109"/>
      <c r="C64" s="109"/>
      <c r="D64" s="110"/>
      <c r="E64" s="110"/>
      <c r="F64" s="110"/>
      <c r="G64" s="110"/>
      <c r="H64" s="109"/>
      <c r="I64" s="109"/>
      <c r="J64" s="109"/>
      <c r="K64" s="118"/>
    </row>
    <row r="65" s="86" customFormat="1" spans="2:11">
      <c r="B65" s="120"/>
      <c r="C65" s="120"/>
      <c r="D65" s="120"/>
      <c r="E65" s="120"/>
      <c r="F65" s="120"/>
      <c r="G65" s="120"/>
      <c r="H65" s="121"/>
      <c r="I65" s="121"/>
      <c r="J65" s="123"/>
      <c r="K65" s="118"/>
    </row>
    <row r="66" s="1" customFormat="1" ht="15" customHeight="1" spans="7:7">
      <c r="G66" s="1" t="s">
        <v>70</v>
      </c>
    </row>
    <row r="67" s="1" customFormat="1" ht="15" customHeight="1"/>
    <row r="68" s="1" customFormat="1" ht="15" customHeight="1" spans="7:7">
      <c r="G68" s="122" t="s">
        <v>71</v>
      </c>
    </row>
    <row r="69" s="1" customFormat="1" ht="15" customHeight="1" spans="7:7">
      <c r="G69" s="1" t="s">
        <v>72</v>
      </c>
    </row>
    <row r="70" s="1" customFormat="1" ht="15" customHeight="1" spans="7:7">
      <c r="G70" s="1" t="s">
        <v>73</v>
      </c>
    </row>
  </sheetData>
  <mergeCells count="13">
    <mergeCell ref="A2:J2"/>
    <mergeCell ref="A3:J3"/>
    <mergeCell ref="A4:J4"/>
    <mergeCell ref="A5:J5"/>
    <mergeCell ref="B7:D7"/>
    <mergeCell ref="B9:D9"/>
    <mergeCell ref="A10:J10"/>
    <mergeCell ref="B11:C11"/>
    <mergeCell ref="D11:G11"/>
    <mergeCell ref="H11:I11"/>
    <mergeCell ref="A11:A12"/>
    <mergeCell ref="J11:J12"/>
    <mergeCell ref="K11:K12"/>
  </mergeCells>
  <printOptions horizontalCentered="1"/>
  <pageMargins left="0.25" right="0.25" top="0.25" bottom="0.25" header="0.3" footer="0.3"/>
  <pageSetup paperSize="9" scale="65" orientation="portrait" horizontalDpi="360" verticalDpi="36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8"/>
  <sheetViews>
    <sheetView view="pageBreakPreview" zoomScaleNormal="100" workbookViewId="0">
      <selection activeCell="B8" sqref="B8:D8"/>
    </sheetView>
  </sheetViews>
  <sheetFormatPr defaultColWidth="9" defaultRowHeight="14.4"/>
  <cols>
    <col min="1" max="1" width="26.5740740740741" customWidth="1"/>
    <col min="2" max="10" width="10.5740740740741" customWidth="1"/>
    <col min="11" max="11" width="13.1388888888889" customWidth="1"/>
  </cols>
  <sheetData>
    <row r="1" ht="33.75" customHeight="1" spans="1:11">
      <c r="A1" s="1"/>
      <c r="B1" s="1"/>
      <c r="C1" s="1"/>
      <c r="D1" s="58" t="s">
        <v>74</v>
      </c>
      <c r="E1" s="48"/>
      <c r="F1" s="48"/>
      <c r="G1" s="48"/>
      <c r="H1" s="1"/>
      <c r="I1" s="1"/>
      <c r="J1" s="1"/>
      <c r="K1" s="1"/>
    </row>
    <row r="2" ht="33.75" customHeight="1" spans="1:11">
      <c r="A2" s="1"/>
      <c r="B2" s="1"/>
      <c r="C2" s="1"/>
      <c r="D2" s="48"/>
      <c r="E2" s="48"/>
      <c r="F2" s="48"/>
      <c r="G2" s="48"/>
      <c r="H2" s="1"/>
      <c r="I2" s="1"/>
      <c r="J2" s="1"/>
      <c r="K2" s="1"/>
    </row>
    <row r="3" ht="39.95" customHeight="1" spans="1:11">
      <c r="A3" s="1"/>
      <c r="B3" s="1"/>
      <c r="C3" s="1"/>
      <c r="D3" s="48"/>
      <c r="E3" s="48"/>
      <c r="F3" s="48"/>
      <c r="G3" s="48"/>
      <c r="H3" s="1"/>
      <c r="I3" s="1"/>
      <c r="J3" s="1"/>
      <c r="K3" s="1"/>
    </row>
    <row r="4" ht="12" customHeight="1" spans="1:11">
      <c r="A4" s="5" t="s">
        <v>75</v>
      </c>
      <c r="B4" s="5"/>
      <c r="C4" s="5"/>
      <c r="D4" s="6"/>
      <c r="E4" s="6"/>
      <c r="F4" s="1"/>
      <c r="G4" s="1"/>
      <c r="H4" s="5" t="s">
        <v>76</v>
      </c>
      <c r="I4" s="5"/>
      <c r="J4" s="5"/>
      <c r="K4" s="5"/>
    </row>
    <row r="5" ht="12" customHeight="1" spans="1:11">
      <c r="A5" s="59"/>
      <c r="B5" s="7"/>
      <c r="C5" s="7"/>
      <c r="D5" s="1"/>
      <c r="E5" s="1"/>
      <c r="F5" s="1"/>
      <c r="G5" s="1"/>
      <c r="H5" s="7"/>
      <c r="I5" s="7"/>
      <c r="J5" s="7"/>
      <c r="K5" s="7"/>
    </row>
    <row r="6" ht="12" customHeight="1" spans="1:11">
      <c r="A6" s="5" t="s">
        <v>77</v>
      </c>
      <c r="B6" s="5"/>
      <c r="C6" s="7"/>
      <c r="D6" s="7"/>
      <c r="E6" s="7"/>
      <c r="F6" s="1"/>
      <c r="G6" s="1"/>
      <c r="H6" s="5" t="s">
        <v>78</v>
      </c>
      <c r="I6" s="5"/>
      <c r="J6" s="5"/>
      <c r="K6" s="5"/>
    </row>
    <row r="7" ht="21.75" spans="1:11">
      <c r="A7" s="60" t="s">
        <v>10</v>
      </c>
      <c r="B7" s="60"/>
      <c r="C7" s="60"/>
      <c r="D7" s="60"/>
      <c r="E7" s="60"/>
      <c r="F7" s="60"/>
      <c r="G7" s="60"/>
      <c r="H7" s="60"/>
      <c r="I7" s="60"/>
      <c r="J7" s="60"/>
      <c r="K7" s="60"/>
    </row>
    <row r="8" ht="18.75" customHeight="1" spans="1:11">
      <c r="A8" s="61" t="s">
        <v>11</v>
      </c>
      <c r="B8" s="62" t="s">
        <v>12</v>
      </c>
      <c r="C8" s="63"/>
      <c r="D8" s="64"/>
      <c r="E8" s="65" t="s">
        <v>13</v>
      </c>
      <c r="F8" s="63"/>
      <c r="G8" s="66"/>
      <c r="H8" s="62" t="s">
        <v>14</v>
      </c>
      <c r="I8" s="63"/>
      <c r="J8" s="64"/>
      <c r="K8" s="80" t="s">
        <v>15</v>
      </c>
    </row>
    <row r="9" ht="18.75" customHeight="1" spans="1:11">
      <c r="A9" s="67"/>
      <c r="B9" s="68" t="s">
        <v>17</v>
      </c>
      <c r="C9" s="68" t="s">
        <v>18</v>
      </c>
      <c r="D9" s="68" t="s">
        <v>19</v>
      </c>
      <c r="E9" s="68" t="s">
        <v>17</v>
      </c>
      <c r="F9" s="68" t="s">
        <v>18</v>
      </c>
      <c r="G9" s="68" t="s">
        <v>19</v>
      </c>
      <c r="H9" s="68" t="s">
        <v>17</v>
      </c>
      <c r="I9" s="68" t="s">
        <v>18</v>
      </c>
      <c r="J9" s="68" t="s">
        <v>19</v>
      </c>
      <c r="K9" s="81"/>
    </row>
    <row r="10" ht="18.75" customHeight="1" spans="1:11">
      <c r="A10" s="69"/>
      <c r="B10" s="70"/>
      <c r="C10" s="70"/>
      <c r="D10" s="70"/>
      <c r="E10" s="70"/>
      <c r="F10" s="70"/>
      <c r="G10" s="70"/>
      <c r="H10" s="70"/>
      <c r="I10" s="70"/>
      <c r="J10" s="70"/>
      <c r="K10" s="82"/>
    </row>
    <row r="11" ht="18.75" customHeight="1" spans="1:11">
      <c r="A11" s="69"/>
      <c r="B11" s="71"/>
      <c r="C11" s="71"/>
      <c r="D11" s="71"/>
      <c r="E11" s="71"/>
      <c r="F11" s="71"/>
      <c r="G11" s="71"/>
      <c r="H11" s="71"/>
      <c r="I11" s="71"/>
      <c r="J11" s="71"/>
      <c r="K11" s="83"/>
    </row>
    <row r="12" ht="18.75" customHeight="1" spans="1:11">
      <c r="A12" s="72"/>
      <c r="B12" s="71"/>
      <c r="C12" s="71"/>
      <c r="D12" s="71"/>
      <c r="E12" s="71"/>
      <c r="F12" s="71"/>
      <c r="G12" s="71"/>
      <c r="H12" s="71"/>
      <c r="I12" s="71"/>
      <c r="J12" s="71"/>
      <c r="K12" s="83"/>
    </row>
    <row r="13" ht="18.75" customHeight="1" spans="1:11">
      <c r="A13" s="73"/>
      <c r="B13" s="74"/>
      <c r="C13" s="71"/>
      <c r="D13" s="71"/>
      <c r="E13" s="71"/>
      <c r="F13" s="71"/>
      <c r="G13" s="71"/>
      <c r="H13" s="71"/>
      <c r="I13" s="71"/>
      <c r="J13" s="71"/>
      <c r="K13" s="83"/>
    </row>
    <row r="14" ht="18.75" customHeight="1" spans="1:11">
      <c r="A14" s="75"/>
      <c r="B14" s="76"/>
      <c r="C14" s="71"/>
      <c r="D14" s="71"/>
      <c r="E14" s="71"/>
      <c r="F14" s="71"/>
      <c r="G14" s="71"/>
      <c r="H14" s="71"/>
      <c r="I14" s="71"/>
      <c r="J14" s="71"/>
      <c r="K14" s="83"/>
    </row>
    <row r="15" ht="18.75" customHeight="1" spans="1:11">
      <c r="A15" s="72"/>
      <c r="B15" s="71"/>
      <c r="C15" s="71"/>
      <c r="D15" s="71"/>
      <c r="E15" s="71"/>
      <c r="F15" s="71"/>
      <c r="G15" s="71"/>
      <c r="H15" s="71"/>
      <c r="I15" s="71"/>
      <c r="J15" s="71"/>
      <c r="K15" s="83"/>
    </row>
    <row r="16" ht="18.75" customHeight="1" spans="1:11">
      <c r="A16" s="69"/>
      <c r="B16" s="71"/>
      <c r="C16" s="71"/>
      <c r="D16" s="71"/>
      <c r="E16" s="71"/>
      <c r="F16" s="71"/>
      <c r="G16" s="71"/>
      <c r="H16" s="71"/>
      <c r="I16" s="71"/>
      <c r="J16" s="71"/>
      <c r="K16" s="83"/>
    </row>
    <row r="17" ht="18.75" customHeight="1" spans="1:11">
      <c r="A17" s="77"/>
      <c r="B17" s="71"/>
      <c r="C17" s="71"/>
      <c r="D17" s="71"/>
      <c r="E17" s="71"/>
      <c r="F17" s="71"/>
      <c r="G17" s="71"/>
      <c r="H17" s="71"/>
      <c r="I17" s="71"/>
      <c r="J17" s="71"/>
      <c r="K17" s="83"/>
    </row>
    <row r="18" ht="18.75" customHeight="1" spans="1:11">
      <c r="A18" s="69"/>
      <c r="B18" s="71"/>
      <c r="C18" s="71"/>
      <c r="D18" s="71"/>
      <c r="E18" s="71"/>
      <c r="F18" s="71"/>
      <c r="G18" s="71"/>
      <c r="H18" s="71" t="s">
        <v>79</v>
      </c>
      <c r="I18" s="71"/>
      <c r="J18" s="71"/>
      <c r="K18" s="83"/>
    </row>
    <row r="19" ht="18.75" customHeight="1" spans="1:11">
      <c r="A19" s="77"/>
      <c r="B19" s="71"/>
      <c r="C19" s="71"/>
      <c r="D19" s="71"/>
      <c r="E19" s="71"/>
      <c r="F19" s="71"/>
      <c r="G19" s="71"/>
      <c r="H19" s="71"/>
      <c r="I19" s="71"/>
      <c r="J19" s="71"/>
      <c r="K19" s="83" t="s">
        <v>80</v>
      </c>
    </row>
    <row r="20" ht="18.75" customHeight="1" spans="1:11">
      <c r="A20" s="69"/>
      <c r="B20" s="71"/>
      <c r="C20" s="71"/>
      <c r="D20" s="71"/>
      <c r="E20" s="71"/>
      <c r="F20" s="71"/>
      <c r="G20" s="71"/>
      <c r="H20" s="71"/>
      <c r="I20" s="71"/>
      <c r="J20" s="71"/>
      <c r="K20" s="83"/>
    </row>
    <row r="21" ht="18.75" customHeight="1" spans="1:11">
      <c r="A21" s="69"/>
      <c r="B21" s="71"/>
      <c r="C21" s="71"/>
      <c r="D21" s="71"/>
      <c r="E21" s="71"/>
      <c r="F21" s="71"/>
      <c r="G21" s="71"/>
      <c r="H21" s="71"/>
      <c r="I21" s="71"/>
      <c r="J21" s="71"/>
      <c r="K21" s="83"/>
    </row>
    <row r="22" ht="18.75" customHeight="1" spans="1:11">
      <c r="A22" s="69"/>
      <c r="B22" s="71"/>
      <c r="C22" s="71"/>
      <c r="D22" s="71"/>
      <c r="E22" s="71"/>
      <c r="F22" s="71"/>
      <c r="G22" s="71"/>
      <c r="H22" s="71"/>
      <c r="I22" s="71"/>
      <c r="J22" s="71"/>
      <c r="K22" s="83"/>
    </row>
    <row r="23" ht="18.75" customHeight="1" spans="1:11">
      <c r="A23" s="69"/>
      <c r="B23" s="71"/>
      <c r="C23" s="71"/>
      <c r="D23" s="71"/>
      <c r="E23" s="71"/>
      <c r="F23" s="71"/>
      <c r="G23" s="71"/>
      <c r="H23" s="71"/>
      <c r="I23" s="71"/>
      <c r="J23" s="71"/>
      <c r="K23" s="83"/>
    </row>
    <row r="24" ht="18.75" customHeight="1" spans="1:11">
      <c r="A24" s="69"/>
      <c r="B24" s="71"/>
      <c r="C24" s="71"/>
      <c r="D24" s="71"/>
      <c r="E24" s="71"/>
      <c r="F24" s="71"/>
      <c r="G24" s="71"/>
      <c r="H24" s="71"/>
      <c r="I24" s="71"/>
      <c r="J24" s="71"/>
      <c r="K24" s="83"/>
    </row>
    <row r="25" ht="18.75" customHeight="1" spans="1:11">
      <c r="A25" s="69"/>
      <c r="B25" s="71"/>
      <c r="C25" s="71"/>
      <c r="D25" s="71"/>
      <c r="E25" s="71"/>
      <c r="F25" s="71"/>
      <c r="G25" s="71"/>
      <c r="H25" s="71"/>
      <c r="I25" s="71"/>
      <c r="J25" s="71"/>
      <c r="K25" s="83"/>
    </row>
    <row r="26" ht="18.75" customHeight="1" spans="1:11">
      <c r="A26" s="69"/>
      <c r="B26" s="71"/>
      <c r="C26" s="71"/>
      <c r="D26" s="71"/>
      <c r="E26" s="71"/>
      <c r="F26" s="71"/>
      <c r="G26" s="71"/>
      <c r="H26" s="71"/>
      <c r="I26" s="71"/>
      <c r="J26" s="71"/>
      <c r="K26" s="83"/>
    </row>
    <row r="27" ht="18.75" customHeight="1" spans="1:11">
      <c r="A27" s="69"/>
      <c r="B27" s="71"/>
      <c r="C27" s="71"/>
      <c r="D27" s="71"/>
      <c r="E27" s="71"/>
      <c r="F27" s="71"/>
      <c r="G27" s="71"/>
      <c r="H27" s="71"/>
      <c r="I27" s="71"/>
      <c r="J27" s="71"/>
      <c r="K27" s="83"/>
    </row>
    <row r="28" ht="18.75" customHeight="1" spans="1:11">
      <c r="A28" s="78"/>
      <c r="B28" s="79"/>
      <c r="C28" s="79"/>
      <c r="D28" s="79"/>
      <c r="E28" s="79"/>
      <c r="F28" s="79"/>
      <c r="G28" s="79"/>
      <c r="H28" s="79"/>
      <c r="I28" s="79"/>
      <c r="J28" s="79"/>
      <c r="K28" s="84"/>
    </row>
  </sheetData>
  <mergeCells count="9">
    <mergeCell ref="A4:C4"/>
    <mergeCell ref="H4:K4"/>
    <mergeCell ref="A6:B6"/>
    <mergeCell ref="H6:K6"/>
    <mergeCell ref="A7:K7"/>
    <mergeCell ref="B8:D8"/>
    <mergeCell ref="E8:G8"/>
    <mergeCell ref="H8:J8"/>
    <mergeCell ref="D1:G3"/>
  </mergeCells>
  <printOptions horizontalCentered="1" verticalCentered="1"/>
  <pageMargins left="0.25" right="0.25" top="0.25" bottom="0.25" header="0.3" footer="0.3"/>
  <pageSetup paperSize="9" scale="99" orientation="landscape" horizontalDpi="360" verticalDpi="36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6"/>
  <sheetViews>
    <sheetView view="pageBreakPreview" zoomScaleNormal="100" topLeftCell="A4" workbookViewId="0">
      <selection activeCell="A23" sqref="A23:L23"/>
    </sheetView>
  </sheetViews>
  <sheetFormatPr defaultColWidth="9" defaultRowHeight="14.4"/>
  <cols>
    <col min="1" max="1" width="28.8518518518519" customWidth="1"/>
    <col min="2" max="2" width="19.5740740740741" customWidth="1"/>
    <col min="3" max="3" width="18.8518518518519" customWidth="1"/>
    <col min="4" max="4" width="13.1388888888889" customWidth="1"/>
    <col min="5" max="5" width="8.71296296296296" customWidth="1"/>
    <col min="6" max="6" width="10.287037037037" customWidth="1"/>
    <col min="8" max="8" width="9.13888888888889" customWidth="1"/>
    <col min="9" max="9" width="7.57407407407407" customWidth="1"/>
    <col min="10" max="10" width="5.13888888888889" customWidth="1"/>
    <col min="11" max="11" width="7.13888888888889" customWidth="1"/>
    <col min="12" max="12" width="3.85185185185185" customWidth="1"/>
    <col min="13" max="13" width="8" customWidth="1"/>
  </cols>
  <sheetData>
    <row r="1" s="1" customFormat="1" ht="52.5" customHeight="1"/>
    <row r="2" s="1" customFormat="1" ht="10.5" customHeight="1" spans="1:11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="1" customFormat="1" ht="15.95" customHeight="1" spans="1:11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s="1" customFormat="1" ht="15.95" customHeight="1" spans="1:11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s="1" customFormat="1" ht="15.95" customHeight="1" spans="1:11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s="1" customFormat="1" ht="8.25" customHeight="1"/>
    <row r="7" s="1" customFormat="1" ht="12" customHeight="1" spans="1:11">
      <c r="A7" s="1" t="s">
        <v>4</v>
      </c>
      <c r="B7" s="5" t="s">
        <v>81</v>
      </c>
      <c r="C7" s="5"/>
      <c r="D7" s="5"/>
      <c r="H7" s="6" t="s">
        <v>6</v>
      </c>
      <c r="I7" s="49"/>
      <c r="J7" s="49"/>
      <c r="K7" s="6"/>
    </row>
    <row r="8" s="1" customFormat="1" ht="12" customHeight="1" spans="2:11">
      <c r="B8" s="7"/>
      <c r="C8" s="7"/>
      <c r="H8" s="7"/>
      <c r="I8" s="7"/>
      <c r="J8" s="7"/>
      <c r="K8" s="7"/>
    </row>
    <row r="9" s="1" customFormat="1" ht="14.25" customHeight="1" spans="1:11">
      <c r="A9" s="1" t="s">
        <v>7</v>
      </c>
      <c r="B9" s="5" t="s">
        <v>8</v>
      </c>
      <c r="C9" s="5"/>
      <c r="D9" s="5"/>
      <c r="H9" s="6" t="s">
        <v>9</v>
      </c>
      <c r="I9" s="50"/>
      <c r="J9" s="50"/>
      <c r="K9" s="6"/>
    </row>
    <row r="10" s="1" customFormat="1" ht="12" customHeight="1" spans="2:11">
      <c r="B10" s="5"/>
      <c r="C10" s="5"/>
      <c r="D10" s="5"/>
      <c r="H10" s="6"/>
      <c r="I10" s="6"/>
      <c r="J10" s="6"/>
      <c r="K10" s="6"/>
    </row>
    <row r="11" s="1" customFormat="1" ht="12" customHeight="1" spans="2:11">
      <c r="B11" s="5"/>
      <c r="C11" s="5"/>
      <c r="D11" s="5"/>
      <c r="H11" s="6"/>
      <c r="I11" s="6"/>
      <c r="J11" s="6"/>
      <c r="K11" s="6"/>
    </row>
    <row r="12" ht="16.5" customHeight="1" spans="1:13">
      <c r="A12" s="8" t="s">
        <v>82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</row>
    <row r="13" s="2" customFormat="1" ht="18.75" customHeight="1" spans="1:13">
      <c r="A13" s="9" t="s">
        <v>83</v>
      </c>
      <c r="B13" s="10" t="s">
        <v>11</v>
      </c>
      <c r="C13" s="11" t="s">
        <v>84</v>
      </c>
      <c r="D13" s="12"/>
      <c r="E13" s="13" t="s">
        <v>85</v>
      </c>
      <c r="F13" s="14"/>
      <c r="G13" s="15" t="s">
        <v>86</v>
      </c>
      <c r="H13" s="14"/>
      <c r="I13" s="15" t="s">
        <v>87</v>
      </c>
      <c r="J13" s="14"/>
      <c r="K13" s="15" t="s">
        <v>88</v>
      </c>
      <c r="L13" s="14"/>
      <c r="M13" s="51" t="s">
        <v>15</v>
      </c>
    </row>
    <row r="14" s="2" customFormat="1" ht="18.75" customHeight="1" spans="1:13">
      <c r="A14" s="16"/>
      <c r="B14" s="17"/>
      <c r="C14" s="18"/>
      <c r="D14" s="19"/>
      <c r="E14" s="20"/>
      <c r="F14" s="21"/>
      <c r="G14" s="22"/>
      <c r="H14" s="21"/>
      <c r="I14" s="22"/>
      <c r="J14" s="21"/>
      <c r="K14" s="22"/>
      <c r="L14" s="21"/>
      <c r="M14" s="52"/>
    </row>
    <row r="15" s="2" customFormat="1" ht="24" customHeight="1" spans="1:13">
      <c r="A15" s="23"/>
      <c r="B15" s="24"/>
      <c r="C15" s="25"/>
      <c r="D15" s="26"/>
      <c r="E15" s="27"/>
      <c r="F15" s="28"/>
      <c r="G15" s="29"/>
      <c r="H15" s="28"/>
      <c r="I15" s="29"/>
      <c r="J15" s="28"/>
      <c r="K15" s="29"/>
      <c r="L15" s="28"/>
      <c r="M15" s="53"/>
    </row>
    <row r="16" s="3" customFormat="1" ht="39" customHeight="1" spans="1:13">
      <c r="A16" s="30" t="s">
        <v>89</v>
      </c>
      <c r="B16" s="31" t="s">
        <v>90</v>
      </c>
      <c r="C16" s="32"/>
      <c r="D16" s="33"/>
      <c r="E16" s="31" t="s">
        <v>91</v>
      </c>
      <c r="F16" s="34"/>
      <c r="G16" s="35">
        <v>5</v>
      </c>
      <c r="H16" s="36"/>
      <c r="I16" s="35">
        <v>0</v>
      </c>
      <c r="J16" s="36"/>
      <c r="K16" s="35">
        <v>5</v>
      </c>
      <c r="L16" s="36"/>
      <c r="M16" s="54">
        <v>5</v>
      </c>
    </row>
    <row r="17" s="3" customFormat="1" ht="39" customHeight="1" spans="1:13">
      <c r="A17" s="37" t="s">
        <v>89</v>
      </c>
      <c r="B17" s="38" t="s">
        <v>92</v>
      </c>
      <c r="C17" s="32" t="s">
        <v>93</v>
      </c>
      <c r="D17" s="33"/>
      <c r="E17" s="38"/>
      <c r="F17" s="39"/>
      <c r="G17" s="40">
        <v>5</v>
      </c>
      <c r="H17" s="41"/>
      <c r="I17" s="40">
        <v>0</v>
      </c>
      <c r="J17" s="41"/>
      <c r="K17" s="40">
        <v>5</v>
      </c>
      <c r="L17" s="41"/>
      <c r="M17" s="55">
        <v>5</v>
      </c>
    </row>
    <row r="18" s="3" customFormat="1" ht="39" customHeight="1" spans="1:13">
      <c r="A18" s="37" t="s">
        <v>89</v>
      </c>
      <c r="B18" s="38" t="s">
        <v>94</v>
      </c>
      <c r="C18" s="32" t="s">
        <v>93</v>
      </c>
      <c r="D18" s="33"/>
      <c r="E18" s="42"/>
      <c r="F18" s="43"/>
      <c r="G18" s="40">
        <v>5</v>
      </c>
      <c r="H18" s="41"/>
      <c r="I18" s="40">
        <v>0</v>
      </c>
      <c r="J18" s="41"/>
      <c r="K18" s="40">
        <v>5</v>
      </c>
      <c r="L18" s="41"/>
      <c r="M18" s="55">
        <v>5</v>
      </c>
    </row>
    <row r="19" s="3" customFormat="1" ht="39" customHeight="1" spans="1:13">
      <c r="A19" s="37" t="s">
        <v>89</v>
      </c>
      <c r="B19" s="44" t="s">
        <v>95</v>
      </c>
      <c r="C19" s="38"/>
      <c r="D19" s="39"/>
      <c r="E19" s="44" t="s">
        <v>91</v>
      </c>
      <c r="F19" s="44"/>
      <c r="G19" s="40">
        <v>5</v>
      </c>
      <c r="H19" s="41"/>
      <c r="I19" s="40">
        <v>0</v>
      </c>
      <c r="J19" s="41"/>
      <c r="K19" s="40">
        <v>5</v>
      </c>
      <c r="L19" s="41"/>
      <c r="M19" s="55">
        <v>5</v>
      </c>
    </row>
    <row r="20" s="3" customFormat="1" ht="39" customHeight="1" spans="1:13">
      <c r="A20" s="37" t="s">
        <v>89</v>
      </c>
      <c r="B20" s="38" t="s">
        <v>96</v>
      </c>
      <c r="C20" s="32" t="s">
        <v>93</v>
      </c>
      <c r="D20" s="33"/>
      <c r="E20" s="38"/>
      <c r="F20" s="39"/>
      <c r="G20" s="40">
        <v>5</v>
      </c>
      <c r="H20" s="41"/>
      <c r="I20" s="40">
        <v>0</v>
      </c>
      <c r="J20" s="41"/>
      <c r="K20" s="40">
        <v>5</v>
      </c>
      <c r="L20" s="41"/>
      <c r="M20" s="55">
        <v>5</v>
      </c>
    </row>
    <row r="21" s="3" customFormat="1" ht="39" customHeight="1" spans="1:13">
      <c r="A21" s="37" t="s">
        <v>89</v>
      </c>
      <c r="B21" s="38" t="s">
        <v>97</v>
      </c>
      <c r="C21" s="32" t="s">
        <v>93</v>
      </c>
      <c r="D21" s="33"/>
      <c r="E21" s="38"/>
      <c r="F21" s="39"/>
      <c r="G21" s="40">
        <v>5</v>
      </c>
      <c r="H21" s="41"/>
      <c r="I21" s="40">
        <v>0</v>
      </c>
      <c r="J21" s="41"/>
      <c r="K21" s="40">
        <v>5</v>
      </c>
      <c r="L21" s="41"/>
      <c r="M21" s="55">
        <v>5</v>
      </c>
    </row>
    <row r="22" s="3" customFormat="1" ht="39" customHeight="1" spans="1:13">
      <c r="A22" s="37" t="s">
        <v>89</v>
      </c>
      <c r="B22" s="44" t="s">
        <v>98</v>
      </c>
      <c r="C22" s="38"/>
      <c r="D22" s="39"/>
      <c r="E22" s="32" t="s">
        <v>91</v>
      </c>
      <c r="F22" s="33"/>
      <c r="G22" s="40">
        <v>5</v>
      </c>
      <c r="H22" s="41"/>
      <c r="I22" s="40">
        <v>0</v>
      </c>
      <c r="J22" s="41"/>
      <c r="K22" s="40">
        <v>5</v>
      </c>
      <c r="L22" s="41"/>
      <c r="M22" s="55">
        <v>5</v>
      </c>
    </row>
    <row r="23" s="3" customFormat="1" ht="39" customHeight="1" spans="1:13">
      <c r="A23" s="45" t="s">
        <v>99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56"/>
      <c r="M23" s="57">
        <v>35</v>
      </c>
    </row>
    <row r="24" s="1" customFormat="1" ht="75.75" customHeight="1" spans="1:13">
      <c r="A24" s="47"/>
      <c r="B24" s="47"/>
      <c r="D24" s="48"/>
      <c r="M24" s="47"/>
    </row>
    <row r="25" s="1" customFormat="1" spans="4:4">
      <c r="D25" s="48"/>
    </row>
    <row r="26" s="1" customFormat="1" spans="4:4">
      <c r="D26" s="48"/>
    </row>
  </sheetData>
  <mergeCells count="28">
    <mergeCell ref="A2:K2"/>
    <mergeCell ref="A3:K3"/>
    <mergeCell ref="A4:K4"/>
    <mergeCell ref="A5:K5"/>
    <mergeCell ref="B7:D7"/>
    <mergeCell ref="I7:J7"/>
    <mergeCell ref="B9:D9"/>
    <mergeCell ref="A12:M12"/>
    <mergeCell ref="C16:D16"/>
    <mergeCell ref="E16:F16"/>
    <mergeCell ref="C17:D17"/>
    <mergeCell ref="C18:D18"/>
    <mergeCell ref="C19:D19"/>
    <mergeCell ref="E19:F19"/>
    <mergeCell ref="C20:D20"/>
    <mergeCell ref="C21:D21"/>
    <mergeCell ref="E21:F21"/>
    <mergeCell ref="C22:D22"/>
    <mergeCell ref="E22:F22"/>
    <mergeCell ref="A23:L23"/>
    <mergeCell ref="A13:A15"/>
    <mergeCell ref="B13:B15"/>
    <mergeCell ref="M13:M15"/>
    <mergeCell ref="C13:D15"/>
    <mergeCell ref="E13:F15"/>
    <mergeCell ref="G13:H15"/>
    <mergeCell ref="I13:J15"/>
    <mergeCell ref="K13:L15"/>
  </mergeCells>
  <printOptions horizontalCentered="1"/>
  <pageMargins left="0.236220472440945" right="0.236220472440945" top="0.354330708661417" bottom="0.354330708661417" header="0.31496062992126" footer="0.31496062992126"/>
  <pageSetup paperSize="9" scale="80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Leave Card (NE)</vt:lpstr>
      <vt:lpstr>Leave Card (Addt'l)</vt:lpstr>
      <vt:lpstr>ELECTION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2021-10-07T06:10:00Z</dcterms:created>
  <cp:lastPrinted>2025-02-24T06:22:00Z</cp:lastPrinted>
  <dcterms:modified xsi:type="dcterms:W3CDTF">2026-01-01T01:46:23Z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9ED585B4F852424ABC5CD330EF1DAFD0_12</vt:lpwstr>
  </property>
  <property fmtid="{D5CDD505-2E9C-101B-9397-08002B2CF9AE}" pid="3" name="KSOProductBuildVer">
    <vt:lpwstr>1033-12.2.0.23196</vt:lpwstr>
  </property>
</Properties>
</file>