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E64385A8-EDF0-4768-9559-7E2035A6D288}" xr6:coauthVersionLast="47" xr6:coauthVersionMax="47" xr10:uidLastSave="{00000000-0000-0000-0000-000000000000}"/>
  <bookViews>
    <workbookView xWindow="-120" yWindow="-120" windowWidth="29040" windowHeight="15720" xr2:uid="{7AC6442F-E05A-4FF8-8AC5-28157AC812A7}"/>
  </bookViews>
  <sheets>
    <sheet name="Leave Card CORRECTED" sheetId="2" r:id="rId1"/>
  </sheets>
  <definedNames>
    <definedName name="_xlnm.Print_Area" localSheetId="0">'Leave Card CORRECTED'!$A$1:$J$42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2" l="1"/>
  <c r="I35" i="2"/>
  <c r="J35" i="2"/>
  <c r="I13" i="2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H13" i="2"/>
  <c r="J13" i="2" l="1"/>
  <c r="H14" i="2"/>
  <c r="H15" i="2" s="1"/>
  <c r="J15" i="2" s="1"/>
  <c r="J14" i="2" l="1"/>
  <c r="H16" i="2"/>
  <c r="J16" i="2" s="1"/>
  <c r="H17" i="2" l="1"/>
  <c r="H18" i="2" s="1"/>
  <c r="J17" i="2" l="1"/>
  <c r="H19" i="2"/>
  <c r="J18" i="2"/>
  <c r="J19" i="2" l="1"/>
  <c r="H20" i="2"/>
  <c r="H21" i="2" l="1"/>
  <c r="J20" i="2"/>
  <c r="J21" i="2" l="1"/>
  <c r="H22" i="2"/>
  <c r="H23" i="2" l="1"/>
  <c r="J22" i="2"/>
  <c r="J23" i="2" l="1"/>
  <c r="H24" i="2"/>
  <c r="H25" i="2" l="1"/>
  <c r="J24" i="2"/>
  <c r="H26" i="2" l="1"/>
  <c r="J25" i="2"/>
  <c r="H27" i="2" l="1"/>
  <c r="J26" i="2"/>
  <c r="H28" i="2" l="1"/>
  <c r="H29" i="2" s="1"/>
  <c r="J27" i="2"/>
  <c r="J29" i="2" l="1"/>
  <c r="H30" i="2"/>
  <c r="J28" i="2"/>
  <c r="J30" i="2" l="1"/>
  <c r="H31" i="2"/>
  <c r="J31" i="2" l="1"/>
  <c r="H32" i="2"/>
  <c r="H33" i="2" l="1"/>
  <c r="J32" i="2"/>
  <c r="J33" i="2" l="1"/>
  <c r="H34" i="2"/>
  <c r="J34" i="2" s="1"/>
</calcChain>
</file>

<file path=xl/sharedStrings.xml><?xml version="1.0" encoding="utf-8"?>
<sst xmlns="http://schemas.openxmlformats.org/spreadsheetml/2006/main" count="49" uniqueCount="45">
  <si>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</si>
  <si>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</si>
  <si>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</si>
  <si>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</si>
  <si>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</si>
  <si>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</si>
  <si>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</si>
  <si>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</si>
  <si>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</si>
  <si>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</si>
  <si>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</si>
  <si>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</si>
  <si>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ADD: 01/01/2019-12/31/2019</t>
  </si>
  <si>
    <t>LESS: MANDATORY FORCED LEAVE 2019</t>
  </si>
  <si>
    <t>ADD: 01/01/2020-12/31/2020</t>
  </si>
  <si>
    <t>LESS: MANDATORY FORCED LEAVE 2020</t>
  </si>
  <si>
    <t>ADD: 01/01/2021-09/30/2021</t>
  </si>
  <si>
    <t>LESS 29 DAYS MONETIZATION 2021</t>
  </si>
  <si>
    <t>ADD: 10/01/21-12/31/2021</t>
  </si>
  <si>
    <t>LESS: MANDATORY FORCED LEAVE 2021</t>
  </si>
  <si>
    <t>ADD:01/01/2022-08/31/2022</t>
  </si>
  <si>
    <t>LESS 29 DAYS MONETIZATION 2022</t>
  </si>
  <si>
    <t>ADD:09/01/2022-12/31/2022</t>
  </si>
  <si>
    <t>LESS: MANDATORY FORCED LEAVE 2022</t>
  </si>
  <si>
    <t>ADD:01/01/2023-08/31/2023</t>
  </si>
  <si>
    <t>LESS 29 DAYS MONETIZATION 2023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</si>
  <si>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</si>
  <si>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</si>
  <si>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</si>
  <si>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</si>
  <si>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</si>
  <si>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</si>
  <si>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</si>
  <si>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</si>
  <si>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</si>
  <si>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 xml:space="preserve">  </t>
  </si>
  <si>
    <t>LESS: FL 2023</t>
  </si>
  <si>
    <t>ADD: SEPT.-DEC. 31, 2023</t>
  </si>
  <si>
    <t>ADD: JAN. -JULY 31, 2024</t>
  </si>
  <si>
    <t>LESS: MONETIZATION 2024</t>
  </si>
  <si>
    <t>ADD: 08/1/2024-12/31/2024</t>
  </si>
  <si>
    <t>LESS: FL 2024</t>
  </si>
  <si>
    <t>ADD: 01/1/2025-06/30/2025</t>
  </si>
  <si>
    <t>ADD: 12/10-31/2018</t>
  </si>
  <si>
    <t>LESS: MONETIZATION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</si>
</sst>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4" fillId="0" borderId="0" xfId="0" applyFont="1"/>
    <xf numFmtId="164" fontId="0" fillId="2" borderId="6" xfId="0" applyNumberFormat="1" applyFill="1" applyBorder="1" applyAlignment="1">
      <alignment horizontal="center" vertical="center"/>
    </xf>
    <xf numFmtId="164" fontId="0" fillId="2" borderId="13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5E4EC-07E6-4548-8B84-02673AFB2E4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17C75C-C922-4632-BA9A-D12551569718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VILLARASCO, GILBERT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E03CF4-D378-4E81-8C1C-A3BF010EF1B0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MOBILE TEACHER 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0799D58-DDE9-4EC2-8E14-D8DBEE283A44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347452</xdr:colOff>
      <xdr:row>36</xdr:row>
      <xdr:rowOff>53914</xdr:rowOff>
    </xdr:from>
    <xdr:to>
      <xdr:col>9</xdr:col>
      <xdr:colOff>672043</xdr:colOff>
      <xdr:row>41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BB9E89-E4FD-4877-ABAD-4938E6FC7C2C}"/>
            </a:ext>
          </a:extLst>
        </xdr:cNvPr>
        <xdr:cNvSpPr txBox="1"/>
      </xdr:nvSpPr>
      <xdr:spPr>
        <a:xfrm>
          <a:off x="5871952" y="745483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D5EC-029E-4090-BCA8-AEDBABB3DAF6}">
  <sheetPr>
    <pageSetUpPr fitToPage="1"/>
  </sheetPr>
  <dimension ref="A1:K40"/>
  <sheetViews>
    <sheetView tabSelected="1" view="pageBreakPreview" topLeftCell="A13" zoomScale="106" zoomScaleNormal="100" zoomScaleSheetLayoutView="106" workbookViewId="0">
      <selection activeCell="F24" sqref="F24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19" customWidth="1"/>
    <col min="8" max="10" width="11.5703125" customWidth="1"/>
    <col min="11" max="11" width="26.42578125" style="14" customWidth="1"/>
  </cols>
  <sheetData>
    <row r="1" spans="1:11" s="1" customFormat="1" ht="52.5" customHeight="1" x14ac:dyDescent="0.25"/>
    <row r="2" spans="1:11" s="1" customFormat="1" ht="10.5" customHeight="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s="1" customFormat="1" ht="15.95" customHeight="1" x14ac:dyDescent="0.25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</row>
    <row r="4" spans="1:11" s="1" customFormat="1" ht="15.95" customHeight="1" x14ac:dyDescent="0.25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</row>
    <row r="5" spans="1:11" s="1" customFormat="1" ht="15.95" customHeight="1" x14ac:dyDescent="0.25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</row>
    <row r="6" spans="1:11" s="1" customFormat="1" ht="8.25" customHeight="1" x14ac:dyDescent="0.25"/>
    <row r="7" spans="1:11" s="1" customFormat="1" ht="12" customHeight="1" x14ac:dyDescent="0.25">
      <c r="A7" s="1" t="s">
        <v>26</v>
      </c>
      <c r="B7" s="27" t="s">
        <v>27</v>
      </c>
      <c r="C7" s="27"/>
      <c r="D7" s="27"/>
      <c r="H7" s="2" t="s">
        <v>28</v>
      </c>
      <c r="I7" s="7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29</v>
      </c>
      <c r="B9" s="27" t="s">
        <v>30</v>
      </c>
      <c r="C9" s="27"/>
      <c r="D9" s="27"/>
      <c r="H9" s="2" t="s">
        <v>31</v>
      </c>
      <c r="I9" s="8"/>
      <c r="J9" s="2"/>
    </row>
    <row r="10" spans="1:11" ht="23.25" customHeight="1" thickBot="1" x14ac:dyDescent="0.3">
      <c r="A10" s="30" t="s">
        <v>32</v>
      </c>
      <c r="B10" s="30"/>
      <c r="C10" s="30"/>
      <c r="D10" s="30"/>
      <c r="E10" s="30"/>
      <c r="F10" s="30"/>
      <c r="G10" s="30"/>
      <c r="H10" s="30"/>
      <c r="I10" s="30"/>
      <c r="J10" s="30"/>
      <c r="K10"/>
    </row>
    <row r="11" spans="1:11" ht="18.75" customHeight="1" x14ac:dyDescent="0.25">
      <c r="A11" s="31" t="s">
        <v>4</v>
      </c>
      <c r="B11" s="33" t="s">
        <v>5</v>
      </c>
      <c r="C11" s="33"/>
      <c r="D11" s="34" t="s">
        <v>6</v>
      </c>
      <c r="E11" s="35"/>
      <c r="F11" s="35"/>
      <c r="G11" s="36"/>
      <c r="H11" s="37" t="s">
        <v>7</v>
      </c>
      <c r="I11" s="38"/>
      <c r="J11" s="39" t="s">
        <v>8</v>
      </c>
      <c r="K11" s="29" t="s">
        <v>33</v>
      </c>
    </row>
    <row r="12" spans="1:11" ht="15.75" thickBot="1" x14ac:dyDescent="0.3">
      <c r="A12" s="32"/>
      <c r="B12" s="21" t="s">
        <v>9</v>
      </c>
      <c r="C12" s="22" t="s">
        <v>10</v>
      </c>
      <c r="D12" s="24" t="s">
        <v>9</v>
      </c>
      <c r="E12" s="9" t="s">
        <v>10</v>
      </c>
      <c r="F12" s="9" t="s">
        <v>11</v>
      </c>
      <c r="G12" s="9" t="s">
        <v>34</v>
      </c>
      <c r="H12" s="9" t="s">
        <v>9</v>
      </c>
      <c r="I12" s="9" t="s">
        <v>10</v>
      </c>
      <c r="J12" s="40"/>
      <c r="K12" s="29"/>
    </row>
    <row r="13" spans="1:11" ht="16.5" customHeight="1" x14ac:dyDescent="0.25">
      <c r="A13" s="10" t="s">
        <v>43</v>
      </c>
      <c r="B13" s="5">
        <v>0.91700000000000004</v>
      </c>
      <c r="C13" s="6">
        <v>0.91700000000000004</v>
      </c>
      <c r="D13" s="23"/>
      <c r="E13" s="11"/>
      <c r="F13" s="11"/>
      <c r="G13" s="11"/>
      <c r="H13" s="12">
        <f>B13</f>
        <v>0.91700000000000004</v>
      </c>
      <c r="I13" s="12">
        <f>C13</f>
        <v>0.91700000000000004</v>
      </c>
      <c r="J13" s="13">
        <f>SUM(H13:I13)</f>
        <v>1.8340000000000001</v>
      </c>
    </row>
    <row r="14" spans="1:11" ht="12" customHeight="1" x14ac:dyDescent="0.25">
      <c r="A14" s="4" t="s">
        <v>12</v>
      </c>
      <c r="B14" s="5">
        <v>15</v>
      </c>
      <c r="C14" s="6">
        <v>15</v>
      </c>
      <c r="D14" s="6"/>
      <c r="E14" s="5"/>
      <c r="F14" s="5"/>
      <c r="G14" s="5"/>
      <c r="H14" s="15">
        <f>H13-F14-D14+B14</f>
        <v>15.917</v>
      </c>
      <c r="I14" s="15">
        <f>I13-E14+C14</f>
        <v>15.917</v>
      </c>
      <c r="J14" s="16">
        <f>SUM(H14:I14)</f>
        <v>31.834</v>
      </c>
    </row>
    <row r="15" spans="1:11" ht="12" customHeight="1" x14ac:dyDescent="0.25">
      <c r="A15" s="4" t="s">
        <v>13</v>
      </c>
      <c r="B15" s="5"/>
      <c r="C15" s="6"/>
      <c r="D15" s="6"/>
      <c r="E15" s="5"/>
      <c r="F15" s="5">
        <v>5</v>
      </c>
      <c r="G15" s="5"/>
      <c r="H15" s="15">
        <f t="shared" ref="H15:H28" si="0">H14-F15-D15+B15</f>
        <v>10.917</v>
      </c>
      <c r="I15" s="15">
        <f t="shared" ref="I15:I28" si="1">I14-E15+C15</f>
        <v>15.917</v>
      </c>
      <c r="J15" s="16">
        <f t="shared" ref="J15:J28" si="2">SUM(H15:I15)</f>
        <v>26.834</v>
      </c>
    </row>
    <row r="16" spans="1:11" ht="12" customHeight="1" x14ac:dyDescent="0.25">
      <c r="A16" s="4" t="s">
        <v>14</v>
      </c>
      <c r="B16" s="5">
        <v>15</v>
      </c>
      <c r="C16" s="6">
        <v>15</v>
      </c>
      <c r="D16" s="6"/>
      <c r="E16" s="5"/>
      <c r="F16" s="5"/>
      <c r="G16" s="5"/>
      <c r="H16" s="15">
        <f t="shared" si="0"/>
        <v>25.917000000000002</v>
      </c>
      <c r="I16" s="15">
        <f t="shared" si="1"/>
        <v>30.917000000000002</v>
      </c>
      <c r="J16" s="16">
        <f t="shared" si="2"/>
        <v>56.834000000000003</v>
      </c>
    </row>
    <row r="17" spans="1:10" ht="12" customHeight="1" x14ac:dyDescent="0.25">
      <c r="A17" s="4" t="s">
        <v>15</v>
      </c>
      <c r="B17" s="5"/>
      <c r="C17" s="6"/>
      <c r="D17" s="6"/>
      <c r="E17" s="5"/>
      <c r="F17" s="5">
        <v>5</v>
      </c>
      <c r="G17" s="5"/>
      <c r="H17" s="15">
        <f t="shared" si="0"/>
        <v>20.917000000000002</v>
      </c>
      <c r="I17" s="15">
        <f t="shared" si="1"/>
        <v>30.917000000000002</v>
      </c>
      <c r="J17" s="16">
        <f t="shared" si="2"/>
        <v>51.834000000000003</v>
      </c>
    </row>
    <row r="18" spans="1:10" ht="12" customHeight="1" x14ac:dyDescent="0.25">
      <c r="A18" s="4" t="s">
        <v>16</v>
      </c>
      <c r="B18" s="5">
        <v>11.25</v>
      </c>
      <c r="C18" s="6">
        <v>11.25</v>
      </c>
      <c r="D18" s="6"/>
      <c r="E18" s="5"/>
      <c r="F18" s="5"/>
      <c r="G18" s="5"/>
      <c r="H18" s="15">
        <f t="shared" si="0"/>
        <v>32.167000000000002</v>
      </c>
      <c r="I18" s="15">
        <f t="shared" si="1"/>
        <v>42.167000000000002</v>
      </c>
      <c r="J18" s="16">
        <f t="shared" si="2"/>
        <v>74.334000000000003</v>
      </c>
    </row>
    <row r="19" spans="1:10" ht="12" customHeight="1" x14ac:dyDescent="0.25">
      <c r="A19" s="4" t="s">
        <v>17</v>
      </c>
      <c r="B19" s="5"/>
      <c r="C19" s="6"/>
      <c r="D19" s="6">
        <v>29</v>
      </c>
      <c r="E19" s="5"/>
      <c r="F19" s="5"/>
      <c r="G19" s="5"/>
      <c r="H19" s="15">
        <f t="shared" si="0"/>
        <v>3.1670000000000016</v>
      </c>
      <c r="I19" s="15">
        <f t="shared" si="1"/>
        <v>42.167000000000002</v>
      </c>
      <c r="J19" s="16">
        <f t="shared" si="2"/>
        <v>45.334000000000003</v>
      </c>
    </row>
    <row r="20" spans="1:10" ht="12" customHeight="1" x14ac:dyDescent="0.25">
      <c r="A20" s="4" t="s">
        <v>18</v>
      </c>
      <c r="B20" s="5">
        <v>3.75</v>
      </c>
      <c r="C20" s="6">
        <v>3.75</v>
      </c>
      <c r="D20" s="6"/>
      <c r="E20" s="5"/>
      <c r="F20" s="5"/>
      <c r="G20" s="5"/>
      <c r="H20" s="15">
        <f t="shared" si="0"/>
        <v>6.9170000000000016</v>
      </c>
      <c r="I20" s="15">
        <f t="shared" si="1"/>
        <v>45.917000000000002</v>
      </c>
      <c r="J20" s="16">
        <f t="shared" si="2"/>
        <v>52.834000000000003</v>
      </c>
    </row>
    <row r="21" spans="1:10" ht="12" customHeight="1" x14ac:dyDescent="0.25">
      <c r="A21" s="4" t="s">
        <v>19</v>
      </c>
      <c r="B21" s="5"/>
      <c r="C21" s="6"/>
      <c r="D21" s="6"/>
      <c r="E21" s="5"/>
      <c r="F21" s="5">
        <v>5</v>
      </c>
      <c r="G21" s="5"/>
      <c r="H21" s="15">
        <f t="shared" si="0"/>
        <v>1.9170000000000016</v>
      </c>
      <c r="I21" s="15">
        <f t="shared" si="1"/>
        <v>45.917000000000002</v>
      </c>
      <c r="J21" s="16">
        <f t="shared" si="2"/>
        <v>47.834000000000003</v>
      </c>
    </row>
    <row r="22" spans="1:10" ht="12" customHeight="1" x14ac:dyDescent="0.25">
      <c r="A22" s="4" t="s">
        <v>20</v>
      </c>
      <c r="B22" s="5">
        <v>10</v>
      </c>
      <c r="C22" s="6">
        <v>10</v>
      </c>
      <c r="D22" s="6"/>
      <c r="E22" s="5"/>
      <c r="F22" s="5"/>
      <c r="G22" s="5"/>
      <c r="H22" s="15">
        <f t="shared" si="0"/>
        <v>11.917000000000002</v>
      </c>
      <c r="I22" s="15">
        <f t="shared" si="1"/>
        <v>55.917000000000002</v>
      </c>
      <c r="J22" s="16">
        <f t="shared" si="2"/>
        <v>67.834000000000003</v>
      </c>
    </row>
    <row r="23" spans="1:10" ht="12" customHeight="1" x14ac:dyDescent="0.25">
      <c r="A23" s="4" t="s">
        <v>21</v>
      </c>
      <c r="B23" s="5"/>
      <c r="C23" s="6"/>
      <c r="D23" s="6">
        <v>5</v>
      </c>
      <c r="E23" s="5">
        <v>24</v>
      </c>
      <c r="F23" s="5"/>
      <c r="G23" s="5"/>
      <c r="H23" s="15">
        <f t="shared" si="0"/>
        <v>6.9170000000000016</v>
      </c>
      <c r="I23" s="15">
        <f t="shared" si="1"/>
        <v>31.917000000000002</v>
      </c>
      <c r="J23" s="16">
        <f t="shared" si="2"/>
        <v>38.834000000000003</v>
      </c>
    </row>
    <row r="24" spans="1:10" ht="12" customHeight="1" x14ac:dyDescent="0.25">
      <c r="A24" s="4" t="s">
        <v>22</v>
      </c>
      <c r="B24" s="5">
        <v>5</v>
      </c>
      <c r="C24" s="5">
        <v>5</v>
      </c>
      <c r="D24" s="6"/>
      <c r="E24" s="5"/>
      <c r="F24" s="5"/>
      <c r="G24" s="5"/>
      <c r="H24" s="15">
        <f t="shared" si="0"/>
        <v>11.917000000000002</v>
      </c>
      <c r="I24" s="15">
        <f t="shared" si="1"/>
        <v>36.917000000000002</v>
      </c>
      <c r="J24" s="16">
        <f t="shared" si="2"/>
        <v>48.834000000000003</v>
      </c>
    </row>
    <row r="25" spans="1:10" ht="18.75" customHeight="1" x14ac:dyDescent="0.25">
      <c r="A25" s="4" t="s">
        <v>23</v>
      </c>
      <c r="B25" s="5"/>
      <c r="C25" s="6"/>
      <c r="D25" s="6"/>
      <c r="E25" s="5"/>
      <c r="F25" s="5">
        <v>5</v>
      </c>
      <c r="G25" s="5"/>
      <c r="H25" s="15">
        <f t="shared" si="0"/>
        <v>6.9170000000000016</v>
      </c>
      <c r="I25" s="15">
        <f t="shared" si="1"/>
        <v>36.917000000000002</v>
      </c>
      <c r="J25" s="16">
        <f t="shared" si="2"/>
        <v>43.834000000000003</v>
      </c>
    </row>
    <row r="26" spans="1:10" ht="12" customHeight="1" x14ac:dyDescent="0.25">
      <c r="A26" s="4" t="s">
        <v>24</v>
      </c>
      <c r="B26" s="5">
        <v>10</v>
      </c>
      <c r="C26" s="5">
        <v>10</v>
      </c>
      <c r="D26" s="6"/>
      <c r="E26" s="5"/>
      <c r="F26" s="5"/>
      <c r="G26" s="5"/>
      <c r="H26" s="15">
        <f t="shared" si="0"/>
        <v>16.917000000000002</v>
      </c>
      <c r="I26" s="15">
        <f t="shared" si="1"/>
        <v>46.917000000000002</v>
      </c>
      <c r="J26" s="16">
        <f t="shared" si="2"/>
        <v>63.834000000000003</v>
      </c>
    </row>
    <row r="27" spans="1:10" ht="12" customHeight="1" x14ac:dyDescent="0.25">
      <c r="A27" s="4" t="s">
        <v>25</v>
      </c>
      <c r="B27" s="5"/>
      <c r="C27" s="6"/>
      <c r="D27" s="6">
        <v>6</v>
      </c>
      <c r="E27" s="5">
        <v>23</v>
      </c>
      <c r="F27" s="5"/>
      <c r="G27" s="5"/>
      <c r="H27" s="15">
        <f t="shared" si="0"/>
        <v>10.917000000000002</v>
      </c>
      <c r="I27" s="15">
        <f t="shared" si="1"/>
        <v>23.917000000000002</v>
      </c>
      <c r="J27" s="16">
        <f t="shared" si="2"/>
        <v>34.834000000000003</v>
      </c>
    </row>
    <row r="28" spans="1:10" ht="12" customHeight="1" x14ac:dyDescent="0.25">
      <c r="A28" s="4" t="s">
        <v>37</v>
      </c>
      <c r="B28" s="5">
        <v>5</v>
      </c>
      <c r="C28" s="6">
        <v>5</v>
      </c>
      <c r="D28" s="6"/>
      <c r="E28" s="5"/>
      <c r="F28" s="5"/>
      <c r="G28" s="5"/>
      <c r="H28" s="15">
        <f t="shared" si="0"/>
        <v>15.917000000000002</v>
      </c>
      <c r="I28" s="15">
        <f t="shared" si="1"/>
        <v>28.917000000000002</v>
      </c>
      <c r="J28" s="16">
        <f t="shared" si="2"/>
        <v>44.834000000000003</v>
      </c>
    </row>
    <row r="29" spans="1:10" x14ac:dyDescent="0.25">
      <c r="A29" s="20" t="s">
        <v>36</v>
      </c>
      <c r="B29" s="20"/>
      <c r="C29" s="20"/>
      <c r="D29" s="18"/>
      <c r="E29" s="18"/>
      <c r="F29" s="17">
        <v>5</v>
      </c>
      <c r="G29" s="17"/>
      <c r="H29" s="15">
        <f t="shared" ref="H29" si="3">H28-F29-D29+B29</f>
        <v>10.917000000000002</v>
      </c>
      <c r="I29" s="15">
        <f t="shared" ref="I29" si="4">I28-E29+C29</f>
        <v>28.917000000000002</v>
      </c>
      <c r="J29" s="16">
        <f t="shared" ref="J29" si="5">SUM(H29:I29)</f>
        <v>39.834000000000003</v>
      </c>
    </row>
    <row r="30" spans="1:10" x14ac:dyDescent="0.25">
      <c r="A30" s="20" t="s">
        <v>38</v>
      </c>
      <c r="B30" s="20">
        <v>8.75</v>
      </c>
      <c r="C30" s="20">
        <v>8.75</v>
      </c>
      <c r="D30" s="20"/>
      <c r="E30" s="18"/>
      <c r="F30" s="17"/>
      <c r="G30" s="17"/>
      <c r="H30" s="25">
        <f t="shared" ref="H30" si="6">H29-F30-D30+B30</f>
        <v>19.667000000000002</v>
      </c>
      <c r="I30" s="25">
        <f t="shared" ref="I30" si="7">I29-E30+C30</f>
        <v>37.667000000000002</v>
      </c>
      <c r="J30" s="26">
        <f t="shared" ref="J30" si="8">SUM(H30:I30)</f>
        <v>57.334000000000003</v>
      </c>
    </row>
    <row r="31" spans="1:10" x14ac:dyDescent="0.25">
      <c r="A31" s="20" t="s">
        <v>39</v>
      </c>
      <c r="B31" s="20"/>
      <c r="C31" s="20"/>
      <c r="D31" s="20">
        <v>10</v>
      </c>
      <c r="E31" s="18"/>
      <c r="F31" s="17"/>
      <c r="G31" s="17"/>
      <c r="H31" s="25">
        <f t="shared" ref="H31:H33" si="9">H30-F31-D31+B31</f>
        <v>9.6670000000000016</v>
      </c>
      <c r="I31" s="25">
        <f t="shared" ref="I31:I33" si="10">I30-E31+C31</f>
        <v>37.667000000000002</v>
      </c>
      <c r="J31" s="26">
        <f t="shared" ref="J31:J33" si="11">SUM(H31:I31)</f>
        <v>47.334000000000003</v>
      </c>
    </row>
    <row r="32" spans="1:10" x14ac:dyDescent="0.25">
      <c r="A32" s="4" t="s">
        <v>40</v>
      </c>
      <c r="B32" s="5">
        <v>6.25</v>
      </c>
      <c r="C32" s="6">
        <v>6.25</v>
      </c>
      <c r="D32" s="6"/>
      <c r="E32" s="5"/>
      <c r="F32" s="5"/>
      <c r="G32" s="17"/>
      <c r="H32" s="25">
        <f t="shared" si="9"/>
        <v>15.917000000000002</v>
      </c>
      <c r="I32" s="25">
        <f t="shared" si="10"/>
        <v>43.917000000000002</v>
      </c>
      <c r="J32" s="26">
        <f t="shared" si="11"/>
        <v>59.834000000000003</v>
      </c>
    </row>
    <row r="33" spans="1:10" x14ac:dyDescent="0.25">
      <c r="A33" s="20" t="s">
        <v>41</v>
      </c>
      <c r="B33" s="20"/>
      <c r="C33" s="20"/>
      <c r="D33" s="20"/>
      <c r="E33" s="18"/>
      <c r="F33" s="17">
        <v>5</v>
      </c>
      <c r="G33" s="17"/>
      <c r="H33" s="25">
        <f t="shared" si="9"/>
        <v>10.917000000000002</v>
      </c>
      <c r="I33" s="25">
        <f t="shared" si="10"/>
        <v>43.917000000000002</v>
      </c>
      <c r="J33" s="26">
        <f t="shared" si="11"/>
        <v>54.834000000000003</v>
      </c>
    </row>
    <row r="34" spans="1:10" x14ac:dyDescent="0.25">
      <c r="A34" s="20" t="s">
        <v>42</v>
      </c>
      <c r="B34" s="20">
        <v>7.5</v>
      </c>
      <c r="C34" s="20">
        <v>7.5</v>
      </c>
      <c r="D34" s="20"/>
      <c r="E34" s="18"/>
      <c r="F34" s="17"/>
      <c r="G34" s="17"/>
      <c r="H34" s="25">
        <f t="shared" ref="H34" si="12">H33-F34-D34+B34</f>
        <v>18.417000000000002</v>
      </c>
      <c r="I34" s="25">
        <f t="shared" ref="I34" si="13">I33-E34+C34</f>
        <v>51.417000000000002</v>
      </c>
      <c r="J34" s="26">
        <f t="shared" ref="J34" si="14">SUM(H34:I34)</f>
        <v>69.834000000000003</v>
      </c>
    </row>
    <row r="35" spans="1:10" x14ac:dyDescent="0.25">
      <c r="A35" s="20" t="s">
        <v>44</v>
      </c>
      <c r="B35" s="20"/>
      <c r="C35" s="20"/>
      <c r="D35" s="20">
        <v>10</v>
      </c>
      <c r="E35" s="18"/>
      <c r="F35" s="17"/>
      <c r="G35" s="17"/>
      <c r="H35" s="25">
        <f t="shared" ref="H35" si="15">H34-F35-D35+B35</f>
        <v>8.4170000000000016</v>
      </c>
      <c r="I35" s="25">
        <f t="shared" ref="I35" si="16">I34-E35+C35</f>
        <v>51.417000000000002</v>
      </c>
      <c r="J35" s="26">
        <f t="shared" ref="J35" si="17">SUM(H35:I35)</f>
        <v>59.834000000000003</v>
      </c>
    </row>
    <row r="36" spans="1:10" x14ac:dyDescent="0.25">
      <c r="A36" s="41"/>
      <c r="B36" s="41"/>
      <c r="C36" s="41"/>
      <c r="D36" s="41"/>
      <c r="E36" s="42"/>
      <c r="F36" s="43"/>
      <c r="G36" s="43"/>
      <c r="H36" s="44"/>
      <c r="I36" s="44"/>
      <c r="J36" s="44"/>
    </row>
    <row r="40" spans="1:10" x14ac:dyDescent="0.25">
      <c r="F40" s="19" t="s">
        <v>35</v>
      </c>
    </row>
  </sheetData>
  <mergeCells count="13">
    <mergeCell ref="K11:K12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 CORRECTED</vt:lpstr>
      <vt:lpstr>'Leave Card CORRECTED'!Print_Area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2025-06-09T06:31:32Z</cp:lastPrinted>
  <dcterms:created xsi:type="dcterms:W3CDTF">2024-01-16T00:38:02Z</dcterms:created>
  <dcterms:modified xsi:type="dcterms:W3CDTF">2025-06-09T07:14:08Z</dcterms:modified>
</cp:coreProperties>
</file>