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/>
  <xr:revisionPtr revIDLastSave="3" documentId="11_D303A1CFEFA407BBDA0080EA40E0D6CB7A5E529B" xr6:coauthVersionLast="47" xr6:coauthVersionMax="47" xr10:uidLastSave="{D95D83FA-A140-4798-B5F3-792072C88FFB}"/>
  <bookViews>
    <workbookView xWindow="0" yWindow="0" windowWidth="22188" windowHeight="9000" xr2:uid="{00000000-000D-0000-FFFF-FFFF00000000}"/>
  </bookViews>
  <sheets>
    <sheet name="Sheet1" sheetId="1" r:id="rId1"/>
    <sheet name="CTO" sheetId="2" r:id="rId2"/>
    <sheet name="ELECTION" sheetId="3" r:id="rId3"/>
  </sheets>
  <definedNames>
    <definedName name="_xlnm.Print_Area" localSheetId="1">CTO!$A$1:$L$23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I57" i="1"/>
  <c r="J57" i="1"/>
  <c r="J21" i="3" a="1"/>
  <c r="J21" i="3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B17" i="1"/>
  <c r="J16" i="1"/>
  <c r="I16" i="1"/>
  <c r="H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<sst xmlns="http://schemas.openxmlformats.org/spreadsheetml/2006/main" count="119" uniqueCount="95">
  <si>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</si>
  <si>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</si>
  <si>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</si>
  <si>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</si>
  <si>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</si>
  <si>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</si>
  <si>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</si>
  <si>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</si>
  <si>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</si>
  <si>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</si>
  <si>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</si>
  <si>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</si>
  <si>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</si>
  <si>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</si>
  <si>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</si>
  <si>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</si>
  <si>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</si>
  <si>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</si>
  <si>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</si>
  <si>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 LEAVE</t>
  </si>
  <si>
    <t>ADD: 4/11/2023- 4/30/2023</t>
  </si>
  <si>
    <t>ADD: 05/01/2023-11/30/2023</t>
  </si>
  <si>
    <t>LESS: 12/27/2023</t>
  </si>
  <si>
    <t>LESS: 12/28-29/2023</t>
  </si>
  <si>
    <t>LESS: 12/19/2023</t>
  </si>
  <si>
    <t>LESS: 12/21-22/2023</t>
  </si>
  <si>
    <t>ADD: 12/1-31/2023</t>
  </si>
  <si>
    <t>LESS: FL 2023</t>
  </si>
  <si>
    <t>ADD: 01/01-02-29/2024</t>
  </si>
  <si>
    <t>LESS: 03/14/2024</t>
  </si>
  <si>
    <t>ADD: 03/1/2024-06/30/2024</t>
  </si>
  <si>
    <t>LESS: 07/17-18/2024</t>
  </si>
  <si>
    <t>ADD: 07/1/2024-08/31/2024</t>
  </si>
  <si>
    <t>LESS: 09/19/2024</t>
  </si>
  <si>
    <t>LESS: 09/18/2024</t>
  </si>
  <si>
    <t>ADD: 09/1-30/2024</t>
  </si>
  <si>
    <t>LESS: 10/10/2024</t>
  </si>
  <si>
    <t>ADD: 10/1-31/2024</t>
  </si>
  <si>
    <t>LESS: 11/15/2024</t>
  </si>
  <si>
    <t>LESS: 11/22/2024</t>
  </si>
  <si>
    <t>ADD: 11/1-30/2024</t>
  </si>
  <si>
    <t>LESS: MONETIZATION 2024</t>
  </si>
  <si>
    <t>ADD: 12/1-31/2024</t>
  </si>
  <si>
    <t>LESS: MANDATORY FL 2024</t>
  </si>
  <si>
    <t>LESS: 12/26-27/2024</t>
  </si>
  <si>
    <t>LESS: 01/16/2025</t>
  </si>
  <si>
    <t>ADD: 01/1/2025-03/31/2025</t>
  </si>
  <si>
    <t>LESS: 03/31/2025</t>
  </si>
  <si>
    <t>ADD: 04/1-30/2025</t>
  </si>
  <si>
    <t>LESS: 05/2/2025</t>
  </si>
  <si>
    <t>LESS: 05/13/2025</t>
  </si>
  <si>
    <t xml:space="preserve">ADD: SO # 010, S. 2024                                                                                         (OCT. 30, 2023 ELECTION-5 DAYS)      CONVERT: 30*5/69/2                                              </t>
  </si>
  <si>
    <t>ADD: 05/1/2025-06/30/2025</t>
  </si>
  <si>
    <t>LESS: MONETIZATION 2025 (30 DAYS)</t>
  </si>
  <si>
    <t>LESS: 06/23/2025</t>
  </si>
  <si>
    <t>ADD: 07/1-31/2025</t>
  </si>
  <si>
    <t>LESS: 08/15/2025</t>
  </si>
  <si>
    <t>ADD: 08/1/2025-10/31/2025</t>
  </si>
  <si>
    <t>LESS: 12/1,2,22,23 &amp; 29/2025</t>
  </si>
  <si>
    <t>LESS: 12/12 &amp; 16/2025</t>
  </si>
  <si>
    <t>ADD: 11/1-30/2025</t>
  </si>
  <si>
    <t>ADD: 12/1-2/2025 EXIGENCY OF SERVICE</t>
  </si>
  <si>
    <t xml:space="preserve">Certified Correct: </t>
  </si>
  <si>
    <t>MA. LUISA B. CATIGAN</t>
  </si>
  <si>
    <t>Administrative Officer IV</t>
  </si>
  <si>
    <t>HRMO</t>
  </si>
  <si>
    <t>REGION VI-WESTERN VISAYAS</t>
  </si>
  <si>
    <t>NAME         : MERCADO, BABY ALLEA S.</t>
  </si>
  <si>
    <t>DISTRICT             : _______________________</t>
  </si>
  <si>
    <t>EMPLOYEE NO   : __________</t>
  </si>
  <si>
    <t>SCHOOL/OFFICE : GMNHS- MAIN SHS</t>
  </si>
  <si>
    <t>STATION CODE   : __________</t>
  </si>
  <si>
    <t>POSITION   :  ASST. PRINCIPAL II</t>
  </si>
  <si>
    <t>DIVISION CODE   : __________</t>
  </si>
  <si>
    <t>COMPENSATORY TIME OFF (CTO)</t>
  </si>
  <si>
    <t>Special Order No. and Date Issued</t>
  </si>
  <si>
    <t>No. of Days Granted</t>
  </si>
  <si>
    <t>No. of Days Used</t>
  </si>
  <si>
    <t>Balance</t>
  </si>
  <si>
    <t>ADD: 10/17/2023</t>
  </si>
  <si>
    <t>SO. # 159 S. 2023, 125TH PHIL. INDEPENDENCE DAY</t>
  </si>
  <si>
    <t>LESS: 06/11/2024</t>
  </si>
  <si>
    <t>ADD: 05/20/2024</t>
  </si>
  <si>
    <t>SO. # 015, S. 2024, PALARONG PANLALAWIGAN 2024</t>
  </si>
  <si>
    <t>LESS: 01/27-28/2025</t>
  </si>
  <si>
    <t>ADD: 08/11/2025</t>
  </si>
  <si>
    <t>SO. # 105, S. 2025, Expansion of Core Training Faculty of the Revised K-12 Curriculum (Cebu)</t>
  </si>
  <si>
    <t>LESS: 11/10/2025</t>
  </si>
  <si>
    <t>NOTE:  Valid for one (1) year only</t>
  </si>
  <si>
    <t xml:space="preserve">   </t>
  </si>
  <si>
    <t>SPECIAL ORDER FOR ELECTION (NATONAL/BARANGAY AND SK ELECTION)</t>
  </si>
  <si>
    <t>SPECIAL ORDER NO. AND DATE ISSUED</t>
  </si>
  <si>
    <t>ACTIVITY/TITLE</t>
  </si>
  <si>
    <t xml:space="preserve">SO # </t>
  </si>
  <si>
    <r>
      <rPr>
        <b/>
        <sz val="12"/>
        <color rgb="FFFF0000"/>
        <rFont val="Calibri"/>
        <charset val="134"/>
        <scheme val="minor"/>
      </rPr>
      <t>(CONVERTED FOR MONETIZATION 2024/CANNOT BE USED ANYMORE)</t>
    </r>
    <r>
      <rPr>
        <b/>
        <sz val="12"/>
        <color theme="1"/>
        <rFont val="Calibri"/>
        <charset val="134"/>
        <scheme val="minor"/>
      </rPr>
      <t xml:space="preserve">                                                                   TOTAL UNUSED  SERVICE LEAVE CREDITS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</si>
</sst>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5" fillId="0" borderId="0"/>
  </cellStyleXfs>
  <cellXfs count="13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3" fillId="2" borderId="1" xfId="0" applyFont="1" applyFill="1" applyBorder="1" applyAlignment="1">
      <alignment vertical="center"/>
    </xf>
    <xf numFmtId="0" fontId="0" fillId="2" borderId="13" xfId="0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15" fillId="2" borderId="0" xfId="1" applyFill="1"/>
    <xf numFmtId="0" fontId="1" fillId="0" borderId="0" xfId="1" applyFont="1"/>
    <xf numFmtId="0" fontId="2" fillId="0" borderId="0" xfId="1" applyFont="1"/>
    <xf numFmtId="0" fontId="15" fillId="0" borderId="0" xfId="1"/>
    <xf numFmtId="0" fontId="15" fillId="6" borderId="0" xfId="1" applyFill="1"/>
    <xf numFmtId="0" fontId="15" fillId="0" borderId="0" xfId="1" applyAlignment="1">
      <alignment horizontal="center"/>
    </xf>
    <xf numFmtId="0" fontId="15" fillId="7" borderId="0" xfId="1" applyFill="1"/>
    <xf numFmtId="0" fontId="15" fillId="8" borderId="0" xfId="1" applyFill="1"/>
    <xf numFmtId="0" fontId="3" fillId="2" borderId="0" xfId="1" applyFont="1" applyFill="1" applyAlignment="1">
      <alignment horizontal="center" wrapText="1"/>
    </xf>
    <xf numFmtId="0" fontId="3" fillId="2" borderId="0" xfId="1" applyFont="1" applyFill="1" applyAlignment="1">
      <alignment wrapText="1"/>
    </xf>
    <xf numFmtId="0" fontId="15" fillId="2" borderId="0" xfId="1" applyFill="1" applyAlignment="1">
      <alignment horizontal="center"/>
    </xf>
    <xf numFmtId="0" fontId="3" fillId="2" borderId="0" xfId="1" applyFont="1" applyFill="1" applyAlignment="1">
      <alignment vertical="center"/>
    </xf>
    <xf numFmtId="0" fontId="3" fillId="2" borderId="0" xfId="1" applyFont="1" applyFill="1"/>
    <xf numFmtId="0" fontId="3" fillId="2" borderId="0" xfId="1" applyFont="1" applyFill="1" applyAlignment="1">
      <alignment horizontal="center"/>
    </xf>
    <xf numFmtId="0" fontId="15" fillId="2" borderId="25" xfId="1" applyFill="1" applyBorder="1" applyAlignment="1">
      <alignment horizontal="center" vertical="center"/>
    </xf>
    <xf numFmtId="0" fontId="15" fillId="2" borderId="25" xfId="1" applyFill="1" applyBorder="1" applyAlignment="1">
      <alignment horizontal="center" vertical="center" wrapText="1"/>
    </xf>
    <xf numFmtId="0" fontId="10" fillId="2" borderId="25" xfId="1" applyFont="1" applyFill="1" applyBorder="1" applyAlignment="1">
      <alignment horizontal="center" vertical="center"/>
    </xf>
    <xf numFmtId="0" fontId="10" fillId="2" borderId="25" xfId="1" applyFont="1" applyFill="1" applyBorder="1" applyAlignment="1">
      <alignment horizontal="center" vertical="center" wrapText="1"/>
    </xf>
    <xf numFmtId="0" fontId="15" fillId="0" borderId="0" xfId="1" applyAlignment="1">
      <alignment vertical="center"/>
    </xf>
    <xf numFmtId="0" fontId="6" fillId="2" borderId="0" xfId="1" applyFont="1" applyFill="1" applyAlignment="1">
      <alignment horizontal="center" vertical="center" wrapText="1"/>
    </xf>
    <xf numFmtId="0" fontId="15" fillId="2" borderId="27" xfId="1" applyFill="1" applyBorder="1" applyAlignment="1">
      <alignment horizontal="center" vertical="center" wrapText="1"/>
    </xf>
    <xf numFmtId="0" fontId="15" fillId="10" borderId="27" xfId="1" applyFill="1" applyBorder="1" applyAlignment="1">
      <alignment horizontal="center" vertical="center" wrapText="1"/>
    </xf>
    <xf numFmtId="0" fontId="9" fillId="2" borderId="27" xfId="1" applyFont="1" applyFill="1" applyBorder="1" applyAlignment="1">
      <alignment horizontal="center" vertical="center" wrapText="1"/>
    </xf>
    <xf numFmtId="0" fontId="9" fillId="0" borderId="27" xfId="1" applyFont="1" applyBorder="1" applyAlignment="1">
      <alignment horizontal="center" vertical="center" wrapText="1"/>
    </xf>
    <xf numFmtId="0" fontId="15" fillId="2" borderId="0" xfId="1" applyFill="1" applyAlignment="1">
      <alignment horizontal="center" vertical="center" wrapText="1"/>
    </xf>
    <xf numFmtId="0" fontId="0" fillId="11" borderId="0" xfId="0" applyFill="1"/>
    <xf numFmtId="0" fontId="0" fillId="7" borderId="0" xfId="0" applyFill="1"/>
    <xf numFmtId="0" fontId="0" fillId="12" borderId="0" xfId="0" applyFill="1"/>
    <xf numFmtId="0" fontId="3" fillId="0" borderId="0" xfId="0" applyFont="1"/>
    <xf numFmtId="0" fontId="13" fillId="2" borderId="22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164" fontId="0" fillId="2" borderId="13" xfId="0" applyNumberForma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164" fontId="0" fillId="2" borderId="22" xfId="0" applyNumberForma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3" fillId="2" borderId="13" xfId="0" applyNumberFormat="1" applyFont="1" applyFill="1" applyBorder="1" applyAlignment="1">
      <alignment horizontal="center" vertical="center" wrapText="1"/>
    </xf>
    <xf numFmtId="164" fontId="3" fillId="2" borderId="22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5" fillId="16" borderId="24" xfId="0" applyFont="1" applyFill="1" applyBorder="1" applyAlignment="1">
      <alignment horizontal="center" vertical="center"/>
    </xf>
    <xf numFmtId="0" fontId="5" fillId="21" borderId="22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5" borderId="22" xfId="0" applyFont="1" applyFill="1" applyBorder="1" applyAlignment="1">
      <alignment horizontal="center" vertical="center"/>
    </xf>
    <xf numFmtId="0" fontId="0" fillId="19" borderId="22" xfId="0" applyFill="1" applyBorder="1" applyAlignment="1">
      <alignment horizontal="center" vertical="center"/>
    </xf>
    <xf numFmtId="0" fontId="15" fillId="17" borderId="0" xfId="1" applyFill="1"/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13" borderId="3" xfId="0" applyFont="1" applyFill="1" applyBorder="1" applyAlignment="1">
      <alignment horizontal="center" vertical="center"/>
    </xf>
    <xf numFmtId="0" fontId="5" fillId="13" borderId="25" xfId="0" applyFont="1" applyFill="1" applyBorder="1" applyAlignment="1">
      <alignment horizontal="center" vertical="center"/>
    </xf>
    <xf numFmtId="0" fontId="5" fillId="13" borderId="18" xfId="0" applyFont="1" applyFill="1" applyBorder="1" applyAlignment="1">
      <alignment horizontal="center" vertical="center"/>
    </xf>
    <xf numFmtId="0" fontId="5" fillId="13" borderId="2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5" fillId="20" borderId="23" xfId="0" applyFont="1" applyFill="1" applyBorder="1" applyAlignment="1">
      <alignment horizontal="center" vertical="center"/>
    </xf>
    <xf numFmtId="0" fontId="5" fillId="20" borderId="24" xfId="0" applyFont="1" applyFill="1" applyBorder="1" applyAlignment="1">
      <alignment horizontal="center" vertical="center"/>
    </xf>
    <xf numFmtId="0" fontId="5" fillId="16" borderId="23" xfId="0" applyFont="1" applyFill="1" applyBorder="1" applyAlignment="1">
      <alignment horizontal="center" vertical="center"/>
    </xf>
    <xf numFmtId="0" fontId="5" fillId="16" borderId="24" xfId="0" applyFont="1" applyFill="1" applyBorder="1" applyAlignment="1">
      <alignment horizontal="center" vertical="center"/>
    </xf>
    <xf numFmtId="0" fontId="5" fillId="18" borderId="23" xfId="0" applyFont="1" applyFill="1" applyBorder="1" applyAlignment="1">
      <alignment horizontal="center" vertical="center"/>
    </xf>
    <xf numFmtId="0" fontId="5" fillId="18" borderId="2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1" fillId="2" borderId="16" xfId="1" applyFont="1" applyFill="1" applyBorder="1" applyAlignment="1">
      <alignment horizontal="center" vertical="center" wrapText="1"/>
    </xf>
    <xf numFmtId="0" fontId="11" fillId="2" borderId="17" xfId="1" applyFont="1" applyFill="1" applyBorder="1" applyAlignment="1">
      <alignment horizontal="center" vertical="center" wrapText="1"/>
    </xf>
    <xf numFmtId="0" fontId="11" fillId="2" borderId="21" xfId="1" applyFont="1" applyFill="1" applyBorder="1" applyAlignment="1">
      <alignment horizontal="center" vertical="center" wrapText="1"/>
    </xf>
    <xf numFmtId="0" fontId="12" fillId="2" borderId="16" xfId="1" applyFont="1" applyFill="1" applyBorder="1" applyAlignment="1">
      <alignment horizontal="center" vertical="center" wrapText="1"/>
    </xf>
    <xf numFmtId="0" fontId="12" fillId="2" borderId="2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 wrapText="1"/>
    </xf>
    <xf numFmtId="0" fontId="6" fillId="10" borderId="16" xfId="1" applyFont="1" applyFill="1" applyBorder="1" applyAlignment="1">
      <alignment horizontal="center" vertical="center" wrapText="1"/>
    </xf>
    <xf numFmtId="0" fontId="6" fillId="10" borderId="21" xfId="1" applyFont="1" applyFill="1" applyBorder="1" applyAlignment="1">
      <alignment horizontal="center" vertical="center" wrapText="1"/>
    </xf>
    <xf numFmtId="0" fontId="6" fillId="4" borderId="16" xfId="1" applyFont="1" applyFill="1" applyBorder="1" applyAlignment="1">
      <alignment horizontal="center" vertical="center" wrapText="1"/>
    </xf>
    <xf numFmtId="0" fontId="6" fillId="4" borderId="17" xfId="1" applyFont="1" applyFill="1" applyBorder="1" applyAlignment="1">
      <alignment horizontal="center" vertical="center" wrapText="1"/>
    </xf>
    <xf numFmtId="0" fontId="6" fillId="4" borderId="21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left"/>
    </xf>
    <xf numFmtId="0" fontId="4" fillId="2" borderId="2" xfId="1" applyFont="1" applyFill="1" applyBorder="1" applyAlignment="1">
      <alignment horizontal="center" vertical="center"/>
    </xf>
    <xf numFmtId="0" fontId="5" fillId="9" borderId="23" xfId="1" applyFont="1" applyFill="1" applyBorder="1" applyAlignment="1">
      <alignment horizontal="center" vertical="center"/>
    </xf>
    <xf numFmtId="0" fontId="5" fillId="9" borderId="24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25" xfId="1" applyFont="1" applyFill="1" applyBorder="1" applyAlignment="1">
      <alignment horizontal="center" vertical="center"/>
    </xf>
    <xf numFmtId="0" fontId="5" fillId="3" borderId="18" xfId="1" applyFont="1" applyFill="1" applyBorder="1" applyAlignment="1">
      <alignment horizontal="center" vertical="center"/>
    </xf>
    <xf numFmtId="0" fontId="5" fillId="3" borderId="26" xfId="1" applyFont="1" applyFill="1" applyBorder="1" applyAlignment="1">
      <alignment horizontal="center" vertical="center"/>
    </xf>
    <xf numFmtId="0" fontId="15" fillId="2" borderId="0" xfId="1" applyFill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right" vertical="center" wrapText="1"/>
    </xf>
    <xf numFmtId="0" fontId="9" fillId="2" borderId="17" xfId="0" applyFont="1" applyFill="1" applyBorder="1" applyAlignment="1">
      <alignment horizontal="right" vertical="center" wrapText="1"/>
    </xf>
    <xf numFmtId="0" fontId="9" fillId="2" borderId="21" xfId="0" applyFont="1" applyFill="1" applyBorder="1" applyAlignment="1">
      <alignment horizontal="righ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0</xdr:row>
      <xdr:rowOff>85724</xdr:rowOff>
    </xdr:from>
    <xdr:to>
      <xdr:col>4</xdr:col>
      <xdr:colOff>327758</xdr:colOff>
      <xdr:row>3</xdr:row>
      <xdr:rowOff>154598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6555" y="85090"/>
          <a:ext cx="755015" cy="61785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535842</xdr:colOff>
      <xdr:row>8</xdr:row>
      <xdr:rowOff>66186</xdr:rowOff>
    </xdr:from>
    <xdr:to>
      <xdr:col>0</xdr:col>
      <xdr:colOff>2458916</xdr:colOff>
      <xdr:row>10</xdr:row>
      <xdr:rowOff>11235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35305" y="1529080"/>
          <a:ext cx="1923415" cy="3105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MERCADO, BABY ALLEA S.</a:t>
          </a:r>
        </a:p>
      </xdr:txBody>
    </xdr:sp>
    <xdr:clientData/>
  </xdr:twoCellAnchor>
  <xdr:twoCellAnchor>
    <xdr:from>
      <xdr:col>0</xdr:col>
      <xdr:colOff>702408</xdr:colOff>
      <xdr:row>10</xdr:row>
      <xdr:rowOff>89632</xdr:rowOff>
    </xdr:from>
    <xdr:to>
      <xdr:col>1</xdr:col>
      <xdr:colOff>82307</xdr:colOff>
      <xdr:row>12</xdr:row>
      <xdr:rowOff>34680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02310" y="1918335"/>
          <a:ext cx="1946275" cy="3105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EPSVR</a:t>
          </a:r>
        </a:p>
      </xdr:txBody>
    </xdr:sp>
    <xdr:clientData/>
  </xdr:twoCellAnchor>
  <xdr:twoCellAnchor>
    <xdr:from>
      <xdr:col>2</xdr:col>
      <xdr:colOff>405668</xdr:colOff>
      <xdr:row>10</xdr:row>
      <xdr:rowOff>118941</xdr:rowOff>
    </xdr:from>
    <xdr:to>
      <xdr:col>4</xdr:col>
      <xdr:colOff>594946</xdr:colOff>
      <xdr:row>12</xdr:row>
      <xdr:rowOff>26134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657600" y="1947545"/>
          <a:ext cx="155067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SDO-CID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4</xdr:col>
      <xdr:colOff>839780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33190" y="28575"/>
          <a:ext cx="589915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560954</xdr:colOff>
      <xdr:row>20</xdr:row>
      <xdr:rowOff>201045</xdr:rowOff>
    </xdr:from>
    <xdr:to>
      <xdr:col>11</xdr:col>
      <xdr:colOff>380319</xdr:colOff>
      <xdr:row>22</xdr:row>
      <xdr:rowOff>115320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614795" y="4077335"/>
          <a:ext cx="317881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752475" y="2065020"/>
          <a:ext cx="10591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21</xdr:row>
      <xdr:rowOff>285750</xdr:rowOff>
    </xdr:from>
    <xdr:to>
      <xdr:col>9</xdr:col>
      <xdr:colOff>381000</xdr:colOff>
      <xdr:row>24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454525" y="6551295"/>
          <a:ext cx="3155315" cy="11658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600" baseline="0"/>
        </a:p>
        <a:p>
          <a:r>
            <a:rPr lang="en-US" sz="1100" b="1" baseline="0"/>
            <a:t>	</a:t>
          </a:r>
          <a:r>
            <a:rPr lang="en-US" sz="1200" b="1" u="sng" baseline="0">
              <a:latin typeface="+mn-lt"/>
            </a:rPr>
            <a:t>MA. LUISA B. CATIGAN</a:t>
          </a:r>
          <a:endParaRPr lang="en-US" sz="1100" b="1" u="sng" baseline="0">
            <a:latin typeface="+mn-lt"/>
          </a:endParaRPr>
        </a:p>
        <a:p>
          <a:r>
            <a:rPr lang="en-US" sz="1100" baseline="0"/>
            <a:t>	 Administrative Officer IV</a:t>
          </a:r>
        </a:p>
        <a:p>
          <a:r>
            <a:rPr lang="en-US" sz="1100" baseline="0"/>
            <a:t>	                  HRMO</a:t>
          </a:r>
          <a:endParaRPr lang="en-US" sz="1100"/>
        </a:p>
      </xdr:txBody>
    </xdr:sp>
    <xdr:clientData/>
  </xdr:twoCellAnchor>
  <xdr:twoCellAnchor editAs="oneCell">
    <xdr:from>
      <xdr:col>1</xdr:col>
      <xdr:colOff>1057275</xdr:colOff>
      <xdr:row>0</xdr:row>
      <xdr:rowOff>38407</xdr:rowOff>
    </xdr:from>
    <xdr:to>
      <xdr:col>2</xdr:col>
      <xdr:colOff>464731</xdr:colOff>
      <xdr:row>0</xdr:row>
      <xdr:rowOff>659683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22625" y="38100"/>
          <a:ext cx="699770" cy="62103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554891</xdr:colOff>
      <xdr:row>5</xdr:row>
      <xdr:rowOff>18561</xdr:rowOff>
    </xdr:from>
    <xdr:to>
      <xdr:col>1</xdr:col>
      <xdr:colOff>0</xdr:colOff>
      <xdr:row>7</xdr:row>
      <xdr:rowOff>11235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54355" y="1426210"/>
          <a:ext cx="161099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MERCADO, BABAY ALLEA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654783</xdr:colOff>
      <xdr:row>7</xdr:row>
      <xdr:rowOff>89632</xdr:rowOff>
    </xdr:from>
    <xdr:to>
      <xdr:col>1</xdr:col>
      <xdr:colOff>0</xdr:colOff>
      <xdr:row>11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654685" y="1754505"/>
          <a:ext cx="1510665" cy="577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EPSVR</a:t>
          </a:r>
        </a:p>
      </xdr:txBody>
    </xdr:sp>
    <xdr:clientData/>
  </xdr:twoCellAnchor>
  <xdr:twoCellAnchor>
    <xdr:from>
      <xdr:col>1</xdr:col>
      <xdr:colOff>0</xdr:colOff>
      <xdr:row>7</xdr:row>
      <xdr:rowOff>93234</xdr:rowOff>
    </xdr:from>
    <xdr:to>
      <xdr:col>2</xdr:col>
      <xdr:colOff>411178</xdr:colOff>
      <xdr:row>11</xdr:row>
      <xdr:rowOff>20928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2165350" y="1757680"/>
          <a:ext cx="1703705" cy="565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CID-SDO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"/>
  <sheetViews>
    <sheetView tabSelected="1" topLeftCell="A47" workbookViewId="0">
      <selection activeCell="K64" sqref="K64"/>
    </sheetView>
  </sheetViews>
  <sheetFormatPr defaultColWidth="9" defaultRowHeight="14.45"/>
  <cols>
    <col min="1" max="1" width="37.375" customWidth="1"/>
    <col min="2" max="2" width="10" style="41" customWidth="1"/>
    <col min="3" max="3" width="10.375" style="42" customWidth="1"/>
    <col min="4" max="4" width="9.375" style="41" customWidth="1"/>
    <col min="5" max="5" width="10" style="42" customWidth="1"/>
    <col min="6" max="6" width="10" style="43" customWidth="1"/>
    <col min="7" max="7" width="11.625" style="43" customWidth="1"/>
    <col min="8" max="8" width="11.625" style="41" customWidth="1"/>
    <col min="9" max="9" width="11.625" style="42" customWidth="1"/>
    <col min="10" max="10" width="10.375" style="44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7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7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7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7"/>
      <c r="K4" s="1"/>
    </row>
    <row r="5" spans="1:11">
      <c r="A5" s="79" t="s">
        <v>0</v>
      </c>
      <c r="B5" s="79"/>
      <c r="C5" s="79"/>
      <c r="D5" s="79"/>
      <c r="E5" s="79"/>
      <c r="F5" s="79"/>
      <c r="G5" s="79"/>
      <c r="H5" s="79"/>
      <c r="I5" s="79"/>
      <c r="J5" s="79"/>
      <c r="K5" s="1"/>
    </row>
    <row r="6" spans="1:11">
      <c r="A6" s="79" t="s">
        <v>1</v>
      </c>
      <c r="B6" s="79"/>
      <c r="C6" s="79"/>
      <c r="D6" s="79"/>
      <c r="E6" s="79"/>
      <c r="F6" s="79"/>
      <c r="G6" s="79"/>
      <c r="H6" s="79"/>
      <c r="I6" s="79"/>
      <c r="J6" s="79"/>
      <c r="K6" s="1"/>
    </row>
    <row r="7" spans="1:11">
      <c r="A7" s="79" t="s">
        <v>2</v>
      </c>
      <c r="B7" s="79"/>
      <c r="C7" s="79"/>
      <c r="D7" s="79"/>
      <c r="E7" s="79"/>
      <c r="F7" s="79"/>
      <c r="G7" s="79"/>
      <c r="H7" s="79"/>
      <c r="I7" s="79"/>
      <c r="J7" s="79"/>
      <c r="K7" s="1"/>
    </row>
    <row r="8" spans="1:11">
      <c r="A8" s="79" t="s">
        <v>3</v>
      </c>
      <c r="B8" s="79"/>
      <c r="C8" s="79"/>
      <c r="D8" s="79"/>
      <c r="E8" s="79"/>
      <c r="F8" s="79"/>
      <c r="G8" s="79"/>
      <c r="H8" s="79"/>
      <c r="I8" s="79"/>
      <c r="J8" s="79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7"/>
      <c r="K9" s="1"/>
    </row>
    <row r="10" spans="1:11">
      <c r="A10" s="1" t="s">
        <v>4</v>
      </c>
      <c r="B10" s="71" t="s">
        <v>5</v>
      </c>
      <c r="C10" s="71"/>
      <c r="D10" s="71"/>
      <c r="E10" s="1"/>
      <c r="F10" s="1"/>
      <c r="G10" s="1"/>
      <c r="H10" s="5" t="s">
        <v>6</v>
      </c>
      <c r="I10" s="6"/>
      <c r="J10" s="5"/>
      <c r="K10" s="1"/>
    </row>
    <row r="11" spans="1:11">
      <c r="A11" s="1"/>
      <c r="B11" s="7"/>
      <c r="C11" s="7"/>
      <c r="D11" s="1"/>
      <c r="E11" s="1"/>
      <c r="F11" s="1"/>
      <c r="G11" s="1"/>
      <c r="H11" s="7"/>
      <c r="I11" s="7"/>
      <c r="J11" s="7"/>
      <c r="K11" s="1"/>
    </row>
    <row r="12" spans="1:11">
      <c r="A12" s="1" t="s">
        <v>7</v>
      </c>
      <c r="B12" s="71" t="s">
        <v>8</v>
      </c>
      <c r="C12" s="71"/>
      <c r="D12" s="71"/>
      <c r="E12" s="1"/>
      <c r="F12" s="1"/>
      <c r="G12" s="1"/>
      <c r="H12" s="5" t="s">
        <v>9</v>
      </c>
      <c r="I12" s="8"/>
      <c r="J12" s="5"/>
      <c r="K12" s="1"/>
    </row>
    <row r="13" spans="1:11" ht="21.75">
      <c r="A13" s="72" t="s">
        <v>10</v>
      </c>
      <c r="B13" s="72"/>
      <c r="C13" s="72"/>
      <c r="D13" s="72"/>
      <c r="E13" s="72"/>
      <c r="F13" s="72"/>
      <c r="G13" s="72"/>
      <c r="H13" s="72"/>
      <c r="I13" s="72"/>
      <c r="J13" s="72"/>
    </row>
    <row r="14" spans="1:11">
      <c r="A14" s="67" t="s">
        <v>11</v>
      </c>
      <c r="B14" s="73" t="s">
        <v>12</v>
      </c>
      <c r="C14" s="74"/>
      <c r="D14" s="75" t="s">
        <v>13</v>
      </c>
      <c r="E14" s="76"/>
      <c r="F14" s="76"/>
      <c r="G14" s="59"/>
      <c r="H14" s="77" t="s">
        <v>14</v>
      </c>
      <c r="I14" s="78"/>
      <c r="J14" s="69" t="s">
        <v>15</v>
      </c>
      <c r="K14" s="2"/>
    </row>
    <row r="15" spans="1:11" ht="20.45">
      <c r="A15" s="68"/>
      <c r="B15" s="60" t="s">
        <v>16</v>
      </c>
      <c r="C15" s="61" t="s">
        <v>17</v>
      </c>
      <c r="D15" s="60" t="s">
        <v>16</v>
      </c>
      <c r="E15" s="61" t="s">
        <v>17</v>
      </c>
      <c r="F15" s="62" t="s">
        <v>18</v>
      </c>
      <c r="G15" s="45" t="s">
        <v>19</v>
      </c>
      <c r="H15" s="60" t="s">
        <v>16</v>
      </c>
      <c r="I15" s="61" t="s">
        <v>17</v>
      </c>
      <c r="J15" s="70"/>
      <c r="K15" s="2"/>
    </row>
    <row r="16" spans="1:11">
      <c r="A16" s="46" t="s">
        <v>20</v>
      </c>
      <c r="B16" s="47">
        <v>0.83299999999999996</v>
      </c>
      <c r="C16" s="47">
        <v>0.83299999999999996</v>
      </c>
      <c r="D16" s="47"/>
      <c r="E16" s="47"/>
      <c r="F16" s="47"/>
      <c r="G16" s="47"/>
      <c r="H16" s="47">
        <f>B16</f>
        <v>0.83299999999999996</v>
      </c>
      <c r="I16" s="47">
        <f>C16</f>
        <v>0.83299999999999996</v>
      </c>
      <c r="J16" s="56">
        <f t="shared" ref="J16:J17" si="0">H16+I16</f>
        <v>1.6659999999999999</v>
      </c>
      <c r="K16" s="2"/>
    </row>
    <row r="17" spans="1:11">
      <c r="A17" s="48" t="s">
        <v>21</v>
      </c>
      <c r="B17" s="49">
        <f>1.25*7</f>
        <v>8.75</v>
      </c>
      <c r="C17" s="49">
        <v>8.75</v>
      </c>
      <c r="D17" s="49"/>
      <c r="E17" s="49"/>
      <c r="F17" s="49"/>
      <c r="G17" s="49"/>
      <c r="H17" s="49">
        <f>H16-F17-D17+B17</f>
        <v>9.5830000000000002</v>
      </c>
      <c r="I17" s="49">
        <f>I16-E17+C17</f>
        <v>9.5830000000000002</v>
      </c>
      <c r="J17" s="57">
        <f t="shared" si="0"/>
        <v>19.166</v>
      </c>
      <c r="K17" s="3"/>
    </row>
    <row r="18" spans="1:11">
      <c r="A18" s="50" t="s">
        <v>22</v>
      </c>
      <c r="B18" s="50"/>
      <c r="C18" s="50"/>
      <c r="D18" s="50"/>
      <c r="E18" s="50"/>
      <c r="F18" s="49"/>
      <c r="G18" s="50">
        <v>1</v>
      </c>
      <c r="H18" s="49">
        <f t="shared" ref="H18:H19" si="1">H17-F18-D18+B18</f>
        <v>9.5830000000000002</v>
      </c>
      <c r="I18" s="49">
        <f t="shared" ref="I18:I19" si="2">I17-E18+C18</f>
        <v>9.5830000000000002</v>
      </c>
      <c r="J18" s="57">
        <f t="shared" ref="J18:J19" si="3">H18+I18</f>
        <v>19.166</v>
      </c>
    </row>
    <row r="19" spans="1:11">
      <c r="A19" s="50" t="s">
        <v>23</v>
      </c>
      <c r="B19" s="50"/>
      <c r="C19" s="50"/>
      <c r="D19" s="50"/>
      <c r="E19" s="49"/>
      <c r="F19" s="50">
        <v>2</v>
      </c>
      <c r="G19" s="50"/>
      <c r="H19" s="49">
        <f t="shared" si="1"/>
        <v>7.5830000000000002</v>
      </c>
      <c r="I19" s="49">
        <f t="shared" si="2"/>
        <v>9.5830000000000002</v>
      </c>
      <c r="J19" s="57">
        <f t="shared" si="3"/>
        <v>17.166</v>
      </c>
    </row>
    <row r="20" spans="1:11">
      <c r="A20" s="50" t="s">
        <v>24</v>
      </c>
      <c r="B20" s="49"/>
      <c r="C20" s="49"/>
      <c r="D20" s="50"/>
      <c r="E20" s="50"/>
      <c r="F20" s="50"/>
      <c r="G20" s="50">
        <v>1</v>
      </c>
      <c r="H20" s="49">
        <f t="shared" ref="H20" si="4">H19-F20-D20+B20</f>
        <v>7.5830000000000002</v>
      </c>
      <c r="I20" s="49">
        <f t="shared" ref="I20" si="5">I19-E20+C20</f>
        <v>9.5830000000000002</v>
      </c>
      <c r="J20" s="57">
        <f t="shared" ref="J20" si="6">H20+I20</f>
        <v>17.166</v>
      </c>
    </row>
    <row r="21" spans="1:11">
      <c r="A21" s="50" t="s">
        <v>25</v>
      </c>
      <c r="B21" s="50"/>
      <c r="C21" s="50"/>
      <c r="D21" s="50"/>
      <c r="E21" s="49"/>
      <c r="F21" s="50">
        <v>2</v>
      </c>
      <c r="G21" s="50"/>
      <c r="H21" s="49">
        <f t="shared" ref="H21" si="7">H20-F21-D21+B21</f>
        <v>5.5830000000000002</v>
      </c>
      <c r="I21" s="49">
        <f t="shared" ref="I21" si="8">I20-E21+C21</f>
        <v>9.5830000000000002</v>
      </c>
      <c r="J21" s="57">
        <f t="shared" ref="J21" si="9">H21+I21</f>
        <v>15.166</v>
      </c>
    </row>
    <row r="22" spans="1:11">
      <c r="A22" s="50" t="s">
        <v>26</v>
      </c>
      <c r="B22" s="50">
        <v>1.25</v>
      </c>
      <c r="C22" s="50">
        <v>1.25</v>
      </c>
      <c r="D22" s="50"/>
      <c r="E22" s="49"/>
      <c r="F22" s="50"/>
      <c r="G22" s="50"/>
      <c r="H22" s="49">
        <f t="shared" ref="H22" si="10">H21-F22-D22+B22</f>
        <v>6.8330000000000002</v>
      </c>
      <c r="I22" s="49">
        <f t="shared" ref="I22" si="11">I21-E22+C22</f>
        <v>10.833</v>
      </c>
      <c r="J22" s="57">
        <f t="shared" ref="J22" si="12">H22+I22</f>
        <v>17.666</v>
      </c>
    </row>
    <row r="23" spans="1:11">
      <c r="A23" s="50" t="s">
        <v>27</v>
      </c>
      <c r="B23" s="50"/>
      <c r="C23" s="50"/>
      <c r="D23" s="50"/>
      <c r="E23" s="49"/>
      <c r="F23" s="50">
        <v>1</v>
      </c>
      <c r="G23" s="50"/>
      <c r="H23" s="49">
        <f t="shared" ref="H23:H49" si="13">H22-F23-D23+B23</f>
        <v>5.8330000000000002</v>
      </c>
      <c r="I23" s="49">
        <f t="shared" ref="I23:I49" si="14">I22-E23+C23</f>
        <v>10.833</v>
      </c>
      <c r="J23" s="57">
        <f t="shared" ref="J23:J49" si="15">H23+I23</f>
        <v>16.666</v>
      </c>
    </row>
    <row r="24" spans="1:11">
      <c r="A24" s="50" t="s">
        <v>28</v>
      </c>
      <c r="B24" s="50">
        <v>2.5</v>
      </c>
      <c r="C24" s="50">
        <v>2.5</v>
      </c>
      <c r="D24" s="50"/>
      <c r="E24" s="49"/>
      <c r="F24" s="50"/>
      <c r="G24" s="50"/>
      <c r="H24" s="49">
        <f t="shared" si="13"/>
        <v>8.3330000000000002</v>
      </c>
      <c r="I24" s="49">
        <f t="shared" si="14"/>
        <v>13.333</v>
      </c>
      <c r="J24" s="57">
        <f t="shared" si="15"/>
        <v>21.666</v>
      </c>
    </row>
    <row r="25" spans="1:11">
      <c r="A25" s="50" t="s">
        <v>29</v>
      </c>
      <c r="B25" s="50"/>
      <c r="C25" s="50"/>
      <c r="D25" s="50"/>
      <c r="E25" s="49"/>
      <c r="F25" s="50"/>
      <c r="G25" s="51">
        <v>1</v>
      </c>
      <c r="H25" s="49">
        <f t="shared" si="13"/>
        <v>8.3330000000000002</v>
      </c>
      <c r="I25" s="49">
        <f t="shared" si="14"/>
        <v>13.333</v>
      </c>
      <c r="J25" s="57">
        <f t="shared" si="15"/>
        <v>21.666</v>
      </c>
    </row>
    <row r="26" spans="1:11">
      <c r="A26" s="50" t="s">
        <v>30</v>
      </c>
      <c r="B26" s="50">
        <v>5</v>
      </c>
      <c r="C26" s="50">
        <v>5</v>
      </c>
      <c r="D26" s="50"/>
      <c r="E26" s="49"/>
      <c r="F26" s="51"/>
      <c r="G26" s="51"/>
      <c r="H26" s="49">
        <f t="shared" si="13"/>
        <v>13.333</v>
      </c>
      <c r="I26" s="49">
        <f t="shared" si="14"/>
        <v>18.332999999999998</v>
      </c>
      <c r="J26" s="57">
        <f t="shared" si="15"/>
        <v>31.666</v>
      </c>
    </row>
    <row r="27" spans="1:11">
      <c r="A27" s="50" t="s">
        <v>31</v>
      </c>
      <c r="B27" s="50"/>
      <c r="C27" s="50"/>
      <c r="D27" s="50"/>
      <c r="E27" s="49"/>
      <c r="F27" s="51">
        <v>2</v>
      </c>
      <c r="G27" s="51"/>
      <c r="H27" s="49">
        <f t="shared" si="13"/>
        <v>11.333</v>
      </c>
      <c r="I27" s="49">
        <f t="shared" si="14"/>
        <v>18.332999999999998</v>
      </c>
      <c r="J27" s="57">
        <f t="shared" si="15"/>
        <v>29.666</v>
      </c>
    </row>
    <row r="28" spans="1:11">
      <c r="A28" s="51" t="s">
        <v>32</v>
      </c>
      <c r="B28" s="51">
        <v>2.5</v>
      </c>
      <c r="C28" s="51">
        <v>2.5</v>
      </c>
      <c r="D28" s="51"/>
      <c r="E28" s="52"/>
      <c r="F28" s="51"/>
      <c r="G28" s="51"/>
      <c r="H28" s="49">
        <f t="shared" si="13"/>
        <v>13.833</v>
      </c>
      <c r="I28" s="49">
        <f t="shared" si="14"/>
        <v>20.832999999999998</v>
      </c>
      <c r="J28" s="57">
        <f t="shared" si="15"/>
        <v>34.665999999999997</v>
      </c>
    </row>
    <row r="29" spans="1:11">
      <c r="A29" s="51" t="s">
        <v>33</v>
      </c>
      <c r="B29" s="51"/>
      <c r="C29" s="51"/>
      <c r="D29" s="51"/>
      <c r="E29" s="52"/>
      <c r="F29" s="51">
        <v>1</v>
      </c>
      <c r="G29" s="51"/>
      <c r="H29" s="49">
        <f t="shared" si="13"/>
        <v>12.833</v>
      </c>
      <c r="I29" s="49">
        <f t="shared" si="14"/>
        <v>20.832999999999998</v>
      </c>
      <c r="J29" s="57">
        <f t="shared" si="15"/>
        <v>33.665999999999997</v>
      </c>
    </row>
    <row r="30" spans="1:11">
      <c r="A30" s="51" t="s">
        <v>34</v>
      </c>
      <c r="B30" s="51"/>
      <c r="C30" s="51"/>
      <c r="D30" s="51"/>
      <c r="E30" s="52"/>
      <c r="F30" s="51">
        <v>1</v>
      </c>
      <c r="G30" s="51"/>
      <c r="H30" s="49">
        <f t="shared" si="13"/>
        <v>11.833</v>
      </c>
      <c r="I30" s="49">
        <f t="shared" si="14"/>
        <v>20.832999999999998</v>
      </c>
      <c r="J30" s="57">
        <f t="shared" si="15"/>
        <v>32.665999999999997</v>
      </c>
    </row>
    <row r="31" spans="1:11">
      <c r="A31" s="51" t="s">
        <v>35</v>
      </c>
      <c r="B31" s="51">
        <v>1.25</v>
      </c>
      <c r="C31" s="51">
        <v>1.25</v>
      </c>
      <c r="D31" s="51"/>
      <c r="E31" s="52"/>
      <c r="F31" s="51"/>
      <c r="G31" s="51"/>
      <c r="H31" s="49">
        <f t="shared" si="13"/>
        <v>13.083</v>
      </c>
      <c r="I31" s="49">
        <f t="shared" si="14"/>
        <v>22.082999999999998</v>
      </c>
      <c r="J31" s="57">
        <f t="shared" si="15"/>
        <v>35.165999999999997</v>
      </c>
    </row>
    <row r="32" spans="1:11">
      <c r="A32" s="51" t="s">
        <v>36</v>
      </c>
      <c r="B32" s="51"/>
      <c r="C32" s="51"/>
      <c r="D32" s="51"/>
      <c r="E32" s="52"/>
      <c r="F32" s="51"/>
      <c r="G32" s="51">
        <v>1</v>
      </c>
      <c r="H32" s="49">
        <f t="shared" si="13"/>
        <v>13.083</v>
      </c>
      <c r="I32" s="49">
        <f t="shared" si="14"/>
        <v>22.082999999999998</v>
      </c>
      <c r="J32" s="57">
        <f t="shared" si="15"/>
        <v>35.165999999999997</v>
      </c>
    </row>
    <row r="33" spans="1:10">
      <c r="A33" s="51" t="s">
        <v>37</v>
      </c>
      <c r="B33" s="51">
        <v>1.25</v>
      </c>
      <c r="C33" s="51">
        <v>1.25</v>
      </c>
      <c r="D33" s="51"/>
      <c r="E33" s="52"/>
      <c r="F33" s="51"/>
      <c r="G33" s="51"/>
      <c r="H33" s="49">
        <f t="shared" si="13"/>
        <v>14.333</v>
      </c>
      <c r="I33" s="49">
        <f t="shared" si="14"/>
        <v>23.332999999999998</v>
      </c>
      <c r="J33" s="57">
        <f t="shared" si="15"/>
        <v>37.665999999999997</v>
      </c>
    </row>
    <row r="34" spans="1:10">
      <c r="A34" s="51" t="s">
        <v>38</v>
      </c>
      <c r="B34" s="51"/>
      <c r="C34" s="51"/>
      <c r="D34" s="51"/>
      <c r="E34" s="52">
        <v>1</v>
      </c>
      <c r="F34" s="51"/>
      <c r="G34" s="51"/>
      <c r="H34" s="49">
        <f t="shared" si="13"/>
        <v>14.333</v>
      </c>
      <c r="I34" s="49">
        <f t="shared" si="14"/>
        <v>22.332999999999998</v>
      </c>
      <c r="J34" s="57">
        <f t="shared" si="15"/>
        <v>36.665999999999997</v>
      </c>
    </row>
    <row r="35" spans="1:10">
      <c r="A35" s="51" t="s">
        <v>39</v>
      </c>
      <c r="B35" s="51"/>
      <c r="C35" s="51"/>
      <c r="D35" s="51"/>
      <c r="E35" s="52"/>
      <c r="F35" s="51"/>
      <c r="G35" s="51">
        <v>1</v>
      </c>
      <c r="H35" s="49">
        <f t="shared" si="13"/>
        <v>14.333</v>
      </c>
      <c r="I35" s="49">
        <f t="shared" si="14"/>
        <v>22.332999999999998</v>
      </c>
      <c r="J35" s="57">
        <f t="shared" si="15"/>
        <v>36.665999999999997</v>
      </c>
    </row>
    <row r="36" spans="1:10">
      <c r="A36" s="51" t="s">
        <v>40</v>
      </c>
      <c r="B36" s="51">
        <v>1.25</v>
      </c>
      <c r="C36" s="51">
        <v>1.25</v>
      </c>
      <c r="D36" s="51"/>
      <c r="E36" s="52"/>
      <c r="F36" s="51"/>
      <c r="G36" s="51"/>
      <c r="H36" s="49">
        <f t="shared" si="13"/>
        <v>15.583</v>
      </c>
      <c r="I36" s="49">
        <f t="shared" si="14"/>
        <v>23.582999999999998</v>
      </c>
      <c r="J36" s="57">
        <f t="shared" si="15"/>
        <v>39.165999999999997</v>
      </c>
    </row>
    <row r="37" spans="1:10">
      <c r="A37" s="51" t="s">
        <v>41</v>
      </c>
      <c r="B37" s="51"/>
      <c r="C37" s="51"/>
      <c r="D37" s="51">
        <v>10</v>
      </c>
      <c r="E37" s="52"/>
      <c r="F37" s="51"/>
      <c r="G37" s="51"/>
      <c r="H37" s="49">
        <f t="shared" si="13"/>
        <v>5.5830000000000002</v>
      </c>
      <c r="I37" s="49">
        <f t="shared" si="14"/>
        <v>23.582999999999998</v>
      </c>
      <c r="J37" s="57">
        <f t="shared" si="15"/>
        <v>29.166</v>
      </c>
    </row>
    <row r="38" spans="1:10">
      <c r="A38" s="51" t="s">
        <v>42</v>
      </c>
      <c r="B38" s="51">
        <v>1.25</v>
      </c>
      <c r="C38" s="51">
        <v>1.25</v>
      </c>
      <c r="D38" s="51"/>
      <c r="E38" s="52"/>
      <c r="F38" s="51"/>
      <c r="G38" s="51"/>
      <c r="H38" s="49">
        <f t="shared" si="13"/>
        <v>6.8330000000000002</v>
      </c>
      <c r="I38" s="49">
        <f t="shared" si="14"/>
        <v>24.832999999999998</v>
      </c>
      <c r="J38" s="57">
        <f t="shared" si="15"/>
        <v>31.666</v>
      </c>
    </row>
    <row r="39" spans="1:10">
      <c r="A39" s="51" t="s">
        <v>43</v>
      </c>
      <c r="B39" s="51"/>
      <c r="C39" s="51"/>
      <c r="D39" s="51"/>
      <c r="E39" s="52"/>
      <c r="F39" s="51">
        <v>1</v>
      </c>
      <c r="G39" s="51"/>
      <c r="H39" s="49">
        <f t="shared" si="13"/>
        <v>5.8330000000000002</v>
      </c>
      <c r="I39" s="49">
        <f t="shared" si="14"/>
        <v>24.832999999999998</v>
      </c>
      <c r="J39" s="57">
        <f t="shared" si="15"/>
        <v>30.666</v>
      </c>
    </row>
    <row r="40" spans="1:10">
      <c r="A40" s="51" t="s">
        <v>44</v>
      </c>
      <c r="B40" s="51"/>
      <c r="C40" s="51"/>
      <c r="D40" s="51"/>
      <c r="E40" s="52">
        <v>2</v>
      </c>
      <c r="F40" s="51"/>
      <c r="G40" s="51"/>
      <c r="H40" s="49">
        <f t="shared" si="13"/>
        <v>5.8330000000000002</v>
      </c>
      <c r="I40" s="49">
        <f t="shared" si="14"/>
        <v>22.832999999999998</v>
      </c>
      <c r="J40" s="57">
        <f t="shared" si="15"/>
        <v>28.666</v>
      </c>
    </row>
    <row r="41" spans="1:10">
      <c r="A41" s="51" t="s">
        <v>45</v>
      </c>
      <c r="B41" s="51"/>
      <c r="C41" s="51"/>
      <c r="D41" s="51"/>
      <c r="E41" s="52">
        <v>1</v>
      </c>
      <c r="F41" s="51"/>
      <c r="G41" s="51"/>
      <c r="H41" s="49">
        <f t="shared" si="13"/>
        <v>5.8330000000000002</v>
      </c>
      <c r="I41" s="49">
        <f t="shared" si="14"/>
        <v>21.832999999999998</v>
      </c>
      <c r="J41" s="57">
        <f t="shared" si="15"/>
        <v>27.666</v>
      </c>
    </row>
    <row r="42" spans="1:10">
      <c r="A42" s="51" t="s">
        <v>46</v>
      </c>
      <c r="B42" s="51">
        <v>3.75</v>
      </c>
      <c r="C42" s="51">
        <v>3.75</v>
      </c>
      <c r="D42" s="51"/>
      <c r="E42" s="52"/>
      <c r="F42" s="51"/>
      <c r="G42" s="51"/>
      <c r="H42" s="49">
        <f t="shared" si="13"/>
        <v>9.5830000000000002</v>
      </c>
      <c r="I42" s="49">
        <f t="shared" si="14"/>
        <v>25.582999999999998</v>
      </c>
      <c r="J42" s="57">
        <f t="shared" si="15"/>
        <v>35.165999999999997</v>
      </c>
    </row>
    <row r="43" spans="1:10">
      <c r="A43" s="51" t="s">
        <v>47</v>
      </c>
      <c r="B43" s="51"/>
      <c r="C43" s="51"/>
      <c r="D43" s="51"/>
      <c r="E43" s="52">
        <v>1</v>
      </c>
      <c r="F43" s="51"/>
      <c r="G43" s="51"/>
      <c r="H43" s="49">
        <f t="shared" si="13"/>
        <v>9.5830000000000002</v>
      </c>
      <c r="I43" s="49">
        <f t="shared" si="14"/>
        <v>24.582999999999998</v>
      </c>
      <c r="J43" s="57">
        <f t="shared" si="15"/>
        <v>34.165999999999997</v>
      </c>
    </row>
    <row r="44" spans="1:10">
      <c r="A44" s="51" t="s">
        <v>48</v>
      </c>
      <c r="B44" s="51">
        <v>1.25</v>
      </c>
      <c r="C44" s="51">
        <v>1.25</v>
      </c>
      <c r="D44" s="51"/>
      <c r="E44" s="52"/>
      <c r="F44" s="51"/>
      <c r="G44" s="51"/>
      <c r="H44" s="49">
        <f t="shared" si="13"/>
        <v>10.833</v>
      </c>
      <c r="I44" s="49">
        <f t="shared" si="14"/>
        <v>25.832999999999998</v>
      </c>
      <c r="J44" s="57">
        <f t="shared" si="15"/>
        <v>36.665999999999997</v>
      </c>
    </row>
    <row r="45" spans="1:10">
      <c r="A45" s="51" t="s">
        <v>49</v>
      </c>
      <c r="B45" s="51"/>
      <c r="C45" s="51"/>
      <c r="D45" s="51"/>
      <c r="E45" s="52">
        <v>1</v>
      </c>
      <c r="F45" s="51"/>
      <c r="G45" s="51"/>
      <c r="H45" s="49">
        <f t="shared" si="13"/>
        <v>10.833</v>
      </c>
      <c r="I45" s="49">
        <f t="shared" si="14"/>
        <v>24.832999999999998</v>
      </c>
      <c r="J45" s="57">
        <f t="shared" si="15"/>
        <v>35.665999999999997</v>
      </c>
    </row>
    <row r="46" spans="1:10">
      <c r="A46" s="51" t="s">
        <v>50</v>
      </c>
      <c r="B46" s="51"/>
      <c r="C46" s="51"/>
      <c r="D46" s="51"/>
      <c r="E46" s="52">
        <v>1</v>
      </c>
      <c r="F46" s="51"/>
      <c r="G46" s="51"/>
      <c r="H46" s="49">
        <f t="shared" si="13"/>
        <v>10.833</v>
      </c>
      <c r="I46" s="49">
        <f t="shared" si="14"/>
        <v>23.832999999999998</v>
      </c>
      <c r="J46" s="57">
        <f t="shared" si="15"/>
        <v>34.665999999999997</v>
      </c>
    </row>
    <row r="47" spans="1:10" ht="49.5" customHeight="1">
      <c r="A47" s="53" t="s">
        <v>51</v>
      </c>
      <c r="B47" s="51">
        <v>1.0860000000000001</v>
      </c>
      <c r="C47" s="51">
        <v>1.0860000000000001</v>
      </c>
      <c r="D47" s="51"/>
      <c r="E47" s="52"/>
      <c r="F47" s="51"/>
      <c r="G47" s="51"/>
      <c r="H47" s="49">
        <f t="shared" si="13"/>
        <v>11.919</v>
      </c>
      <c r="I47" s="49">
        <f t="shared" si="14"/>
        <v>24.919</v>
      </c>
      <c r="J47" s="57">
        <f t="shared" si="15"/>
        <v>36.838000000000001</v>
      </c>
    </row>
    <row r="48" spans="1:10" ht="24.75" customHeight="1">
      <c r="A48" s="53" t="s">
        <v>52</v>
      </c>
      <c r="B48" s="51">
        <v>2.5</v>
      </c>
      <c r="C48" s="51">
        <v>2.5</v>
      </c>
      <c r="D48" s="51"/>
      <c r="E48" s="52"/>
      <c r="F48" s="51"/>
      <c r="G48" s="51"/>
      <c r="H48" s="49">
        <f t="shared" si="13"/>
        <v>14.419</v>
      </c>
      <c r="I48" s="49">
        <f t="shared" si="14"/>
        <v>27.419</v>
      </c>
      <c r="J48" s="57">
        <f t="shared" si="15"/>
        <v>41.838000000000001</v>
      </c>
    </row>
    <row r="49" spans="1:11" ht="24.75" customHeight="1">
      <c r="A49" s="53" t="s">
        <v>53</v>
      </c>
      <c r="B49" s="51"/>
      <c r="C49" s="51"/>
      <c r="D49" s="51">
        <v>9.4190000000000005</v>
      </c>
      <c r="E49" s="52">
        <v>20.581</v>
      </c>
      <c r="F49" s="51"/>
      <c r="G49" s="51"/>
      <c r="H49" s="49">
        <f t="shared" si="13"/>
        <v>5</v>
      </c>
      <c r="I49" s="49">
        <f t="shared" si="14"/>
        <v>6.8380000000000001</v>
      </c>
      <c r="J49" s="57">
        <f t="shared" si="15"/>
        <v>11.837999999999999</v>
      </c>
    </row>
    <row r="50" spans="1:11" ht="21" customHeight="1">
      <c r="A50" s="53" t="s">
        <v>54</v>
      </c>
      <c r="B50" s="51"/>
      <c r="C50" s="51"/>
      <c r="D50" s="51"/>
      <c r="E50" s="52"/>
      <c r="F50" s="51"/>
      <c r="G50" s="63">
        <v>1</v>
      </c>
      <c r="H50" s="49">
        <f t="shared" ref="H50" si="16">H49-F50-D50+B50</f>
        <v>5</v>
      </c>
      <c r="I50" s="49">
        <f t="shared" ref="I50" si="17">I49-E50+C50</f>
        <v>6.8380000000000001</v>
      </c>
      <c r="J50" s="57">
        <f t="shared" ref="J50" si="18">H50+I50</f>
        <v>11.837999999999999</v>
      </c>
    </row>
    <row r="51" spans="1:11" ht="21" customHeight="1">
      <c r="A51" s="53" t="s">
        <v>55</v>
      </c>
      <c r="B51" s="51">
        <v>1.25</v>
      </c>
      <c r="C51" s="51">
        <v>1.25</v>
      </c>
      <c r="D51" s="51"/>
      <c r="E51" s="52"/>
      <c r="F51" s="51"/>
      <c r="G51" s="51"/>
      <c r="H51" s="49">
        <f t="shared" ref="H51:H52" si="19">H50-F51-D51+B51</f>
        <v>6.25</v>
      </c>
      <c r="I51" s="49">
        <f t="shared" ref="I51:I52" si="20">I50-E51+C51</f>
        <v>8.0879999999999992</v>
      </c>
      <c r="J51" s="57">
        <f t="shared" ref="J51:J52" si="21">H51+I51</f>
        <v>14.337999999999999</v>
      </c>
    </row>
    <row r="52" spans="1:11" ht="21" customHeight="1">
      <c r="A52" s="53" t="s">
        <v>56</v>
      </c>
      <c r="B52" s="51"/>
      <c r="C52" s="51"/>
      <c r="D52" s="51"/>
      <c r="E52" s="52">
        <v>1</v>
      </c>
      <c r="F52" s="51"/>
      <c r="G52" s="51"/>
      <c r="H52" s="49">
        <f t="shared" si="19"/>
        <v>6.25</v>
      </c>
      <c r="I52" s="49">
        <f t="shared" si="20"/>
        <v>7.0880000000000001</v>
      </c>
      <c r="J52" s="57">
        <f t="shared" si="21"/>
        <v>13.337999999999999</v>
      </c>
    </row>
    <row r="53" spans="1:11" ht="21" customHeight="1">
      <c r="A53" s="53" t="s">
        <v>57</v>
      </c>
      <c r="B53" s="51">
        <v>3.75</v>
      </c>
      <c r="C53" s="51">
        <v>3.75</v>
      </c>
      <c r="D53" s="51"/>
      <c r="E53" s="52"/>
      <c r="F53" s="51"/>
      <c r="G53" s="51"/>
      <c r="H53" s="49">
        <f t="shared" ref="H53" si="22">H52-F53-D53+B53</f>
        <v>10</v>
      </c>
      <c r="I53" s="49">
        <f t="shared" ref="I53" si="23">I52-E53+C53</f>
        <v>10.837999999999999</v>
      </c>
      <c r="J53" s="57">
        <f t="shared" ref="J53" si="24">H53+I53</f>
        <v>20.838000000000001</v>
      </c>
    </row>
    <row r="54" spans="1:11" ht="19.5" customHeight="1">
      <c r="A54" s="53" t="s">
        <v>58</v>
      </c>
      <c r="B54" s="51"/>
      <c r="C54" s="51"/>
      <c r="D54" s="51"/>
      <c r="E54" s="52"/>
      <c r="F54" s="54">
        <v>5</v>
      </c>
      <c r="G54" s="51"/>
      <c r="H54" s="49">
        <f t="shared" ref="H54" si="25">H53-F54-D54+B54</f>
        <v>5</v>
      </c>
      <c r="I54" s="49">
        <f t="shared" ref="I54" si="26">I53-E54+C54</f>
        <v>10.837999999999999</v>
      </c>
      <c r="J54" s="57">
        <f t="shared" ref="J54" si="27">H54+I54</f>
        <v>15.837999999999999</v>
      </c>
    </row>
    <row r="55" spans="1:11" ht="21" customHeight="1">
      <c r="A55" s="51" t="s">
        <v>59</v>
      </c>
      <c r="B55" s="51"/>
      <c r="C55" s="51"/>
      <c r="D55" s="51"/>
      <c r="E55" s="52"/>
      <c r="F55" s="51"/>
      <c r="G55" s="63">
        <v>2</v>
      </c>
      <c r="H55" s="49">
        <f t="shared" ref="H55" si="28">H54-F55-D55+B55</f>
        <v>5</v>
      </c>
      <c r="I55" s="49">
        <f t="shared" ref="I55" si="29">I54-E55+C55</f>
        <v>10.837999999999999</v>
      </c>
      <c r="J55" s="57">
        <f t="shared" ref="J55" si="30">H55+I55</f>
        <v>15.837999999999999</v>
      </c>
    </row>
    <row r="56" spans="1:11" ht="21" customHeight="1">
      <c r="A56" s="51" t="s">
        <v>60</v>
      </c>
      <c r="B56" s="51">
        <v>1.25</v>
      </c>
      <c r="C56" s="51">
        <v>1.25</v>
      </c>
      <c r="D56" s="51"/>
      <c r="E56" s="52"/>
      <c r="F56" s="51"/>
      <c r="G56" s="51"/>
      <c r="H56" s="49">
        <f>H55-F56-D56+B56</f>
        <v>6.25</v>
      </c>
      <c r="I56" s="49">
        <f>I55-E56+C56</f>
        <v>12.087999999999999</v>
      </c>
      <c r="J56" s="57">
        <f>H56+I56</f>
        <v>18.338000000000001</v>
      </c>
    </row>
    <row r="57" spans="1:11" ht="21" customHeight="1">
      <c r="A57" s="51" t="s">
        <v>61</v>
      </c>
      <c r="B57" s="51">
        <v>2</v>
      </c>
      <c r="C57" s="51"/>
      <c r="D57" s="51"/>
      <c r="E57" s="52"/>
      <c r="F57" s="51"/>
      <c r="G57" s="51"/>
      <c r="H57" s="49">
        <f>H56-F57-D57+B57</f>
        <v>8.25</v>
      </c>
      <c r="I57" s="49">
        <f>I56-E57+C57</f>
        <v>12.087999999999999</v>
      </c>
      <c r="J57" s="57">
        <f>H57+I57</f>
        <v>20.338000000000001</v>
      </c>
    </row>
    <row r="58" spans="1:11">
      <c r="A58" s="1"/>
      <c r="B58" s="1"/>
      <c r="C58" s="1"/>
      <c r="D58" s="1"/>
      <c r="E58" s="1"/>
      <c r="F58" s="1"/>
      <c r="G58" s="1"/>
      <c r="H58" s="55"/>
      <c r="I58" s="55"/>
      <c r="J58" s="58"/>
      <c r="K58" s="1"/>
    </row>
    <row r="59" spans="1:11">
      <c r="A59" s="1"/>
      <c r="B59" s="1"/>
      <c r="C59" s="1"/>
      <c r="D59" s="1"/>
      <c r="E59" s="1"/>
      <c r="F59" s="1"/>
      <c r="G59" s="1" t="s">
        <v>62</v>
      </c>
      <c r="H59" s="55"/>
      <c r="I59" s="55"/>
      <c r="J59" s="58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7"/>
      <c r="K60" s="1"/>
    </row>
    <row r="61" spans="1:11">
      <c r="B61" s="1"/>
      <c r="C61" s="1"/>
      <c r="D61" s="1"/>
      <c r="E61" s="1"/>
      <c r="F61" s="1"/>
      <c r="G61" s="1"/>
      <c r="H61" s="65" t="s">
        <v>63</v>
      </c>
      <c r="I61" s="65"/>
      <c r="J61" s="7"/>
      <c r="K61" s="1"/>
    </row>
    <row r="62" spans="1:11">
      <c r="B62" s="1"/>
      <c r="C62" s="1"/>
      <c r="D62" s="1"/>
      <c r="E62" s="1"/>
      <c r="F62" s="1"/>
      <c r="G62" s="1"/>
      <c r="H62" s="66" t="s">
        <v>64</v>
      </c>
      <c r="I62" s="66"/>
      <c r="J62" s="7"/>
      <c r="K62" s="1"/>
    </row>
    <row r="63" spans="1:11">
      <c r="B63" s="1"/>
      <c r="C63" s="1"/>
      <c r="D63" s="1"/>
      <c r="E63" s="1"/>
      <c r="F63" s="1"/>
      <c r="G63" s="1"/>
      <c r="H63" s="66" t="s">
        <v>65</v>
      </c>
      <c r="I63" s="66"/>
      <c r="J63" s="7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7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7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7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7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7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7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7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7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7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7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7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7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7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7"/>
      <c r="K77" s="1"/>
    </row>
  </sheetData>
  <mergeCells count="15">
    <mergeCell ref="A5:J5"/>
    <mergeCell ref="A6:J6"/>
    <mergeCell ref="A7:J7"/>
    <mergeCell ref="A8:J8"/>
    <mergeCell ref="B10:D10"/>
    <mergeCell ref="B12:D12"/>
    <mergeCell ref="A13:J13"/>
    <mergeCell ref="B14:C14"/>
    <mergeCell ref="D14:F14"/>
    <mergeCell ref="H14:I14"/>
    <mergeCell ref="H61:I61"/>
    <mergeCell ref="H62:I62"/>
    <mergeCell ref="H63:I63"/>
    <mergeCell ref="A14:A15"/>
    <mergeCell ref="J14:J15"/>
  </mergeCells>
  <printOptions horizontalCentered="1"/>
  <pageMargins left="0.27559055118110198" right="0.196850393700787" top="0.35433070866141703" bottom="0.35433070866141703" header="0.31496062992126" footer="0.31496062992126"/>
  <pageSetup paperSize="9" scale="70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5"/>
  <sheetViews>
    <sheetView view="pageBreakPreview" zoomScale="112" zoomScaleNormal="100" workbookViewId="0">
      <selection activeCell="B19" sqref="B19:E19"/>
    </sheetView>
  </sheetViews>
  <sheetFormatPr defaultColWidth="9" defaultRowHeight="14.45"/>
  <cols>
    <col min="1" max="1" width="26" style="19" customWidth="1"/>
    <col min="2" max="2" width="9.375" style="20" customWidth="1"/>
    <col min="3" max="3" width="9.25" style="21" customWidth="1"/>
    <col min="4" max="4" width="9" style="19"/>
    <col min="5" max="5" width="23.75" style="20" customWidth="1"/>
    <col min="6" max="6" width="10.875" style="22" customWidth="1"/>
    <col min="7" max="7" width="9.75" style="23" customWidth="1"/>
    <col min="8" max="8" width="10.875" style="19" customWidth="1"/>
    <col min="9" max="9" width="9.75" style="20" customWidth="1"/>
    <col min="10" max="10" width="10" style="22" customWidth="1"/>
    <col min="11" max="11" width="8.75" style="23" customWidth="1"/>
    <col min="12" max="12" width="7.625" style="19" customWidth="1"/>
    <col min="13" max="16384" width="9" style="19"/>
  </cols>
  <sheetData>
    <row r="1" spans="1:12" s="16" customFormat="1" ht="52.5" customHeight="1">
      <c r="C1" s="24"/>
      <c r="D1" s="25"/>
      <c r="H1" s="26"/>
    </row>
    <row r="2" spans="1:12" s="16" customFormat="1" ht="10.5" customHeight="1">
      <c r="A2" s="105" t="s">
        <v>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1:12" s="16" customFormat="1" ht="15.95" customHeight="1">
      <c r="A3" s="105" t="s">
        <v>1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1:12" s="16" customFormat="1" ht="15.95" customHeight="1">
      <c r="A4" s="105" t="s">
        <v>66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s="16" customFormat="1" ht="15.95" customHeight="1">
      <c r="A5" s="105" t="s">
        <v>3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</row>
    <row r="6" spans="1:12" s="16" customFormat="1" ht="8.25" customHeight="1">
      <c r="C6" s="26"/>
      <c r="H6" s="26"/>
    </row>
    <row r="7" spans="1:12" s="16" customFormat="1" ht="8.25" customHeight="1">
      <c r="C7" s="26"/>
      <c r="H7" s="26"/>
    </row>
    <row r="8" spans="1:12" s="16" customFormat="1" ht="12" customHeight="1">
      <c r="A8" s="27" t="s">
        <v>67</v>
      </c>
      <c r="B8" s="27"/>
      <c r="C8" s="96" t="s">
        <v>68</v>
      </c>
      <c r="D8" s="96"/>
      <c r="E8" s="96"/>
      <c r="F8" s="96"/>
      <c r="G8" s="96"/>
      <c r="I8" s="96" t="s">
        <v>69</v>
      </c>
      <c r="J8" s="96"/>
      <c r="K8" s="96"/>
      <c r="L8" s="27"/>
    </row>
    <row r="9" spans="1:12" s="16" customFormat="1" ht="12" customHeight="1">
      <c r="B9" s="28"/>
      <c r="C9" s="96" t="s">
        <v>70</v>
      </c>
      <c r="D9" s="96"/>
      <c r="E9" s="96"/>
      <c r="F9" s="96"/>
      <c r="G9" s="96"/>
      <c r="I9" s="97" t="s">
        <v>71</v>
      </c>
      <c r="J9" s="97"/>
      <c r="K9" s="97"/>
      <c r="L9" s="28"/>
    </row>
    <row r="10" spans="1:12" s="16" customFormat="1" ht="12" customHeight="1">
      <c r="A10" s="27" t="s">
        <v>72</v>
      </c>
      <c r="B10" s="27"/>
      <c r="C10" s="29"/>
      <c r="D10" s="28"/>
      <c r="E10" s="28"/>
      <c r="I10" s="96" t="s">
        <v>73</v>
      </c>
      <c r="J10" s="96"/>
      <c r="K10" s="96"/>
      <c r="L10" s="27"/>
    </row>
    <row r="11" spans="1:12" ht="16.5" customHeight="1">
      <c r="A11" s="98" t="s">
        <v>74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</row>
    <row r="12" spans="1:12" s="17" customFormat="1" ht="18.75" customHeight="1">
      <c r="A12" s="101" t="s">
        <v>11</v>
      </c>
      <c r="B12" s="99" t="s">
        <v>12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3" t="s">
        <v>15</v>
      </c>
    </row>
    <row r="13" spans="1:12" s="17" customFormat="1" ht="24" customHeight="1">
      <c r="A13" s="102"/>
      <c r="B13" s="93" t="s">
        <v>75</v>
      </c>
      <c r="C13" s="94"/>
      <c r="D13" s="94"/>
      <c r="E13" s="95"/>
      <c r="F13" s="93" t="s">
        <v>76</v>
      </c>
      <c r="G13" s="95"/>
      <c r="H13" s="93" t="s">
        <v>77</v>
      </c>
      <c r="I13" s="95"/>
      <c r="J13" s="93" t="s">
        <v>78</v>
      </c>
      <c r="K13" s="95"/>
      <c r="L13" s="104"/>
    </row>
    <row r="14" spans="1:12" s="17" customFormat="1" hidden="1">
      <c r="A14" s="30" t="s">
        <v>79</v>
      </c>
      <c r="B14" s="86" t="s">
        <v>80</v>
      </c>
      <c r="C14" s="87"/>
      <c r="D14" s="87"/>
      <c r="E14" s="88"/>
      <c r="F14" s="86">
        <v>1</v>
      </c>
      <c r="G14" s="88"/>
      <c r="H14" s="86">
        <v>0</v>
      </c>
      <c r="I14" s="88"/>
      <c r="J14" s="86">
        <v>1</v>
      </c>
      <c r="K14" s="88"/>
      <c r="L14" s="36">
        <v>1</v>
      </c>
    </row>
    <row r="15" spans="1:12" s="18" customFormat="1" ht="15" hidden="1" customHeight="1">
      <c r="A15" s="31" t="s">
        <v>81</v>
      </c>
      <c r="B15" s="86"/>
      <c r="C15" s="87"/>
      <c r="D15" s="87"/>
      <c r="E15" s="88"/>
      <c r="F15" s="86"/>
      <c r="G15" s="88"/>
      <c r="H15" s="89">
        <v>1</v>
      </c>
      <c r="I15" s="90"/>
      <c r="J15" s="91">
        <v>0</v>
      </c>
      <c r="K15" s="92"/>
      <c r="L15" s="37">
        <v>0</v>
      </c>
    </row>
    <row r="16" spans="1:12" s="18" customFormat="1" ht="24.75" hidden="1" customHeight="1">
      <c r="A16" s="32" t="s">
        <v>82</v>
      </c>
      <c r="B16" s="80" t="s">
        <v>83</v>
      </c>
      <c r="C16" s="81"/>
      <c r="D16" s="81"/>
      <c r="E16" s="82"/>
      <c r="F16" s="83">
        <v>3</v>
      </c>
      <c r="G16" s="84"/>
      <c r="H16" s="83">
        <v>0</v>
      </c>
      <c r="I16" s="84"/>
      <c r="J16" s="83">
        <v>3</v>
      </c>
      <c r="K16" s="84"/>
      <c r="L16" s="38">
        <v>3</v>
      </c>
    </row>
    <row r="17" spans="1:12" s="18" customFormat="1" ht="19.5" hidden="1" customHeight="1">
      <c r="A17" s="33" t="s">
        <v>84</v>
      </c>
      <c r="B17" s="80" t="s">
        <v>83</v>
      </c>
      <c r="C17" s="81"/>
      <c r="D17" s="81"/>
      <c r="E17" s="82"/>
      <c r="F17" s="83"/>
      <c r="G17" s="84"/>
      <c r="H17" s="83">
        <v>2</v>
      </c>
      <c r="I17" s="84"/>
      <c r="J17" s="83">
        <v>1</v>
      </c>
      <c r="K17" s="84"/>
      <c r="L17" s="39">
        <v>1</v>
      </c>
    </row>
    <row r="18" spans="1:12" s="18" customFormat="1" ht="31.5" customHeight="1">
      <c r="A18" s="32" t="s">
        <v>85</v>
      </c>
      <c r="B18" s="80" t="s">
        <v>86</v>
      </c>
      <c r="C18" s="81"/>
      <c r="D18" s="81"/>
      <c r="E18" s="82"/>
      <c r="F18" s="83">
        <v>1.5</v>
      </c>
      <c r="G18" s="84"/>
      <c r="H18" s="83">
        <v>0</v>
      </c>
      <c r="I18" s="84"/>
      <c r="J18" s="83">
        <v>1.5</v>
      </c>
      <c r="K18" s="84"/>
      <c r="L18" s="38">
        <v>1.5</v>
      </c>
    </row>
    <row r="19" spans="1:12" s="18" customFormat="1" ht="36.75" customHeight="1">
      <c r="A19" s="33" t="s">
        <v>87</v>
      </c>
      <c r="B19" s="80" t="s">
        <v>86</v>
      </c>
      <c r="C19" s="81"/>
      <c r="D19" s="81"/>
      <c r="E19" s="82"/>
      <c r="F19" s="83"/>
      <c r="G19" s="84"/>
      <c r="H19" s="83">
        <v>1</v>
      </c>
      <c r="I19" s="84"/>
      <c r="J19" s="83">
        <v>0.5</v>
      </c>
      <c r="K19" s="84"/>
      <c r="L19" s="39">
        <v>0.5</v>
      </c>
    </row>
    <row r="20" spans="1:12" s="18" customFormat="1">
      <c r="A20" s="34" t="s">
        <v>88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40"/>
    </row>
    <row r="21" spans="1:12" ht="75.75" customHeight="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</row>
    <row r="22" spans="1:12" s="16" customFormat="1">
      <c r="C22" s="26"/>
    </row>
    <row r="23" spans="1:12" s="16" customFormat="1">
      <c r="C23" s="26"/>
    </row>
    <row r="25" spans="1:12">
      <c r="F25" s="64"/>
      <c r="G25" s="23" t="s">
        <v>89</v>
      </c>
      <c r="J25" s="64"/>
    </row>
  </sheetData>
  <mergeCells count="42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A21:L21"/>
  </mergeCells>
  <pageMargins left="0.25" right="0.25" top="0.75" bottom="0.75" header="0.3" footer="0.3"/>
  <pageSetup paperSize="9" scale="68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5"/>
  <sheetViews>
    <sheetView view="pageBreakPreview" topLeftCell="A7" zoomScaleNormal="100" workbookViewId="0">
      <selection activeCell="F16" sqref="F16"/>
    </sheetView>
  </sheetViews>
  <sheetFormatPr defaultColWidth="9" defaultRowHeight="14.45"/>
  <cols>
    <col min="1" max="1" width="31.625" customWidth="1"/>
    <col min="2" max="2" width="18.875" customWidth="1"/>
    <col min="3" max="3" width="13.125" customWidth="1"/>
    <col min="5" max="5" width="9.125" customWidth="1"/>
    <col min="6" max="6" width="7.625" customWidth="1"/>
    <col min="7" max="7" width="5.125" customWidth="1"/>
    <col min="8" max="8" width="7.125" customWidth="1"/>
    <col min="9" max="9" width="3.875" customWidth="1"/>
    <col min="10" max="10" width="8" customWidth="1"/>
  </cols>
  <sheetData>
    <row r="1" spans="1:10" s="1" customFormat="1" ht="52.5" customHeight="1"/>
    <row r="2" spans="1:10" s="1" customFormat="1" ht="10.5" customHeight="1">
      <c r="A2" s="79" t="s">
        <v>0</v>
      </c>
      <c r="B2" s="79"/>
      <c r="C2" s="79"/>
      <c r="D2" s="79"/>
      <c r="E2" s="79"/>
      <c r="F2" s="79"/>
      <c r="G2" s="79"/>
      <c r="H2" s="79"/>
    </row>
    <row r="3" spans="1:10" s="1" customFormat="1" ht="15.95" customHeight="1">
      <c r="A3" s="79" t="s">
        <v>1</v>
      </c>
      <c r="B3" s="79"/>
      <c r="C3" s="79"/>
      <c r="D3" s="79"/>
      <c r="E3" s="79"/>
      <c r="F3" s="79"/>
      <c r="G3" s="79"/>
      <c r="H3" s="79"/>
    </row>
    <row r="4" spans="1:10" s="1" customFormat="1" ht="15.95" customHeight="1">
      <c r="A4" s="79" t="s">
        <v>66</v>
      </c>
      <c r="B4" s="79"/>
      <c r="C4" s="79"/>
      <c r="D4" s="79"/>
      <c r="E4" s="79"/>
      <c r="F4" s="79"/>
      <c r="G4" s="79"/>
      <c r="H4" s="79"/>
    </row>
    <row r="5" spans="1:10" s="1" customFormat="1" ht="15.95" customHeight="1">
      <c r="A5" s="79" t="s">
        <v>3</v>
      </c>
      <c r="B5" s="79"/>
      <c r="C5" s="79"/>
      <c r="D5" s="79"/>
      <c r="E5" s="79"/>
      <c r="F5" s="79"/>
      <c r="G5" s="79"/>
      <c r="H5" s="79"/>
    </row>
    <row r="6" spans="1:10" s="1" customFormat="1" ht="8.25" customHeight="1"/>
    <row r="7" spans="1:10" s="1" customFormat="1" ht="12" customHeight="1">
      <c r="A7" s="1" t="s">
        <v>4</v>
      </c>
      <c r="B7" s="71"/>
      <c r="C7" s="71"/>
      <c r="E7" s="5" t="s">
        <v>6</v>
      </c>
      <c r="F7" s="129"/>
      <c r="G7" s="129"/>
      <c r="H7" s="5"/>
    </row>
    <row r="8" spans="1:10" s="1" customFormat="1" ht="12" customHeight="1">
      <c r="B8" s="7"/>
      <c r="E8" s="7"/>
      <c r="F8" s="7"/>
      <c r="G8" s="7"/>
      <c r="H8" s="7"/>
    </row>
    <row r="9" spans="1:10" s="1" customFormat="1" ht="14.25" customHeight="1">
      <c r="A9" s="1" t="s">
        <v>7</v>
      </c>
      <c r="B9" s="71"/>
      <c r="C9" s="71"/>
      <c r="E9" s="5" t="s">
        <v>9</v>
      </c>
      <c r="F9" s="8"/>
      <c r="G9" s="8"/>
      <c r="H9" s="5"/>
    </row>
    <row r="10" spans="1:10" s="1" customFormat="1" ht="12" customHeight="1">
      <c r="B10" s="4"/>
      <c r="C10" s="4"/>
      <c r="E10" s="5"/>
      <c r="F10" s="5"/>
      <c r="G10" s="5"/>
      <c r="H10" s="5"/>
    </row>
    <row r="11" spans="1:10" s="1" customFormat="1" ht="12" customHeight="1">
      <c r="B11" s="4"/>
      <c r="C11" s="4"/>
      <c r="E11" s="5"/>
      <c r="F11" s="5"/>
      <c r="G11" s="5"/>
      <c r="H11" s="5"/>
    </row>
    <row r="12" spans="1:10" ht="16.5" customHeight="1">
      <c r="A12" s="72" t="s">
        <v>90</v>
      </c>
      <c r="B12" s="72"/>
      <c r="C12" s="72"/>
      <c r="D12" s="72"/>
      <c r="E12" s="72"/>
      <c r="F12" s="72"/>
      <c r="G12" s="72"/>
      <c r="H12" s="72"/>
      <c r="I12" s="72"/>
      <c r="J12" s="72"/>
    </row>
    <row r="13" spans="1:10" s="2" customFormat="1" ht="18.75" customHeight="1">
      <c r="A13" s="111" t="s">
        <v>91</v>
      </c>
      <c r="B13" s="117" t="s">
        <v>92</v>
      </c>
      <c r="C13" s="118"/>
      <c r="D13" s="123" t="s">
        <v>76</v>
      </c>
      <c r="E13" s="124"/>
      <c r="F13" s="123" t="s">
        <v>77</v>
      </c>
      <c r="G13" s="124"/>
      <c r="H13" s="123" t="s">
        <v>78</v>
      </c>
      <c r="I13" s="124"/>
      <c r="J13" s="114" t="s">
        <v>15</v>
      </c>
    </row>
    <row r="14" spans="1:10" s="2" customFormat="1" ht="18.75" customHeight="1">
      <c r="A14" s="112"/>
      <c r="B14" s="119"/>
      <c r="C14" s="120"/>
      <c r="D14" s="125"/>
      <c r="E14" s="126"/>
      <c r="F14" s="125"/>
      <c r="G14" s="126"/>
      <c r="H14" s="125"/>
      <c r="I14" s="126"/>
      <c r="J14" s="115"/>
    </row>
    <row r="15" spans="1:10" s="2" customFormat="1" ht="24" customHeight="1">
      <c r="A15" s="113"/>
      <c r="B15" s="121"/>
      <c r="C15" s="122"/>
      <c r="D15" s="127"/>
      <c r="E15" s="128"/>
      <c r="F15" s="127"/>
      <c r="G15" s="128"/>
      <c r="H15" s="127"/>
      <c r="I15" s="128"/>
      <c r="J15" s="116"/>
    </row>
    <row r="16" spans="1:10" s="3" customFormat="1" ht="39" customHeight="1">
      <c r="A16" s="9" t="s">
        <v>93</v>
      </c>
      <c r="B16" s="106"/>
      <c r="C16" s="107"/>
      <c r="D16" s="10"/>
      <c r="E16" s="11"/>
      <c r="F16" s="10"/>
      <c r="G16" s="11"/>
      <c r="H16" s="10"/>
      <c r="I16" s="11"/>
      <c r="J16" s="14"/>
    </row>
    <row r="17" spans="1:10" s="3" customFormat="1" ht="39" customHeight="1">
      <c r="A17" s="9"/>
      <c r="B17" s="106"/>
      <c r="C17" s="107"/>
      <c r="D17" s="10"/>
      <c r="E17" s="11"/>
      <c r="F17" s="10"/>
      <c r="G17" s="11"/>
      <c r="H17" s="10"/>
      <c r="I17" s="11"/>
      <c r="J17" s="14"/>
    </row>
    <row r="18" spans="1:10" s="3" customFormat="1" ht="39" customHeight="1">
      <c r="A18" s="9"/>
      <c r="B18" s="106"/>
      <c r="C18" s="107"/>
      <c r="D18" s="10"/>
      <c r="E18" s="11"/>
      <c r="F18" s="10"/>
      <c r="G18" s="11"/>
      <c r="H18" s="10"/>
      <c r="I18" s="11"/>
      <c r="J18" s="14"/>
    </row>
    <row r="19" spans="1:10" s="3" customFormat="1" ht="39" customHeight="1">
      <c r="A19" s="9"/>
      <c r="B19" s="106"/>
      <c r="C19" s="107"/>
      <c r="D19" s="10"/>
      <c r="E19" s="11"/>
      <c r="F19" s="10"/>
      <c r="G19" s="11"/>
      <c r="H19" s="10"/>
      <c r="I19" s="11"/>
      <c r="J19" s="14"/>
    </row>
    <row r="20" spans="1:10" s="3" customFormat="1" ht="39" customHeight="1">
      <c r="A20" s="9"/>
      <c r="B20" s="106"/>
      <c r="C20" s="107"/>
      <c r="D20" s="10"/>
      <c r="E20" s="11"/>
      <c r="F20" s="10"/>
      <c r="G20" s="11"/>
      <c r="H20" s="10"/>
      <c r="I20" s="11"/>
      <c r="J20" s="14"/>
    </row>
    <row r="21" spans="1:10" s="3" customFormat="1" ht="39" customHeight="1">
      <c r="A21" s="108" t="s">
        <v>94</v>
      </c>
      <c r="B21" s="109"/>
      <c r="C21" s="109"/>
      <c r="D21" s="109"/>
      <c r="E21" s="109"/>
      <c r="F21" s="109"/>
      <c r="G21" s="109"/>
      <c r="H21" s="109"/>
      <c r="I21" s="110"/>
      <c r="J21" s="15" cm="1">
        <f t="array" ref="J21:J25">J16:J20</f>
        <v>0</v>
      </c>
    </row>
    <row r="22" spans="1:10" s="1" customFormat="1" ht="75.75" customHeight="1">
      <c r="A22" s="12"/>
      <c r="C22" s="13"/>
      <c r="J22" s="12">
        <v>0</v>
      </c>
    </row>
    <row r="23" spans="1:10" s="1" customFormat="1">
      <c r="C23" s="13"/>
      <c r="J23" s="1">
        <v>0</v>
      </c>
    </row>
    <row r="24" spans="1:10" s="1" customFormat="1">
      <c r="C24" s="13"/>
      <c r="J24" s="1">
        <v>0</v>
      </c>
    </row>
    <row r="25" spans="1:10">
      <c r="J25">
        <v>0</v>
      </c>
    </row>
  </sheetData>
  <mergeCells count="20">
    <mergeCell ref="A2:H2"/>
    <mergeCell ref="A3:H3"/>
    <mergeCell ref="A4:H4"/>
    <mergeCell ref="A5:H5"/>
    <mergeCell ref="B7:C7"/>
    <mergeCell ref="F7:G7"/>
    <mergeCell ref="B9:C9"/>
    <mergeCell ref="A12:J12"/>
    <mergeCell ref="B16:C16"/>
    <mergeCell ref="B17:C17"/>
    <mergeCell ref="B18:C18"/>
    <mergeCell ref="B19:C19"/>
    <mergeCell ref="B20:C20"/>
    <mergeCell ref="A21:I21"/>
    <mergeCell ref="A13:A15"/>
    <mergeCell ref="J13:J15"/>
    <mergeCell ref="B13:C15"/>
    <mergeCell ref="D13:E15"/>
    <mergeCell ref="F13:G15"/>
    <mergeCell ref="H13:I15"/>
  </mergeCells>
  <printOptions horizontalCentered="1"/>
  <pageMargins left="0.23622047244094499" right="0.23622047244094499" top="0.35433070866141703" bottom="0.35433070866141703" header="0.31496062992126" footer="0.31496062992126"/>
  <pageSetup paperSize="9" scale="91" fitToWidth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2023-12-04T05:49:00Z</dcterms:created>
  <dcterms:modified xsi:type="dcterms:W3CDTF">2026-01-23T05:50:15Z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754C5A08B42143F5A0C0001EC016D319_12</vt:lpwstr>
  </property>
  <property fmtid="{D5CDD505-2E9C-101B-9397-08002B2CF9AE}" pid="3" name="KSOProductBuildVer">
    <vt:lpwstr>1033-12.2.0.23196</vt:lpwstr>
  </property>
</Properties>
</file>