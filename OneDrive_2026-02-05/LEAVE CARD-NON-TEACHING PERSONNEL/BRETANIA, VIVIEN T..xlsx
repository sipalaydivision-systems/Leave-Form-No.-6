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D374F51-A544-4B70-A2F7-A264E9FB987E}" xr6:coauthVersionLast="47" xr6:coauthVersionMax="47" xr10:uidLastSave="{00000000-0000-0000-0000-000000000000}"/>
  <bookViews>
    <workbookView xWindow="-120" yWindow="-120" windowWidth="29040" windowHeight="15720" xr2:uid="{8D5E6EF0-11D9-4444-A633-CF96112891D8}"/>
  </bookViews>
  <sheets>
    <sheet name="CORRECTED" sheetId="3" r:id="rId1"/>
    <sheet name="Sheet1" sheetId="1" r:id="rId2"/>
    <sheet name="OTHER TYPES OF LEAVE CORRECT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3" l="1"/>
  <c r="I96" i="3"/>
  <c r="I97" i="3" s="1"/>
  <c r="I98" i="3" s="1"/>
  <c r="J96" i="3"/>
  <c r="H97" i="3"/>
  <c r="B68" i="3"/>
  <c r="B62" i="3"/>
  <c r="B51" i="3"/>
  <c r="B47" i="3"/>
  <c r="B45" i="3"/>
  <c r="B43" i="3"/>
  <c r="I16" i="3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H16" i="3"/>
  <c r="J16" i="3" s="1"/>
  <c r="J97" i="3" l="1"/>
  <c r="H98" i="3"/>
  <c r="J98" i="3" s="1"/>
  <c r="H17" i="3"/>
  <c r="J17" i="3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I16" i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B43" i="1"/>
  <c r="B45" i="1"/>
  <c r="B47" i="1"/>
  <c r="B51" i="1"/>
  <c r="B62" i="1"/>
  <c r="B68" i="1"/>
  <c r="H18" i="3" l="1"/>
  <c r="H19" i="3" s="1"/>
  <c r="H68" i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J88" i="1" s="1"/>
  <c r="J18" i="1"/>
  <c r="J18" i="3" l="1"/>
  <c r="H20" i="3"/>
  <c r="J19" i="3"/>
  <c r="J86" i="1"/>
  <c r="J87" i="1"/>
  <c r="H89" i="1"/>
  <c r="J19" i="1"/>
  <c r="J16" i="1"/>
  <c r="J17" i="1"/>
  <c r="J20" i="3" l="1"/>
  <c r="H21" i="3"/>
  <c r="J89" i="1"/>
  <c r="H90" i="1"/>
  <c r="J20" i="1"/>
  <c r="J21" i="3" l="1"/>
  <c r="H22" i="3"/>
  <c r="H91" i="1"/>
  <c r="J90" i="1"/>
  <c r="J21" i="1"/>
  <c r="J22" i="3" l="1"/>
  <c r="H23" i="3"/>
  <c r="J91" i="1"/>
  <c r="H92" i="1"/>
  <c r="J22" i="1"/>
  <c r="J23" i="3" l="1"/>
  <c r="H24" i="3"/>
  <c r="J92" i="1"/>
  <c r="H93" i="1"/>
  <c r="J93" i="1" s="1"/>
  <c r="J23" i="1"/>
  <c r="H25" i="3" l="1"/>
  <c r="J24" i="3"/>
  <c r="J24" i="1"/>
  <c r="J25" i="3" l="1"/>
  <c r="H26" i="3"/>
  <c r="J25" i="1"/>
  <c r="J26" i="3" l="1"/>
  <c r="H27" i="3"/>
  <c r="J26" i="1"/>
  <c r="J27" i="3" l="1"/>
  <c r="H28" i="3"/>
  <c r="J27" i="1"/>
  <c r="J28" i="3" l="1"/>
  <c r="H29" i="3"/>
  <c r="J28" i="1"/>
  <c r="J29" i="3" l="1"/>
  <c r="H30" i="3"/>
  <c r="J29" i="1"/>
  <c r="H31" i="3" l="1"/>
  <c r="J30" i="3"/>
  <c r="J30" i="1"/>
  <c r="J31" i="3" l="1"/>
  <c r="H32" i="3"/>
  <c r="J31" i="1"/>
  <c r="J32" i="3" l="1"/>
  <c r="H33" i="3"/>
  <c r="J32" i="1"/>
  <c r="J33" i="3" l="1"/>
  <c r="H34" i="3"/>
  <c r="J33" i="1"/>
  <c r="J34" i="3" l="1"/>
  <c r="H35" i="3"/>
  <c r="J34" i="1"/>
  <c r="J35" i="3" l="1"/>
  <c r="H36" i="3"/>
  <c r="J35" i="1"/>
  <c r="H37" i="3" l="1"/>
  <c r="J36" i="3"/>
  <c r="J36" i="1"/>
  <c r="J37" i="3" l="1"/>
  <c r="H38" i="3"/>
  <c r="J37" i="1"/>
  <c r="J38" i="3" l="1"/>
  <c r="H39" i="3"/>
  <c r="J38" i="1"/>
  <c r="J39" i="3" l="1"/>
  <c r="H40" i="3"/>
  <c r="J39" i="1"/>
  <c r="J40" i="3" l="1"/>
  <c r="H41" i="3"/>
  <c r="J40" i="1"/>
  <c r="J41" i="3" l="1"/>
  <c r="H42" i="3"/>
  <c r="J41" i="1"/>
  <c r="J42" i="3" l="1"/>
  <c r="H43" i="3"/>
  <c r="J42" i="1"/>
  <c r="J43" i="3" l="1"/>
  <c r="H44" i="3"/>
  <c r="J43" i="1"/>
  <c r="H45" i="3" l="1"/>
  <c r="J44" i="3"/>
  <c r="J45" i="1"/>
  <c r="J44" i="1"/>
  <c r="H46" i="3" l="1"/>
  <c r="J45" i="3"/>
  <c r="J46" i="1"/>
  <c r="H47" i="3" l="1"/>
  <c r="J46" i="3"/>
  <c r="J47" i="1"/>
  <c r="J47" i="3" l="1"/>
  <c r="H48" i="3"/>
  <c r="J48" i="1"/>
  <c r="J48" i="3" l="1"/>
  <c r="H49" i="3"/>
  <c r="J49" i="1"/>
  <c r="H50" i="3" l="1"/>
  <c r="J49" i="3"/>
  <c r="J50" i="1"/>
  <c r="J50" i="3" l="1"/>
  <c r="H51" i="3"/>
  <c r="J51" i="1"/>
  <c r="H52" i="3" l="1"/>
  <c r="J51" i="3"/>
  <c r="J52" i="1"/>
  <c r="J52" i="3" l="1"/>
  <c r="H53" i="3"/>
  <c r="J53" i="1"/>
  <c r="H54" i="3" l="1"/>
  <c r="J53" i="3"/>
  <c r="J54" i="1"/>
  <c r="H55" i="3" l="1"/>
  <c r="J54" i="3"/>
  <c r="J55" i="1"/>
  <c r="H56" i="3" l="1"/>
  <c r="J55" i="3"/>
  <c r="J56" i="1"/>
  <c r="J56" i="3" l="1"/>
  <c r="H57" i="3"/>
  <c r="J57" i="1"/>
  <c r="H58" i="3" l="1"/>
  <c r="J57" i="3"/>
  <c r="J58" i="1"/>
  <c r="H59" i="3" l="1"/>
  <c r="J58" i="3"/>
  <c r="J59" i="1"/>
  <c r="H60" i="3" l="1"/>
  <c r="J59" i="3"/>
  <c r="J60" i="1"/>
  <c r="J60" i="3" l="1"/>
  <c r="H61" i="3"/>
  <c r="J61" i="1"/>
  <c r="H62" i="3" l="1"/>
  <c r="J61" i="3"/>
  <c r="J62" i="1"/>
  <c r="H63" i="3" l="1"/>
  <c r="J62" i="3"/>
  <c r="J63" i="1"/>
  <c r="H64" i="3" l="1"/>
  <c r="J63" i="3"/>
  <c r="J64" i="1"/>
  <c r="H65" i="3" l="1"/>
  <c r="J64" i="3"/>
  <c r="J65" i="1"/>
  <c r="H66" i="3" l="1"/>
  <c r="J65" i="3"/>
  <c r="J66" i="1"/>
  <c r="H67" i="3" l="1"/>
  <c r="J66" i="3"/>
  <c r="J67" i="1"/>
  <c r="H68" i="3" l="1"/>
  <c r="J67" i="3"/>
  <c r="J68" i="1"/>
  <c r="J68" i="3" l="1"/>
  <c r="H69" i="3"/>
  <c r="J69" i="1"/>
  <c r="J69" i="3" l="1"/>
  <c r="H70" i="3"/>
  <c r="J71" i="1"/>
  <c r="J70" i="1"/>
  <c r="H71" i="3" l="1"/>
  <c r="J70" i="3"/>
  <c r="J72" i="1"/>
  <c r="J71" i="3" l="1"/>
  <c r="H72" i="3"/>
  <c r="J73" i="1"/>
  <c r="H73" i="3" l="1"/>
  <c r="J72" i="3"/>
  <c r="J74" i="1"/>
  <c r="J73" i="3" l="1"/>
  <c r="H74" i="3"/>
  <c r="J75" i="1"/>
  <c r="J74" i="3" l="1"/>
  <c r="H75" i="3"/>
  <c r="J76" i="1"/>
  <c r="J75" i="3" l="1"/>
  <c r="H76" i="3"/>
  <c r="J77" i="1"/>
  <c r="H77" i="3" l="1"/>
  <c r="J76" i="3"/>
  <c r="J78" i="1"/>
  <c r="J77" i="3" l="1"/>
  <c r="H78" i="3"/>
  <c r="J79" i="1"/>
  <c r="H79" i="3" l="1"/>
  <c r="J78" i="3"/>
  <c r="J80" i="1"/>
  <c r="J79" i="3" l="1"/>
  <c r="H80" i="3"/>
  <c r="J81" i="1"/>
  <c r="H81" i="3" l="1"/>
  <c r="J80" i="3"/>
  <c r="J82" i="1"/>
  <c r="J81" i="3" l="1"/>
  <c r="H82" i="3"/>
  <c r="J83" i="1"/>
  <c r="H83" i="3" l="1"/>
  <c r="J82" i="3"/>
  <c r="J85" i="1"/>
  <c r="J84" i="1"/>
  <c r="J83" i="3" l="1"/>
  <c r="H84" i="3"/>
  <c r="J84" i="3" l="1"/>
  <c r="H85" i="3"/>
  <c r="J85" i="3" l="1"/>
  <c r="H86" i="3"/>
  <c r="J86" i="3" l="1"/>
  <c r="H87" i="3"/>
  <c r="J87" i="3" l="1"/>
  <c r="H88" i="3"/>
  <c r="J88" i="3" l="1"/>
  <c r="H89" i="3"/>
  <c r="J89" i="3" l="1"/>
  <c r="H90" i="3"/>
  <c r="H91" i="3" l="1"/>
  <c r="J90" i="3"/>
  <c r="J91" i="3" l="1"/>
  <c r="H92" i="3"/>
  <c r="J92" i="3" l="1"/>
  <c r="H93" i="3"/>
  <c r="J93" i="3" l="1"/>
  <c r="H94" i="3"/>
  <c r="H95" i="3" l="1"/>
  <c r="J95" i="3" s="1"/>
  <c r="J94" i="3"/>
</calcChain>
</file>

<file path=xl/sharedStrings.xml><?xml version="1.0" encoding="utf-8"?>
<sst xmlns="http://schemas.openxmlformats.org/spreadsheetml/2006/main" count="239" uniqueCount="127">
  <si>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</si>
  <si>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</si>
  <si>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</si>
  <si>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</si>
  <si>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</si>
  <si>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</si>
  <si>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</si>
  <si>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</si>
  <si>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</si>
  <si>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</si>
  <si>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</si>
  <si>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</si>
  <si>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</si>
  <si>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</si>
  <si>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</si>
  <si>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</si>
  <si>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</si>
  <si>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</si>
  <si>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</si>
  <si>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</si>
  <si>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APPOINTMENT: NOVEMBER 15, 2006 (HT I)</t>
  </si>
  <si>
    <t>ADD: 12/01/2006-12/31/2006</t>
  </si>
  <si>
    <t>ADD: 11/15/2006-11/30/2006</t>
  </si>
  <si>
    <t>ADD: 01/01/2007-12/31/2007</t>
  </si>
  <si>
    <t>LESS: FL 2007</t>
  </si>
  <si>
    <t>ADD: 01/01/2008-12/31/2008</t>
  </si>
  <si>
    <t>LESS: MONETIZATION 2008</t>
  </si>
  <si>
    <t>LESS: MONETIZATION 2007</t>
  </si>
  <si>
    <t>LESS: FL 2008</t>
  </si>
  <si>
    <t>ADD: 01/01/2009-12/31/2009</t>
  </si>
  <si>
    <t>LESS: MONETIZATION 2009</t>
  </si>
  <si>
    <t>LESS: FL 2009</t>
  </si>
  <si>
    <t>ADD: 01/01/2010-12/31/2010</t>
  </si>
  <si>
    <t>LESS: MONETIZATION 2010</t>
  </si>
  <si>
    <t>LESS: FL 2010</t>
  </si>
  <si>
    <t>ADD: 01/01/2011-12/31/2011</t>
  </si>
  <si>
    <t>LESS: FL 2011</t>
  </si>
  <si>
    <t>ADD: 01/01/2012-12/31/2012</t>
  </si>
  <si>
    <t>LESS: FL 2012</t>
  </si>
  <si>
    <t>ADD: 01/01/2013-12/31/2013</t>
  </si>
  <si>
    <t>LESS: FL 2013</t>
  </si>
  <si>
    <t>ADD: 01/01/2014-12/31/2014</t>
  </si>
  <si>
    <t>LESS: MONETIZATION 2014</t>
  </si>
  <si>
    <t>LESS: FL 2014</t>
  </si>
  <si>
    <t>LESS: MONETIZATION 2015</t>
  </si>
  <si>
    <t>ADD:01/01/2015-12/31/2015</t>
  </si>
  <si>
    <t>LESS:  FL 2015</t>
  </si>
  <si>
    <t>LESS: ADDITIONAL MONETIZATION 2008</t>
  </si>
  <si>
    <t>ADD: 01/01/2016-10/31/2016</t>
  </si>
  <si>
    <t>LESS: MONETIZATION 2016</t>
  </si>
  <si>
    <t>ADD: 11/01/2016-12/31/2016</t>
  </si>
  <si>
    <t>ADD: 01/01/2017-11/30/2017</t>
  </si>
  <si>
    <t>LESS: MONETIZATION 2017</t>
  </si>
  <si>
    <t>LESS: FL 2016</t>
  </si>
  <si>
    <t>ADD: 12/01/2017-12/31/2017</t>
  </si>
  <si>
    <t>LESS: FL 2017</t>
  </si>
  <si>
    <t>ADD: 01/01/2018-6/30/2018</t>
  </si>
  <si>
    <t>LESS: MONETIZATION 2018</t>
  </si>
  <si>
    <t>ADD: 07/01/2018-12/31/2018</t>
  </si>
  <si>
    <t>LESS: FL 2018</t>
  </si>
  <si>
    <t>ADD: 01/01/2019-12/31/2019</t>
  </si>
  <si>
    <t>LESS: FL 2019</t>
  </si>
  <si>
    <t>ADD: 01/01/2020-12/31/2020</t>
  </si>
  <si>
    <t>LESS: MONETIZATION 2020</t>
  </si>
  <si>
    <t>LESS: FL 2020</t>
  </si>
  <si>
    <t>ADD: 01/01/2021-09/30/2021</t>
  </si>
  <si>
    <t>LESS: MONETIZATION 2021</t>
  </si>
  <si>
    <t>ADD: 10/01/2021-12/31/2021</t>
  </si>
  <si>
    <t>LESS: 12/20-24/2023</t>
  </si>
  <si>
    <t>ADD:01/01/2022-08/31/2022</t>
  </si>
  <si>
    <t>LESS: MONETIZATION 2022</t>
  </si>
  <si>
    <t>ADD: 09/01/2022-09/30/2022</t>
  </si>
  <si>
    <t>ADD:10/01/2022-12/31/2022</t>
  </si>
  <si>
    <t>LESS: 10/20-21/2022</t>
  </si>
  <si>
    <t>LESS: 12/27-29/2022</t>
  </si>
  <si>
    <t>LESS: 01/4-5/2023</t>
  </si>
  <si>
    <t>ADD: 01/01/2023-04/30/2023</t>
  </si>
  <si>
    <t>LESS: 05/19/2023</t>
  </si>
  <si>
    <t>ADD: 05/01/2023-06/30/2023</t>
  </si>
  <si>
    <t>LESS: 08/7-9/2023</t>
  </si>
  <si>
    <t>ADD:07/01/2023-08/31/2023</t>
  </si>
  <si>
    <t>ADD: 09/01/2023-09/30/2023</t>
  </si>
  <si>
    <t>LESS: 10/16-18/2023</t>
  </si>
  <si>
    <t>ADD: 10/01/2023-11/30/2023</t>
  </si>
  <si>
    <t>LESS: 12/19/2023</t>
  </si>
  <si>
    <t>LESS: 12/27-28/2023</t>
  </si>
  <si>
    <t>ADD: 12/01/2023-12/31/2023</t>
  </si>
  <si>
    <t>LESS: 01/3-5/2024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</si>
  <si>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</si>
  <si>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</si>
  <si>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</si>
  <si>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</si>
  <si>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</si>
  <si>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</si>
  <si>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</si>
  <si>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</si>
  <si>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</si>
  <si>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</si>
  <si>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</si>
  <si>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</si>
  <si>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</si>
  <si>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</si>
  <si>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</si>
  <si>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</si>
  <si>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</si>
  <si>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</si>
  <si>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ADD: YEAR 2024</t>
  </si>
  <si>
    <t>LESS: 06/6, 21, 24/2024</t>
  </si>
  <si>
    <t>ADD: 01/1/2024-07/31/2024</t>
  </si>
  <si>
    <t>LESS: MONETIZATION 2024</t>
  </si>
  <si>
    <t>LESS: 11/27/2024</t>
  </si>
  <si>
    <t>LESS: 12/26/2024</t>
  </si>
  <si>
    <t>ADD: 08/1/2024-12/31/2024</t>
  </si>
  <si>
    <t>ADD: 01/1/2025-02/28/2025</t>
  </si>
  <si>
    <t>LESS: 03/7/2025</t>
  </si>
  <si>
    <t>ADD: 03/1-31/2025</t>
  </si>
  <si>
    <t>LESS: 04/28/2025</t>
  </si>
  <si>
    <t>ADD: 04/1/2025-08/31/2025</t>
  </si>
  <si>
    <t>LESS:  FL 2024</t>
  </si>
  <si>
    <t>NEGROS ISLAND REGION</t>
  </si>
  <si>
    <t>LESS: MONETIZATION 2025</t>
  </si>
  <si>
    <t>LESS: MONETIZATION 2023 (29 DAYS)</t>
  </si>
  <si>
    <t>ADD: 09/1-30/2025</t>
  </si>
  <si>
    <t>LESS: 10/28/2025</t>
  </si>
  <si>
    <t>ADD: 10/1-31/2025</t>
  </si>
  <si>
    <t>LESS: 12/26/2025</t>
  </si>
  <si>
    <t>LESS: 12/29/2025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</si>
</sst>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3" fillId="0" borderId="8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6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6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/>
    <xf numFmtId="0" fontId="1" fillId="2" borderId="0" xfId="1" applyFont="1" applyFill="1" applyAlignment="1">
      <alignment horizontal="left"/>
    </xf>
    <xf numFmtId="0" fontId="1" fillId="2" borderId="0" xfId="1" applyFont="1" applyFill="1" applyAlignment="1">
      <alignment horizontal="center"/>
    </xf>
    <xf numFmtId="0" fontId="6" fillId="0" borderId="0" xfId="1"/>
    <xf numFmtId="0" fontId="3" fillId="9" borderId="13" xfId="1" applyFont="1" applyFill="1" applyBorder="1" applyAlignment="1">
      <alignment horizontal="center" vertical="center"/>
    </xf>
    <xf numFmtId="0" fontId="7" fillId="10" borderId="14" xfId="1" applyFont="1" applyFill="1" applyBorder="1" applyAlignment="1">
      <alignment horizontal="center" vertical="center" wrapText="1"/>
    </xf>
    <xf numFmtId="0" fontId="7" fillId="10" borderId="15" xfId="1" applyFont="1" applyFill="1" applyBorder="1" applyAlignment="1">
      <alignment horizontal="center" vertical="center" wrapText="1"/>
    </xf>
    <xf numFmtId="0" fontId="7" fillId="10" borderId="16" xfId="1" applyFont="1" applyFill="1" applyBorder="1" applyAlignment="1">
      <alignment horizontal="center" vertical="center" wrapText="1"/>
    </xf>
    <xf numFmtId="0" fontId="8" fillId="0" borderId="0" xfId="1" applyFont="1"/>
    <xf numFmtId="0" fontId="0" fillId="11" borderId="17" xfId="0" applyFill="1" applyBorder="1" applyAlignment="1">
      <alignment horizontal="left"/>
    </xf>
    <xf numFmtId="0" fontId="6" fillId="0" borderId="18" xfId="1" applyBorder="1" applyAlignment="1">
      <alignment horizontal="center" vertical="center"/>
    </xf>
    <xf numFmtId="0" fontId="6" fillId="0" borderId="18" xfId="1" applyBorder="1" applyAlignment="1">
      <alignment horizontal="center" vertical="center" wrapText="1"/>
    </xf>
    <xf numFmtId="0" fontId="5" fillId="0" borderId="0" xfId="1" applyFont="1"/>
    <xf numFmtId="0" fontId="0" fillId="0" borderId="19" xfId="0" applyBorder="1" applyAlignment="1">
      <alignment horizontal="center"/>
    </xf>
    <xf numFmtId="0" fontId="6" fillId="2" borderId="8" xfId="1" applyFill="1" applyBorder="1" applyAlignment="1">
      <alignment horizontal="center" vertical="center"/>
    </xf>
    <xf numFmtId="0" fontId="6" fillId="2" borderId="8" xfId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8" xfId="0" applyNumberFormat="1" applyBorder="1" applyAlignment="1">
      <alignment horizontal="center" wrapText="1"/>
    </xf>
    <xf numFmtId="164" fontId="0" fillId="2" borderId="8" xfId="0" applyNumberFormat="1" applyFill="1" applyBorder="1" applyAlignment="1">
      <alignment horizont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ill="1" applyAlignment="1">
      <alignment horizontal="center" vertical="center"/>
    </xf>
    <xf numFmtId="164" fontId="0" fillId="12" borderId="8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542EB26E-59D9-431C-B27F-96478A00F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99</xdr:row>
      <xdr:rowOff>47625</xdr:rowOff>
    </xdr:from>
    <xdr:to>
      <xdr:col>10</xdr:col>
      <xdr:colOff>381000</xdr:colOff>
      <xdr:row>105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FEF0EC-863D-45D7-AF94-19897CFAB323}"/>
            </a:ext>
          </a:extLst>
        </xdr:cNvPr>
        <xdr:cNvSpPr txBox="1"/>
      </xdr:nvSpPr>
      <xdr:spPr>
        <a:xfrm>
          <a:off x="5648325" y="17954625"/>
          <a:ext cx="3695700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3</xdr:col>
      <xdr:colOff>504825</xdr:colOff>
      <xdr:row>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4BC50-11FA-45A0-8B50-1C69808E8DA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0"/>
          <a:ext cx="628650" cy="600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6</xdr:row>
      <xdr:rowOff>170961</xdr:rowOff>
    </xdr:from>
    <xdr:to>
      <xdr:col>0</xdr:col>
      <xdr:colOff>2582741</xdr:colOff>
      <xdr:row>8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CFCE1F-8E3C-4DBB-A8D0-238B1534E8AF}"/>
            </a:ext>
          </a:extLst>
        </xdr:cNvPr>
        <xdr:cNvSpPr txBox="1"/>
      </xdr:nvSpPr>
      <xdr:spPr>
        <a:xfrm>
          <a:off x="573942" y="1313961"/>
          <a:ext cx="18563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BRETANIA, VIVIEN T.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9</xdr:row>
      <xdr:rowOff>61057</xdr:rowOff>
    </xdr:from>
    <xdr:to>
      <xdr:col>0</xdr:col>
      <xdr:colOff>2625482</xdr:colOff>
      <xdr:row>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A5FC90-E73D-4E23-A912-802DC365FCED}"/>
            </a:ext>
          </a:extLst>
        </xdr:cNvPr>
        <xdr:cNvSpPr txBox="1"/>
      </xdr:nvSpPr>
      <xdr:spPr>
        <a:xfrm>
          <a:off x="616683" y="1775557"/>
          <a:ext cx="1808774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</a:t>
          </a:r>
          <a:r>
            <a:rPr lang="en-US" sz="1100" baseline="0"/>
            <a:t> 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9</xdr:row>
      <xdr:rowOff>50800</xdr:rowOff>
    </xdr:from>
    <xdr:to>
      <xdr:col>4</xdr:col>
      <xdr:colOff>628650</xdr:colOff>
      <xdr:row>10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E1FD72-4189-4504-9674-53792DB34682}"/>
            </a:ext>
          </a:extLst>
        </xdr:cNvPr>
        <xdr:cNvSpPr txBox="1"/>
      </xdr:nvSpPr>
      <xdr:spPr>
        <a:xfrm>
          <a:off x="3615592" y="1765300"/>
          <a:ext cx="1642208" cy="280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AGRIPINO ALVAREZ</a:t>
          </a:r>
          <a:r>
            <a:rPr lang="en-US" sz="1100" baseline="0"/>
            <a:t> </a:t>
          </a:r>
          <a:r>
            <a:rPr lang="en-US" sz="1100"/>
            <a:t>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94</xdr:row>
      <xdr:rowOff>76200</xdr:rowOff>
    </xdr:from>
    <xdr:to>
      <xdr:col>11</xdr:col>
      <xdr:colOff>66675</xdr:colOff>
      <xdr:row>100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4A1E6E-EC7D-4C6D-82E6-74804532494E}"/>
            </a:ext>
          </a:extLst>
        </xdr:cNvPr>
        <xdr:cNvSpPr txBox="1"/>
      </xdr:nvSpPr>
      <xdr:spPr>
        <a:xfrm>
          <a:off x="5743575" y="15125700"/>
          <a:ext cx="3695700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3</xdr:col>
      <xdr:colOff>504825</xdr:colOff>
      <xdr:row>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387522-D330-4B44-BBCF-A54A72D9A7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0"/>
          <a:ext cx="628650" cy="6000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6</xdr:row>
      <xdr:rowOff>170961</xdr:rowOff>
    </xdr:from>
    <xdr:to>
      <xdr:col>0</xdr:col>
      <xdr:colOff>2582741</xdr:colOff>
      <xdr:row>8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001B1B-806D-4B1C-B989-52BA51E1018A}"/>
            </a:ext>
          </a:extLst>
        </xdr:cNvPr>
        <xdr:cNvSpPr txBox="1"/>
      </xdr:nvSpPr>
      <xdr:spPr>
        <a:xfrm>
          <a:off x="573942" y="1694961"/>
          <a:ext cx="1656374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BRETANIA, VIVIEN T.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9</xdr:row>
      <xdr:rowOff>61057</xdr:rowOff>
    </xdr:from>
    <xdr:to>
      <xdr:col>0</xdr:col>
      <xdr:colOff>2625482</xdr:colOff>
      <xdr:row>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C1E470-085B-4EF1-9B88-6500BD32DE74}"/>
            </a:ext>
          </a:extLst>
        </xdr:cNvPr>
        <xdr:cNvSpPr txBox="1"/>
      </xdr:nvSpPr>
      <xdr:spPr>
        <a:xfrm>
          <a:off x="616683" y="2156557"/>
          <a:ext cx="1608749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</a:t>
          </a:r>
          <a:r>
            <a:rPr lang="en-US" sz="1100" baseline="0"/>
            <a:t> 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9</xdr:row>
      <xdr:rowOff>50800</xdr:rowOff>
    </xdr:from>
    <xdr:to>
      <xdr:col>4</xdr:col>
      <xdr:colOff>628650</xdr:colOff>
      <xdr:row>10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738B61-0E9E-4F86-BB53-181DE86CF469}"/>
            </a:ext>
          </a:extLst>
        </xdr:cNvPr>
        <xdr:cNvSpPr txBox="1"/>
      </xdr:nvSpPr>
      <xdr:spPr>
        <a:xfrm>
          <a:off x="3415567" y="2146300"/>
          <a:ext cx="1642208" cy="280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AGRIPINO ALVAREZ</a:t>
          </a:r>
          <a:r>
            <a:rPr lang="en-US" sz="1100" baseline="0"/>
            <a:t> </a:t>
          </a:r>
          <a:r>
            <a:rPr lang="en-US" sz="1100"/>
            <a:t> 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360912</xdr:colOff>
      <xdr:row>1</xdr:row>
      <xdr:rowOff>162119</xdr:rowOff>
    </xdr:from>
    <xdr:to>
      <xdr:col>5</xdr:col>
      <xdr:colOff>416896</xdr:colOff>
      <xdr:row>5</xdr:row>
      <xdr:rowOff>25789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83211-C430-453C-B27A-964A4B0C94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1812" y="352619"/>
          <a:ext cx="694159" cy="62567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409575</xdr:colOff>
      <xdr:row>21</xdr:row>
      <xdr:rowOff>19050</xdr:rowOff>
    </xdr:from>
    <xdr:to>
      <xdr:col>13</xdr:col>
      <xdr:colOff>152400</xdr:colOff>
      <xdr:row>26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4E0714-11D4-487D-A5AA-7072313C30E7}"/>
            </a:ext>
          </a:extLst>
        </xdr:cNvPr>
        <xdr:cNvSpPr txBox="1"/>
      </xdr:nvSpPr>
      <xdr:spPr>
        <a:xfrm>
          <a:off x="5553075" y="4343400"/>
          <a:ext cx="2819400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806126</xdr:colOff>
      <xdr:row>10</xdr:row>
      <xdr:rowOff>58705</xdr:rowOff>
    </xdr:from>
    <xdr:to>
      <xdr:col>1</xdr:col>
      <xdr:colOff>443269</xdr:colOff>
      <xdr:row>12</xdr:row>
      <xdr:rowOff>97583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769AB3-7AAD-4F57-B515-2D58A8C5EBF7}"/>
            </a:ext>
          </a:extLst>
        </xdr:cNvPr>
        <xdr:cNvSpPr txBox="1"/>
      </xdr:nvSpPr>
      <xdr:spPr>
        <a:xfrm>
          <a:off x="806126" y="1963705"/>
          <a:ext cx="1446893" cy="41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BRETANIA, VIVIEN</a:t>
          </a:r>
        </a:p>
      </xdr:txBody>
    </xdr:sp>
    <xdr:clientData/>
  </xdr:twoCellAnchor>
  <xdr:twoCellAnchor>
    <xdr:from>
      <xdr:col>0</xdr:col>
      <xdr:colOff>894507</xdr:colOff>
      <xdr:row>12</xdr:row>
      <xdr:rowOff>57927</xdr:rowOff>
    </xdr:from>
    <xdr:to>
      <xdr:col>1</xdr:col>
      <xdr:colOff>356702</xdr:colOff>
      <xdr:row>13</xdr:row>
      <xdr:rowOff>135682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594EDC-F323-44A7-8605-6CAD91F12430}"/>
            </a:ext>
          </a:extLst>
        </xdr:cNvPr>
        <xdr:cNvSpPr txBox="1"/>
      </xdr:nvSpPr>
      <xdr:spPr>
        <a:xfrm>
          <a:off x="894507" y="2343927"/>
          <a:ext cx="1271945" cy="268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</a:t>
          </a:r>
        </a:p>
      </xdr:txBody>
    </xdr:sp>
    <xdr:clientData/>
  </xdr:twoCellAnchor>
  <xdr:twoCellAnchor>
    <xdr:from>
      <xdr:col>4</xdr:col>
      <xdr:colOff>165553</xdr:colOff>
      <xdr:row>11</xdr:row>
      <xdr:rowOff>135294</xdr:rowOff>
    </xdr:from>
    <xdr:to>
      <xdr:col>6</xdr:col>
      <xdr:colOff>171768</xdr:colOff>
      <xdr:row>13</xdr:row>
      <xdr:rowOff>74610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0C89DA-5B8F-4B59-8631-B1425AAF8947}"/>
            </a:ext>
          </a:extLst>
        </xdr:cNvPr>
        <xdr:cNvSpPr txBox="1"/>
      </xdr:nvSpPr>
      <xdr:spPr>
        <a:xfrm>
          <a:off x="3556453" y="2230794"/>
          <a:ext cx="1206365" cy="32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AGRIPINO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3555-DC27-47D7-8933-4056CF18C53E}">
  <dimension ref="A1:L269"/>
  <sheetViews>
    <sheetView tabSelected="1" topLeftCell="A80" workbookViewId="0">
      <selection activeCell="A96" sqref="A96:XFD96"/>
    </sheetView>
  </sheetViews>
  <sheetFormatPr defaultRowHeight="15" x14ac:dyDescent="0.25"/>
  <cols>
    <col min="1" max="1" width="36.42578125" style="38" customWidth="1"/>
    <col min="2" max="2" width="11.5703125" style="10" customWidth="1"/>
    <col min="3" max="3" width="11.5703125" style="11" customWidth="1"/>
    <col min="4" max="4" width="9.85546875" style="10" customWidth="1"/>
    <col min="5" max="5" width="10.28515625" style="11" customWidth="1"/>
    <col min="6" max="6" width="9.85546875" customWidth="1"/>
    <col min="7" max="7" width="10.5703125" customWidth="1"/>
    <col min="8" max="8" width="11.5703125" style="10" customWidth="1"/>
    <col min="9" max="9" width="11.5703125" style="11" customWidth="1"/>
    <col min="10" max="10" width="11.140625" customWidth="1"/>
  </cols>
  <sheetData>
    <row r="1" spans="1:10" x14ac:dyDescent="0.25">
      <c r="A1" s="37"/>
      <c r="B1" s="1"/>
      <c r="C1" s="1"/>
      <c r="D1" s="1"/>
      <c r="E1" s="1"/>
      <c r="G1" s="1"/>
      <c r="H1" s="1"/>
      <c r="I1" s="1"/>
      <c r="J1" s="1"/>
    </row>
    <row r="2" spans="1:10" x14ac:dyDescent="0.25">
      <c r="A2" s="37"/>
      <c r="B2" s="1"/>
      <c r="C2" s="1"/>
      <c r="D2" s="1"/>
      <c r="E2" s="1"/>
      <c r="G2" s="1"/>
      <c r="H2" s="1"/>
      <c r="I2" s="1"/>
      <c r="J2" s="1"/>
    </row>
    <row r="3" spans="1:10" x14ac:dyDescent="0.25">
      <c r="A3" s="37"/>
      <c r="B3" s="1"/>
      <c r="C3" s="1"/>
      <c r="D3" s="1"/>
      <c r="E3" s="1"/>
      <c r="G3" s="1"/>
      <c r="H3" s="1"/>
      <c r="I3" s="1"/>
      <c r="J3" s="1"/>
    </row>
    <row r="4" spans="1:10" x14ac:dyDescent="0.25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1"/>
    </row>
    <row r="5" spans="1:10" x14ac:dyDescent="0.25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1"/>
    </row>
    <row r="6" spans="1:10" x14ac:dyDescent="0.25">
      <c r="A6" s="50" t="s">
        <v>119</v>
      </c>
      <c r="B6" s="50"/>
      <c r="C6" s="50"/>
      <c r="D6" s="50"/>
      <c r="E6" s="50"/>
      <c r="F6" s="50"/>
      <c r="G6" s="50"/>
      <c r="H6" s="50"/>
      <c r="I6" s="50"/>
      <c r="J6" s="1"/>
    </row>
    <row r="7" spans="1:10" x14ac:dyDescent="0.25">
      <c r="A7" s="50" t="s">
        <v>3</v>
      </c>
      <c r="B7" s="50"/>
      <c r="C7" s="50"/>
      <c r="D7" s="50"/>
      <c r="E7" s="50"/>
      <c r="F7" s="50"/>
      <c r="G7" s="50"/>
      <c r="H7" s="50"/>
      <c r="I7" s="50"/>
      <c r="J7" s="1"/>
    </row>
    <row r="8" spans="1:10" x14ac:dyDescent="0.25">
      <c r="A8" s="37"/>
      <c r="B8" s="1"/>
      <c r="C8" s="1"/>
      <c r="D8" s="1"/>
      <c r="E8" s="1"/>
      <c r="G8" s="1"/>
      <c r="H8" s="1"/>
      <c r="I8" s="1"/>
      <c r="J8" s="1"/>
    </row>
    <row r="9" spans="1:10" x14ac:dyDescent="0.25">
      <c r="A9" s="37" t="s">
        <v>4</v>
      </c>
      <c r="B9" s="2" t="s">
        <v>5</v>
      </c>
      <c r="C9" s="2"/>
      <c r="D9" s="1"/>
      <c r="E9" s="1"/>
      <c r="G9" s="2" t="s">
        <v>6</v>
      </c>
      <c r="H9" s="3"/>
      <c r="I9" s="2"/>
      <c r="J9" s="1"/>
    </row>
    <row r="10" spans="1:10" x14ac:dyDescent="0.25">
      <c r="A10" s="37"/>
      <c r="B10" s="4"/>
      <c r="C10" s="4"/>
      <c r="D10" s="1"/>
      <c r="E10" s="1"/>
      <c r="G10" s="4"/>
      <c r="H10" s="4"/>
      <c r="I10" s="4"/>
      <c r="J10" s="1"/>
    </row>
    <row r="11" spans="1:10" x14ac:dyDescent="0.25">
      <c r="A11" s="37" t="s">
        <v>7</v>
      </c>
      <c r="B11" s="2" t="s">
        <v>8</v>
      </c>
      <c r="C11" s="2"/>
      <c r="D11" s="1"/>
      <c r="E11" s="1"/>
      <c r="G11" s="2" t="s">
        <v>9</v>
      </c>
      <c r="H11" s="5"/>
      <c r="I11" s="2"/>
      <c r="J11" s="1"/>
    </row>
    <row r="12" spans="1:10" ht="21.75" thickBot="1" x14ac:dyDescent="0.3">
      <c r="A12" s="51" t="s">
        <v>10</v>
      </c>
      <c r="B12" s="51"/>
      <c r="C12" s="51"/>
      <c r="D12" s="51"/>
      <c r="E12" s="51"/>
      <c r="F12" s="51"/>
      <c r="G12" s="51"/>
      <c r="H12" s="51"/>
      <c r="I12" s="51"/>
      <c r="J12" s="51"/>
    </row>
    <row r="13" spans="1:10" x14ac:dyDescent="0.25">
      <c r="A13" s="52" t="s">
        <v>11</v>
      </c>
      <c r="B13" s="54" t="s">
        <v>12</v>
      </c>
      <c r="C13" s="55"/>
      <c r="D13" s="56" t="s">
        <v>13</v>
      </c>
      <c r="E13" s="57"/>
      <c r="F13" s="57"/>
      <c r="G13" s="57"/>
      <c r="H13" s="58" t="s">
        <v>14</v>
      </c>
      <c r="I13" s="59"/>
      <c r="J13" s="60" t="s">
        <v>15</v>
      </c>
    </row>
    <row r="14" spans="1:10" ht="24" x14ac:dyDescent="0.25">
      <c r="A14" s="53"/>
      <c r="B14" s="6" t="s">
        <v>16</v>
      </c>
      <c r="C14" s="7" t="s">
        <v>17</v>
      </c>
      <c r="D14" s="6" t="s">
        <v>16</v>
      </c>
      <c r="E14" s="7" t="s">
        <v>17</v>
      </c>
      <c r="F14" s="12" t="s">
        <v>18</v>
      </c>
      <c r="G14" s="8" t="s">
        <v>19</v>
      </c>
      <c r="H14" s="6" t="s">
        <v>16</v>
      </c>
      <c r="I14" s="7" t="s">
        <v>17</v>
      </c>
      <c r="J14" s="61"/>
    </row>
    <row r="15" spans="1:10" ht="15.75" x14ac:dyDescent="0.25">
      <c r="A15" s="46" t="s">
        <v>20</v>
      </c>
      <c r="B15" s="47"/>
      <c r="C15" s="47"/>
      <c r="D15" s="47"/>
      <c r="E15" s="47"/>
      <c r="F15" s="47"/>
      <c r="G15" s="47"/>
      <c r="H15" s="47"/>
      <c r="I15" s="47"/>
      <c r="J15" s="48"/>
    </row>
    <row r="16" spans="1:10" ht="13.5" customHeight="1" x14ac:dyDescent="0.25">
      <c r="A16" s="9" t="s">
        <v>22</v>
      </c>
      <c r="B16" s="9">
        <v>0.66700000000000004</v>
      </c>
      <c r="C16" s="9">
        <v>0.66700000000000004</v>
      </c>
      <c r="D16" s="9"/>
      <c r="E16" s="9"/>
      <c r="F16" s="9"/>
      <c r="G16" s="39"/>
      <c r="H16" s="9">
        <f>B16</f>
        <v>0.66700000000000004</v>
      </c>
      <c r="I16" s="9">
        <f>C16</f>
        <v>0.66700000000000004</v>
      </c>
      <c r="J16" s="40">
        <f>SUM(H16:I16)</f>
        <v>1.3340000000000001</v>
      </c>
    </row>
    <row r="17" spans="1:10" ht="13.5" customHeight="1" x14ac:dyDescent="0.25">
      <c r="A17" s="9" t="s">
        <v>21</v>
      </c>
      <c r="B17" s="9">
        <v>1.25</v>
      </c>
      <c r="C17" s="9">
        <v>1.25</v>
      </c>
      <c r="D17" s="9"/>
      <c r="E17" s="9"/>
      <c r="F17" s="9"/>
      <c r="G17" s="39"/>
      <c r="H17" s="9">
        <f>H16-F17-D17+B17</f>
        <v>1.917</v>
      </c>
      <c r="I17" s="9">
        <f>I16-E17+C17</f>
        <v>1.917</v>
      </c>
      <c r="J17" s="40">
        <f t="shared" ref="J17" si="0">SUM(H17:I17)</f>
        <v>3.8340000000000001</v>
      </c>
    </row>
    <row r="18" spans="1:10" ht="13.5" customHeight="1" x14ac:dyDescent="0.25">
      <c r="A18" s="9" t="s">
        <v>23</v>
      </c>
      <c r="B18" s="9">
        <v>15</v>
      </c>
      <c r="C18" s="9">
        <v>15</v>
      </c>
      <c r="D18" s="9"/>
      <c r="E18" s="9"/>
      <c r="F18" s="9"/>
      <c r="G18" s="39"/>
      <c r="H18" s="9">
        <f t="shared" ref="H18:H81" si="1">H17-F18-D18+B18</f>
        <v>16.917000000000002</v>
      </c>
      <c r="I18" s="9">
        <f t="shared" ref="I18:I81" si="2">I17-E18+C18</f>
        <v>16.917000000000002</v>
      </c>
      <c r="J18" s="40">
        <f t="shared" ref="J18:J81" si="3">SUM(H18:I18)</f>
        <v>33.834000000000003</v>
      </c>
    </row>
    <row r="19" spans="1:10" ht="13.5" customHeight="1" x14ac:dyDescent="0.25">
      <c r="A19" s="9" t="s">
        <v>27</v>
      </c>
      <c r="B19" s="9"/>
      <c r="C19" s="9"/>
      <c r="D19" s="9">
        <v>10</v>
      </c>
      <c r="E19" s="9">
        <v>15</v>
      </c>
      <c r="F19" s="9"/>
      <c r="G19" s="39"/>
      <c r="H19" s="9">
        <f t="shared" si="1"/>
        <v>6.9170000000000016</v>
      </c>
      <c r="I19" s="9">
        <f t="shared" si="2"/>
        <v>1.9170000000000016</v>
      </c>
      <c r="J19" s="40">
        <f t="shared" si="3"/>
        <v>8.8340000000000032</v>
      </c>
    </row>
    <row r="20" spans="1:10" ht="13.5" customHeight="1" x14ac:dyDescent="0.25">
      <c r="A20" s="9" t="s">
        <v>24</v>
      </c>
      <c r="B20" s="9"/>
      <c r="C20" s="9"/>
      <c r="D20" s="9"/>
      <c r="E20" s="9"/>
      <c r="F20" s="9">
        <v>5</v>
      </c>
      <c r="G20" s="39"/>
      <c r="H20" s="9">
        <f t="shared" si="1"/>
        <v>1.9170000000000016</v>
      </c>
      <c r="I20" s="9">
        <f t="shared" si="2"/>
        <v>1.9170000000000016</v>
      </c>
      <c r="J20" s="40">
        <f t="shared" si="3"/>
        <v>3.8340000000000032</v>
      </c>
    </row>
    <row r="21" spans="1:10" ht="13.5" customHeight="1" x14ac:dyDescent="0.25">
      <c r="A21" s="9" t="s">
        <v>25</v>
      </c>
      <c r="B21" s="9">
        <v>15</v>
      </c>
      <c r="C21" s="9">
        <v>15</v>
      </c>
      <c r="D21" s="9"/>
      <c r="E21" s="9"/>
      <c r="F21" s="9"/>
      <c r="G21" s="39"/>
      <c r="H21" s="9">
        <f t="shared" si="1"/>
        <v>16.917000000000002</v>
      </c>
      <c r="I21" s="9">
        <f t="shared" si="2"/>
        <v>16.917000000000002</v>
      </c>
      <c r="J21" s="40">
        <f t="shared" si="3"/>
        <v>33.834000000000003</v>
      </c>
    </row>
    <row r="22" spans="1:10" ht="13.5" customHeight="1" x14ac:dyDescent="0.25">
      <c r="A22" s="9" t="s">
        <v>26</v>
      </c>
      <c r="B22" s="9"/>
      <c r="C22" s="9"/>
      <c r="D22" s="9">
        <v>8</v>
      </c>
      <c r="E22" s="9">
        <v>13</v>
      </c>
      <c r="F22" s="9"/>
      <c r="G22" s="39"/>
      <c r="H22" s="9">
        <f t="shared" si="1"/>
        <v>8.9170000000000016</v>
      </c>
      <c r="I22" s="9">
        <f t="shared" si="2"/>
        <v>3.9170000000000016</v>
      </c>
      <c r="J22" s="40">
        <f t="shared" si="3"/>
        <v>12.834000000000003</v>
      </c>
    </row>
    <row r="23" spans="1:10" ht="13.5" customHeight="1" x14ac:dyDescent="0.25">
      <c r="A23" s="9" t="s">
        <v>47</v>
      </c>
      <c r="B23" s="9"/>
      <c r="C23" s="9"/>
      <c r="D23" s="9">
        <v>3</v>
      </c>
      <c r="E23" s="9">
        <v>3</v>
      </c>
      <c r="F23" s="9"/>
      <c r="G23" s="39"/>
      <c r="H23" s="9">
        <f t="shared" si="1"/>
        <v>5.9170000000000016</v>
      </c>
      <c r="I23" s="9">
        <f t="shared" si="2"/>
        <v>0.91700000000000159</v>
      </c>
      <c r="J23" s="40">
        <f t="shared" si="3"/>
        <v>6.8340000000000032</v>
      </c>
    </row>
    <row r="24" spans="1:10" ht="13.5" customHeight="1" x14ac:dyDescent="0.25">
      <c r="A24" s="40" t="s">
        <v>28</v>
      </c>
      <c r="B24" s="9"/>
      <c r="C24" s="9"/>
      <c r="D24" s="9"/>
      <c r="E24" s="9"/>
      <c r="F24" s="9">
        <v>5</v>
      </c>
      <c r="G24" s="39"/>
      <c r="H24" s="9">
        <f t="shared" si="1"/>
        <v>0.91700000000000159</v>
      </c>
      <c r="I24" s="9">
        <f t="shared" si="2"/>
        <v>0.91700000000000159</v>
      </c>
      <c r="J24" s="40">
        <f t="shared" si="3"/>
        <v>1.8340000000000032</v>
      </c>
    </row>
    <row r="25" spans="1:10" ht="13.5" customHeight="1" x14ac:dyDescent="0.25">
      <c r="A25" s="9" t="s">
        <v>29</v>
      </c>
      <c r="B25" s="9">
        <v>15</v>
      </c>
      <c r="C25" s="9">
        <v>15</v>
      </c>
      <c r="D25" s="9"/>
      <c r="E25" s="9"/>
      <c r="F25" s="9"/>
      <c r="G25" s="39"/>
      <c r="H25" s="9">
        <f t="shared" si="1"/>
        <v>15.917000000000002</v>
      </c>
      <c r="I25" s="9">
        <f t="shared" si="2"/>
        <v>15.917000000000002</v>
      </c>
      <c r="J25" s="40">
        <f t="shared" si="3"/>
        <v>31.834000000000003</v>
      </c>
    </row>
    <row r="26" spans="1:10" ht="13.5" customHeight="1" x14ac:dyDescent="0.25">
      <c r="A26" s="40" t="s">
        <v>30</v>
      </c>
      <c r="B26" s="9"/>
      <c r="C26" s="9"/>
      <c r="D26" s="9">
        <v>10</v>
      </c>
      <c r="E26" s="9">
        <v>10</v>
      </c>
      <c r="F26" s="9"/>
      <c r="G26" s="39"/>
      <c r="H26" s="9">
        <f t="shared" si="1"/>
        <v>5.9170000000000016</v>
      </c>
      <c r="I26" s="9">
        <f t="shared" si="2"/>
        <v>5.9170000000000016</v>
      </c>
      <c r="J26" s="40">
        <f t="shared" si="3"/>
        <v>11.834000000000003</v>
      </c>
    </row>
    <row r="27" spans="1:10" ht="13.5" customHeight="1" x14ac:dyDescent="0.25">
      <c r="A27" s="9" t="s">
        <v>31</v>
      </c>
      <c r="B27" s="9"/>
      <c r="C27" s="9"/>
      <c r="D27" s="9"/>
      <c r="E27" s="9"/>
      <c r="F27" s="9">
        <v>5</v>
      </c>
      <c r="G27" s="39"/>
      <c r="H27" s="9">
        <f t="shared" si="1"/>
        <v>0.91700000000000159</v>
      </c>
      <c r="I27" s="9">
        <f t="shared" si="2"/>
        <v>5.9170000000000016</v>
      </c>
      <c r="J27" s="40">
        <f t="shared" si="3"/>
        <v>6.8340000000000032</v>
      </c>
    </row>
    <row r="28" spans="1:10" ht="13.5" customHeight="1" x14ac:dyDescent="0.25">
      <c r="A28" s="9" t="s">
        <v>32</v>
      </c>
      <c r="B28" s="9">
        <v>15</v>
      </c>
      <c r="C28" s="9">
        <v>15</v>
      </c>
      <c r="D28" s="9"/>
      <c r="E28" s="9"/>
      <c r="F28" s="9"/>
      <c r="G28" s="39"/>
      <c r="H28" s="9">
        <f t="shared" si="1"/>
        <v>15.917000000000002</v>
      </c>
      <c r="I28" s="9">
        <f t="shared" si="2"/>
        <v>20.917000000000002</v>
      </c>
      <c r="J28" s="40">
        <f t="shared" si="3"/>
        <v>36.834000000000003</v>
      </c>
    </row>
    <row r="29" spans="1:10" ht="13.5" customHeight="1" x14ac:dyDescent="0.25">
      <c r="A29" s="40" t="s">
        <v>33</v>
      </c>
      <c r="B29" s="9"/>
      <c r="C29" s="9"/>
      <c r="D29" s="9">
        <v>10</v>
      </c>
      <c r="E29" s="9">
        <v>20</v>
      </c>
      <c r="F29" s="9"/>
      <c r="G29" s="39"/>
      <c r="H29" s="9">
        <f t="shared" si="1"/>
        <v>5.9170000000000016</v>
      </c>
      <c r="I29" s="9">
        <f t="shared" si="2"/>
        <v>0.91700000000000159</v>
      </c>
      <c r="J29" s="40">
        <f t="shared" si="3"/>
        <v>6.8340000000000032</v>
      </c>
    </row>
    <row r="30" spans="1:10" ht="13.5" customHeight="1" x14ac:dyDescent="0.25">
      <c r="A30" s="9" t="s">
        <v>34</v>
      </c>
      <c r="B30" s="9"/>
      <c r="C30" s="9"/>
      <c r="D30" s="9"/>
      <c r="E30" s="9"/>
      <c r="F30" s="9">
        <v>5</v>
      </c>
      <c r="G30" s="39"/>
      <c r="H30" s="9">
        <f t="shared" si="1"/>
        <v>0.91700000000000159</v>
      </c>
      <c r="I30" s="9">
        <f t="shared" si="2"/>
        <v>0.91700000000000159</v>
      </c>
      <c r="J30" s="40">
        <f t="shared" si="3"/>
        <v>1.8340000000000032</v>
      </c>
    </row>
    <row r="31" spans="1:10" ht="13.5" customHeight="1" x14ac:dyDescent="0.25">
      <c r="A31" s="40" t="s">
        <v>35</v>
      </c>
      <c r="B31" s="9">
        <v>15</v>
      </c>
      <c r="C31" s="9">
        <v>15</v>
      </c>
      <c r="D31" s="9"/>
      <c r="E31" s="9"/>
      <c r="F31" s="9"/>
      <c r="G31" s="39"/>
      <c r="H31" s="9">
        <f t="shared" si="1"/>
        <v>15.917000000000002</v>
      </c>
      <c r="I31" s="9">
        <f t="shared" si="2"/>
        <v>15.917000000000002</v>
      </c>
      <c r="J31" s="40">
        <f t="shared" si="3"/>
        <v>31.834000000000003</v>
      </c>
    </row>
    <row r="32" spans="1:10" ht="13.5" customHeight="1" x14ac:dyDescent="0.25">
      <c r="A32" s="9" t="s">
        <v>36</v>
      </c>
      <c r="B32" s="9"/>
      <c r="C32" s="9"/>
      <c r="D32" s="9"/>
      <c r="E32" s="9"/>
      <c r="F32" s="9">
        <v>5</v>
      </c>
      <c r="G32" s="39"/>
      <c r="H32" s="9">
        <f t="shared" si="1"/>
        <v>10.917000000000002</v>
      </c>
      <c r="I32" s="9">
        <f t="shared" si="2"/>
        <v>15.917000000000002</v>
      </c>
      <c r="J32" s="40">
        <f t="shared" si="3"/>
        <v>26.834000000000003</v>
      </c>
    </row>
    <row r="33" spans="1:10" ht="13.5" customHeight="1" x14ac:dyDescent="0.25">
      <c r="A33" s="40" t="s">
        <v>37</v>
      </c>
      <c r="B33" s="9">
        <v>15</v>
      </c>
      <c r="C33" s="9">
        <v>15</v>
      </c>
      <c r="D33" s="9"/>
      <c r="E33" s="9"/>
      <c r="F33" s="9"/>
      <c r="G33" s="39"/>
      <c r="H33" s="9">
        <f t="shared" si="1"/>
        <v>25.917000000000002</v>
      </c>
      <c r="I33" s="9">
        <f t="shared" si="2"/>
        <v>30.917000000000002</v>
      </c>
      <c r="J33" s="40">
        <f t="shared" si="3"/>
        <v>56.834000000000003</v>
      </c>
    </row>
    <row r="34" spans="1:10" ht="13.5" customHeight="1" x14ac:dyDescent="0.25">
      <c r="A34" s="40" t="s">
        <v>38</v>
      </c>
      <c r="B34" s="9"/>
      <c r="C34" s="9"/>
      <c r="D34" s="9"/>
      <c r="E34" s="9"/>
      <c r="F34" s="9">
        <v>5</v>
      </c>
      <c r="G34" s="39"/>
      <c r="H34" s="9">
        <f t="shared" si="1"/>
        <v>20.917000000000002</v>
      </c>
      <c r="I34" s="9">
        <f t="shared" si="2"/>
        <v>30.917000000000002</v>
      </c>
      <c r="J34" s="40">
        <f t="shared" si="3"/>
        <v>51.834000000000003</v>
      </c>
    </row>
    <row r="35" spans="1:10" ht="13.5" customHeight="1" x14ac:dyDescent="0.25">
      <c r="A35" s="40" t="s">
        <v>39</v>
      </c>
      <c r="B35" s="9">
        <v>15</v>
      </c>
      <c r="C35" s="9">
        <v>15</v>
      </c>
      <c r="D35" s="9"/>
      <c r="E35" s="9"/>
      <c r="F35" s="9"/>
      <c r="G35" s="39"/>
      <c r="H35" s="9">
        <f t="shared" si="1"/>
        <v>35.917000000000002</v>
      </c>
      <c r="I35" s="9">
        <f t="shared" si="2"/>
        <v>45.917000000000002</v>
      </c>
      <c r="J35" s="40">
        <f t="shared" si="3"/>
        <v>81.834000000000003</v>
      </c>
    </row>
    <row r="36" spans="1:10" ht="13.5" customHeight="1" x14ac:dyDescent="0.25">
      <c r="A36" s="40" t="s">
        <v>40</v>
      </c>
      <c r="B36" s="9"/>
      <c r="C36" s="9"/>
      <c r="D36" s="9"/>
      <c r="E36" s="9"/>
      <c r="F36" s="9">
        <v>5</v>
      </c>
      <c r="G36" s="39"/>
      <c r="H36" s="9">
        <f t="shared" si="1"/>
        <v>30.917000000000002</v>
      </c>
      <c r="I36" s="9">
        <f t="shared" si="2"/>
        <v>45.917000000000002</v>
      </c>
      <c r="J36" s="40">
        <f t="shared" si="3"/>
        <v>76.834000000000003</v>
      </c>
    </row>
    <row r="37" spans="1:10" ht="13.5" customHeight="1" x14ac:dyDescent="0.25">
      <c r="A37" s="40" t="s">
        <v>41</v>
      </c>
      <c r="B37" s="9">
        <v>15</v>
      </c>
      <c r="C37" s="9">
        <v>15</v>
      </c>
      <c r="D37" s="9"/>
      <c r="E37" s="9"/>
      <c r="F37" s="9"/>
      <c r="G37" s="39"/>
      <c r="H37" s="9">
        <f t="shared" si="1"/>
        <v>45.917000000000002</v>
      </c>
      <c r="I37" s="9">
        <f t="shared" si="2"/>
        <v>60.917000000000002</v>
      </c>
      <c r="J37" s="40">
        <f t="shared" si="3"/>
        <v>106.834</v>
      </c>
    </row>
    <row r="38" spans="1:10" ht="13.5" customHeight="1" x14ac:dyDescent="0.25">
      <c r="A38" s="40" t="s">
        <v>42</v>
      </c>
      <c r="B38" s="9"/>
      <c r="C38" s="9"/>
      <c r="D38" s="9">
        <v>10</v>
      </c>
      <c r="E38" s="9"/>
      <c r="F38" s="9"/>
      <c r="G38" s="39"/>
      <c r="H38" s="9">
        <f t="shared" si="1"/>
        <v>35.917000000000002</v>
      </c>
      <c r="I38" s="9">
        <f t="shared" si="2"/>
        <v>60.917000000000002</v>
      </c>
      <c r="J38" s="40">
        <f t="shared" si="3"/>
        <v>96.834000000000003</v>
      </c>
    </row>
    <row r="39" spans="1:10" ht="13.5" customHeight="1" x14ac:dyDescent="0.25">
      <c r="A39" s="40" t="s">
        <v>43</v>
      </c>
      <c r="B39" s="9"/>
      <c r="C39" s="9"/>
      <c r="D39" s="9"/>
      <c r="E39" s="9"/>
      <c r="F39" s="9">
        <v>5</v>
      </c>
      <c r="G39" s="39"/>
      <c r="H39" s="9">
        <f t="shared" si="1"/>
        <v>30.917000000000002</v>
      </c>
      <c r="I39" s="9">
        <f t="shared" si="2"/>
        <v>60.917000000000002</v>
      </c>
      <c r="J39" s="40">
        <f t="shared" si="3"/>
        <v>91.834000000000003</v>
      </c>
    </row>
    <row r="40" spans="1:10" ht="13.5" customHeight="1" x14ac:dyDescent="0.25">
      <c r="A40" s="40" t="s">
        <v>45</v>
      </c>
      <c r="B40" s="9">
        <v>15</v>
      </c>
      <c r="C40" s="9">
        <v>15</v>
      </c>
      <c r="D40" s="9"/>
      <c r="E40" s="9"/>
      <c r="F40" s="9"/>
      <c r="G40" s="39"/>
      <c r="H40" s="9">
        <f t="shared" si="1"/>
        <v>45.917000000000002</v>
      </c>
      <c r="I40" s="9">
        <f t="shared" si="2"/>
        <v>75.917000000000002</v>
      </c>
      <c r="J40" s="40">
        <f t="shared" si="3"/>
        <v>121.834</v>
      </c>
    </row>
    <row r="41" spans="1:10" ht="13.5" customHeight="1" x14ac:dyDescent="0.25">
      <c r="A41" s="9" t="s">
        <v>44</v>
      </c>
      <c r="B41" s="9"/>
      <c r="C41" s="9"/>
      <c r="D41" s="9">
        <v>10</v>
      </c>
      <c r="E41" s="9"/>
      <c r="F41" s="9"/>
      <c r="G41" s="39"/>
      <c r="H41" s="9">
        <f t="shared" si="1"/>
        <v>35.917000000000002</v>
      </c>
      <c r="I41" s="9">
        <f t="shared" si="2"/>
        <v>75.917000000000002</v>
      </c>
      <c r="J41" s="40">
        <f t="shared" si="3"/>
        <v>111.834</v>
      </c>
    </row>
    <row r="42" spans="1:10" ht="13.5" customHeight="1" x14ac:dyDescent="0.25">
      <c r="A42" s="40" t="s">
        <v>46</v>
      </c>
      <c r="B42" s="9"/>
      <c r="C42" s="9"/>
      <c r="D42" s="9"/>
      <c r="E42" s="9"/>
      <c r="F42" s="9">
        <v>5</v>
      </c>
      <c r="G42" s="39"/>
      <c r="H42" s="9">
        <f t="shared" si="1"/>
        <v>30.917000000000002</v>
      </c>
      <c r="I42" s="9">
        <f t="shared" si="2"/>
        <v>75.917000000000002</v>
      </c>
      <c r="J42" s="40">
        <f t="shared" si="3"/>
        <v>106.834</v>
      </c>
    </row>
    <row r="43" spans="1:10" ht="13.5" customHeight="1" x14ac:dyDescent="0.25">
      <c r="A43" s="40" t="s">
        <v>48</v>
      </c>
      <c r="B43" s="9">
        <f>10*1.25</f>
        <v>12.5</v>
      </c>
      <c r="C43" s="9">
        <v>12.5</v>
      </c>
      <c r="D43" s="9"/>
      <c r="E43" s="9"/>
      <c r="F43" s="9"/>
      <c r="G43" s="39"/>
      <c r="H43" s="9">
        <f t="shared" si="1"/>
        <v>43.417000000000002</v>
      </c>
      <c r="I43" s="9">
        <f t="shared" si="2"/>
        <v>88.417000000000002</v>
      </c>
      <c r="J43" s="40">
        <f t="shared" si="3"/>
        <v>131.834</v>
      </c>
    </row>
    <row r="44" spans="1:10" ht="13.5" customHeight="1" x14ac:dyDescent="0.25">
      <c r="A44" s="40" t="s">
        <v>49</v>
      </c>
      <c r="B44" s="9"/>
      <c r="C44" s="9"/>
      <c r="D44" s="9">
        <v>10</v>
      </c>
      <c r="E44" s="9"/>
      <c r="F44" s="9"/>
      <c r="G44" s="39"/>
      <c r="H44" s="9">
        <f t="shared" si="1"/>
        <v>33.417000000000002</v>
      </c>
      <c r="I44" s="9">
        <f t="shared" si="2"/>
        <v>88.417000000000002</v>
      </c>
      <c r="J44" s="40">
        <f t="shared" si="3"/>
        <v>121.834</v>
      </c>
    </row>
    <row r="45" spans="1:10" ht="13.5" customHeight="1" x14ac:dyDescent="0.25">
      <c r="A45" s="40" t="s">
        <v>50</v>
      </c>
      <c r="B45" s="9">
        <f>1.25*2</f>
        <v>2.5</v>
      </c>
      <c r="C45" s="9">
        <v>2.5</v>
      </c>
      <c r="D45" s="9"/>
      <c r="E45" s="9"/>
      <c r="F45" s="9"/>
      <c r="G45" s="39"/>
      <c r="H45" s="9">
        <f t="shared" si="1"/>
        <v>35.917000000000002</v>
      </c>
      <c r="I45" s="9">
        <f t="shared" si="2"/>
        <v>90.917000000000002</v>
      </c>
      <c r="J45" s="40">
        <f t="shared" si="3"/>
        <v>126.834</v>
      </c>
    </row>
    <row r="46" spans="1:10" ht="13.5" customHeight="1" x14ac:dyDescent="0.25">
      <c r="A46" s="40" t="s">
        <v>53</v>
      </c>
      <c r="B46" s="9"/>
      <c r="C46" s="9"/>
      <c r="D46" s="9"/>
      <c r="E46" s="9"/>
      <c r="F46" s="9">
        <v>5</v>
      </c>
      <c r="G46" s="39"/>
      <c r="H46" s="9">
        <f t="shared" si="1"/>
        <v>30.917000000000002</v>
      </c>
      <c r="I46" s="9">
        <f t="shared" si="2"/>
        <v>90.917000000000002</v>
      </c>
      <c r="J46" s="40">
        <f t="shared" si="3"/>
        <v>121.834</v>
      </c>
    </row>
    <row r="47" spans="1:10" ht="13.5" customHeight="1" x14ac:dyDescent="0.25">
      <c r="A47" s="40" t="s">
        <v>51</v>
      </c>
      <c r="B47" s="9">
        <f>11*1.25</f>
        <v>13.75</v>
      </c>
      <c r="C47" s="9">
        <v>13.75</v>
      </c>
      <c r="D47" s="9"/>
      <c r="E47" s="9"/>
      <c r="F47" s="9"/>
      <c r="G47" s="39"/>
      <c r="H47" s="9">
        <f t="shared" si="1"/>
        <v>44.667000000000002</v>
      </c>
      <c r="I47" s="9">
        <f t="shared" si="2"/>
        <v>104.667</v>
      </c>
      <c r="J47" s="40">
        <f t="shared" si="3"/>
        <v>149.334</v>
      </c>
    </row>
    <row r="48" spans="1:10" ht="13.5" customHeight="1" x14ac:dyDescent="0.25">
      <c r="A48" s="9" t="s">
        <v>52</v>
      </c>
      <c r="B48" s="9"/>
      <c r="C48" s="9"/>
      <c r="D48" s="9">
        <v>29</v>
      </c>
      <c r="E48" s="9"/>
      <c r="F48" s="9"/>
      <c r="G48" s="39"/>
      <c r="H48" s="9">
        <f t="shared" si="1"/>
        <v>15.667000000000002</v>
      </c>
      <c r="I48" s="9">
        <f t="shared" si="2"/>
        <v>104.667</v>
      </c>
      <c r="J48" s="40">
        <f t="shared" si="3"/>
        <v>120.334</v>
      </c>
    </row>
    <row r="49" spans="1:10" ht="13.5" customHeight="1" x14ac:dyDescent="0.25">
      <c r="A49" s="9" t="s">
        <v>54</v>
      </c>
      <c r="B49" s="9">
        <v>1.25</v>
      </c>
      <c r="C49" s="9">
        <v>1.25</v>
      </c>
      <c r="D49" s="9"/>
      <c r="E49" s="9"/>
      <c r="F49" s="9"/>
      <c r="G49" s="39"/>
      <c r="H49" s="9">
        <f t="shared" si="1"/>
        <v>16.917000000000002</v>
      </c>
      <c r="I49" s="9">
        <f t="shared" si="2"/>
        <v>105.917</v>
      </c>
      <c r="J49" s="40">
        <f t="shared" si="3"/>
        <v>122.834</v>
      </c>
    </row>
    <row r="50" spans="1:10" ht="13.5" customHeight="1" x14ac:dyDescent="0.25">
      <c r="A50" s="13" t="s">
        <v>55</v>
      </c>
      <c r="B50" s="13"/>
      <c r="C50" s="13"/>
      <c r="D50" s="13"/>
      <c r="E50" s="13"/>
      <c r="F50" s="13">
        <v>5</v>
      </c>
      <c r="G50" s="41"/>
      <c r="H50" s="9">
        <f t="shared" si="1"/>
        <v>11.917000000000002</v>
      </c>
      <c r="I50" s="9">
        <f t="shared" si="2"/>
        <v>105.917</v>
      </c>
      <c r="J50" s="40">
        <f t="shared" si="3"/>
        <v>117.834</v>
      </c>
    </row>
    <row r="51" spans="1:10" ht="13.5" customHeight="1" x14ac:dyDescent="0.25">
      <c r="A51" s="13" t="s">
        <v>56</v>
      </c>
      <c r="B51" s="13">
        <f>6*1.25</f>
        <v>7.5</v>
      </c>
      <c r="C51" s="13">
        <v>7.5</v>
      </c>
      <c r="D51" s="13"/>
      <c r="E51" s="13"/>
      <c r="F51" s="13"/>
      <c r="G51" s="41"/>
      <c r="H51" s="9">
        <f t="shared" si="1"/>
        <v>19.417000000000002</v>
      </c>
      <c r="I51" s="9">
        <f t="shared" si="2"/>
        <v>113.417</v>
      </c>
      <c r="J51" s="40">
        <f t="shared" si="3"/>
        <v>132.834</v>
      </c>
    </row>
    <row r="52" spans="1:10" ht="13.5" customHeight="1" x14ac:dyDescent="0.25">
      <c r="A52" s="13" t="s">
        <v>57</v>
      </c>
      <c r="B52" s="13"/>
      <c r="C52" s="13"/>
      <c r="D52" s="13">
        <v>14</v>
      </c>
      <c r="E52" s="13">
        <v>15</v>
      </c>
      <c r="F52" s="13"/>
      <c r="G52" s="41"/>
      <c r="H52" s="9">
        <f t="shared" si="1"/>
        <v>5.4170000000000016</v>
      </c>
      <c r="I52" s="9">
        <f t="shared" si="2"/>
        <v>98.417000000000002</v>
      </c>
      <c r="J52" s="40">
        <f t="shared" si="3"/>
        <v>103.834</v>
      </c>
    </row>
    <row r="53" spans="1:10" ht="13.5" customHeight="1" x14ac:dyDescent="0.25">
      <c r="A53" s="13" t="s">
        <v>58</v>
      </c>
      <c r="B53" s="13">
        <v>7.5</v>
      </c>
      <c r="C53" s="13">
        <v>7.5</v>
      </c>
      <c r="D53" s="42"/>
      <c r="E53" s="42"/>
      <c r="F53" s="42"/>
      <c r="G53" s="13"/>
      <c r="H53" s="9">
        <f t="shared" si="1"/>
        <v>12.917000000000002</v>
      </c>
      <c r="I53" s="9">
        <f t="shared" si="2"/>
        <v>105.917</v>
      </c>
      <c r="J53" s="40">
        <f t="shared" si="3"/>
        <v>118.834</v>
      </c>
    </row>
    <row r="54" spans="1:10" ht="13.5" customHeight="1" x14ac:dyDescent="0.25">
      <c r="A54" s="13" t="s">
        <v>59</v>
      </c>
      <c r="B54" s="13"/>
      <c r="C54" s="13"/>
      <c r="D54" s="42"/>
      <c r="E54" s="13"/>
      <c r="F54" s="13">
        <v>5</v>
      </c>
      <c r="G54" s="13"/>
      <c r="H54" s="9">
        <f t="shared" si="1"/>
        <v>7.9170000000000016</v>
      </c>
      <c r="I54" s="9">
        <f t="shared" si="2"/>
        <v>105.917</v>
      </c>
      <c r="J54" s="40">
        <f t="shared" si="3"/>
        <v>113.834</v>
      </c>
    </row>
    <row r="55" spans="1:10" ht="13.5" customHeight="1" x14ac:dyDescent="0.25">
      <c r="A55" s="13" t="s">
        <v>60</v>
      </c>
      <c r="B55" s="13">
        <v>15</v>
      </c>
      <c r="C55" s="13">
        <v>15</v>
      </c>
      <c r="D55" s="42"/>
      <c r="E55" s="13"/>
      <c r="F55" s="13"/>
      <c r="G55" s="13"/>
      <c r="H55" s="9">
        <f t="shared" si="1"/>
        <v>22.917000000000002</v>
      </c>
      <c r="I55" s="9">
        <f t="shared" si="2"/>
        <v>120.917</v>
      </c>
      <c r="J55" s="40">
        <f t="shared" si="3"/>
        <v>143.834</v>
      </c>
    </row>
    <row r="56" spans="1:10" ht="13.5" customHeight="1" x14ac:dyDescent="0.25">
      <c r="A56" s="13" t="s">
        <v>61</v>
      </c>
      <c r="B56" s="13"/>
      <c r="C56" s="13"/>
      <c r="D56" s="13"/>
      <c r="E56" s="13"/>
      <c r="F56" s="13">
        <v>5</v>
      </c>
      <c r="G56" s="13"/>
      <c r="H56" s="9">
        <f t="shared" si="1"/>
        <v>17.917000000000002</v>
      </c>
      <c r="I56" s="9">
        <f t="shared" si="2"/>
        <v>120.917</v>
      </c>
      <c r="J56" s="40">
        <f t="shared" si="3"/>
        <v>138.834</v>
      </c>
    </row>
    <row r="57" spans="1:10" ht="13.5" customHeight="1" x14ac:dyDescent="0.25">
      <c r="A57" s="13" t="s">
        <v>62</v>
      </c>
      <c r="B57" s="13">
        <v>15</v>
      </c>
      <c r="C57" s="13">
        <v>15</v>
      </c>
      <c r="D57" s="13"/>
      <c r="E57" s="13"/>
      <c r="F57" s="13"/>
      <c r="G57" s="13"/>
      <c r="H57" s="9">
        <f t="shared" si="1"/>
        <v>32.917000000000002</v>
      </c>
      <c r="I57" s="9">
        <f t="shared" si="2"/>
        <v>135.917</v>
      </c>
      <c r="J57" s="40">
        <f t="shared" si="3"/>
        <v>168.834</v>
      </c>
    </row>
    <row r="58" spans="1:10" ht="13.5" customHeight="1" x14ac:dyDescent="0.25">
      <c r="A58" s="13" t="s">
        <v>63</v>
      </c>
      <c r="B58" s="13"/>
      <c r="C58" s="13"/>
      <c r="D58" s="13">
        <v>5</v>
      </c>
      <c r="E58" s="13"/>
      <c r="F58" s="13"/>
      <c r="G58" s="13"/>
      <c r="H58" s="9">
        <f t="shared" si="1"/>
        <v>27.917000000000002</v>
      </c>
      <c r="I58" s="9">
        <f t="shared" si="2"/>
        <v>135.917</v>
      </c>
      <c r="J58" s="40">
        <f t="shared" si="3"/>
        <v>163.834</v>
      </c>
    </row>
    <row r="59" spans="1:10" ht="13.5" customHeight="1" x14ac:dyDescent="0.25">
      <c r="A59" s="13" t="s">
        <v>64</v>
      </c>
      <c r="B59" s="13"/>
      <c r="C59" s="13"/>
      <c r="D59" s="13"/>
      <c r="E59" s="13"/>
      <c r="F59" s="13">
        <v>5</v>
      </c>
      <c r="G59" s="13"/>
      <c r="H59" s="9">
        <f t="shared" si="1"/>
        <v>22.917000000000002</v>
      </c>
      <c r="I59" s="9">
        <f t="shared" si="2"/>
        <v>135.917</v>
      </c>
      <c r="J59" s="40">
        <f t="shared" si="3"/>
        <v>158.834</v>
      </c>
    </row>
    <row r="60" spans="1:10" ht="13.5" customHeight="1" x14ac:dyDescent="0.25">
      <c r="A60" s="13" t="s">
        <v>65</v>
      </c>
      <c r="B60" s="13">
        <v>11.25</v>
      </c>
      <c r="C60" s="13">
        <v>11.25</v>
      </c>
      <c r="D60" s="13"/>
      <c r="E60" s="13"/>
      <c r="F60" s="13"/>
      <c r="G60" s="13"/>
      <c r="H60" s="9">
        <f t="shared" si="1"/>
        <v>34.167000000000002</v>
      </c>
      <c r="I60" s="9">
        <f t="shared" si="2"/>
        <v>147.167</v>
      </c>
      <c r="J60" s="40">
        <f t="shared" si="3"/>
        <v>181.334</v>
      </c>
    </row>
    <row r="61" spans="1:10" ht="13.5" customHeight="1" x14ac:dyDescent="0.25">
      <c r="A61" s="13" t="s">
        <v>66</v>
      </c>
      <c r="B61" s="13"/>
      <c r="C61" s="13"/>
      <c r="D61" s="13">
        <v>7</v>
      </c>
      <c r="E61" s="13">
        <v>22</v>
      </c>
      <c r="F61" s="13"/>
      <c r="G61" s="13"/>
      <c r="H61" s="9">
        <f t="shared" si="1"/>
        <v>27.167000000000002</v>
      </c>
      <c r="I61" s="9">
        <f t="shared" si="2"/>
        <v>125.167</v>
      </c>
      <c r="J61" s="40">
        <f t="shared" si="3"/>
        <v>152.334</v>
      </c>
    </row>
    <row r="62" spans="1:10" ht="13.5" customHeight="1" x14ac:dyDescent="0.25">
      <c r="A62" s="13" t="s">
        <v>67</v>
      </c>
      <c r="B62" s="13">
        <f>3*1.25</f>
        <v>3.75</v>
      </c>
      <c r="C62" s="13">
        <v>3.75</v>
      </c>
      <c r="D62" s="13"/>
      <c r="E62" s="13"/>
      <c r="F62" s="13"/>
      <c r="G62" s="13"/>
      <c r="H62" s="9">
        <f t="shared" si="1"/>
        <v>30.917000000000002</v>
      </c>
      <c r="I62" s="9">
        <f t="shared" si="2"/>
        <v>128.917</v>
      </c>
      <c r="J62" s="40">
        <f t="shared" si="3"/>
        <v>159.834</v>
      </c>
    </row>
    <row r="63" spans="1:10" ht="13.5" customHeight="1" x14ac:dyDescent="0.25">
      <c r="A63" s="13" t="s">
        <v>68</v>
      </c>
      <c r="B63" s="13"/>
      <c r="C63" s="13"/>
      <c r="D63" s="13"/>
      <c r="E63" s="13"/>
      <c r="F63" s="13">
        <v>5</v>
      </c>
      <c r="G63" s="13"/>
      <c r="H63" s="9">
        <f t="shared" si="1"/>
        <v>25.917000000000002</v>
      </c>
      <c r="I63" s="9">
        <f t="shared" si="2"/>
        <v>128.917</v>
      </c>
      <c r="J63" s="40">
        <f t="shared" si="3"/>
        <v>154.834</v>
      </c>
    </row>
    <row r="64" spans="1:10" ht="13.5" customHeight="1" x14ac:dyDescent="0.25">
      <c r="A64" s="13" t="s">
        <v>69</v>
      </c>
      <c r="B64" s="13">
        <v>10</v>
      </c>
      <c r="C64" s="13">
        <v>10</v>
      </c>
      <c r="D64" s="13"/>
      <c r="E64" s="13"/>
      <c r="F64" s="13"/>
      <c r="G64" s="13"/>
      <c r="H64" s="9">
        <f t="shared" si="1"/>
        <v>35.917000000000002</v>
      </c>
      <c r="I64" s="9">
        <f t="shared" si="2"/>
        <v>138.917</v>
      </c>
      <c r="J64" s="40">
        <f t="shared" si="3"/>
        <v>174.834</v>
      </c>
    </row>
    <row r="65" spans="1:10" ht="13.5" customHeight="1" x14ac:dyDescent="0.25">
      <c r="A65" s="13" t="s">
        <v>70</v>
      </c>
      <c r="B65" s="13"/>
      <c r="C65" s="13"/>
      <c r="D65" s="13">
        <v>8</v>
      </c>
      <c r="E65" s="13">
        <v>21</v>
      </c>
      <c r="F65" s="13"/>
      <c r="G65" s="13"/>
      <c r="H65" s="9">
        <f t="shared" si="1"/>
        <v>27.917000000000002</v>
      </c>
      <c r="I65" s="9">
        <f t="shared" si="2"/>
        <v>117.917</v>
      </c>
      <c r="J65" s="40">
        <f t="shared" si="3"/>
        <v>145.834</v>
      </c>
    </row>
    <row r="66" spans="1:10" ht="13.5" customHeight="1" x14ac:dyDescent="0.25">
      <c r="A66" s="13" t="s">
        <v>71</v>
      </c>
      <c r="B66" s="13">
        <v>1.25</v>
      </c>
      <c r="C66" s="13">
        <v>1.25</v>
      </c>
      <c r="D66" s="13"/>
      <c r="E66" s="13"/>
      <c r="F66" s="13"/>
      <c r="G66" s="13"/>
      <c r="H66" s="9">
        <f t="shared" si="1"/>
        <v>29.167000000000002</v>
      </c>
      <c r="I66" s="9">
        <f t="shared" si="2"/>
        <v>119.167</v>
      </c>
      <c r="J66" s="40">
        <f t="shared" si="3"/>
        <v>148.334</v>
      </c>
    </row>
    <row r="67" spans="1:10" ht="13.5" customHeight="1" x14ac:dyDescent="0.25">
      <c r="A67" s="13" t="s">
        <v>73</v>
      </c>
      <c r="B67" s="13"/>
      <c r="C67" s="13"/>
      <c r="D67" s="13"/>
      <c r="E67" s="13"/>
      <c r="F67" s="13">
        <v>2</v>
      </c>
      <c r="G67" s="13"/>
      <c r="H67" s="9">
        <f t="shared" si="1"/>
        <v>27.167000000000002</v>
      </c>
      <c r="I67" s="9">
        <f t="shared" si="2"/>
        <v>119.167</v>
      </c>
      <c r="J67" s="40">
        <f t="shared" si="3"/>
        <v>146.334</v>
      </c>
    </row>
    <row r="68" spans="1:10" ht="13.5" customHeight="1" x14ac:dyDescent="0.25">
      <c r="A68" s="13" t="s">
        <v>72</v>
      </c>
      <c r="B68" s="13">
        <f>1.25*3</f>
        <v>3.75</v>
      </c>
      <c r="C68" s="13">
        <v>3.75</v>
      </c>
      <c r="D68" s="13"/>
      <c r="E68" s="13"/>
      <c r="F68" s="13"/>
      <c r="G68" s="13"/>
      <c r="H68" s="9">
        <f t="shared" si="1"/>
        <v>30.917000000000002</v>
      </c>
      <c r="I68" s="9">
        <f t="shared" si="2"/>
        <v>122.917</v>
      </c>
      <c r="J68" s="40">
        <f t="shared" si="3"/>
        <v>153.834</v>
      </c>
    </row>
    <row r="69" spans="1:10" ht="13.5" customHeight="1" x14ac:dyDescent="0.25">
      <c r="A69" s="13" t="s">
        <v>74</v>
      </c>
      <c r="B69" s="13"/>
      <c r="C69" s="13"/>
      <c r="D69" s="13"/>
      <c r="E69" s="13"/>
      <c r="F69" s="13">
        <v>3</v>
      </c>
      <c r="G69" s="13"/>
      <c r="H69" s="9">
        <f t="shared" si="1"/>
        <v>27.917000000000002</v>
      </c>
      <c r="I69" s="9">
        <f t="shared" si="2"/>
        <v>122.917</v>
      </c>
      <c r="J69" s="40">
        <f t="shared" si="3"/>
        <v>150.834</v>
      </c>
    </row>
    <row r="70" spans="1:10" ht="13.5" customHeight="1" x14ac:dyDescent="0.25">
      <c r="A70" s="13" t="s">
        <v>75</v>
      </c>
      <c r="B70" s="13"/>
      <c r="C70" s="13"/>
      <c r="D70" s="13"/>
      <c r="E70" s="13"/>
      <c r="F70" s="13">
        <v>2</v>
      </c>
      <c r="G70" s="13"/>
      <c r="H70" s="9">
        <f t="shared" si="1"/>
        <v>25.917000000000002</v>
      </c>
      <c r="I70" s="9">
        <f t="shared" si="2"/>
        <v>122.917</v>
      </c>
      <c r="J70" s="40">
        <f t="shared" si="3"/>
        <v>148.834</v>
      </c>
    </row>
    <row r="71" spans="1:10" ht="13.5" customHeight="1" x14ac:dyDescent="0.25">
      <c r="A71" s="13" t="s">
        <v>76</v>
      </c>
      <c r="B71" s="13">
        <v>5</v>
      </c>
      <c r="C71" s="13">
        <v>5</v>
      </c>
      <c r="D71" s="13"/>
      <c r="E71" s="13"/>
      <c r="F71" s="13"/>
      <c r="G71" s="13"/>
      <c r="H71" s="9">
        <f t="shared" si="1"/>
        <v>30.917000000000002</v>
      </c>
      <c r="I71" s="9">
        <f t="shared" si="2"/>
        <v>127.917</v>
      </c>
      <c r="J71" s="40">
        <f t="shared" si="3"/>
        <v>158.834</v>
      </c>
    </row>
    <row r="72" spans="1:10" ht="13.5" customHeight="1" x14ac:dyDescent="0.25">
      <c r="A72" s="13" t="s">
        <v>77</v>
      </c>
      <c r="B72" s="13"/>
      <c r="C72" s="13"/>
      <c r="D72" s="13"/>
      <c r="E72" s="13"/>
      <c r="F72" s="13">
        <v>1</v>
      </c>
      <c r="G72" s="13"/>
      <c r="H72" s="9">
        <f t="shared" si="1"/>
        <v>29.917000000000002</v>
      </c>
      <c r="I72" s="9">
        <f t="shared" si="2"/>
        <v>127.917</v>
      </c>
      <c r="J72" s="40">
        <f t="shared" si="3"/>
        <v>157.834</v>
      </c>
    </row>
    <row r="73" spans="1:10" ht="13.5" customHeight="1" x14ac:dyDescent="0.25">
      <c r="A73" s="13" t="s">
        <v>78</v>
      </c>
      <c r="B73" s="13">
        <v>2.5</v>
      </c>
      <c r="C73" s="13">
        <v>2.5</v>
      </c>
      <c r="D73" s="13"/>
      <c r="E73" s="13"/>
      <c r="F73" s="13"/>
      <c r="G73" s="13"/>
      <c r="H73" s="9">
        <f t="shared" si="1"/>
        <v>32.417000000000002</v>
      </c>
      <c r="I73" s="9">
        <f t="shared" si="2"/>
        <v>130.417</v>
      </c>
      <c r="J73" s="40">
        <f t="shared" si="3"/>
        <v>162.834</v>
      </c>
    </row>
    <row r="74" spans="1:10" ht="13.5" customHeight="1" x14ac:dyDescent="0.25">
      <c r="A74" s="13" t="s">
        <v>79</v>
      </c>
      <c r="B74" s="13"/>
      <c r="C74" s="13"/>
      <c r="D74" s="13">
        <v>3</v>
      </c>
      <c r="E74" s="13"/>
      <c r="F74" s="13"/>
      <c r="G74" s="13"/>
      <c r="H74" s="9">
        <f t="shared" si="1"/>
        <v>29.417000000000002</v>
      </c>
      <c r="I74" s="9">
        <f t="shared" si="2"/>
        <v>130.417</v>
      </c>
      <c r="J74" s="40">
        <f t="shared" si="3"/>
        <v>159.834</v>
      </c>
    </row>
    <row r="75" spans="1:10" ht="13.5" customHeight="1" x14ac:dyDescent="0.25">
      <c r="A75" s="13" t="s">
        <v>80</v>
      </c>
      <c r="B75" s="13">
        <v>2.5</v>
      </c>
      <c r="C75" s="13">
        <v>2.5</v>
      </c>
      <c r="D75" s="13"/>
      <c r="E75" s="13"/>
      <c r="F75" s="13"/>
      <c r="G75" s="13"/>
      <c r="H75" s="9">
        <f t="shared" si="1"/>
        <v>31.917000000000002</v>
      </c>
      <c r="I75" s="9">
        <f t="shared" si="2"/>
        <v>132.917</v>
      </c>
      <c r="J75" s="40">
        <f t="shared" si="3"/>
        <v>164.834</v>
      </c>
    </row>
    <row r="76" spans="1:10" ht="13.5" customHeight="1" x14ac:dyDescent="0.25">
      <c r="A76" s="13" t="s">
        <v>121</v>
      </c>
      <c r="B76" s="13"/>
      <c r="C76" s="13"/>
      <c r="D76" s="13">
        <v>7</v>
      </c>
      <c r="E76" s="13">
        <v>22</v>
      </c>
      <c r="F76" s="13"/>
      <c r="G76" s="13"/>
      <c r="H76" s="9">
        <f t="shared" si="1"/>
        <v>24.917000000000002</v>
      </c>
      <c r="I76" s="9">
        <f t="shared" si="2"/>
        <v>110.917</v>
      </c>
      <c r="J76" s="40">
        <f t="shared" si="3"/>
        <v>135.834</v>
      </c>
    </row>
    <row r="77" spans="1:10" x14ac:dyDescent="0.25">
      <c r="A77" s="13" t="s">
        <v>81</v>
      </c>
      <c r="B77" s="13">
        <v>1.25</v>
      </c>
      <c r="C77" s="13">
        <v>1.25</v>
      </c>
      <c r="D77" s="13"/>
      <c r="E77" s="13"/>
      <c r="F77" s="13"/>
      <c r="G77" s="13"/>
      <c r="H77" s="9">
        <f t="shared" si="1"/>
        <v>26.167000000000002</v>
      </c>
      <c r="I77" s="9">
        <f t="shared" si="2"/>
        <v>112.167</v>
      </c>
      <c r="J77" s="40">
        <f t="shared" si="3"/>
        <v>138.334</v>
      </c>
    </row>
    <row r="78" spans="1:10" x14ac:dyDescent="0.25">
      <c r="A78" s="13" t="s">
        <v>82</v>
      </c>
      <c r="B78" s="13"/>
      <c r="C78" s="13"/>
      <c r="D78" s="13"/>
      <c r="E78" s="13">
        <v>3</v>
      </c>
      <c r="F78" s="13"/>
      <c r="G78" s="13"/>
      <c r="H78" s="9">
        <f t="shared" si="1"/>
        <v>26.167000000000002</v>
      </c>
      <c r="I78" s="9">
        <f t="shared" si="2"/>
        <v>109.167</v>
      </c>
      <c r="J78" s="40">
        <f t="shared" si="3"/>
        <v>135.334</v>
      </c>
    </row>
    <row r="79" spans="1:10" x14ac:dyDescent="0.25">
      <c r="A79" s="13" t="s">
        <v>83</v>
      </c>
      <c r="B79" s="13">
        <v>2.5</v>
      </c>
      <c r="C79" s="13">
        <v>2.5</v>
      </c>
      <c r="D79" s="13"/>
      <c r="E79" s="13"/>
      <c r="F79" s="13"/>
      <c r="G79" s="13"/>
      <c r="H79" s="9">
        <f t="shared" si="1"/>
        <v>28.667000000000002</v>
      </c>
      <c r="I79" s="9">
        <f t="shared" si="2"/>
        <v>111.667</v>
      </c>
      <c r="J79" s="40">
        <f t="shared" si="3"/>
        <v>140.334</v>
      </c>
    </row>
    <row r="80" spans="1:10" x14ac:dyDescent="0.25">
      <c r="A80" s="13" t="s">
        <v>84</v>
      </c>
      <c r="B80" s="13"/>
      <c r="C80" s="13"/>
      <c r="D80" s="13"/>
      <c r="E80" s="13"/>
      <c r="F80" s="13">
        <v>1</v>
      </c>
      <c r="G80" s="13"/>
      <c r="H80" s="9">
        <f t="shared" si="1"/>
        <v>27.667000000000002</v>
      </c>
      <c r="I80" s="9">
        <f t="shared" si="2"/>
        <v>111.667</v>
      </c>
      <c r="J80" s="40">
        <f t="shared" si="3"/>
        <v>139.334</v>
      </c>
    </row>
    <row r="81" spans="1:10" x14ac:dyDescent="0.25">
      <c r="A81" s="13" t="s">
        <v>85</v>
      </c>
      <c r="B81" s="13"/>
      <c r="C81" s="13"/>
      <c r="D81" s="13">
        <v>1</v>
      </c>
      <c r="E81" s="13"/>
      <c r="F81" s="13">
        <v>1</v>
      </c>
      <c r="G81" s="13"/>
      <c r="H81" s="9">
        <f t="shared" si="1"/>
        <v>25.667000000000002</v>
      </c>
      <c r="I81" s="9">
        <f t="shared" si="2"/>
        <v>111.667</v>
      </c>
      <c r="J81" s="40">
        <f t="shared" si="3"/>
        <v>137.334</v>
      </c>
    </row>
    <row r="82" spans="1:10" x14ac:dyDescent="0.25">
      <c r="A82" s="13" t="s">
        <v>86</v>
      </c>
      <c r="B82" s="13">
        <v>1.25</v>
      </c>
      <c r="C82" s="13">
        <v>1.25</v>
      </c>
      <c r="D82" s="13"/>
      <c r="E82" s="13"/>
      <c r="F82" s="13"/>
      <c r="G82" s="13"/>
      <c r="H82" s="9">
        <f t="shared" ref="H82:H93" si="4">H81-F82-D82+B82</f>
        <v>26.917000000000002</v>
      </c>
      <c r="I82" s="9">
        <f t="shared" ref="I82:I93" si="5">I81-E82+C82</f>
        <v>112.917</v>
      </c>
      <c r="J82" s="40">
        <f t="shared" ref="J82:J93" si="6">SUM(H82:I82)</f>
        <v>139.834</v>
      </c>
    </row>
    <row r="83" spans="1:10" x14ac:dyDescent="0.25">
      <c r="A83" s="13" t="s">
        <v>87</v>
      </c>
      <c r="B83" s="13"/>
      <c r="C83" s="13"/>
      <c r="D83" s="13">
        <v>3</v>
      </c>
      <c r="E83" s="13"/>
      <c r="F83" s="13"/>
      <c r="G83" s="13"/>
      <c r="H83" s="9">
        <f t="shared" si="4"/>
        <v>23.917000000000002</v>
      </c>
      <c r="I83" s="9">
        <f t="shared" si="5"/>
        <v>112.917</v>
      </c>
      <c r="J83" s="40">
        <f t="shared" si="6"/>
        <v>136.834</v>
      </c>
    </row>
    <row r="84" spans="1:10" x14ac:dyDescent="0.25">
      <c r="A84" s="13" t="s">
        <v>108</v>
      </c>
      <c r="B84" s="13">
        <v>8.75</v>
      </c>
      <c r="C84" s="13">
        <v>8.75</v>
      </c>
      <c r="D84" s="13"/>
      <c r="E84" s="13"/>
      <c r="F84" s="13"/>
      <c r="G84" s="13"/>
      <c r="H84" s="9">
        <f t="shared" si="4"/>
        <v>32.667000000000002</v>
      </c>
      <c r="I84" s="9">
        <f t="shared" si="5"/>
        <v>121.667</v>
      </c>
      <c r="J84" s="40">
        <f t="shared" si="6"/>
        <v>154.334</v>
      </c>
    </row>
    <row r="85" spans="1:10" x14ac:dyDescent="0.25">
      <c r="A85" s="13" t="s">
        <v>109</v>
      </c>
      <c r="B85" s="13"/>
      <c r="C85" s="13"/>
      <c r="D85" s="13">
        <v>27</v>
      </c>
      <c r="E85" s="13"/>
      <c r="F85" s="13"/>
      <c r="G85" s="13"/>
      <c r="H85" s="9">
        <f t="shared" si="4"/>
        <v>5.6670000000000016</v>
      </c>
      <c r="I85" s="9">
        <f t="shared" si="5"/>
        <v>121.667</v>
      </c>
      <c r="J85" s="39">
        <f t="shared" si="6"/>
        <v>127.334</v>
      </c>
    </row>
    <row r="86" spans="1:10" x14ac:dyDescent="0.25">
      <c r="A86" s="13" t="s">
        <v>112</v>
      </c>
      <c r="B86" s="13">
        <v>6.25</v>
      </c>
      <c r="C86" s="13">
        <v>6.25</v>
      </c>
      <c r="D86" s="13"/>
      <c r="E86" s="13"/>
      <c r="F86" s="13"/>
      <c r="G86" s="13"/>
      <c r="H86" s="9">
        <f t="shared" si="4"/>
        <v>11.917000000000002</v>
      </c>
      <c r="I86" s="9">
        <f t="shared" si="5"/>
        <v>127.917</v>
      </c>
      <c r="J86" s="39">
        <f t="shared" si="6"/>
        <v>139.834</v>
      </c>
    </row>
    <row r="87" spans="1:10" x14ac:dyDescent="0.25">
      <c r="A87" s="13" t="s">
        <v>118</v>
      </c>
      <c r="B87" s="13"/>
      <c r="C87" s="13"/>
      <c r="D87" s="13"/>
      <c r="E87" s="13"/>
      <c r="F87" s="13">
        <v>5</v>
      </c>
      <c r="G87" s="13"/>
      <c r="H87" s="9">
        <f t="shared" si="4"/>
        <v>6.9170000000000016</v>
      </c>
      <c r="I87" s="9">
        <f t="shared" si="5"/>
        <v>127.917</v>
      </c>
      <c r="J87" s="39">
        <f t="shared" si="6"/>
        <v>134.834</v>
      </c>
    </row>
    <row r="88" spans="1:10" x14ac:dyDescent="0.25">
      <c r="A88" s="13" t="s">
        <v>113</v>
      </c>
      <c r="B88" s="13">
        <v>2.5</v>
      </c>
      <c r="C88" s="13">
        <v>2.5</v>
      </c>
      <c r="D88" s="13"/>
      <c r="E88" s="13"/>
      <c r="F88" s="13"/>
      <c r="G88" s="13"/>
      <c r="H88" s="9">
        <f t="shared" si="4"/>
        <v>9.4170000000000016</v>
      </c>
      <c r="I88" s="9">
        <f t="shared" si="5"/>
        <v>130.417</v>
      </c>
      <c r="J88" s="39">
        <f t="shared" si="6"/>
        <v>139.834</v>
      </c>
    </row>
    <row r="89" spans="1:10" x14ac:dyDescent="0.25">
      <c r="A89" s="13" t="s">
        <v>114</v>
      </c>
      <c r="B89" s="13"/>
      <c r="C89" s="13"/>
      <c r="D89" s="13"/>
      <c r="E89" s="13">
        <v>1</v>
      </c>
      <c r="F89" s="13"/>
      <c r="G89" s="13"/>
      <c r="H89" s="9">
        <f t="shared" si="4"/>
        <v>9.4170000000000016</v>
      </c>
      <c r="I89" s="9">
        <f t="shared" si="5"/>
        <v>129.417</v>
      </c>
      <c r="J89" s="39">
        <f t="shared" si="6"/>
        <v>138.834</v>
      </c>
    </row>
    <row r="90" spans="1:10" x14ac:dyDescent="0.25">
      <c r="A90" s="13" t="s">
        <v>115</v>
      </c>
      <c r="B90" s="13">
        <v>1.25</v>
      </c>
      <c r="C90" s="13">
        <v>1.25</v>
      </c>
      <c r="D90" s="13"/>
      <c r="E90" s="13"/>
      <c r="F90" s="13"/>
      <c r="G90" s="13"/>
      <c r="H90" s="9">
        <f t="shared" si="4"/>
        <v>10.667000000000002</v>
      </c>
      <c r="I90" s="9">
        <f t="shared" si="5"/>
        <v>130.667</v>
      </c>
      <c r="J90" s="39">
        <f t="shared" si="6"/>
        <v>141.334</v>
      </c>
    </row>
    <row r="91" spans="1:10" x14ac:dyDescent="0.25">
      <c r="A91" s="13" t="s">
        <v>116</v>
      </c>
      <c r="B91" s="13"/>
      <c r="C91" s="13"/>
      <c r="D91" s="13"/>
      <c r="E91" s="13">
        <v>1</v>
      </c>
      <c r="F91" s="13"/>
      <c r="G91" s="13"/>
      <c r="H91" s="9">
        <f t="shared" si="4"/>
        <v>10.667000000000002</v>
      </c>
      <c r="I91" s="9">
        <f t="shared" si="5"/>
        <v>129.667</v>
      </c>
      <c r="J91" s="39">
        <f t="shared" si="6"/>
        <v>140.334</v>
      </c>
    </row>
    <row r="92" spans="1:10" x14ac:dyDescent="0.25">
      <c r="A92" s="13" t="s">
        <v>117</v>
      </c>
      <c r="B92" s="13">
        <v>6.25</v>
      </c>
      <c r="C92" s="13">
        <v>6.25</v>
      </c>
      <c r="D92" s="13"/>
      <c r="E92" s="13"/>
      <c r="F92" s="13"/>
      <c r="G92" s="13"/>
      <c r="H92" s="9">
        <f t="shared" si="4"/>
        <v>16.917000000000002</v>
      </c>
      <c r="I92" s="9">
        <f t="shared" si="5"/>
        <v>135.917</v>
      </c>
      <c r="J92" s="39">
        <f t="shared" si="6"/>
        <v>152.834</v>
      </c>
    </row>
    <row r="93" spans="1:10" x14ac:dyDescent="0.25">
      <c r="A93" s="13" t="s">
        <v>120</v>
      </c>
      <c r="B93" s="13"/>
      <c r="C93" s="13"/>
      <c r="D93" s="13">
        <v>10</v>
      </c>
      <c r="E93" s="13"/>
      <c r="F93" s="13"/>
      <c r="G93" s="13"/>
      <c r="H93" s="9">
        <f t="shared" si="4"/>
        <v>6.9170000000000016</v>
      </c>
      <c r="I93" s="9">
        <f t="shared" si="5"/>
        <v>135.917</v>
      </c>
      <c r="J93" s="39">
        <f t="shared" si="6"/>
        <v>142.834</v>
      </c>
    </row>
    <row r="94" spans="1:10" x14ac:dyDescent="0.25">
      <c r="A94" s="13" t="s">
        <v>122</v>
      </c>
      <c r="B94" s="13">
        <v>1.25</v>
      </c>
      <c r="C94" s="13">
        <v>1.25</v>
      </c>
      <c r="D94" s="13"/>
      <c r="E94" s="13"/>
      <c r="F94" s="13"/>
      <c r="G94" s="13"/>
      <c r="H94" s="9">
        <f t="shared" ref="H94:H95" si="7">H93-F94-D94+B94</f>
        <v>8.1670000000000016</v>
      </c>
      <c r="I94" s="9">
        <f t="shared" ref="I94:I95" si="8">I93-E94+C94</f>
        <v>137.167</v>
      </c>
      <c r="J94" s="39">
        <f t="shared" ref="J94:J95" si="9">SUM(H94:I94)</f>
        <v>145.334</v>
      </c>
    </row>
    <row r="95" spans="1:10" x14ac:dyDescent="0.25">
      <c r="A95" s="13" t="s">
        <v>123</v>
      </c>
      <c r="B95" s="13"/>
      <c r="C95" s="13"/>
      <c r="D95" s="13"/>
      <c r="E95" s="13">
        <v>1</v>
      </c>
      <c r="F95" s="13"/>
      <c r="G95" s="13"/>
      <c r="H95" s="9">
        <f t="shared" si="7"/>
        <v>8.1670000000000016</v>
      </c>
      <c r="I95" s="9">
        <f t="shared" si="8"/>
        <v>136.167</v>
      </c>
      <c r="J95" s="39">
        <f t="shared" si="9"/>
        <v>144.334</v>
      </c>
    </row>
    <row r="96" spans="1:10" x14ac:dyDescent="0.25">
      <c r="A96" s="13" t="s">
        <v>124</v>
      </c>
      <c r="B96" s="13">
        <v>1.25</v>
      </c>
      <c r="C96" s="13">
        <v>1.25</v>
      </c>
      <c r="D96" s="13"/>
      <c r="E96" s="13"/>
      <c r="F96" s="13"/>
      <c r="G96" s="13"/>
      <c r="H96" s="9">
        <f t="shared" ref="H96:H98" si="10">H95-F96-D96+B96</f>
        <v>9.4170000000000016</v>
      </c>
      <c r="I96" s="9">
        <f t="shared" ref="I96:I98" si="11">I95-E96+C96</f>
        <v>137.417</v>
      </c>
      <c r="J96" s="39">
        <f t="shared" ref="J96:J98" si="12">SUM(H96:I96)</f>
        <v>146.834</v>
      </c>
    </row>
    <row r="97" spans="1:12" x14ac:dyDescent="0.25">
      <c r="A97" s="13" t="s">
        <v>125</v>
      </c>
      <c r="B97" s="13"/>
      <c r="C97" s="13"/>
      <c r="D97" s="13"/>
      <c r="E97" s="13"/>
      <c r="F97" s="13"/>
      <c r="G97" s="67">
        <v>1</v>
      </c>
      <c r="H97" s="9">
        <f t="shared" si="10"/>
        <v>9.4170000000000016</v>
      </c>
      <c r="I97" s="9">
        <f t="shared" si="11"/>
        <v>137.417</v>
      </c>
      <c r="J97" s="39">
        <f t="shared" si="12"/>
        <v>146.834</v>
      </c>
    </row>
    <row r="98" spans="1:12" x14ac:dyDescent="0.25">
      <c r="A98" s="13" t="s">
        <v>126</v>
      </c>
      <c r="B98" s="13"/>
      <c r="C98" s="13"/>
      <c r="D98" s="13"/>
      <c r="E98" s="13"/>
      <c r="F98" s="13"/>
      <c r="G98" s="67">
        <v>1</v>
      </c>
      <c r="H98" s="9">
        <f t="shared" si="10"/>
        <v>9.4170000000000016</v>
      </c>
      <c r="I98" s="9">
        <f t="shared" si="11"/>
        <v>137.417</v>
      </c>
      <c r="J98" s="39">
        <f t="shared" si="12"/>
        <v>146.834</v>
      </c>
    </row>
    <row r="99" spans="1:12" x14ac:dyDescent="0.25">
      <c r="A99" s="43"/>
      <c r="B99" s="43"/>
      <c r="C99" s="43"/>
      <c r="D99" s="43"/>
      <c r="E99" s="43"/>
      <c r="F99" s="43"/>
      <c r="G99" s="43"/>
      <c r="H99" s="44"/>
      <c r="I99" s="44"/>
      <c r="J99" s="45"/>
    </row>
    <row r="100" spans="1:12" x14ac:dyDescent="0.25">
      <c r="A100" s="43"/>
      <c r="B100" s="43"/>
      <c r="C100" s="43"/>
      <c r="D100" s="43"/>
      <c r="E100" s="43"/>
      <c r="F100" s="43"/>
      <c r="G100" s="43"/>
      <c r="H100" s="44"/>
      <c r="I100" s="44"/>
      <c r="J100" s="45"/>
    </row>
    <row r="101" spans="1:12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1"/>
      <c r="L101" s="1"/>
    </row>
    <row r="102" spans="1:12" x14ac:dyDescent="0.25">
      <c r="A102" s="37"/>
      <c r="B102" s="1"/>
      <c r="C102" s="1"/>
      <c r="D102" s="1"/>
      <c r="E102" s="1"/>
      <c r="G102" s="1"/>
      <c r="H102" s="1"/>
      <c r="I102" s="1"/>
      <c r="J102" s="1"/>
      <c r="K102" s="1"/>
      <c r="L102" s="1"/>
    </row>
    <row r="103" spans="1:12" x14ac:dyDescent="0.25">
      <c r="A103" s="37"/>
      <c r="B103" s="1"/>
      <c r="C103" s="1"/>
      <c r="D103" s="1"/>
      <c r="E103" s="1"/>
      <c r="G103" s="1"/>
      <c r="H103" s="1"/>
      <c r="I103" s="1"/>
      <c r="J103" s="1"/>
      <c r="K103" s="1"/>
      <c r="L103" s="1"/>
    </row>
    <row r="104" spans="1:12" x14ac:dyDescent="0.25">
      <c r="A104" s="37"/>
      <c r="B104" s="1"/>
      <c r="C104" s="1"/>
      <c r="D104" s="1"/>
      <c r="E104" s="1"/>
      <c r="G104" s="1"/>
      <c r="H104" s="1"/>
      <c r="I104" s="1"/>
      <c r="J104" s="1"/>
      <c r="K104" s="1"/>
      <c r="L104" s="1"/>
    </row>
    <row r="105" spans="1:12" x14ac:dyDescent="0.25">
      <c r="A105" s="37"/>
      <c r="B105" s="1"/>
      <c r="C105" s="1"/>
      <c r="D105" s="1"/>
      <c r="E105" s="1"/>
      <c r="G105" s="1"/>
      <c r="H105" s="1"/>
      <c r="I105" s="1"/>
      <c r="J105" s="1"/>
      <c r="K105" s="1"/>
      <c r="L105" s="1"/>
    </row>
    <row r="106" spans="1:12" x14ac:dyDescent="0.25">
      <c r="A106" s="37"/>
      <c r="B106" s="1"/>
      <c r="C106" s="1"/>
      <c r="D106" s="1"/>
      <c r="E106" s="1"/>
      <c r="G106" s="1"/>
      <c r="H106" s="1"/>
      <c r="I106" s="1"/>
      <c r="J106" s="1"/>
      <c r="K106" s="1"/>
      <c r="L106" s="1"/>
    </row>
    <row r="107" spans="1:12" x14ac:dyDescent="0.25">
      <c r="A107" s="37"/>
      <c r="B107" s="1"/>
      <c r="C107" s="1"/>
      <c r="D107" s="1"/>
      <c r="E107" s="1"/>
      <c r="G107" s="1"/>
      <c r="H107" s="1"/>
      <c r="I107" s="1"/>
      <c r="J107" s="1"/>
      <c r="K107" s="1"/>
      <c r="L107" s="1"/>
    </row>
    <row r="108" spans="1:12" x14ac:dyDescent="0.25">
      <c r="A108" s="37"/>
      <c r="B108" s="1"/>
      <c r="C108" s="1"/>
      <c r="D108" s="1"/>
      <c r="E108" s="1"/>
      <c r="G108" s="1"/>
      <c r="H108" s="1"/>
      <c r="I108" s="1"/>
      <c r="J108" s="1"/>
      <c r="K108" s="1"/>
      <c r="L108" s="1"/>
    </row>
    <row r="109" spans="1:12" x14ac:dyDescent="0.25">
      <c r="A109" s="37"/>
      <c r="B109" s="1"/>
      <c r="C109" s="1"/>
      <c r="D109" s="1"/>
      <c r="E109" s="1"/>
      <c r="G109" s="1"/>
      <c r="H109" s="1"/>
      <c r="I109" s="1"/>
      <c r="J109" s="1"/>
      <c r="K109" s="1"/>
      <c r="L109" s="1"/>
    </row>
    <row r="110" spans="1:12" x14ac:dyDescent="0.25">
      <c r="A110" s="37"/>
      <c r="B110" s="1"/>
      <c r="C110" s="1"/>
      <c r="D110" s="1"/>
      <c r="E110" s="1"/>
      <c r="G110" s="1"/>
      <c r="H110" s="1"/>
      <c r="I110" s="1"/>
      <c r="J110" s="1"/>
      <c r="K110" s="1"/>
      <c r="L110" s="1"/>
    </row>
    <row r="111" spans="1:12" x14ac:dyDescent="0.25">
      <c r="A111" s="37"/>
      <c r="B111" s="1"/>
      <c r="C111" s="1"/>
      <c r="D111" s="1"/>
      <c r="E111" s="1"/>
      <c r="G111" s="1"/>
      <c r="H111" s="1"/>
      <c r="I111" s="1"/>
      <c r="J111" s="1"/>
      <c r="K111" s="1"/>
      <c r="L111" s="1"/>
    </row>
    <row r="112" spans="1:12" x14ac:dyDescent="0.25">
      <c r="A112" s="37"/>
      <c r="B112" s="1"/>
      <c r="C112" s="1"/>
      <c r="D112" s="1"/>
      <c r="E112" s="1"/>
      <c r="G112" s="1"/>
      <c r="H112" s="1"/>
      <c r="I112" s="1"/>
      <c r="J112" s="1"/>
      <c r="K112" s="1"/>
      <c r="L112" s="1"/>
    </row>
    <row r="113" spans="1:12" x14ac:dyDescent="0.25">
      <c r="A113" s="37"/>
      <c r="B113" s="1"/>
      <c r="C113" s="1"/>
      <c r="D113" s="1"/>
      <c r="E113" s="1"/>
      <c r="G113" s="1"/>
      <c r="H113" s="1"/>
      <c r="I113" s="1"/>
      <c r="J113" s="1"/>
      <c r="K113" s="1"/>
      <c r="L113" s="1"/>
    </row>
    <row r="114" spans="1:12" x14ac:dyDescent="0.25">
      <c r="A114" s="37"/>
      <c r="B114" s="1"/>
      <c r="C114" s="1"/>
      <c r="D114" s="1"/>
      <c r="E114" s="1"/>
      <c r="G114" s="1"/>
      <c r="H114" s="1"/>
      <c r="I114" s="1"/>
      <c r="J114" s="1"/>
      <c r="K114" s="1"/>
      <c r="L114" s="1"/>
    </row>
    <row r="115" spans="1:12" x14ac:dyDescent="0.25">
      <c r="A115" s="37"/>
      <c r="B115" s="1"/>
      <c r="C115" s="1"/>
      <c r="D115" s="1"/>
      <c r="E115" s="1"/>
      <c r="G115" s="1"/>
      <c r="H115" s="1"/>
      <c r="I115" s="1"/>
      <c r="J115" s="1"/>
      <c r="K115" s="1"/>
      <c r="L115" s="1"/>
    </row>
    <row r="116" spans="1:12" x14ac:dyDescent="0.25">
      <c r="A116" s="37"/>
      <c r="B116" s="1"/>
      <c r="C116" s="1"/>
      <c r="D116" s="1"/>
      <c r="E116" s="1"/>
      <c r="G116" s="1"/>
      <c r="H116" s="1"/>
      <c r="I116" s="1"/>
      <c r="J116" s="1"/>
      <c r="K116" s="1"/>
      <c r="L116" s="1"/>
    </row>
    <row r="117" spans="1:12" x14ac:dyDescent="0.25">
      <c r="A117" s="37"/>
      <c r="B117" s="1"/>
      <c r="C117" s="1"/>
      <c r="D117" s="1"/>
      <c r="E117" s="1"/>
      <c r="G117" s="1"/>
      <c r="H117" s="1"/>
      <c r="I117" s="1"/>
      <c r="J117" s="1"/>
      <c r="K117" s="1"/>
      <c r="L117" s="1"/>
    </row>
    <row r="118" spans="1:12" x14ac:dyDescent="0.25">
      <c r="A118" s="37"/>
      <c r="B118" s="1"/>
      <c r="C118" s="1"/>
      <c r="D118" s="1"/>
      <c r="E118" s="1"/>
      <c r="G118" s="1"/>
      <c r="H118" s="1"/>
      <c r="I118" s="1"/>
      <c r="J118" s="1"/>
      <c r="K118" s="1"/>
      <c r="L118" s="1"/>
    </row>
    <row r="119" spans="1:12" x14ac:dyDescent="0.25">
      <c r="A119" s="37"/>
      <c r="B119" s="1"/>
      <c r="C119" s="1"/>
      <c r="D119" s="1"/>
      <c r="E119" s="1"/>
      <c r="G119" s="1"/>
      <c r="H119" s="1"/>
      <c r="I119" s="1"/>
      <c r="J119" s="1"/>
      <c r="K119" s="1"/>
      <c r="L119" s="1"/>
    </row>
    <row r="120" spans="1:12" x14ac:dyDescent="0.25">
      <c r="A120" s="37"/>
      <c r="B120" s="1"/>
      <c r="C120" s="1"/>
      <c r="D120" s="1"/>
      <c r="E120" s="1"/>
      <c r="G120" s="1"/>
      <c r="H120" s="1"/>
      <c r="I120" s="1"/>
      <c r="J120" s="1"/>
      <c r="K120" s="1"/>
      <c r="L120" s="1"/>
    </row>
    <row r="121" spans="1:12" x14ac:dyDescent="0.25">
      <c r="A121" s="37"/>
      <c r="B121" s="1"/>
      <c r="C121" s="1"/>
      <c r="D121" s="1"/>
      <c r="E121" s="1"/>
      <c r="G121" s="1"/>
      <c r="H121" s="1"/>
      <c r="I121" s="1"/>
      <c r="J121" s="1"/>
      <c r="K121" s="1"/>
      <c r="L121" s="1"/>
    </row>
    <row r="122" spans="1:12" x14ac:dyDescent="0.25">
      <c r="A122" s="37"/>
      <c r="B122" s="1"/>
      <c r="C122" s="1"/>
      <c r="D122" s="1"/>
      <c r="E122" s="1"/>
      <c r="G122" s="1"/>
      <c r="H122" s="1"/>
      <c r="I122" s="1"/>
      <c r="J122" s="1"/>
      <c r="K122" s="1"/>
      <c r="L122" s="1"/>
    </row>
    <row r="123" spans="1:12" x14ac:dyDescent="0.25">
      <c r="A123" s="37"/>
      <c r="B123" s="1"/>
      <c r="C123" s="1"/>
      <c r="D123" s="1"/>
      <c r="E123" s="1"/>
      <c r="G123" s="1"/>
      <c r="H123" s="1"/>
      <c r="I123" s="1"/>
      <c r="J123" s="1"/>
      <c r="K123" s="1"/>
      <c r="L123" s="1"/>
    </row>
    <row r="124" spans="1:12" x14ac:dyDescent="0.25">
      <c r="A124" s="37"/>
      <c r="B124" s="1"/>
      <c r="C124" s="1"/>
      <c r="D124" s="1"/>
      <c r="E124" s="1"/>
      <c r="G124" s="1"/>
      <c r="H124" s="1"/>
      <c r="I124" s="1"/>
      <c r="J124" s="1"/>
      <c r="K124" s="1"/>
      <c r="L124" s="1"/>
    </row>
    <row r="125" spans="1:12" x14ac:dyDescent="0.25">
      <c r="A125" s="37"/>
      <c r="B125" s="1"/>
      <c r="C125" s="1"/>
      <c r="D125" s="1"/>
      <c r="E125" s="1"/>
      <c r="G125" s="1"/>
      <c r="H125" s="1"/>
      <c r="I125" s="1"/>
      <c r="J125" s="1"/>
      <c r="K125" s="1"/>
      <c r="L125" s="1"/>
    </row>
    <row r="126" spans="1:12" x14ac:dyDescent="0.25">
      <c r="A126" s="37"/>
      <c r="B126" s="1"/>
      <c r="C126" s="1"/>
      <c r="D126" s="1"/>
      <c r="E126" s="1"/>
      <c r="G126" s="1"/>
      <c r="H126" s="1"/>
      <c r="I126" s="1"/>
      <c r="J126" s="1"/>
      <c r="K126" s="1"/>
      <c r="L126" s="1"/>
    </row>
    <row r="127" spans="1:12" x14ac:dyDescent="0.25">
      <c r="A127" s="37"/>
      <c r="B127" s="1"/>
      <c r="C127" s="1"/>
      <c r="D127" s="1"/>
      <c r="E127" s="1"/>
      <c r="G127" s="1"/>
      <c r="H127" s="1"/>
      <c r="I127" s="1"/>
      <c r="J127" s="1"/>
      <c r="K127" s="1"/>
      <c r="L127" s="1"/>
    </row>
    <row r="128" spans="1:12" x14ac:dyDescent="0.25">
      <c r="A128" s="37"/>
      <c r="B128" s="1"/>
      <c r="C128" s="1"/>
      <c r="D128" s="1"/>
      <c r="E128" s="1"/>
      <c r="G128" s="1"/>
      <c r="H128" s="1"/>
      <c r="I128" s="1"/>
      <c r="J128" s="1"/>
      <c r="K128" s="1"/>
      <c r="L128" s="1"/>
    </row>
    <row r="129" spans="1:12" x14ac:dyDescent="0.25">
      <c r="A129" s="37"/>
      <c r="B129" s="1"/>
      <c r="C129" s="1"/>
      <c r="D129" s="1"/>
      <c r="E129" s="1"/>
      <c r="G129" s="1"/>
      <c r="H129" s="1"/>
      <c r="I129" s="1"/>
      <c r="J129" s="1"/>
      <c r="K129" s="1"/>
      <c r="L129" s="1"/>
    </row>
    <row r="130" spans="1:12" x14ac:dyDescent="0.25">
      <c r="A130" s="37"/>
      <c r="B130" s="1"/>
      <c r="C130" s="1"/>
      <c r="D130" s="1"/>
      <c r="E130" s="1"/>
      <c r="G130" s="1"/>
      <c r="H130" s="1"/>
      <c r="I130" s="1"/>
      <c r="J130" s="1"/>
      <c r="K130" s="1"/>
      <c r="L130" s="1"/>
    </row>
    <row r="131" spans="1:12" x14ac:dyDescent="0.25">
      <c r="A131" s="37"/>
      <c r="B131" s="1"/>
      <c r="C131" s="1"/>
      <c r="D131" s="1"/>
      <c r="E131" s="1"/>
      <c r="G131" s="1"/>
      <c r="H131" s="1"/>
      <c r="I131" s="1"/>
      <c r="J131" s="1"/>
      <c r="K131" s="1"/>
      <c r="L131" s="1"/>
    </row>
    <row r="132" spans="1:12" x14ac:dyDescent="0.25">
      <c r="A132" s="37"/>
      <c r="B132" s="1"/>
      <c r="C132" s="1"/>
      <c r="D132" s="1"/>
      <c r="E132" s="1"/>
      <c r="G132" s="1"/>
      <c r="H132" s="1"/>
      <c r="I132" s="1"/>
      <c r="J132" s="1"/>
      <c r="K132" s="1"/>
      <c r="L132" s="1"/>
    </row>
    <row r="133" spans="1:12" x14ac:dyDescent="0.25">
      <c r="A133" s="37"/>
      <c r="B133" s="1"/>
      <c r="C133" s="1"/>
      <c r="D133" s="1"/>
      <c r="E133" s="1"/>
      <c r="G133" s="1"/>
      <c r="H133" s="1"/>
      <c r="I133" s="1"/>
      <c r="J133" s="1"/>
      <c r="K133" s="1"/>
      <c r="L133" s="1"/>
    </row>
    <row r="134" spans="1:12" x14ac:dyDescent="0.25">
      <c r="A134" s="37"/>
      <c r="B134" s="1"/>
      <c r="C134" s="1"/>
      <c r="D134" s="1"/>
      <c r="E134" s="1"/>
      <c r="G134" s="1"/>
      <c r="H134" s="1"/>
      <c r="I134" s="1"/>
      <c r="J134" s="1"/>
      <c r="K134" s="1"/>
      <c r="L134" s="1"/>
    </row>
    <row r="135" spans="1:12" x14ac:dyDescent="0.25">
      <c r="A135" s="37"/>
      <c r="B135" s="1"/>
      <c r="C135" s="1"/>
      <c r="D135" s="1"/>
      <c r="E135" s="1"/>
      <c r="G135" s="1"/>
      <c r="H135" s="1"/>
      <c r="I135" s="1"/>
      <c r="J135" s="1"/>
      <c r="K135" s="1"/>
      <c r="L135" s="1"/>
    </row>
    <row r="136" spans="1:12" x14ac:dyDescent="0.25">
      <c r="A136" s="37"/>
      <c r="B136" s="1"/>
      <c r="C136" s="1"/>
      <c r="D136" s="1"/>
      <c r="E136" s="1"/>
      <c r="G136" s="1"/>
      <c r="H136" s="1"/>
      <c r="I136" s="1"/>
      <c r="J136" s="1"/>
      <c r="K136" s="1"/>
      <c r="L136" s="1"/>
    </row>
    <row r="137" spans="1:12" x14ac:dyDescent="0.25">
      <c r="A137" s="37"/>
      <c r="B137" s="1"/>
      <c r="C137" s="1"/>
      <c r="D137" s="1"/>
      <c r="E137" s="1"/>
      <c r="G137" s="1"/>
      <c r="H137" s="1"/>
      <c r="I137" s="1"/>
      <c r="J137" s="1"/>
      <c r="K137" s="1"/>
      <c r="L137" s="1"/>
    </row>
    <row r="138" spans="1:12" x14ac:dyDescent="0.25">
      <c r="A138" s="37"/>
      <c r="B138" s="1"/>
      <c r="C138" s="1"/>
      <c r="D138" s="1"/>
      <c r="E138" s="1"/>
      <c r="G138" s="1"/>
      <c r="H138" s="1"/>
      <c r="I138" s="1"/>
      <c r="J138" s="1"/>
      <c r="K138" s="1"/>
      <c r="L138" s="1"/>
    </row>
    <row r="139" spans="1:12" x14ac:dyDescent="0.25">
      <c r="A139" s="37"/>
      <c r="B139" s="1"/>
      <c r="C139" s="1"/>
      <c r="D139" s="1"/>
      <c r="E139" s="1"/>
      <c r="G139" s="1"/>
      <c r="H139" s="1"/>
      <c r="I139" s="1"/>
      <c r="J139" s="1"/>
      <c r="K139" s="1"/>
      <c r="L139" s="1"/>
    </row>
    <row r="140" spans="1:12" x14ac:dyDescent="0.25">
      <c r="A140" s="37"/>
      <c r="B140" s="1"/>
      <c r="C140" s="1"/>
      <c r="D140" s="1"/>
      <c r="E140" s="1"/>
      <c r="G140" s="1"/>
      <c r="H140" s="1"/>
      <c r="I140" s="1"/>
      <c r="J140" s="1"/>
      <c r="K140" s="1"/>
      <c r="L140" s="1"/>
    </row>
    <row r="141" spans="1:12" x14ac:dyDescent="0.25">
      <c r="A141" s="37"/>
      <c r="B141" s="1"/>
      <c r="C141" s="1"/>
      <c r="D141" s="1"/>
      <c r="E141" s="1"/>
      <c r="G141" s="1"/>
      <c r="H141" s="1"/>
      <c r="I141" s="1"/>
      <c r="J141" s="1"/>
      <c r="K141" s="1"/>
      <c r="L141" s="1"/>
    </row>
    <row r="142" spans="1:12" x14ac:dyDescent="0.25">
      <c r="A142" s="37"/>
      <c r="B142" s="1"/>
      <c r="C142" s="1"/>
      <c r="D142" s="1"/>
      <c r="E142" s="1"/>
      <c r="G142" s="1"/>
      <c r="H142" s="1"/>
      <c r="I142" s="1"/>
      <c r="J142" s="1"/>
      <c r="K142" s="1"/>
      <c r="L142" s="1"/>
    </row>
    <row r="143" spans="1:12" x14ac:dyDescent="0.25">
      <c r="A143" s="37"/>
      <c r="B143" s="1"/>
      <c r="C143" s="1"/>
      <c r="D143" s="1"/>
      <c r="E143" s="1"/>
      <c r="G143" s="1"/>
      <c r="H143" s="1"/>
      <c r="I143" s="1"/>
      <c r="J143" s="1"/>
      <c r="K143" s="1"/>
      <c r="L143" s="1"/>
    </row>
    <row r="144" spans="1:12" x14ac:dyDescent="0.25">
      <c r="A144" s="37"/>
      <c r="B144" s="1"/>
      <c r="C144" s="1"/>
      <c r="D144" s="1"/>
      <c r="E144" s="1"/>
      <c r="G144" s="1"/>
      <c r="H144" s="1"/>
      <c r="I144" s="1"/>
      <c r="J144" s="1"/>
      <c r="K144" s="1"/>
      <c r="L144" s="1"/>
    </row>
    <row r="145" spans="1:12" x14ac:dyDescent="0.25">
      <c r="A145" s="37"/>
      <c r="B145" s="1"/>
      <c r="C145" s="1"/>
      <c r="D145" s="1"/>
      <c r="E145" s="1"/>
      <c r="G145" s="1"/>
      <c r="H145" s="1"/>
      <c r="I145" s="1"/>
      <c r="J145" s="1"/>
      <c r="K145" s="1"/>
      <c r="L145" s="1"/>
    </row>
    <row r="146" spans="1:12" x14ac:dyDescent="0.25">
      <c r="A146" s="37"/>
      <c r="B146" s="1"/>
      <c r="C146" s="1"/>
      <c r="D146" s="1"/>
      <c r="E146" s="1"/>
      <c r="G146" s="1"/>
      <c r="H146" s="1"/>
      <c r="I146" s="1"/>
      <c r="J146" s="1"/>
      <c r="K146" s="1"/>
      <c r="L146" s="1"/>
    </row>
    <row r="147" spans="1:12" x14ac:dyDescent="0.25">
      <c r="A147" s="37"/>
      <c r="B147" s="1"/>
      <c r="C147" s="1"/>
      <c r="D147" s="1"/>
      <c r="E147" s="1"/>
      <c r="G147" s="1"/>
      <c r="H147" s="1"/>
      <c r="I147" s="1"/>
      <c r="J147" s="1"/>
      <c r="K147" s="1"/>
      <c r="L147" s="1"/>
    </row>
    <row r="148" spans="1:12" x14ac:dyDescent="0.25">
      <c r="A148" s="37"/>
      <c r="B148" s="1"/>
      <c r="C148" s="1"/>
      <c r="D148" s="1"/>
      <c r="E148" s="1"/>
      <c r="G148" s="1"/>
      <c r="H148" s="1"/>
      <c r="I148" s="1"/>
      <c r="J148" s="1"/>
      <c r="K148" s="1"/>
      <c r="L148" s="1"/>
    </row>
    <row r="149" spans="1:12" x14ac:dyDescent="0.25">
      <c r="A149" s="37"/>
      <c r="B149" s="1"/>
      <c r="C149" s="1"/>
      <c r="D149" s="1"/>
      <c r="E149" s="1"/>
      <c r="G149" s="1"/>
      <c r="H149" s="1"/>
      <c r="I149" s="1"/>
      <c r="J149" s="1"/>
      <c r="K149" s="1"/>
      <c r="L149" s="1"/>
    </row>
    <row r="150" spans="1:12" x14ac:dyDescent="0.25">
      <c r="A150" s="37"/>
      <c r="B150" s="1"/>
      <c r="C150" s="1"/>
      <c r="D150" s="1"/>
      <c r="E150" s="1"/>
      <c r="G150" s="1"/>
      <c r="H150" s="1"/>
      <c r="I150" s="1"/>
      <c r="J150" s="1"/>
      <c r="K150" s="1"/>
      <c r="L150" s="1"/>
    </row>
    <row r="151" spans="1:12" x14ac:dyDescent="0.25">
      <c r="A151" s="37"/>
      <c r="B151" s="1"/>
      <c r="C151" s="1"/>
      <c r="D151" s="1"/>
      <c r="E151" s="1"/>
      <c r="G151" s="1"/>
      <c r="H151" s="1"/>
      <c r="I151" s="1"/>
      <c r="J151" s="1"/>
      <c r="K151" s="1"/>
      <c r="L151" s="1"/>
    </row>
    <row r="152" spans="1:12" x14ac:dyDescent="0.25">
      <c r="A152" s="37"/>
      <c r="B152" s="1"/>
      <c r="C152" s="1"/>
      <c r="D152" s="1"/>
      <c r="E152" s="1"/>
      <c r="G152" s="1"/>
      <c r="H152" s="1"/>
      <c r="I152" s="1"/>
      <c r="J152" s="1"/>
      <c r="K152" s="1"/>
      <c r="L152" s="1"/>
    </row>
    <row r="153" spans="1:12" x14ac:dyDescent="0.25">
      <c r="A153" s="37"/>
      <c r="B153" s="1"/>
      <c r="C153" s="1"/>
      <c r="D153" s="1"/>
      <c r="E153" s="1"/>
      <c r="G153" s="1"/>
      <c r="H153" s="1"/>
      <c r="I153" s="1"/>
      <c r="J153" s="1"/>
      <c r="K153" s="1"/>
      <c r="L153" s="1"/>
    </row>
    <row r="154" spans="1:12" x14ac:dyDescent="0.25">
      <c r="A154" s="37"/>
      <c r="B154" s="1"/>
      <c r="C154" s="1"/>
      <c r="D154" s="1"/>
      <c r="E154" s="1"/>
      <c r="G154" s="1"/>
      <c r="H154" s="1"/>
      <c r="I154" s="1"/>
      <c r="J154" s="1"/>
      <c r="K154" s="1"/>
      <c r="L154" s="1"/>
    </row>
    <row r="155" spans="1:12" x14ac:dyDescent="0.25">
      <c r="A155" s="37"/>
      <c r="B155" s="1"/>
      <c r="C155" s="1"/>
      <c r="D155" s="1"/>
      <c r="E155" s="1"/>
      <c r="G155" s="1"/>
      <c r="H155" s="1"/>
      <c r="I155" s="1"/>
      <c r="J155" s="1"/>
      <c r="K155" s="1"/>
      <c r="L155" s="1"/>
    </row>
    <row r="156" spans="1:12" x14ac:dyDescent="0.25">
      <c r="A156" s="37"/>
      <c r="B156" s="1"/>
      <c r="C156" s="1"/>
      <c r="D156" s="1"/>
      <c r="E156" s="1"/>
      <c r="G156" s="1"/>
      <c r="H156" s="1"/>
      <c r="I156" s="1"/>
      <c r="J156" s="1"/>
      <c r="K156" s="1"/>
      <c r="L156" s="1"/>
    </row>
    <row r="157" spans="1:12" x14ac:dyDescent="0.25">
      <c r="A157" s="37"/>
      <c r="B157" s="1"/>
      <c r="C157" s="1"/>
      <c r="D157" s="1"/>
      <c r="E157" s="1"/>
      <c r="G157" s="1"/>
      <c r="H157" s="1"/>
      <c r="I157" s="1"/>
      <c r="J157" s="1"/>
      <c r="K157" s="1"/>
      <c r="L157" s="1"/>
    </row>
    <row r="158" spans="1:12" x14ac:dyDescent="0.25">
      <c r="A158" s="37"/>
      <c r="B158" s="1"/>
      <c r="C158" s="1"/>
      <c r="D158" s="1"/>
      <c r="E158" s="1"/>
      <c r="G158" s="1"/>
      <c r="H158" s="1"/>
      <c r="I158" s="1"/>
      <c r="J158" s="1"/>
      <c r="K158" s="1"/>
      <c r="L158" s="1"/>
    </row>
    <row r="159" spans="1:12" x14ac:dyDescent="0.25">
      <c r="A159" s="37"/>
      <c r="B159" s="1"/>
      <c r="C159" s="1"/>
      <c r="D159" s="1"/>
      <c r="E159" s="1"/>
      <c r="G159" s="1"/>
      <c r="H159" s="1"/>
      <c r="I159" s="1"/>
      <c r="J159" s="1"/>
      <c r="K159" s="1"/>
      <c r="L159" s="1"/>
    </row>
    <row r="160" spans="1:12" x14ac:dyDescent="0.25">
      <c r="A160" s="37"/>
      <c r="B160" s="1"/>
      <c r="C160" s="1"/>
      <c r="D160" s="1"/>
      <c r="E160" s="1"/>
      <c r="G160" s="1"/>
      <c r="H160" s="1"/>
      <c r="I160" s="1"/>
      <c r="J160" s="1"/>
      <c r="K160" s="1"/>
      <c r="L160" s="1"/>
    </row>
    <row r="161" spans="1:12" x14ac:dyDescent="0.25">
      <c r="A161" s="37"/>
      <c r="B161" s="1"/>
      <c r="C161" s="1"/>
      <c r="D161" s="1"/>
      <c r="E161" s="1"/>
      <c r="G161" s="1"/>
      <c r="H161" s="1"/>
      <c r="I161" s="1"/>
      <c r="J161" s="1"/>
      <c r="K161" s="1"/>
      <c r="L161" s="1"/>
    </row>
    <row r="162" spans="1:12" x14ac:dyDescent="0.25">
      <c r="A162" s="37"/>
      <c r="B162" s="1"/>
      <c r="C162" s="1"/>
      <c r="D162" s="1"/>
      <c r="E162" s="1"/>
      <c r="G162" s="1"/>
      <c r="H162" s="1"/>
      <c r="I162" s="1"/>
      <c r="J162" s="1"/>
      <c r="K162" s="1"/>
      <c r="L162" s="1"/>
    </row>
    <row r="163" spans="1:12" x14ac:dyDescent="0.25">
      <c r="A163" s="37"/>
      <c r="B163" s="1"/>
      <c r="C163" s="1"/>
      <c r="D163" s="1"/>
      <c r="E163" s="1"/>
      <c r="G163" s="1"/>
      <c r="H163" s="1"/>
      <c r="I163" s="1"/>
      <c r="J163" s="1"/>
      <c r="K163" s="1"/>
      <c r="L163" s="1"/>
    </row>
    <row r="164" spans="1:12" x14ac:dyDescent="0.25">
      <c r="A164" s="37"/>
      <c r="B164" s="1"/>
      <c r="C164" s="1"/>
      <c r="D164" s="1"/>
      <c r="E164" s="1"/>
      <c r="G164" s="1"/>
      <c r="H164" s="1"/>
      <c r="I164" s="1"/>
      <c r="J164" s="1"/>
      <c r="K164" s="1"/>
      <c r="L164" s="1"/>
    </row>
    <row r="165" spans="1:12" x14ac:dyDescent="0.25">
      <c r="A165" s="37"/>
      <c r="B165" s="1"/>
      <c r="C165" s="1"/>
      <c r="D165" s="1"/>
      <c r="E165" s="1"/>
      <c r="G165" s="1"/>
      <c r="H165" s="1"/>
      <c r="I165" s="1"/>
      <c r="J165" s="1"/>
      <c r="K165" s="1"/>
      <c r="L165" s="1"/>
    </row>
    <row r="166" spans="1:12" x14ac:dyDescent="0.25">
      <c r="A166" s="37"/>
      <c r="B166" s="1"/>
      <c r="C166" s="1"/>
      <c r="D166" s="1"/>
      <c r="E166" s="1"/>
      <c r="G166" s="1"/>
      <c r="H166" s="1"/>
      <c r="I166" s="1"/>
      <c r="J166" s="1"/>
      <c r="K166" s="1"/>
      <c r="L166" s="1"/>
    </row>
    <row r="167" spans="1:12" x14ac:dyDescent="0.25">
      <c r="A167" s="37"/>
      <c r="B167" s="1"/>
      <c r="C167" s="1"/>
      <c r="D167" s="1"/>
      <c r="E167" s="1"/>
      <c r="G167" s="1"/>
      <c r="H167" s="1"/>
      <c r="I167" s="1"/>
      <c r="J167" s="1"/>
      <c r="K167" s="1"/>
      <c r="L167" s="1"/>
    </row>
    <row r="168" spans="1:12" x14ac:dyDescent="0.25">
      <c r="A168" s="37"/>
      <c r="B168" s="1"/>
      <c r="C168" s="1"/>
      <c r="D168" s="1"/>
      <c r="E168" s="1"/>
      <c r="G168" s="1"/>
      <c r="H168" s="1"/>
      <c r="I168" s="1"/>
      <c r="J168" s="1"/>
      <c r="K168" s="1"/>
      <c r="L168" s="1"/>
    </row>
    <row r="169" spans="1:12" x14ac:dyDescent="0.25">
      <c r="A169" s="37"/>
      <c r="B169" s="1"/>
      <c r="C169" s="1"/>
      <c r="D169" s="1"/>
      <c r="E169" s="1"/>
      <c r="G169" s="1"/>
      <c r="H169" s="1"/>
      <c r="I169" s="1"/>
      <c r="J169" s="1"/>
      <c r="K169" s="1"/>
      <c r="L169" s="1"/>
    </row>
    <row r="170" spans="1:12" x14ac:dyDescent="0.25">
      <c r="A170" s="37"/>
      <c r="B170" s="1"/>
      <c r="C170" s="1"/>
      <c r="D170" s="1"/>
      <c r="E170" s="1"/>
      <c r="G170" s="1"/>
      <c r="H170" s="1"/>
      <c r="I170" s="1"/>
      <c r="J170" s="1"/>
      <c r="K170" s="1"/>
      <c r="L170" s="1"/>
    </row>
    <row r="171" spans="1:12" x14ac:dyDescent="0.25">
      <c r="A171" s="37"/>
      <c r="B171" s="1"/>
      <c r="C171" s="1"/>
      <c r="D171" s="1"/>
      <c r="E171" s="1"/>
      <c r="G171" s="1"/>
      <c r="H171" s="1"/>
      <c r="I171" s="1"/>
      <c r="J171" s="1"/>
      <c r="K171" s="1"/>
      <c r="L171" s="1"/>
    </row>
    <row r="172" spans="1:12" x14ac:dyDescent="0.25">
      <c r="A172" s="37"/>
      <c r="B172" s="1"/>
      <c r="C172" s="1"/>
      <c r="D172" s="1"/>
      <c r="E172" s="1"/>
      <c r="G172" s="1"/>
      <c r="H172" s="1"/>
      <c r="I172" s="1"/>
      <c r="J172" s="1"/>
      <c r="K172" s="1"/>
      <c r="L172" s="1"/>
    </row>
    <row r="173" spans="1:12" x14ac:dyDescent="0.25">
      <c r="A173" s="37"/>
      <c r="B173" s="1"/>
      <c r="C173" s="1"/>
      <c r="D173" s="1"/>
      <c r="E173" s="1"/>
      <c r="G173" s="1"/>
      <c r="H173" s="1"/>
      <c r="I173" s="1"/>
      <c r="J173" s="1"/>
      <c r="K173" s="1"/>
      <c r="L173" s="1"/>
    </row>
    <row r="174" spans="1:12" x14ac:dyDescent="0.25">
      <c r="A174" s="37"/>
      <c r="B174" s="1"/>
      <c r="C174" s="1"/>
      <c r="D174" s="1"/>
      <c r="E174" s="1"/>
      <c r="G174" s="1"/>
      <c r="H174" s="1"/>
      <c r="I174" s="1"/>
      <c r="J174" s="1"/>
      <c r="K174" s="1"/>
      <c r="L174" s="1"/>
    </row>
    <row r="175" spans="1:12" x14ac:dyDescent="0.25">
      <c r="A175" s="37"/>
      <c r="B175" s="1"/>
      <c r="C175" s="1"/>
      <c r="D175" s="1"/>
      <c r="E175" s="1"/>
      <c r="G175" s="1"/>
      <c r="H175" s="1"/>
      <c r="I175" s="1"/>
      <c r="J175" s="1"/>
      <c r="K175" s="1"/>
      <c r="L175" s="1"/>
    </row>
    <row r="176" spans="1:12" x14ac:dyDescent="0.25">
      <c r="A176" s="37"/>
      <c r="B176" s="1"/>
      <c r="C176" s="1"/>
      <c r="D176" s="1"/>
      <c r="E176" s="1"/>
      <c r="G176" s="1"/>
      <c r="H176" s="1"/>
      <c r="I176" s="1"/>
      <c r="J176" s="1"/>
      <c r="K176" s="1"/>
      <c r="L176" s="1"/>
    </row>
    <row r="177" spans="1:12" x14ac:dyDescent="0.25">
      <c r="A177" s="37"/>
      <c r="B177" s="1"/>
      <c r="C177" s="1"/>
      <c r="D177" s="1"/>
      <c r="E177" s="1"/>
      <c r="G177" s="1"/>
      <c r="H177" s="1"/>
      <c r="I177" s="1"/>
      <c r="J177" s="1"/>
      <c r="K177" s="1"/>
      <c r="L177" s="1"/>
    </row>
    <row r="178" spans="1:12" x14ac:dyDescent="0.25">
      <c r="A178" s="37"/>
      <c r="B178" s="1"/>
      <c r="C178" s="1"/>
      <c r="D178" s="1"/>
      <c r="E178" s="1"/>
      <c r="G178" s="1"/>
      <c r="H178" s="1"/>
      <c r="I178" s="1"/>
      <c r="J178" s="1"/>
      <c r="K178" s="1"/>
      <c r="L178" s="1"/>
    </row>
    <row r="179" spans="1:12" x14ac:dyDescent="0.25">
      <c r="A179" s="37"/>
      <c r="B179" s="1"/>
      <c r="C179" s="1"/>
      <c r="D179" s="1"/>
      <c r="E179" s="1"/>
      <c r="G179" s="1"/>
      <c r="H179" s="1"/>
      <c r="I179" s="1"/>
      <c r="J179" s="1"/>
      <c r="K179" s="1"/>
      <c r="L179" s="1"/>
    </row>
    <row r="180" spans="1:12" x14ac:dyDescent="0.25">
      <c r="A180" s="37"/>
      <c r="B180" s="1"/>
      <c r="C180" s="1"/>
      <c r="D180" s="1"/>
      <c r="E180" s="1"/>
      <c r="G180" s="1"/>
      <c r="H180" s="1"/>
      <c r="I180" s="1"/>
      <c r="J180" s="1"/>
      <c r="K180" s="1"/>
      <c r="L180" s="1"/>
    </row>
    <row r="181" spans="1:12" x14ac:dyDescent="0.25">
      <c r="A181" s="37"/>
      <c r="B181" s="1"/>
      <c r="C181" s="1"/>
      <c r="D181" s="1"/>
      <c r="E181" s="1"/>
      <c r="G181" s="1"/>
      <c r="H181" s="1"/>
      <c r="I181" s="1"/>
      <c r="J181" s="1"/>
      <c r="K181" s="1"/>
      <c r="L181" s="1"/>
    </row>
    <row r="182" spans="1:12" x14ac:dyDescent="0.25">
      <c r="A182" s="37"/>
      <c r="B182" s="1"/>
      <c r="C182" s="1"/>
      <c r="D182" s="1"/>
      <c r="E182" s="1"/>
      <c r="G182" s="1"/>
      <c r="H182" s="1"/>
      <c r="I182" s="1"/>
      <c r="J182" s="1"/>
      <c r="K182" s="1"/>
      <c r="L182" s="1"/>
    </row>
    <row r="183" spans="1:12" x14ac:dyDescent="0.25">
      <c r="A183" s="37"/>
      <c r="B183" s="1"/>
      <c r="C183" s="1"/>
      <c r="D183" s="1"/>
      <c r="E183" s="1"/>
      <c r="G183" s="1"/>
      <c r="H183" s="1"/>
      <c r="I183" s="1"/>
      <c r="J183" s="1"/>
      <c r="K183" s="1"/>
      <c r="L183" s="1"/>
    </row>
    <row r="184" spans="1:12" x14ac:dyDescent="0.25">
      <c r="A184" s="37"/>
      <c r="B184" s="1"/>
      <c r="C184" s="1"/>
      <c r="D184" s="1"/>
      <c r="E184" s="1"/>
      <c r="G184" s="1"/>
      <c r="H184" s="1"/>
      <c r="I184" s="1"/>
      <c r="J184" s="1"/>
      <c r="K184" s="1"/>
      <c r="L184" s="1"/>
    </row>
    <row r="185" spans="1:12" x14ac:dyDescent="0.25">
      <c r="A185" s="37"/>
      <c r="B185" s="1"/>
      <c r="C185" s="1"/>
      <c r="D185" s="1"/>
      <c r="E185" s="1"/>
      <c r="G185" s="1"/>
      <c r="H185" s="1"/>
      <c r="I185" s="1"/>
      <c r="J185" s="1"/>
      <c r="K185" s="1"/>
      <c r="L185" s="1"/>
    </row>
    <row r="186" spans="1:12" x14ac:dyDescent="0.25">
      <c r="A186" s="37"/>
      <c r="B186" s="1"/>
      <c r="C186" s="1"/>
      <c r="D186" s="1"/>
      <c r="E186" s="1"/>
      <c r="G186" s="1"/>
      <c r="H186" s="1"/>
      <c r="I186" s="1"/>
      <c r="J186" s="1"/>
      <c r="K186" s="1"/>
      <c r="L186" s="1"/>
    </row>
    <row r="187" spans="1:12" x14ac:dyDescent="0.25">
      <c r="A187" s="37"/>
      <c r="B187" s="1"/>
      <c r="C187" s="1"/>
      <c r="D187" s="1"/>
      <c r="E187" s="1"/>
      <c r="G187" s="1"/>
      <c r="H187" s="1"/>
      <c r="I187" s="1"/>
      <c r="J187" s="1"/>
      <c r="K187" s="1"/>
      <c r="L187" s="1"/>
    </row>
    <row r="188" spans="1:12" x14ac:dyDescent="0.25">
      <c r="A188" s="37"/>
      <c r="B188" s="1"/>
      <c r="C188" s="1"/>
      <c r="D188" s="1"/>
      <c r="E188" s="1"/>
      <c r="G188" s="1"/>
      <c r="H188" s="1"/>
      <c r="I188" s="1"/>
      <c r="J188" s="1"/>
      <c r="K188" s="1"/>
      <c r="L188" s="1"/>
    </row>
    <row r="189" spans="1:12" x14ac:dyDescent="0.25">
      <c r="A189" s="37"/>
      <c r="B189" s="1"/>
      <c r="C189" s="1"/>
      <c r="D189" s="1"/>
      <c r="E189" s="1"/>
      <c r="G189" s="1"/>
      <c r="H189" s="1"/>
      <c r="I189" s="1"/>
      <c r="J189" s="1"/>
      <c r="K189" s="1"/>
      <c r="L189" s="1"/>
    </row>
    <row r="190" spans="1:12" x14ac:dyDescent="0.25">
      <c r="A190" s="37"/>
      <c r="B190" s="1"/>
      <c r="C190" s="1"/>
      <c r="D190" s="1"/>
      <c r="E190" s="1"/>
      <c r="G190" s="1"/>
      <c r="H190" s="1"/>
      <c r="I190" s="1"/>
      <c r="J190" s="1"/>
      <c r="K190" s="1"/>
      <c r="L190" s="1"/>
    </row>
    <row r="191" spans="1:12" x14ac:dyDescent="0.25">
      <c r="A191" s="37"/>
      <c r="B191" s="1"/>
      <c r="C191" s="1"/>
      <c r="D191" s="1"/>
      <c r="E191" s="1"/>
      <c r="G191" s="1"/>
      <c r="H191" s="1"/>
      <c r="I191" s="1"/>
      <c r="J191" s="1"/>
      <c r="K191" s="1"/>
      <c r="L191" s="1"/>
    </row>
    <row r="192" spans="1:12" x14ac:dyDescent="0.25">
      <c r="A192" s="37"/>
      <c r="B192" s="1"/>
      <c r="C192" s="1"/>
      <c r="D192" s="1"/>
      <c r="E192" s="1"/>
      <c r="G192" s="1"/>
      <c r="H192" s="1"/>
      <c r="I192" s="1"/>
      <c r="J192" s="1"/>
      <c r="K192" s="1"/>
      <c r="L192" s="1"/>
    </row>
    <row r="193" spans="1:12" x14ac:dyDescent="0.25">
      <c r="A193" s="37"/>
      <c r="B193" s="1"/>
      <c r="C193" s="1"/>
      <c r="D193" s="1"/>
      <c r="E193" s="1"/>
      <c r="G193" s="1"/>
      <c r="H193" s="1"/>
      <c r="I193" s="1"/>
      <c r="J193" s="1"/>
      <c r="K193" s="1"/>
      <c r="L193" s="1"/>
    </row>
    <row r="194" spans="1:12" x14ac:dyDescent="0.25">
      <c r="A194" s="37"/>
      <c r="B194" s="1"/>
      <c r="C194" s="1"/>
      <c r="D194" s="1"/>
      <c r="E194" s="1"/>
      <c r="G194" s="1"/>
      <c r="H194" s="1"/>
      <c r="I194" s="1"/>
      <c r="J194" s="1"/>
      <c r="K194" s="1"/>
      <c r="L194" s="1"/>
    </row>
    <row r="195" spans="1:12" x14ac:dyDescent="0.25">
      <c r="A195" s="37"/>
      <c r="B195" s="1"/>
      <c r="C195" s="1"/>
      <c r="D195" s="1"/>
      <c r="E195" s="1"/>
      <c r="G195" s="1"/>
      <c r="H195" s="1"/>
      <c r="I195" s="1"/>
      <c r="J195" s="1"/>
      <c r="K195" s="1"/>
      <c r="L195" s="1"/>
    </row>
    <row r="196" spans="1:12" x14ac:dyDescent="0.25">
      <c r="A196" s="37"/>
      <c r="B196" s="1"/>
      <c r="C196" s="1"/>
      <c r="D196" s="1"/>
      <c r="E196" s="1"/>
      <c r="G196" s="1"/>
      <c r="H196" s="1"/>
      <c r="I196" s="1"/>
      <c r="J196" s="1"/>
      <c r="K196" s="1"/>
      <c r="L196" s="1"/>
    </row>
    <row r="197" spans="1:12" x14ac:dyDescent="0.25">
      <c r="A197" s="37"/>
      <c r="B197" s="1"/>
      <c r="C197" s="1"/>
      <c r="D197" s="1"/>
      <c r="E197" s="1"/>
      <c r="G197" s="1"/>
      <c r="H197" s="1"/>
      <c r="I197" s="1"/>
      <c r="J197" s="1"/>
      <c r="K197" s="1"/>
      <c r="L197" s="1"/>
    </row>
    <row r="198" spans="1:12" x14ac:dyDescent="0.25">
      <c r="A198" s="37"/>
      <c r="B198" s="1"/>
      <c r="C198" s="1"/>
      <c r="D198" s="1"/>
      <c r="E198" s="1"/>
      <c r="G198" s="1"/>
      <c r="H198" s="1"/>
      <c r="I198" s="1"/>
      <c r="J198" s="1"/>
      <c r="K198" s="1"/>
      <c r="L198" s="1"/>
    </row>
    <row r="199" spans="1:12" x14ac:dyDescent="0.25">
      <c r="A199" s="37"/>
      <c r="B199" s="1"/>
      <c r="C199" s="1"/>
      <c r="D199" s="1"/>
      <c r="E199" s="1"/>
      <c r="G199" s="1"/>
      <c r="H199" s="1"/>
      <c r="I199" s="1"/>
      <c r="J199" s="1"/>
      <c r="K199" s="1"/>
      <c r="L199" s="1"/>
    </row>
    <row r="200" spans="1:12" x14ac:dyDescent="0.25">
      <c r="A200" s="37"/>
      <c r="B200" s="1"/>
      <c r="C200" s="1"/>
      <c r="D200" s="1"/>
      <c r="E200" s="1"/>
      <c r="G200" s="1"/>
      <c r="H200" s="1"/>
      <c r="I200" s="1"/>
      <c r="J200" s="1"/>
      <c r="K200" s="1"/>
      <c r="L200" s="1"/>
    </row>
    <row r="201" spans="1:12" x14ac:dyDescent="0.25">
      <c r="A201" s="37"/>
      <c r="B201" s="1"/>
      <c r="C201" s="1"/>
      <c r="D201" s="1"/>
      <c r="E201" s="1"/>
      <c r="G201" s="1"/>
      <c r="H201" s="1"/>
      <c r="I201" s="1"/>
      <c r="J201" s="1"/>
      <c r="K201" s="1"/>
      <c r="L201" s="1"/>
    </row>
    <row r="202" spans="1:12" x14ac:dyDescent="0.25">
      <c r="A202" s="37"/>
      <c r="B202" s="1"/>
      <c r="C202" s="1"/>
      <c r="D202" s="1"/>
      <c r="E202" s="1"/>
      <c r="G202" s="1"/>
      <c r="H202" s="1"/>
      <c r="I202" s="1"/>
      <c r="J202" s="1"/>
      <c r="K202" s="1"/>
      <c r="L202" s="1"/>
    </row>
    <row r="203" spans="1:12" x14ac:dyDescent="0.25">
      <c r="A203" s="37"/>
      <c r="B203" s="1"/>
      <c r="C203" s="1"/>
      <c r="D203" s="1"/>
      <c r="E203" s="1"/>
      <c r="G203" s="1"/>
      <c r="H203" s="1"/>
      <c r="I203" s="1"/>
      <c r="J203" s="1"/>
      <c r="K203" s="1"/>
      <c r="L203" s="1"/>
    </row>
    <row r="204" spans="1:12" x14ac:dyDescent="0.25">
      <c r="A204" s="37"/>
      <c r="B204" s="1"/>
      <c r="C204" s="1"/>
      <c r="D204" s="1"/>
      <c r="E204" s="1"/>
      <c r="G204" s="1"/>
      <c r="H204" s="1"/>
      <c r="I204" s="1"/>
      <c r="J204" s="1"/>
      <c r="K204" s="1"/>
      <c r="L204" s="1"/>
    </row>
    <row r="205" spans="1:12" x14ac:dyDescent="0.25">
      <c r="A205" s="37"/>
      <c r="B205" s="1"/>
      <c r="C205" s="1"/>
      <c r="D205" s="1"/>
      <c r="E205" s="1"/>
      <c r="G205" s="1"/>
      <c r="H205" s="1"/>
      <c r="I205" s="1"/>
      <c r="J205" s="1"/>
      <c r="K205" s="1"/>
      <c r="L205" s="1"/>
    </row>
    <row r="206" spans="1:12" x14ac:dyDescent="0.25">
      <c r="A206" s="37"/>
      <c r="B206" s="1"/>
      <c r="C206" s="1"/>
      <c r="D206" s="1"/>
      <c r="E206" s="1"/>
      <c r="G206" s="1"/>
      <c r="H206" s="1"/>
      <c r="I206" s="1"/>
      <c r="J206" s="1"/>
      <c r="K206" s="1"/>
      <c r="L206" s="1"/>
    </row>
    <row r="207" spans="1:12" x14ac:dyDescent="0.25">
      <c r="A207" s="37"/>
      <c r="B207" s="1"/>
      <c r="C207" s="1"/>
      <c r="D207" s="1"/>
      <c r="E207" s="1"/>
      <c r="G207" s="1"/>
      <c r="H207" s="1"/>
      <c r="I207" s="1"/>
      <c r="J207" s="1"/>
      <c r="K207" s="1"/>
      <c r="L207" s="1"/>
    </row>
    <row r="208" spans="1:12" x14ac:dyDescent="0.25">
      <c r="A208" s="37"/>
      <c r="B208" s="1"/>
      <c r="C208" s="1"/>
      <c r="D208" s="1"/>
      <c r="E208" s="1"/>
      <c r="G208" s="1"/>
      <c r="H208" s="1"/>
      <c r="I208" s="1"/>
      <c r="J208" s="1"/>
      <c r="K208" s="1"/>
      <c r="L208" s="1"/>
    </row>
    <row r="209" spans="1:12" x14ac:dyDescent="0.25">
      <c r="A209" s="37"/>
      <c r="B209" s="1"/>
      <c r="C209" s="1"/>
      <c r="D209" s="1"/>
      <c r="E209" s="1"/>
      <c r="G209" s="1"/>
      <c r="H209" s="1"/>
      <c r="I209" s="1"/>
      <c r="J209" s="1"/>
      <c r="K209" s="1"/>
      <c r="L209" s="1"/>
    </row>
    <row r="210" spans="1:12" x14ac:dyDescent="0.25">
      <c r="A210" s="37"/>
      <c r="B210" s="1"/>
      <c r="C210" s="1"/>
      <c r="D210" s="1"/>
      <c r="E210" s="1"/>
      <c r="G210" s="1"/>
      <c r="H210" s="1"/>
      <c r="I210" s="1"/>
      <c r="J210" s="1"/>
      <c r="K210" s="1"/>
      <c r="L210" s="1"/>
    </row>
    <row r="211" spans="1:12" x14ac:dyDescent="0.25">
      <c r="A211" s="37"/>
      <c r="B211" s="1"/>
      <c r="C211" s="1"/>
      <c r="D211" s="1"/>
      <c r="E211" s="1"/>
      <c r="G211" s="1"/>
      <c r="H211" s="1"/>
      <c r="I211" s="1"/>
      <c r="J211" s="1"/>
      <c r="K211" s="1"/>
      <c r="L211" s="1"/>
    </row>
    <row r="212" spans="1:12" x14ac:dyDescent="0.25">
      <c r="A212" s="37"/>
      <c r="B212" s="1"/>
      <c r="C212" s="1"/>
      <c r="D212" s="1"/>
      <c r="E212" s="1"/>
      <c r="G212" s="1"/>
      <c r="H212" s="1"/>
      <c r="I212" s="1"/>
      <c r="J212" s="1"/>
      <c r="K212" s="1"/>
      <c r="L212" s="1"/>
    </row>
    <row r="213" spans="1:12" x14ac:dyDescent="0.25">
      <c r="A213" s="37"/>
      <c r="B213" s="1"/>
      <c r="C213" s="1"/>
      <c r="D213" s="1"/>
      <c r="E213" s="1"/>
      <c r="G213" s="1"/>
      <c r="H213" s="1"/>
      <c r="I213" s="1"/>
      <c r="J213" s="1"/>
      <c r="K213" s="1"/>
      <c r="L213" s="1"/>
    </row>
    <row r="214" spans="1:12" x14ac:dyDescent="0.25">
      <c r="A214" s="37"/>
      <c r="B214" s="1"/>
      <c r="C214" s="1"/>
      <c r="D214" s="1"/>
      <c r="E214" s="1"/>
      <c r="G214" s="1"/>
      <c r="H214" s="1"/>
      <c r="I214" s="1"/>
      <c r="J214" s="1"/>
      <c r="K214" s="1"/>
      <c r="L214" s="1"/>
    </row>
    <row r="215" spans="1:12" x14ac:dyDescent="0.25">
      <c r="A215" s="37"/>
      <c r="B215" s="1"/>
      <c r="C215" s="1"/>
      <c r="D215" s="1"/>
      <c r="E215" s="1"/>
      <c r="G215" s="1"/>
      <c r="H215" s="1"/>
      <c r="I215" s="1"/>
      <c r="J215" s="1"/>
      <c r="K215" s="1"/>
      <c r="L215" s="1"/>
    </row>
    <row r="216" spans="1:12" x14ac:dyDescent="0.25">
      <c r="A216" s="37"/>
      <c r="B216" s="1"/>
      <c r="C216" s="1"/>
      <c r="D216" s="1"/>
      <c r="E216" s="1"/>
      <c r="G216" s="1"/>
      <c r="H216" s="1"/>
      <c r="I216" s="1"/>
      <c r="J216" s="1"/>
      <c r="K216" s="1"/>
      <c r="L216" s="1"/>
    </row>
    <row r="217" spans="1:12" x14ac:dyDescent="0.25">
      <c r="A217" s="37"/>
      <c r="B217" s="1"/>
      <c r="C217" s="1"/>
      <c r="D217" s="1"/>
      <c r="E217" s="1"/>
      <c r="G217" s="1"/>
      <c r="H217" s="1"/>
      <c r="I217" s="1"/>
      <c r="J217" s="1"/>
      <c r="K217" s="1"/>
      <c r="L217" s="1"/>
    </row>
    <row r="218" spans="1:12" x14ac:dyDescent="0.25">
      <c r="A218" s="37"/>
      <c r="B218" s="1"/>
      <c r="C218" s="1"/>
      <c r="D218" s="1"/>
      <c r="E218" s="1"/>
      <c r="G218" s="1"/>
      <c r="H218" s="1"/>
      <c r="I218" s="1"/>
      <c r="J218" s="1"/>
      <c r="K218" s="1"/>
      <c r="L218" s="1"/>
    </row>
    <row r="219" spans="1:12" x14ac:dyDescent="0.25">
      <c r="A219" s="37"/>
      <c r="B219" s="1"/>
      <c r="C219" s="1"/>
      <c r="D219" s="1"/>
      <c r="E219" s="1"/>
      <c r="G219" s="1"/>
      <c r="H219" s="1"/>
      <c r="I219" s="1"/>
      <c r="J219" s="1"/>
      <c r="K219" s="1"/>
      <c r="L219" s="1"/>
    </row>
    <row r="220" spans="1:12" x14ac:dyDescent="0.25">
      <c r="A220" s="37"/>
      <c r="B220" s="1"/>
      <c r="C220" s="1"/>
      <c r="D220" s="1"/>
      <c r="E220" s="1"/>
      <c r="G220" s="1"/>
      <c r="H220" s="1"/>
      <c r="I220" s="1"/>
      <c r="J220" s="1"/>
      <c r="K220" s="1"/>
      <c r="L220" s="1"/>
    </row>
    <row r="221" spans="1:12" x14ac:dyDescent="0.25">
      <c r="A221" s="37"/>
      <c r="B221" s="1"/>
      <c r="C221" s="1"/>
      <c r="D221" s="1"/>
      <c r="E221" s="1"/>
      <c r="G221" s="1"/>
      <c r="H221" s="1"/>
      <c r="I221" s="1"/>
      <c r="J221" s="1"/>
      <c r="K221" s="1"/>
      <c r="L221" s="1"/>
    </row>
    <row r="222" spans="1:12" x14ac:dyDescent="0.25">
      <c r="A222" s="37"/>
      <c r="B222" s="1"/>
      <c r="C222" s="1"/>
      <c r="D222" s="1"/>
      <c r="E222" s="1"/>
      <c r="G222" s="1"/>
      <c r="H222" s="1"/>
      <c r="I222" s="1"/>
      <c r="J222" s="1"/>
      <c r="K222" s="1"/>
      <c r="L222" s="1"/>
    </row>
    <row r="223" spans="1:12" x14ac:dyDescent="0.25">
      <c r="A223" s="37"/>
      <c r="B223" s="1"/>
      <c r="C223" s="1"/>
      <c r="D223" s="1"/>
      <c r="E223" s="1"/>
      <c r="G223" s="1"/>
      <c r="H223" s="1"/>
      <c r="I223" s="1"/>
      <c r="J223" s="1"/>
      <c r="K223" s="1"/>
      <c r="L223" s="1"/>
    </row>
    <row r="224" spans="1:12" x14ac:dyDescent="0.25">
      <c r="A224" s="37"/>
      <c r="B224" s="1"/>
      <c r="C224" s="1"/>
      <c r="D224" s="1"/>
      <c r="E224" s="1"/>
      <c r="G224" s="1"/>
      <c r="H224" s="1"/>
      <c r="I224" s="1"/>
      <c r="J224" s="1"/>
      <c r="K224" s="1"/>
      <c r="L224" s="1"/>
    </row>
    <row r="225" spans="1:12" x14ac:dyDescent="0.25">
      <c r="A225" s="37"/>
      <c r="B225" s="1"/>
      <c r="C225" s="1"/>
      <c r="D225" s="1"/>
      <c r="E225" s="1"/>
      <c r="G225" s="1"/>
      <c r="H225" s="1"/>
      <c r="I225" s="1"/>
      <c r="J225" s="1"/>
      <c r="K225" s="1"/>
      <c r="L225" s="1"/>
    </row>
    <row r="226" spans="1:12" x14ac:dyDescent="0.25">
      <c r="A226" s="37"/>
      <c r="B226" s="1"/>
      <c r="C226" s="1"/>
      <c r="D226" s="1"/>
      <c r="E226" s="1"/>
      <c r="G226" s="1"/>
      <c r="H226" s="1"/>
      <c r="I226" s="1"/>
      <c r="J226" s="1"/>
      <c r="K226" s="1"/>
      <c r="L226" s="1"/>
    </row>
    <row r="227" spans="1:12" x14ac:dyDescent="0.25">
      <c r="A227" s="37"/>
      <c r="B227" s="1"/>
      <c r="C227" s="1"/>
      <c r="D227" s="1"/>
      <c r="E227" s="1"/>
      <c r="G227" s="1"/>
      <c r="H227" s="1"/>
      <c r="I227" s="1"/>
      <c r="J227" s="1"/>
      <c r="K227" s="1"/>
      <c r="L227" s="1"/>
    </row>
    <row r="228" spans="1:12" x14ac:dyDescent="0.25">
      <c r="A228" s="37"/>
      <c r="B228" s="1"/>
      <c r="C228" s="1"/>
      <c r="D228" s="1"/>
      <c r="E228" s="1"/>
      <c r="G228" s="1"/>
      <c r="H228" s="1"/>
      <c r="I228" s="1"/>
      <c r="J228" s="1"/>
      <c r="K228" s="1"/>
      <c r="L228" s="1"/>
    </row>
    <row r="229" spans="1:12" x14ac:dyDescent="0.25">
      <c r="A229" s="37"/>
      <c r="B229" s="1"/>
      <c r="C229" s="1"/>
      <c r="D229" s="1"/>
      <c r="E229" s="1"/>
      <c r="G229" s="1"/>
      <c r="H229" s="1"/>
      <c r="I229" s="1"/>
      <c r="J229" s="1"/>
      <c r="K229" s="1"/>
      <c r="L229" s="1"/>
    </row>
    <row r="230" spans="1:12" x14ac:dyDescent="0.25">
      <c r="A230" s="37"/>
      <c r="B230" s="1"/>
      <c r="C230" s="1"/>
      <c r="D230" s="1"/>
      <c r="E230" s="1"/>
      <c r="G230" s="1"/>
      <c r="H230" s="1"/>
      <c r="I230" s="1"/>
      <c r="J230" s="1"/>
      <c r="K230" s="1"/>
      <c r="L230" s="1"/>
    </row>
    <row r="231" spans="1:12" x14ac:dyDescent="0.25">
      <c r="A231" s="37"/>
      <c r="B231" s="1"/>
      <c r="C231" s="1"/>
      <c r="D231" s="1"/>
      <c r="E231" s="1"/>
      <c r="G231" s="1"/>
      <c r="H231" s="1"/>
      <c r="I231" s="1"/>
      <c r="J231" s="1"/>
      <c r="K231" s="1"/>
      <c r="L231" s="1"/>
    </row>
    <row r="232" spans="1:12" x14ac:dyDescent="0.25">
      <c r="A232" s="37"/>
      <c r="B232" s="1"/>
      <c r="C232" s="1"/>
      <c r="D232" s="1"/>
      <c r="E232" s="1"/>
      <c r="G232" s="1"/>
      <c r="H232" s="1"/>
      <c r="I232" s="1"/>
      <c r="J232" s="1"/>
      <c r="K232" s="1"/>
      <c r="L232" s="1"/>
    </row>
    <row r="233" spans="1:12" x14ac:dyDescent="0.25">
      <c r="A233" s="37"/>
      <c r="B233" s="1"/>
      <c r="C233" s="1"/>
      <c r="D233" s="1"/>
      <c r="E233" s="1"/>
      <c r="G233" s="1"/>
      <c r="H233" s="1"/>
      <c r="I233" s="1"/>
      <c r="J233" s="1"/>
      <c r="K233" s="1"/>
      <c r="L233" s="1"/>
    </row>
    <row r="234" spans="1:12" x14ac:dyDescent="0.25">
      <c r="A234" s="37"/>
      <c r="B234" s="1"/>
      <c r="C234" s="1"/>
      <c r="D234" s="1"/>
      <c r="E234" s="1"/>
      <c r="G234" s="1"/>
      <c r="H234" s="1"/>
      <c r="I234" s="1"/>
      <c r="J234" s="1"/>
      <c r="K234" s="1"/>
      <c r="L234" s="1"/>
    </row>
    <row r="235" spans="1:12" x14ac:dyDescent="0.25">
      <c r="A235" s="37"/>
      <c r="B235" s="1"/>
      <c r="C235" s="1"/>
      <c r="D235" s="1"/>
      <c r="E235" s="1"/>
      <c r="G235" s="1"/>
      <c r="H235" s="1"/>
      <c r="I235" s="1"/>
      <c r="J235" s="1"/>
      <c r="K235" s="1"/>
      <c r="L235" s="1"/>
    </row>
    <row r="236" spans="1:12" x14ac:dyDescent="0.25">
      <c r="A236" s="37"/>
      <c r="B236" s="1"/>
      <c r="C236" s="1"/>
      <c r="D236" s="1"/>
      <c r="E236" s="1"/>
      <c r="G236" s="1"/>
      <c r="H236" s="1"/>
      <c r="I236" s="1"/>
      <c r="J236" s="1"/>
      <c r="K236" s="1"/>
      <c r="L236" s="1"/>
    </row>
    <row r="237" spans="1:12" x14ac:dyDescent="0.25">
      <c r="A237" s="37"/>
      <c r="B237" s="1"/>
      <c r="C237" s="1"/>
      <c r="D237" s="1"/>
      <c r="E237" s="1"/>
      <c r="G237" s="1"/>
      <c r="H237" s="1"/>
      <c r="I237" s="1"/>
      <c r="J237" s="1"/>
      <c r="K237" s="1"/>
      <c r="L237" s="1"/>
    </row>
    <row r="238" spans="1:12" x14ac:dyDescent="0.25">
      <c r="A238" s="37"/>
      <c r="B238" s="1"/>
      <c r="C238" s="1"/>
      <c r="D238" s="1"/>
      <c r="E238" s="1"/>
      <c r="G238" s="1"/>
      <c r="H238" s="1"/>
      <c r="I238" s="1"/>
      <c r="J238" s="1"/>
      <c r="K238" s="1"/>
      <c r="L238" s="1"/>
    </row>
    <row r="239" spans="1:12" x14ac:dyDescent="0.25">
      <c r="A239" s="37"/>
      <c r="B239" s="1"/>
      <c r="C239" s="1"/>
      <c r="D239" s="1"/>
      <c r="E239" s="1"/>
      <c r="G239" s="1"/>
      <c r="H239" s="1"/>
      <c r="I239" s="1"/>
      <c r="J239" s="1"/>
      <c r="K239" s="1"/>
      <c r="L239" s="1"/>
    </row>
    <row r="240" spans="1:12" x14ac:dyDescent="0.25">
      <c r="A240" s="37"/>
      <c r="B240" s="1"/>
      <c r="C240" s="1"/>
      <c r="D240" s="1"/>
      <c r="E240" s="1"/>
      <c r="G240" s="1"/>
      <c r="H240" s="1"/>
      <c r="I240" s="1"/>
      <c r="J240" s="1"/>
      <c r="K240" s="1"/>
      <c r="L240" s="1"/>
    </row>
    <row r="241" spans="1:12" x14ac:dyDescent="0.25">
      <c r="A241" s="37"/>
      <c r="B241" s="1"/>
      <c r="C241" s="1"/>
      <c r="D241" s="1"/>
      <c r="E241" s="1"/>
      <c r="G241" s="1"/>
      <c r="H241" s="1"/>
      <c r="I241" s="1"/>
      <c r="J241" s="1"/>
      <c r="K241" s="1"/>
      <c r="L241" s="1"/>
    </row>
    <row r="242" spans="1:12" x14ac:dyDescent="0.25">
      <c r="A242" s="37"/>
      <c r="B242" s="1"/>
      <c r="C242" s="1"/>
      <c r="D242" s="1"/>
      <c r="E242" s="1"/>
      <c r="G242" s="1"/>
      <c r="H242" s="1"/>
      <c r="I242" s="1"/>
      <c r="J242" s="1"/>
      <c r="K242" s="1"/>
      <c r="L242" s="1"/>
    </row>
    <row r="243" spans="1:12" x14ac:dyDescent="0.25">
      <c r="A243" s="37"/>
      <c r="B243" s="1"/>
      <c r="C243" s="1"/>
      <c r="D243" s="1"/>
      <c r="E243" s="1"/>
      <c r="G243" s="1"/>
      <c r="H243" s="1"/>
      <c r="I243" s="1"/>
      <c r="J243" s="1"/>
      <c r="K243" s="1"/>
      <c r="L243" s="1"/>
    </row>
    <row r="244" spans="1:12" x14ac:dyDescent="0.25">
      <c r="A244" s="37"/>
      <c r="B244" s="1"/>
      <c r="C244" s="1"/>
      <c r="D244" s="1"/>
      <c r="E244" s="1"/>
      <c r="G244" s="1"/>
      <c r="H244" s="1"/>
      <c r="I244" s="1"/>
      <c r="J244" s="1"/>
      <c r="K244" s="1"/>
      <c r="L244" s="1"/>
    </row>
    <row r="245" spans="1:12" x14ac:dyDescent="0.25">
      <c r="A245" s="37"/>
      <c r="B245" s="1"/>
      <c r="C245" s="1"/>
      <c r="D245" s="1"/>
      <c r="E245" s="1"/>
      <c r="G245" s="1"/>
      <c r="H245" s="1"/>
      <c r="I245" s="1"/>
      <c r="J245" s="1"/>
      <c r="K245" s="1"/>
      <c r="L245" s="1"/>
    </row>
    <row r="246" spans="1:12" x14ac:dyDescent="0.25">
      <c r="A246" s="37"/>
      <c r="B246" s="1"/>
      <c r="C246" s="1"/>
      <c r="D246" s="1"/>
      <c r="E246" s="1"/>
      <c r="G246" s="1"/>
      <c r="H246" s="1"/>
      <c r="I246" s="1"/>
      <c r="J246" s="1"/>
      <c r="K246" s="1"/>
      <c r="L246" s="1"/>
    </row>
    <row r="247" spans="1:12" x14ac:dyDescent="0.25">
      <c r="A247" s="37"/>
      <c r="B247" s="1"/>
      <c r="C247" s="1"/>
      <c r="D247" s="1"/>
      <c r="E247" s="1"/>
      <c r="G247" s="1"/>
      <c r="H247" s="1"/>
      <c r="I247" s="1"/>
      <c r="J247" s="1"/>
      <c r="K247" s="1"/>
      <c r="L247" s="1"/>
    </row>
    <row r="248" spans="1:12" x14ac:dyDescent="0.25">
      <c r="A248" s="37"/>
      <c r="B248" s="1"/>
      <c r="C248" s="1"/>
      <c r="D248" s="1"/>
      <c r="E248" s="1"/>
      <c r="G248" s="1"/>
      <c r="H248" s="1"/>
      <c r="I248" s="1"/>
      <c r="J248" s="1"/>
      <c r="K248" s="1"/>
      <c r="L248" s="1"/>
    </row>
    <row r="249" spans="1:12" x14ac:dyDescent="0.25">
      <c r="A249" s="37"/>
      <c r="B249" s="1"/>
      <c r="C249" s="1"/>
      <c r="D249" s="1"/>
      <c r="E249" s="1"/>
      <c r="G249" s="1"/>
      <c r="H249" s="1"/>
      <c r="I249" s="1"/>
      <c r="J249" s="1"/>
      <c r="K249" s="1"/>
      <c r="L249" s="1"/>
    </row>
    <row r="250" spans="1:12" x14ac:dyDescent="0.25">
      <c r="A250" s="37"/>
      <c r="B250" s="1"/>
      <c r="C250" s="1"/>
      <c r="D250" s="1"/>
      <c r="E250" s="1"/>
      <c r="G250" s="1"/>
      <c r="H250" s="1"/>
      <c r="I250" s="1"/>
      <c r="J250" s="1"/>
      <c r="K250" s="1"/>
      <c r="L250" s="1"/>
    </row>
    <row r="251" spans="1:12" x14ac:dyDescent="0.25">
      <c r="A251" s="37"/>
      <c r="B251" s="1"/>
      <c r="C251" s="1"/>
      <c r="D251" s="1"/>
      <c r="E251" s="1"/>
      <c r="G251" s="1"/>
      <c r="H251" s="1"/>
      <c r="I251" s="1"/>
      <c r="J251" s="1"/>
      <c r="K251" s="1"/>
      <c r="L251" s="1"/>
    </row>
    <row r="252" spans="1:12" x14ac:dyDescent="0.25">
      <c r="A252" s="37"/>
      <c r="B252" s="1"/>
      <c r="C252" s="1"/>
      <c r="D252" s="1"/>
      <c r="E252" s="1"/>
      <c r="G252" s="1"/>
      <c r="H252" s="1"/>
      <c r="I252" s="1"/>
      <c r="J252" s="1"/>
      <c r="K252" s="1"/>
      <c r="L252" s="1"/>
    </row>
    <row r="253" spans="1:12" x14ac:dyDescent="0.25">
      <c r="A253" s="37"/>
      <c r="B253" s="1"/>
      <c r="C253" s="1"/>
      <c r="D253" s="1"/>
      <c r="E253" s="1"/>
      <c r="G253" s="1"/>
      <c r="H253" s="1"/>
      <c r="I253" s="1"/>
      <c r="J253" s="1"/>
      <c r="K253" s="1"/>
      <c r="L253" s="1"/>
    </row>
    <row r="254" spans="1:12" x14ac:dyDescent="0.25">
      <c r="A254" s="37"/>
      <c r="B254" s="1"/>
      <c r="C254" s="1"/>
      <c r="D254" s="1"/>
      <c r="E254" s="1"/>
      <c r="G254" s="1"/>
      <c r="H254" s="1"/>
      <c r="I254" s="1"/>
      <c r="J254" s="1"/>
      <c r="K254" s="1"/>
      <c r="L254" s="1"/>
    </row>
    <row r="255" spans="1:12" x14ac:dyDescent="0.25">
      <c r="A255" s="37"/>
      <c r="B255" s="1"/>
      <c r="C255" s="1"/>
      <c r="D255" s="1"/>
      <c r="E255" s="1"/>
      <c r="G255" s="1"/>
      <c r="H255" s="1"/>
      <c r="I255" s="1"/>
      <c r="J255" s="1"/>
      <c r="K255" s="1"/>
      <c r="L255" s="1"/>
    </row>
    <row r="256" spans="1:12" x14ac:dyDescent="0.25">
      <c r="A256" s="37"/>
      <c r="B256" s="1"/>
      <c r="C256" s="1"/>
      <c r="D256" s="1"/>
      <c r="E256" s="1"/>
      <c r="G256" s="1"/>
      <c r="H256" s="1"/>
      <c r="I256" s="1"/>
      <c r="J256" s="1"/>
      <c r="K256" s="1"/>
      <c r="L256" s="1"/>
    </row>
    <row r="257" spans="1:12" x14ac:dyDescent="0.25">
      <c r="A257" s="37"/>
      <c r="B257" s="1"/>
      <c r="C257" s="1"/>
      <c r="D257" s="1"/>
      <c r="E257" s="1"/>
      <c r="G257" s="1"/>
      <c r="H257" s="1"/>
      <c r="I257" s="1"/>
      <c r="J257" s="1"/>
      <c r="K257" s="1"/>
      <c r="L257" s="1"/>
    </row>
    <row r="258" spans="1:12" x14ac:dyDescent="0.25">
      <c r="A258" s="37"/>
      <c r="B258" s="1"/>
      <c r="C258" s="1"/>
      <c r="D258" s="1"/>
      <c r="E258" s="1"/>
      <c r="G258" s="1"/>
      <c r="H258" s="1"/>
      <c r="I258" s="1"/>
      <c r="J258" s="1"/>
      <c r="K258" s="1"/>
      <c r="L258" s="1"/>
    </row>
    <row r="259" spans="1:12" x14ac:dyDescent="0.25">
      <c r="A259" s="37"/>
      <c r="B259" s="1"/>
      <c r="C259" s="1"/>
      <c r="D259" s="1"/>
      <c r="E259" s="1"/>
      <c r="G259" s="1"/>
      <c r="H259" s="1"/>
      <c r="I259" s="1"/>
      <c r="J259" s="1"/>
      <c r="K259" s="1"/>
      <c r="L259" s="1"/>
    </row>
    <row r="260" spans="1:12" x14ac:dyDescent="0.25">
      <c r="A260" s="37"/>
      <c r="B260" s="1"/>
      <c r="C260" s="1"/>
      <c r="D260" s="1"/>
      <c r="E260" s="1"/>
      <c r="G260" s="1"/>
      <c r="H260" s="1"/>
      <c r="I260" s="1"/>
      <c r="J260" s="1"/>
      <c r="K260" s="1"/>
      <c r="L260" s="1"/>
    </row>
    <row r="261" spans="1:12" x14ac:dyDescent="0.25">
      <c r="A261" s="37"/>
      <c r="B261" s="1"/>
      <c r="C261" s="1"/>
      <c r="D261" s="1"/>
      <c r="E261" s="1"/>
      <c r="G261" s="1"/>
      <c r="H261" s="1"/>
      <c r="I261" s="1"/>
      <c r="J261" s="1"/>
      <c r="K261" s="1"/>
      <c r="L261" s="1"/>
    </row>
    <row r="262" spans="1:12" x14ac:dyDescent="0.25">
      <c r="A262" s="37"/>
      <c r="B262" s="1"/>
      <c r="C262" s="1"/>
      <c r="D262" s="1"/>
      <c r="E262" s="1"/>
      <c r="G262" s="1"/>
      <c r="H262" s="1"/>
      <c r="I262" s="1"/>
      <c r="J262" s="1"/>
      <c r="K262" s="1"/>
      <c r="L262" s="1"/>
    </row>
    <row r="263" spans="1:12" x14ac:dyDescent="0.25">
      <c r="A263" s="37"/>
      <c r="B263" s="1"/>
      <c r="C263" s="1"/>
      <c r="D263" s="1"/>
      <c r="E263" s="1"/>
      <c r="G263" s="1"/>
      <c r="H263" s="1"/>
      <c r="I263" s="1"/>
      <c r="J263" s="1"/>
      <c r="K263" s="1"/>
      <c r="L263" s="1"/>
    </row>
    <row r="264" spans="1:12" x14ac:dyDescent="0.25">
      <c r="A264" s="37"/>
      <c r="B264" s="1"/>
      <c r="C264" s="1"/>
      <c r="D264" s="1"/>
      <c r="E264" s="1"/>
      <c r="G264" s="1"/>
      <c r="H264" s="1"/>
      <c r="I264" s="1"/>
      <c r="J264" s="1"/>
      <c r="K264" s="1"/>
      <c r="L264" s="1"/>
    </row>
    <row r="265" spans="1:12" x14ac:dyDescent="0.25">
      <c r="A265" s="37"/>
      <c r="B265" s="1"/>
      <c r="C265" s="1"/>
      <c r="D265" s="1"/>
      <c r="E265" s="1"/>
      <c r="G265" s="1"/>
      <c r="H265" s="1"/>
      <c r="I265" s="1"/>
      <c r="J265" s="1"/>
      <c r="K265" s="1"/>
      <c r="L265" s="1"/>
    </row>
    <row r="266" spans="1:12" x14ac:dyDescent="0.25">
      <c r="A266" s="37"/>
      <c r="B266" s="1"/>
      <c r="C266" s="1"/>
      <c r="D266" s="1"/>
      <c r="E266" s="1"/>
      <c r="G266" s="1"/>
      <c r="H266" s="1"/>
      <c r="I266" s="1"/>
      <c r="J266" s="1"/>
      <c r="K266" s="1"/>
      <c r="L266" s="1"/>
    </row>
    <row r="267" spans="1:12" x14ac:dyDescent="0.25">
      <c r="A267" s="37"/>
      <c r="B267" s="1"/>
      <c r="C267" s="1"/>
      <c r="D267" s="1"/>
      <c r="E267" s="1"/>
      <c r="G267" s="1"/>
      <c r="H267" s="1"/>
      <c r="I267" s="1"/>
      <c r="J267" s="1"/>
      <c r="K267" s="1"/>
      <c r="L267" s="1"/>
    </row>
    <row r="268" spans="1:12" x14ac:dyDescent="0.25">
      <c r="A268" s="37"/>
      <c r="B268" s="1"/>
      <c r="C268" s="1"/>
      <c r="D268" s="1"/>
      <c r="E268" s="1"/>
      <c r="G268" s="1"/>
      <c r="H268" s="1"/>
      <c r="I268" s="1"/>
      <c r="J268" s="1"/>
      <c r="K268" s="1"/>
      <c r="L268" s="1"/>
    </row>
    <row r="269" spans="1:12" x14ac:dyDescent="0.25">
      <c r="A269" s="37"/>
      <c r="B269" s="1"/>
      <c r="C269" s="1"/>
      <c r="D269" s="1"/>
      <c r="E269" s="1"/>
      <c r="G269" s="1"/>
      <c r="H269" s="1"/>
      <c r="I269" s="1"/>
      <c r="J269" s="1"/>
      <c r="K269" s="1"/>
      <c r="L269" s="1"/>
    </row>
  </sheetData>
  <mergeCells count="12">
    <mergeCell ref="A15:J15"/>
    <mergeCell ref="A101:J101"/>
    <mergeCell ref="A4:I4"/>
    <mergeCell ref="A5:I5"/>
    <mergeCell ref="A6:I6"/>
    <mergeCell ref="A7:I7"/>
    <mergeCell ref="A12:J12"/>
    <mergeCell ref="A13:A14"/>
    <mergeCell ref="B13:C13"/>
    <mergeCell ref="D13:G13"/>
    <mergeCell ref="H13:I13"/>
    <mergeCell ref="J13:J14"/>
  </mergeCells>
  <printOptions horizontalCentered="1"/>
  <pageMargins left="0.62992125984251968" right="0.43307086614173229" top="0.55118110236220474" bottom="0.74803149606299213" header="0.31496062992125984" footer="0.31496062992125984"/>
  <pageSetup paperSize="9" scale="65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5273-588C-40D8-BD43-F4F6FF2993D6}">
  <sheetPr>
    <pageSetUpPr fitToPage="1"/>
  </sheetPr>
  <dimension ref="A1:L263"/>
  <sheetViews>
    <sheetView topLeftCell="A41" workbookViewId="0">
      <selection activeCell="E61" sqref="E61"/>
    </sheetView>
  </sheetViews>
  <sheetFormatPr defaultRowHeight="15" x14ac:dyDescent="0.25"/>
  <cols>
    <col min="1" max="1" width="36.42578125" style="38" customWidth="1"/>
    <col min="2" max="2" width="11.5703125" style="10" customWidth="1"/>
    <col min="3" max="3" width="11.5703125" style="11" customWidth="1"/>
    <col min="4" max="4" width="9.85546875" style="10" customWidth="1"/>
    <col min="5" max="5" width="10.28515625" style="11" customWidth="1"/>
    <col min="6" max="6" width="9.85546875" customWidth="1"/>
    <col min="7" max="7" width="10.5703125" customWidth="1"/>
    <col min="8" max="8" width="11.5703125" style="10" customWidth="1"/>
    <col min="9" max="9" width="11.5703125" style="11" customWidth="1"/>
    <col min="10" max="10" width="11.140625" customWidth="1"/>
  </cols>
  <sheetData>
    <row r="1" spans="1:10" x14ac:dyDescent="0.25">
      <c r="A1" s="37"/>
      <c r="B1" s="1"/>
      <c r="C1" s="1"/>
      <c r="D1" s="1"/>
      <c r="E1" s="1"/>
      <c r="G1" s="1"/>
      <c r="H1" s="1"/>
      <c r="I1" s="1"/>
      <c r="J1" s="1"/>
    </row>
    <row r="2" spans="1:10" x14ac:dyDescent="0.25">
      <c r="A2" s="37"/>
      <c r="B2" s="1"/>
      <c r="C2" s="1"/>
      <c r="D2" s="1"/>
      <c r="E2" s="1"/>
      <c r="G2" s="1"/>
      <c r="H2" s="1"/>
      <c r="I2" s="1"/>
      <c r="J2" s="1"/>
    </row>
    <row r="3" spans="1:10" x14ac:dyDescent="0.25">
      <c r="A3" s="37"/>
      <c r="B3" s="1"/>
      <c r="C3" s="1"/>
      <c r="D3" s="1"/>
      <c r="E3" s="1"/>
      <c r="G3" s="1"/>
      <c r="H3" s="1"/>
      <c r="I3" s="1"/>
      <c r="J3" s="1"/>
    </row>
    <row r="4" spans="1:10" x14ac:dyDescent="0.25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1"/>
    </row>
    <row r="5" spans="1:10" x14ac:dyDescent="0.25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1"/>
    </row>
    <row r="6" spans="1:10" x14ac:dyDescent="0.25">
      <c r="A6" s="50" t="s">
        <v>119</v>
      </c>
      <c r="B6" s="50"/>
      <c r="C6" s="50"/>
      <c r="D6" s="50"/>
      <c r="E6" s="50"/>
      <c r="F6" s="50"/>
      <c r="G6" s="50"/>
      <c r="H6" s="50"/>
      <c r="I6" s="50"/>
      <c r="J6" s="1"/>
    </row>
    <row r="7" spans="1:10" x14ac:dyDescent="0.25">
      <c r="A7" s="50" t="s">
        <v>3</v>
      </c>
      <c r="B7" s="50"/>
      <c r="C7" s="50"/>
      <c r="D7" s="50"/>
      <c r="E7" s="50"/>
      <c r="F7" s="50"/>
      <c r="G7" s="50"/>
      <c r="H7" s="50"/>
      <c r="I7" s="50"/>
      <c r="J7" s="1"/>
    </row>
    <row r="8" spans="1:10" x14ac:dyDescent="0.25">
      <c r="A8" s="37"/>
      <c r="B8" s="1"/>
      <c r="C8" s="1"/>
      <c r="D8" s="1"/>
      <c r="E8" s="1"/>
      <c r="G8" s="1"/>
      <c r="H8" s="1"/>
      <c r="I8" s="1"/>
      <c r="J8" s="1"/>
    </row>
    <row r="9" spans="1:10" x14ac:dyDescent="0.25">
      <c r="A9" s="37" t="s">
        <v>4</v>
      </c>
      <c r="B9" s="2" t="s">
        <v>5</v>
      </c>
      <c r="C9" s="2"/>
      <c r="D9" s="1"/>
      <c r="E9" s="1"/>
      <c r="G9" s="2" t="s">
        <v>6</v>
      </c>
      <c r="H9" s="3"/>
      <c r="I9" s="2"/>
      <c r="J9" s="1"/>
    </row>
    <row r="10" spans="1:10" x14ac:dyDescent="0.25">
      <c r="A10" s="37"/>
      <c r="B10" s="4"/>
      <c r="C10" s="4"/>
      <c r="D10" s="1"/>
      <c r="E10" s="1"/>
      <c r="G10" s="4"/>
      <c r="H10" s="4"/>
      <c r="I10" s="4"/>
      <c r="J10" s="1"/>
    </row>
    <row r="11" spans="1:10" x14ac:dyDescent="0.25">
      <c r="A11" s="37" t="s">
        <v>7</v>
      </c>
      <c r="B11" s="2" t="s">
        <v>8</v>
      </c>
      <c r="C11" s="2"/>
      <c r="D11" s="1"/>
      <c r="E11" s="1"/>
      <c r="G11" s="2" t="s">
        <v>9</v>
      </c>
      <c r="H11" s="5"/>
      <c r="I11" s="2"/>
      <c r="J11" s="1"/>
    </row>
    <row r="12" spans="1:10" ht="21.75" thickBot="1" x14ac:dyDescent="0.3">
      <c r="A12" s="51" t="s">
        <v>10</v>
      </c>
      <c r="B12" s="51"/>
      <c r="C12" s="51"/>
      <c r="D12" s="51"/>
      <c r="E12" s="51"/>
      <c r="F12" s="51"/>
      <c r="G12" s="51"/>
      <c r="H12" s="51"/>
      <c r="I12" s="51"/>
      <c r="J12" s="51"/>
    </row>
    <row r="13" spans="1:10" x14ac:dyDescent="0.25">
      <c r="A13" s="52" t="s">
        <v>11</v>
      </c>
      <c r="B13" s="54" t="s">
        <v>12</v>
      </c>
      <c r="C13" s="55"/>
      <c r="D13" s="56" t="s">
        <v>13</v>
      </c>
      <c r="E13" s="57"/>
      <c r="F13" s="57"/>
      <c r="G13" s="57"/>
      <c r="H13" s="58" t="s">
        <v>14</v>
      </c>
      <c r="I13" s="59"/>
      <c r="J13" s="60" t="s">
        <v>15</v>
      </c>
    </row>
    <row r="14" spans="1:10" ht="24" x14ac:dyDescent="0.25">
      <c r="A14" s="53"/>
      <c r="B14" s="6" t="s">
        <v>16</v>
      </c>
      <c r="C14" s="7" t="s">
        <v>17</v>
      </c>
      <c r="D14" s="6" t="s">
        <v>16</v>
      </c>
      <c r="E14" s="7" t="s">
        <v>17</v>
      </c>
      <c r="F14" s="12" t="s">
        <v>18</v>
      </c>
      <c r="G14" s="8" t="s">
        <v>19</v>
      </c>
      <c r="H14" s="6" t="s">
        <v>16</v>
      </c>
      <c r="I14" s="7" t="s">
        <v>17</v>
      </c>
      <c r="J14" s="61"/>
    </row>
    <row r="15" spans="1:10" ht="15.75" x14ac:dyDescent="0.25">
      <c r="A15" s="46" t="s">
        <v>20</v>
      </c>
      <c r="B15" s="47"/>
      <c r="C15" s="47"/>
      <c r="D15" s="47"/>
      <c r="E15" s="47"/>
      <c r="F15" s="47"/>
      <c r="G15" s="47"/>
      <c r="H15" s="47"/>
      <c r="I15" s="47"/>
      <c r="J15" s="48"/>
    </row>
    <row r="16" spans="1:10" ht="13.5" customHeight="1" x14ac:dyDescent="0.25">
      <c r="A16" s="9" t="s">
        <v>22</v>
      </c>
      <c r="B16" s="9">
        <v>0.66700000000000004</v>
      </c>
      <c r="C16" s="9">
        <v>0.66700000000000004</v>
      </c>
      <c r="D16" s="9"/>
      <c r="E16" s="9"/>
      <c r="F16" s="9"/>
      <c r="G16" s="39"/>
      <c r="H16" s="9">
        <f>B16</f>
        <v>0.66700000000000004</v>
      </c>
      <c r="I16" s="9">
        <f>C16</f>
        <v>0.66700000000000004</v>
      </c>
      <c r="J16" s="40">
        <f>SUM(H16:I16)</f>
        <v>1.3340000000000001</v>
      </c>
    </row>
    <row r="17" spans="1:10" ht="13.5" customHeight="1" x14ac:dyDescent="0.25">
      <c r="A17" s="9" t="s">
        <v>21</v>
      </c>
      <c r="B17" s="9">
        <v>1.25</v>
      </c>
      <c r="C17" s="9">
        <v>1.25</v>
      </c>
      <c r="D17" s="9"/>
      <c r="E17" s="9"/>
      <c r="F17" s="9"/>
      <c r="G17" s="39"/>
      <c r="H17" s="9">
        <f>H16-F17-D17+B17</f>
        <v>1.917</v>
      </c>
      <c r="I17" s="9">
        <f>I16-E17+C17</f>
        <v>1.917</v>
      </c>
      <c r="J17" s="40">
        <f t="shared" ref="J17" si="0">SUM(H17:I17)</f>
        <v>3.8340000000000001</v>
      </c>
    </row>
    <row r="18" spans="1:10" ht="13.5" customHeight="1" x14ac:dyDescent="0.25">
      <c r="A18" s="9" t="s">
        <v>23</v>
      </c>
      <c r="B18" s="9">
        <v>15</v>
      </c>
      <c r="C18" s="9">
        <v>15</v>
      </c>
      <c r="D18" s="9"/>
      <c r="E18" s="9"/>
      <c r="F18" s="9"/>
      <c r="G18" s="39"/>
      <c r="H18" s="9">
        <f t="shared" ref="H18:H44" si="1">H17-F18-D18+B18</f>
        <v>16.917000000000002</v>
      </c>
      <c r="I18" s="9">
        <f t="shared" ref="I18:I44" si="2">I17-E18+C18</f>
        <v>16.917000000000002</v>
      </c>
      <c r="J18" s="40">
        <f t="shared" ref="J18:J44" si="3">SUM(H18:I18)</f>
        <v>33.834000000000003</v>
      </c>
    </row>
    <row r="19" spans="1:10" ht="13.5" customHeight="1" x14ac:dyDescent="0.25">
      <c r="A19" s="9" t="s">
        <v>27</v>
      </c>
      <c r="B19" s="9"/>
      <c r="C19" s="9"/>
      <c r="D19" s="9">
        <v>10</v>
      </c>
      <c r="E19" s="9">
        <v>15</v>
      </c>
      <c r="F19" s="9"/>
      <c r="G19" s="39"/>
      <c r="H19" s="9">
        <f t="shared" si="1"/>
        <v>6.9170000000000016</v>
      </c>
      <c r="I19" s="9">
        <f t="shared" si="2"/>
        <v>1.9170000000000016</v>
      </c>
      <c r="J19" s="40">
        <f t="shared" si="3"/>
        <v>8.8340000000000032</v>
      </c>
    </row>
    <row r="20" spans="1:10" ht="13.5" customHeight="1" x14ac:dyDescent="0.25">
      <c r="A20" s="9" t="s">
        <v>24</v>
      </c>
      <c r="B20" s="9"/>
      <c r="C20" s="9"/>
      <c r="D20" s="9"/>
      <c r="E20" s="9"/>
      <c r="F20" s="9">
        <v>5</v>
      </c>
      <c r="G20" s="39"/>
      <c r="H20" s="9">
        <f t="shared" si="1"/>
        <v>1.9170000000000016</v>
      </c>
      <c r="I20" s="9">
        <f t="shared" si="2"/>
        <v>1.9170000000000016</v>
      </c>
      <c r="J20" s="40">
        <f t="shared" si="3"/>
        <v>3.8340000000000032</v>
      </c>
    </row>
    <row r="21" spans="1:10" ht="13.5" customHeight="1" x14ac:dyDescent="0.25">
      <c r="A21" s="9" t="s">
        <v>25</v>
      </c>
      <c r="B21" s="9">
        <v>15</v>
      </c>
      <c r="C21" s="9">
        <v>15</v>
      </c>
      <c r="D21" s="9"/>
      <c r="E21" s="9"/>
      <c r="F21" s="9"/>
      <c r="G21" s="39"/>
      <c r="H21" s="9">
        <f t="shared" si="1"/>
        <v>16.917000000000002</v>
      </c>
      <c r="I21" s="9">
        <f t="shared" si="2"/>
        <v>16.917000000000002</v>
      </c>
      <c r="J21" s="40">
        <f t="shared" si="3"/>
        <v>33.834000000000003</v>
      </c>
    </row>
    <row r="22" spans="1:10" ht="13.5" customHeight="1" x14ac:dyDescent="0.25">
      <c r="A22" s="9" t="s">
        <v>26</v>
      </c>
      <c r="B22" s="9"/>
      <c r="C22" s="9"/>
      <c r="D22" s="9">
        <v>8</v>
      </c>
      <c r="E22" s="9">
        <v>13</v>
      </c>
      <c r="F22" s="9"/>
      <c r="G22" s="39"/>
      <c r="H22" s="9">
        <f t="shared" si="1"/>
        <v>8.9170000000000016</v>
      </c>
      <c r="I22" s="9">
        <f t="shared" si="2"/>
        <v>3.9170000000000016</v>
      </c>
      <c r="J22" s="40">
        <f t="shared" si="3"/>
        <v>12.834000000000003</v>
      </c>
    </row>
    <row r="23" spans="1:10" ht="13.5" customHeight="1" x14ac:dyDescent="0.25">
      <c r="A23" s="9" t="s">
        <v>47</v>
      </c>
      <c r="B23" s="9"/>
      <c r="C23" s="9"/>
      <c r="D23" s="9">
        <v>3</v>
      </c>
      <c r="E23" s="9">
        <v>3</v>
      </c>
      <c r="F23" s="9"/>
      <c r="G23" s="39"/>
      <c r="H23" s="9">
        <f t="shared" si="1"/>
        <v>5.9170000000000016</v>
      </c>
      <c r="I23" s="9">
        <f t="shared" si="2"/>
        <v>0.91700000000000159</v>
      </c>
      <c r="J23" s="40">
        <f t="shared" si="3"/>
        <v>6.8340000000000032</v>
      </c>
    </row>
    <row r="24" spans="1:10" ht="13.5" customHeight="1" x14ac:dyDescent="0.25">
      <c r="A24" s="40" t="s">
        <v>28</v>
      </c>
      <c r="B24" s="9"/>
      <c r="C24" s="9"/>
      <c r="D24" s="9"/>
      <c r="E24" s="9"/>
      <c r="F24" s="9">
        <v>5</v>
      </c>
      <c r="G24" s="39"/>
      <c r="H24" s="9">
        <f t="shared" si="1"/>
        <v>0.91700000000000159</v>
      </c>
      <c r="I24" s="9">
        <f t="shared" si="2"/>
        <v>0.91700000000000159</v>
      </c>
      <c r="J24" s="40">
        <f t="shared" si="3"/>
        <v>1.8340000000000032</v>
      </c>
    </row>
    <row r="25" spans="1:10" ht="13.5" customHeight="1" x14ac:dyDescent="0.25">
      <c r="A25" s="9" t="s">
        <v>29</v>
      </c>
      <c r="B25" s="9">
        <v>15</v>
      </c>
      <c r="C25" s="9">
        <v>15</v>
      </c>
      <c r="D25" s="9"/>
      <c r="E25" s="9"/>
      <c r="F25" s="9"/>
      <c r="G25" s="39"/>
      <c r="H25" s="9">
        <f t="shared" si="1"/>
        <v>15.917000000000002</v>
      </c>
      <c r="I25" s="9">
        <f t="shared" si="2"/>
        <v>15.917000000000002</v>
      </c>
      <c r="J25" s="40">
        <f t="shared" si="3"/>
        <v>31.834000000000003</v>
      </c>
    </row>
    <row r="26" spans="1:10" ht="13.5" customHeight="1" x14ac:dyDescent="0.25">
      <c r="A26" s="40" t="s">
        <v>30</v>
      </c>
      <c r="B26" s="9"/>
      <c r="C26" s="9"/>
      <c r="D26" s="9">
        <v>10</v>
      </c>
      <c r="E26" s="9">
        <v>10</v>
      </c>
      <c r="F26" s="9"/>
      <c r="G26" s="39"/>
      <c r="H26" s="9">
        <f t="shared" si="1"/>
        <v>5.9170000000000016</v>
      </c>
      <c r="I26" s="9">
        <f t="shared" si="2"/>
        <v>5.9170000000000016</v>
      </c>
      <c r="J26" s="40">
        <f t="shared" si="3"/>
        <v>11.834000000000003</v>
      </c>
    </row>
    <row r="27" spans="1:10" ht="13.5" customHeight="1" x14ac:dyDescent="0.25">
      <c r="A27" s="9" t="s">
        <v>31</v>
      </c>
      <c r="B27" s="9"/>
      <c r="C27" s="9"/>
      <c r="D27" s="9"/>
      <c r="E27" s="9"/>
      <c r="F27" s="9">
        <v>5</v>
      </c>
      <c r="G27" s="39"/>
      <c r="H27" s="9">
        <f t="shared" si="1"/>
        <v>0.91700000000000159</v>
      </c>
      <c r="I27" s="9">
        <f t="shared" si="2"/>
        <v>5.9170000000000016</v>
      </c>
      <c r="J27" s="40">
        <f t="shared" si="3"/>
        <v>6.8340000000000032</v>
      </c>
    </row>
    <row r="28" spans="1:10" ht="13.5" customHeight="1" x14ac:dyDescent="0.25">
      <c r="A28" s="9" t="s">
        <v>32</v>
      </c>
      <c r="B28" s="9">
        <v>15</v>
      </c>
      <c r="C28" s="9">
        <v>15</v>
      </c>
      <c r="D28" s="9"/>
      <c r="E28" s="9"/>
      <c r="F28" s="9"/>
      <c r="G28" s="39"/>
      <c r="H28" s="9">
        <f t="shared" si="1"/>
        <v>15.917000000000002</v>
      </c>
      <c r="I28" s="9">
        <f t="shared" si="2"/>
        <v>20.917000000000002</v>
      </c>
      <c r="J28" s="40">
        <f t="shared" si="3"/>
        <v>36.834000000000003</v>
      </c>
    </row>
    <row r="29" spans="1:10" ht="13.5" customHeight="1" x14ac:dyDescent="0.25">
      <c r="A29" s="40" t="s">
        <v>33</v>
      </c>
      <c r="B29" s="9"/>
      <c r="C29" s="9"/>
      <c r="D29" s="9">
        <v>10</v>
      </c>
      <c r="E29" s="9">
        <v>20</v>
      </c>
      <c r="F29" s="9"/>
      <c r="G29" s="39"/>
      <c r="H29" s="9">
        <f t="shared" si="1"/>
        <v>5.9170000000000016</v>
      </c>
      <c r="I29" s="9">
        <f t="shared" si="2"/>
        <v>0.91700000000000159</v>
      </c>
      <c r="J29" s="40">
        <f t="shared" si="3"/>
        <v>6.8340000000000032</v>
      </c>
    </row>
    <row r="30" spans="1:10" ht="13.5" customHeight="1" x14ac:dyDescent="0.25">
      <c r="A30" s="9" t="s">
        <v>34</v>
      </c>
      <c r="B30" s="9"/>
      <c r="C30" s="9"/>
      <c r="D30" s="9"/>
      <c r="E30" s="9"/>
      <c r="F30" s="9">
        <v>5</v>
      </c>
      <c r="G30" s="39"/>
      <c r="H30" s="9">
        <f t="shared" si="1"/>
        <v>0.91700000000000159</v>
      </c>
      <c r="I30" s="9">
        <f t="shared" si="2"/>
        <v>0.91700000000000159</v>
      </c>
      <c r="J30" s="40">
        <f t="shared" si="3"/>
        <v>1.8340000000000032</v>
      </c>
    </row>
    <row r="31" spans="1:10" ht="13.5" customHeight="1" x14ac:dyDescent="0.25">
      <c r="A31" s="40" t="s">
        <v>35</v>
      </c>
      <c r="B31" s="9">
        <v>15</v>
      </c>
      <c r="C31" s="9">
        <v>15</v>
      </c>
      <c r="D31" s="9"/>
      <c r="E31" s="9"/>
      <c r="F31" s="9"/>
      <c r="G31" s="39"/>
      <c r="H31" s="9">
        <f t="shared" si="1"/>
        <v>15.917000000000002</v>
      </c>
      <c r="I31" s="9">
        <f t="shared" si="2"/>
        <v>15.917000000000002</v>
      </c>
      <c r="J31" s="40">
        <f t="shared" si="3"/>
        <v>31.834000000000003</v>
      </c>
    </row>
    <row r="32" spans="1:10" ht="13.5" customHeight="1" x14ac:dyDescent="0.25">
      <c r="A32" s="9" t="s">
        <v>36</v>
      </c>
      <c r="B32" s="9"/>
      <c r="C32" s="9"/>
      <c r="D32" s="9"/>
      <c r="E32" s="9"/>
      <c r="F32" s="9">
        <v>5</v>
      </c>
      <c r="G32" s="39"/>
      <c r="H32" s="9">
        <f t="shared" si="1"/>
        <v>10.917000000000002</v>
      </c>
      <c r="I32" s="9">
        <f t="shared" si="2"/>
        <v>15.917000000000002</v>
      </c>
      <c r="J32" s="40">
        <f t="shared" si="3"/>
        <v>26.834000000000003</v>
      </c>
    </row>
    <row r="33" spans="1:10" ht="13.5" customHeight="1" x14ac:dyDescent="0.25">
      <c r="A33" s="40" t="s">
        <v>37</v>
      </c>
      <c r="B33" s="9">
        <v>15</v>
      </c>
      <c r="C33" s="9">
        <v>15</v>
      </c>
      <c r="D33" s="9"/>
      <c r="E33" s="9"/>
      <c r="F33" s="9"/>
      <c r="G33" s="39"/>
      <c r="H33" s="9">
        <f t="shared" si="1"/>
        <v>25.917000000000002</v>
      </c>
      <c r="I33" s="9">
        <f t="shared" si="2"/>
        <v>30.917000000000002</v>
      </c>
      <c r="J33" s="40">
        <f t="shared" si="3"/>
        <v>56.834000000000003</v>
      </c>
    </row>
    <row r="34" spans="1:10" ht="13.5" customHeight="1" x14ac:dyDescent="0.25">
      <c r="A34" s="40" t="s">
        <v>38</v>
      </c>
      <c r="B34" s="9"/>
      <c r="C34" s="9"/>
      <c r="D34" s="9"/>
      <c r="E34" s="9"/>
      <c r="F34" s="9">
        <v>5</v>
      </c>
      <c r="G34" s="39"/>
      <c r="H34" s="9">
        <f t="shared" si="1"/>
        <v>20.917000000000002</v>
      </c>
      <c r="I34" s="9">
        <f t="shared" si="2"/>
        <v>30.917000000000002</v>
      </c>
      <c r="J34" s="40">
        <f t="shared" si="3"/>
        <v>51.834000000000003</v>
      </c>
    </row>
    <row r="35" spans="1:10" ht="13.5" customHeight="1" x14ac:dyDescent="0.25">
      <c r="A35" s="40" t="s">
        <v>39</v>
      </c>
      <c r="B35" s="9">
        <v>15</v>
      </c>
      <c r="C35" s="9">
        <v>15</v>
      </c>
      <c r="D35" s="9"/>
      <c r="E35" s="9"/>
      <c r="F35" s="9"/>
      <c r="G35" s="39"/>
      <c r="H35" s="9">
        <f t="shared" si="1"/>
        <v>35.917000000000002</v>
      </c>
      <c r="I35" s="9">
        <f t="shared" si="2"/>
        <v>45.917000000000002</v>
      </c>
      <c r="J35" s="40">
        <f t="shared" si="3"/>
        <v>81.834000000000003</v>
      </c>
    </row>
    <row r="36" spans="1:10" ht="13.5" customHeight="1" x14ac:dyDescent="0.25">
      <c r="A36" s="40" t="s">
        <v>40</v>
      </c>
      <c r="B36" s="9"/>
      <c r="C36" s="9"/>
      <c r="D36" s="9"/>
      <c r="E36" s="9"/>
      <c r="F36" s="9">
        <v>5</v>
      </c>
      <c r="G36" s="39"/>
      <c r="H36" s="9">
        <f t="shared" si="1"/>
        <v>30.917000000000002</v>
      </c>
      <c r="I36" s="9">
        <f t="shared" si="2"/>
        <v>45.917000000000002</v>
      </c>
      <c r="J36" s="40">
        <f t="shared" si="3"/>
        <v>76.834000000000003</v>
      </c>
    </row>
    <row r="37" spans="1:10" ht="13.5" customHeight="1" x14ac:dyDescent="0.25">
      <c r="A37" s="40" t="s">
        <v>41</v>
      </c>
      <c r="B37" s="9">
        <v>15</v>
      </c>
      <c r="C37" s="9">
        <v>15</v>
      </c>
      <c r="D37" s="9"/>
      <c r="E37" s="9"/>
      <c r="F37" s="9"/>
      <c r="G37" s="39"/>
      <c r="H37" s="9">
        <f t="shared" si="1"/>
        <v>45.917000000000002</v>
      </c>
      <c r="I37" s="9">
        <f t="shared" si="2"/>
        <v>60.917000000000002</v>
      </c>
      <c r="J37" s="40">
        <f t="shared" si="3"/>
        <v>106.834</v>
      </c>
    </row>
    <row r="38" spans="1:10" ht="13.5" customHeight="1" x14ac:dyDescent="0.25">
      <c r="A38" s="40" t="s">
        <v>42</v>
      </c>
      <c r="B38" s="9"/>
      <c r="C38" s="9"/>
      <c r="D38" s="9">
        <v>10</v>
      </c>
      <c r="E38" s="9"/>
      <c r="F38" s="9"/>
      <c r="G38" s="39"/>
      <c r="H38" s="9">
        <f t="shared" si="1"/>
        <v>35.917000000000002</v>
      </c>
      <c r="I38" s="9">
        <f t="shared" si="2"/>
        <v>60.917000000000002</v>
      </c>
      <c r="J38" s="40">
        <f t="shared" si="3"/>
        <v>96.834000000000003</v>
      </c>
    </row>
    <row r="39" spans="1:10" ht="13.5" customHeight="1" x14ac:dyDescent="0.25">
      <c r="A39" s="40" t="s">
        <v>43</v>
      </c>
      <c r="B39" s="9"/>
      <c r="C39" s="9"/>
      <c r="D39" s="9"/>
      <c r="E39" s="9"/>
      <c r="F39" s="9">
        <v>5</v>
      </c>
      <c r="G39" s="39"/>
      <c r="H39" s="9">
        <f t="shared" si="1"/>
        <v>30.917000000000002</v>
      </c>
      <c r="I39" s="9">
        <f t="shared" si="2"/>
        <v>60.917000000000002</v>
      </c>
      <c r="J39" s="40">
        <f t="shared" si="3"/>
        <v>91.834000000000003</v>
      </c>
    </row>
    <row r="40" spans="1:10" ht="13.5" customHeight="1" x14ac:dyDescent="0.25">
      <c r="A40" s="40" t="s">
        <v>45</v>
      </c>
      <c r="B40" s="9">
        <v>15</v>
      </c>
      <c r="C40" s="9">
        <v>15</v>
      </c>
      <c r="D40" s="9"/>
      <c r="E40" s="9"/>
      <c r="F40" s="9"/>
      <c r="G40" s="39"/>
      <c r="H40" s="9">
        <f t="shared" si="1"/>
        <v>45.917000000000002</v>
      </c>
      <c r="I40" s="9">
        <f t="shared" si="2"/>
        <v>75.917000000000002</v>
      </c>
      <c r="J40" s="40">
        <f t="shared" si="3"/>
        <v>121.834</v>
      </c>
    </row>
    <row r="41" spans="1:10" ht="13.5" customHeight="1" x14ac:dyDescent="0.25">
      <c r="A41" s="9" t="s">
        <v>44</v>
      </c>
      <c r="B41" s="9"/>
      <c r="C41" s="9"/>
      <c r="D41" s="9">
        <v>10</v>
      </c>
      <c r="E41" s="9"/>
      <c r="F41" s="9"/>
      <c r="G41" s="39"/>
      <c r="H41" s="9">
        <f t="shared" si="1"/>
        <v>35.917000000000002</v>
      </c>
      <c r="I41" s="9">
        <f t="shared" si="2"/>
        <v>75.917000000000002</v>
      </c>
      <c r="J41" s="40">
        <f t="shared" si="3"/>
        <v>111.834</v>
      </c>
    </row>
    <row r="42" spans="1:10" ht="13.5" customHeight="1" x14ac:dyDescent="0.25">
      <c r="A42" s="40" t="s">
        <v>46</v>
      </c>
      <c r="B42" s="9"/>
      <c r="C42" s="9"/>
      <c r="D42" s="9"/>
      <c r="E42" s="9"/>
      <c r="F42" s="9">
        <v>5</v>
      </c>
      <c r="G42" s="39"/>
      <c r="H42" s="9">
        <f t="shared" si="1"/>
        <v>30.917000000000002</v>
      </c>
      <c r="I42" s="9">
        <f t="shared" si="2"/>
        <v>75.917000000000002</v>
      </c>
      <c r="J42" s="40">
        <f t="shared" si="3"/>
        <v>106.834</v>
      </c>
    </row>
    <row r="43" spans="1:10" ht="13.5" customHeight="1" x14ac:dyDescent="0.25">
      <c r="A43" s="40" t="s">
        <v>48</v>
      </c>
      <c r="B43" s="9">
        <f>10*1.25</f>
        <v>12.5</v>
      </c>
      <c r="C43" s="9">
        <v>12.5</v>
      </c>
      <c r="D43" s="9"/>
      <c r="E43" s="9"/>
      <c r="F43" s="9"/>
      <c r="G43" s="39"/>
      <c r="H43" s="9">
        <f t="shared" si="1"/>
        <v>43.417000000000002</v>
      </c>
      <c r="I43" s="9">
        <f t="shared" si="2"/>
        <v>88.417000000000002</v>
      </c>
      <c r="J43" s="40">
        <f t="shared" si="3"/>
        <v>131.834</v>
      </c>
    </row>
    <row r="44" spans="1:10" ht="13.5" customHeight="1" x14ac:dyDescent="0.25">
      <c r="A44" s="40" t="s">
        <v>49</v>
      </c>
      <c r="B44" s="9"/>
      <c r="C44" s="9"/>
      <c r="D44" s="9">
        <v>10</v>
      </c>
      <c r="E44" s="9"/>
      <c r="F44" s="9"/>
      <c r="G44" s="39"/>
      <c r="H44" s="9">
        <f t="shared" si="1"/>
        <v>33.417000000000002</v>
      </c>
      <c r="I44" s="9">
        <f t="shared" si="2"/>
        <v>88.417000000000002</v>
      </c>
      <c r="J44" s="40">
        <f t="shared" si="3"/>
        <v>121.834</v>
      </c>
    </row>
    <row r="45" spans="1:10" ht="13.5" customHeight="1" x14ac:dyDescent="0.25">
      <c r="A45" s="40" t="s">
        <v>50</v>
      </c>
      <c r="B45" s="9">
        <f>1.25*2</f>
        <v>2.5</v>
      </c>
      <c r="C45" s="9">
        <v>2.5</v>
      </c>
      <c r="D45" s="9"/>
      <c r="E45" s="9"/>
      <c r="F45" s="9"/>
      <c r="G45" s="39"/>
      <c r="H45" s="9">
        <f t="shared" ref="H45:H56" si="4">H44-F45-D45+B45</f>
        <v>35.917000000000002</v>
      </c>
      <c r="I45" s="9">
        <f t="shared" ref="I45:I56" si="5">I44-E45+C45</f>
        <v>90.917000000000002</v>
      </c>
      <c r="J45" s="40">
        <f t="shared" ref="J45:J56" si="6">SUM(H45:I45)</f>
        <v>126.834</v>
      </c>
    </row>
    <row r="46" spans="1:10" ht="13.5" customHeight="1" x14ac:dyDescent="0.25">
      <c r="A46" s="40" t="s">
        <v>53</v>
      </c>
      <c r="B46" s="9"/>
      <c r="C46" s="9"/>
      <c r="D46" s="9"/>
      <c r="E46" s="9"/>
      <c r="F46" s="9">
        <v>5</v>
      </c>
      <c r="G46" s="39"/>
      <c r="H46" s="9">
        <f t="shared" si="4"/>
        <v>30.917000000000002</v>
      </c>
      <c r="I46" s="9">
        <f t="shared" si="5"/>
        <v>90.917000000000002</v>
      </c>
      <c r="J46" s="40">
        <f t="shared" si="6"/>
        <v>121.834</v>
      </c>
    </row>
    <row r="47" spans="1:10" ht="13.5" customHeight="1" x14ac:dyDescent="0.25">
      <c r="A47" s="40" t="s">
        <v>51</v>
      </c>
      <c r="B47" s="9">
        <f>11*1.25</f>
        <v>13.75</v>
      </c>
      <c r="C47" s="9">
        <v>13.75</v>
      </c>
      <c r="D47" s="9"/>
      <c r="E47" s="9"/>
      <c r="F47" s="9"/>
      <c r="G47" s="39"/>
      <c r="H47" s="9">
        <f t="shared" si="4"/>
        <v>44.667000000000002</v>
      </c>
      <c r="I47" s="9">
        <f t="shared" si="5"/>
        <v>104.667</v>
      </c>
      <c r="J47" s="40">
        <f t="shared" si="6"/>
        <v>149.334</v>
      </c>
    </row>
    <row r="48" spans="1:10" ht="13.5" customHeight="1" x14ac:dyDescent="0.25">
      <c r="A48" s="9" t="s">
        <v>52</v>
      </c>
      <c r="B48" s="9"/>
      <c r="C48" s="9"/>
      <c r="D48" s="9">
        <v>29</v>
      </c>
      <c r="E48" s="9"/>
      <c r="F48" s="9"/>
      <c r="G48" s="39"/>
      <c r="H48" s="9">
        <f t="shared" si="4"/>
        <v>15.667000000000002</v>
      </c>
      <c r="I48" s="9">
        <f t="shared" si="5"/>
        <v>104.667</v>
      </c>
      <c r="J48" s="40">
        <f t="shared" si="6"/>
        <v>120.334</v>
      </c>
    </row>
    <row r="49" spans="1:10" ht="13.5" customHeight="1" x14ac:dyDescent="0.25">
      <c r="A49" s="9" t="s">
        <v>54</v>
      </c>
      <c r="B49" s="9">
        <v>1.25</v>
      </c>
      <c r="C49" s="9">
        <v>1.25</v>
      </c>
      <c r="D49" s="9"/>
      <c r="E49" s="9"/>
      <c r="F49" s="9"/>
      <c r="G49" s="39"/>
      <c r="H49" s="9">
        <f t="shared" si="4"/>
        <v>16.917000000000002</v>
      </c>
      <c r="I49" s="9">
        <f t="shared" si="5"/>
        <v>105.917</v>
      </c>
      <c r="J49" s="40">
        <f t="shared" si="6"/>
        <v>122.834</v>
      </c>
    </row>
    <row r="50" spans="1:10" ht="13.5" customHeight="1" x14ac:dyDescent="0.25">
      <c r="A50" s="13" t="s">
        <v>55</v>
      </c>
      <c r="B50" s="13"/>
      <c r="C50" s="13"/>
      <c r="D50" s="13"/>
      <c r="E50" s="13"/>
      <c r="F50" s="13">
        <v>5</v>
      </c>
      <c r="G50" s="41"/>
      <c r="H50" s="9">
        <f t="shared" si="4"/>
        <v>11.917000000000002</v>
      </c>
      <c r="I50" s="9">
        <f t="shared" si="5"/>
        <v>105.917</v>
      </c>
      <c r="J50" s="40">
        <f t="shared" si="6"/>
        <v>117.834</v>
      </c>
    </row>
    <row r="51" spans="1:10" ht="13.5" customHeight="1" x14ac:dyDescent="0.25">
      <c r="A51" s="13" t="s">
        <v>56</v>
      </c>
      <c r="B51" s="13">
        <f>6*1.25</f>
        <v>7.5</v>
      </c>
      <c r="C51" s="13">
        <v>7.5</v>
      </c>
      <c r="D51" s="13"/>
      <c r="E51" s="13"/>
      <c r="F51" s="13"/>
      <c r="G51" s="41"/>
      <c r="H51" s="9">
        <f t="shared" si="4"/>
        <v>19.417000000000002</v>
      </c>
      <c r="I51" s="9">
        <f t="shared" si="5"/>
        <v>113.417</v>
      </c>
      <c r="J51" s="40">
        <f t="shared" si="6"/>
        <v>132.834</v>
      </c>
    </row>
    <row r="52" spans="1:10" ht="13.5" customHeight="1" x14ac:dyDescent="0.25">
      <c r="A52" s="13" t="s">
        <v>57</v>
      </c>
      <c r="B52" s="13"/>
      <c r="C52" s="13"/>
      <c r="D52" s="13">
        <v>14</v>
      </c>
      <c r="E52" s="13">
        <v>15</v>
      </c>
      <c r="F52" s="13"/>
      <c r="G52" s="41"/>
      <c r="H52" s="9">
        <f t="shared" si="4"/>
        <v>5.4170000000000016</v>
      </c>
      <c r="I52" s="9">
        <f t="shared" si="5"/>
        <v>98.417000000000002</v>
      </c>
      <c r="J52" s="40">
        <f t="shared" si="6"/>
        <v>103.834</v>
      </c>
    </row>
    <row r="53" spans="1:10" ht="13.5" customHeight="1" x14ac:dyDescent="0.25">
      <c r="A53" s="13" t="s">
        <v>58</v>
      </c>
      <c r="B53" s="13">
        <v>7.5</v>
      </c>
      <c r="C53" s="13">
        <v>7.5</v>
      </c>
      <c r="D53" s="42"/>
      <c r="E53" s="42"/>
      <c r="F53" s="42"/>
      <c r="G53" s="13"/>
      <c r="H53" s="9">
        <f t="shared" si="4"/>
        <v>12.917000000000002</v>
      </c>
      <c r="I53" s="9">
        <f t="shared" si="5"/>
        <v>105.917</v>
      </c>
      <c r="J53" s="40">
        <f t="shared" si="6"/>
        <v>118.834</v>
      </c>
    </row>
    <row r="54" spans="1:10" ht="13.5" customHeight="1" x14ac:dyDescent="0.25">
      <c r="A54" s="13" t="s">
        <v>59</v>
      </c>
      <c r="B54" s="13"/>
      <c r="C54" s="13"/>
      <c r="D54" s="42"/>
      <c r="E54" s="13"/>
      <c r="F54" s="13">
        <v>5</v>
      </c>
      <c r="G54" s="13"/>
      <c r="H54" s="9">
        <f t="shared" si="4"/>
        <v>7.9170000000000016</v>
      </c>
      <c r="I54" s="9">
        <f t="shared" si="5"/>
        <v>105.917</v>
      </c>
      <c r="J54" s="40">
        <f t="shared" si="6"/>
        <v>113.834</v>
      </c>
    </row>
    <row r="55" spans="1:10" ht="13.5" customHeight="1" x14ac:dyDescent="0.25">
      <c r="A55" s="13" t="s">
        <v>60</v>
      </c>
      <c r="B55" s="13">
        <v>15</v>
      </c>
      <c r="C55" s="13">
        <v>15</v>
      </c>
      <c r="D55" s="42"/>
      <c r="E55" s="13"/>
      <c r="F55" s="13"/>
      <c r="G55" s="13"/>
      <c r="H55" s="9">
        <f t="shared" si="4"/>
        <v>22.917000000000002</v>
      </c>
      <c r="I55" s="9">
        <f t="shared" si="5"/>
        <v>120.917</v>
      </c>
      <c r="J55" s="40">
        <f t="shared" si="6"/>
        <v>143.834</v>
      </c>
    </row>
    <row r="56" spans="1:10" ht="13.5" customHeight="1" x14ac:dyDescent="0.25">
      <c r="A56" s="13" t="s">
        <v>61</v>
      </c>
      <c r="B56" s="13"/>
      <c r="C56" s="13"/>
      <c r="D56" s="13"/>
      <c r="E56" s="13"/>
      <c r="F56" s="13">
        <v>5</v>
      </c>
      <c r="G56" s="13"/>
      <c r="H56" s="9">
        <f t="shared" si="4"/>
        <v>17.917000000000002</v>
      </c>
      <c r="I56" s="9">
        <f t="shared" si="5"/>
        <v>120.917</v>
      </c>
      <c r="J56" s="40">
        <f t="shared" si="6"/>
        <v>138.834</v>
      </c>
    </row>
    <row r="57" spans="1:10" ht="13.5" customHeight="1" x14ac:dyDescent="0.25">
      <c r="A57" s="13" t="s">
        <v>62</v>
      </c>
      <c r="B57" s="13">
        <v>15</v>
      </c>
      <c r="C57" s="13">
        <v>15</v>
      </c>
      <c r="D57" s="13"/>
      <c r="E57" s="13"/>
      <c r="F57" s="13"/>
      <c r="G57" s="13"/>
      <c r="H57" s="9">
        <f t="shared" ref="H57:H70" si="7">H56-F57-D57+B57</f>
        <v>32.917000000000002</v>
      </c>
      <c r="I57" s="9">
        <f t="shared" ref="I57:I70" si="8">I56-E57+C57</f>
        <v>135.917</v>
      </c>
      <c r="J57" s="40">
        <f t="shared" ref="J57:J70" si="9">SUM(H57:I57)</f>
        <v>168.834</v>
      </c>
    </row>
    <row r="58" spans="1:10" ht="13.5" customHeight="1" x14ac:dyDescent="0.25">
      <c r="A58" s="13" t="s">
        <v>63</v>
      </c>
      <c r="B58" s="13"/>
      <c r="C58" s="13"/>
      <c r="D58" s="13">
        <v>5</v>
      </c>
      <c r="E58" s="13"/>
      <c r="F58" s="13"/>
      <c r="G58" s="13"/>
      <c r="H58" s="9">
        <f t="shared" si="7"/>
        <v>27.917000000000002</v>
      </c>
      <c r="I58" s="9">
        <f t="shared" si="8"/>
        <v>135.917</v>
      </c>
      <c r="J58" s="40">
        <f t="shared" si="9"/>
        <v>163.834</v>
      </c>
    </row>
    <row r="59" spans="1:10" ht="13.5" customHeight="1" x14ac:dyDescent="0.25">
      <c r="A59" s="13" t="s">
        <v>64</v>
      </c>
      <c r="B59" s="13"/>
      <c r="C59" s="13"/>
      <c r="D59" s="13"/>
      <c r="E59" s="13"/>
      <c r="F59" s="13">
        <v>5</v>
      </c>
      <c r="G59" s="13"/>
      <c r="H59" s="9">
        <f t="shared" si="7"/>
        <v>22.917000000000002</v>
      </c>
      <c r="I59" s="9">
        <f t="shared" si="8"/>
        <v>135.917</v>
      </c>
      <c r="J59" s="40">
        <f t="shared" si="9"/>
        <v>158.834</v>
      </c>
    </row>
    <row r="60" spans="1:10" ht="13.5" customHeight="1" x14ac:dyDescent="0.25">
      <c r="A60" s="13" t="s">
        <v>65</v>
      </c>
      <c r="B60" s="13">
        <v>11.25</v>
      </c>
      <c r="C60" s="13">
        <v>11.25</v>
      </c>
      <c r="D60" s="13"/>
      <c r="E60" s="13"/>
      <c r="F60" s="13"/>
      <c r="G60" s="13"/>
      <c r="H60" s="9">
        <f t="shared" si="7"/>
        <v>34.167000000000002</v>
      </c>
      <c r="I60" s="9">
        <f t="shared" si="8"/>
        <v>147.167</v>
      </c>
      <c r="J60" s="40">
        <f t="shared" si="9"/>
        <v>181.334</v>
      </c>
    </row>
    <row r="61" spans="1:10" ht="13.5" customHeight="1" x14ac:dyDescent="0.25">
      <c r="A61" s="13" t="s">
        <v>66</v>
      </c>
      <c r="B61" s="13"/>
      <c r="C61" s="13"/>
      <c r="D61" s="13">
        <v>14</v>
      </c>
      <c r="E61" s="13">
        <v>15</v>
      </c>
      <c r="F61" s="13"/>
      <c r="G61" s="13"/>
      <c r="H61" s="9">
        <f t="shared" si="7"/>
        <v>20.167000000000002</v>
      </c>
      <c r="I61" s="9">
        <f t="shared" si="8"/>
        <v>132.167</v>
      </c>
      <c r="J61" s="40">
        <f t="shared" si="9"/>
        <v>152.334</v>
      </c>
    </row>
    <row r="62" spans="1:10" ht="13.5" customHeight="1" x14ac:dyDescent="0.25">
      <c r="A62" s="13" t="s">
        <v>67</v>
      </c>
      <c r="B62" s="13">
        <f>3*1.25</f>
        <v>3.75</v>
      </c>
      <c r="C62" s="13">
        <v>3.75</v>
      </c>
      <c r="D62" s="13"/>
      <c r="E62" s="13"/>
      <c r="F62" s="13"/>
      <c r="G62" s="13"/>
      <c r="H62" s="9">
        <f t="shared" si="7"/>
        <v>23.917000000000002</v>
      </c>
      <c r="I62" s="9">
        <f t="shared" si="8"/>
        <v>135.917</v>
      </c>
      <c r="J62" s="40">
        <f t="shared" si="9"/>
        <v>159.834</v>
      </c>
    </row>
    <row r="63" spans="1:10" ht="13.5" customHeight="1" x14ac:dyDescent="0.25">
      <c r="A63" s="13" t="s">
        <v>68</v>
      </c>
      <c r="B63" s="13"/>
      <c r="C63" s="13"/>
      <c r="D63" s="13"/>
      <c r="E63" s="13"/>
      <c r="F63" s="13">
        <v>5</v>
      </c>
      <c r="G63" s="13"/>
      <c r="H63" s="9">
        <f t="shared" si="7"/>
        <v>18.917000000000002</v>
      </c>
      <c r="I63" s="9">
        <f t="shared" si="8"/>
        <v>135.917</v>
      </c>
      <c r="J63" s="40">
        <f t="shared" si="9"/>
        <v>154.834</v>
      </c>
    </row>
    <row r="64" spans="1:10" ht="13.5" customHeight="1" x14ac:dyDescent="0.25">
      <c r="A64" s="13" t="s">
        <v>69</v>
      </c>
      <c r="B64" s="13">
        <v>10</v>
      </c>
      <c r="C64" s="13">
        <v>10</v>
      </c>
      <c r="D64" s="13"/>
      <c r="E64" s="13"/>
      <c r="F64" s="13"/>
      <c r="G64" s="13"/>
      <c r="H64" s="9">
        <f t="shared" si="7"/>
        <v>28.917000000000002</v>
      </c>
      <c r="I64" s="9">
        <f t="shared" si="8"/>
        <v>145.917</v>
      </c>
      <c r="J64" s="40">
        <f t="shared" si="9"/>
        <v>174.834</v>
      </c>
    </row>
    <row r="65" spans="1:10" ht="13.5" customHeight="1" x14ac:dyDescent="0.25">
      <c r="A65" s="13" t="s">
        <v>70</v>
      </c>
      <c r="B65" s="13"/>
      <c r="C65" s="13"/>
      <c r="D65" s="13">
        <v>8</v>
      </c>
      <c r="E65" s="13">
        <v>21</v>
      </c>
      <c r="F65" s="13"/>
      <c r="G65" s="13"/>
      <c r="H65" s="9">
        <f t="shared" si="7"/>
        <v>20.917000000000002</v>
      </c>
      <c r="I65" s="9">
        <f t="shared" si="8"/>
        <v>124.917</v>
      </c>
      <c r="J65" s="40">
        <f t="shared" si="9"/>
        <v>145.834</v>
      </c>
    </row>
    <row r="66" spans="1:10" ht="13.5" customHeight="1" x14ac:dyDescent="0.25">
      <c r="A66" s="13" t="s">
        <v>71</v>
      </c>
      <c r="B66" s="13">
        <v>1.25</v>
      </c>
      <c r="C66" s="13">
        <v>1.25</v>
      </c>
      <c r="D66" s="13"/>
      <c r="E66" s="13"/>
      <c r="F66" s="13"/>
      <c r="G66" s="13"/>
      <c r="H66" s="9">
        <f t="shared" si="7"/>
        <v>22.167000000000002</v>
      </c>
      <c r="I66" s="9">
        <f t="shared" si="8"/>
        <v>126.167</v>
      </c>
      <c r="J66" s="40">
        <f t="shared" si="9"/>
        <v>148.334</v>
      </c>
    </row>
    <row r="67" spans="1:10" ht="13.5" customHeight="1" x14ac:dyDescent="0.25">
      <c r="A67" s="13" t="s">
        <v>73</v>
      </c>
      <c r="B67" s="13"/>
      <c r="C67" s="13"/>
      <c r="D67" s="13"/>
      <c r="E67" s="13"/>
      <c r="F67" s="13">
        <v>2</v>
      </c>
      <c r="G67" s="13"/>
      <c r="H67" s="9">
        <f t="shared" si="7"/>
        <v>20.167000000000002</v>
      </c>
      <c r="I67" s="9">
        <f t="shared" si="8"/>
        <v>126.167</v>
      </c>
      <c r="J67" s="40">
        <f t="shared" si="9"/>
        <v>146.334</v>
      </c>
    </row>
    <row r="68" spans="1:10" ht="13.5" customHeight="1" x14ac:dyDescent="0.25">
      <c r="A68" s="13" t="s">
        <v>72</v>
      </c>
      <c r="B68" s="13">
        <f>1.25*3</f>
        <v>3.75</v>
      </c>
      <c r="C68" s="13">
        <v>3.75</v>
      </c>
      <c r="D68" s="13"/>
      <c r="E68" s="13"/>
      <c r="F68" s="13"/>
      <c r="G68" s="13"/>
      <c r="H68" s="9">
        <f t="shared" si="7"/>
        <v>23.917000000000002</v>
      </c>
      <c r="I68" s="9">
        <f t="shared" si="8"/>
        <v>129.917</v>
      </c>
      <c r="J68" s="40">
        <f t="shared" si="9"/>
        <v>153.834</v>
      </c>
    </row>
    <row r="69" spans="1:10" ht="13.5" customHeight="1" x14ac:dyDescent="0.25">
      <c r="A69" s="13" t="s">
        <v>74</v>
      </c>
      <c r="B69" s="13"/>
      <c r="C69" s="13"/>
      <c r="D69" s="13"/>
      <c r="E69" s="13"/>
      <c r="F69" s="13">
        <v>3</v>
      </c>
      <c r="G69" s="13"/>
      <c r="H69" s="9">
        <f t="shared" si="7"/>
        <v>20.917000000000002</v>
      </c>
      <c r="I69" s="9">
        <f t="shared" si="8"/>
        <v>129.917</v>
      </c>
      <c r="J69" s="40">
        <f t="shared" si="9"/>
        <v>150.834</v>
      </c>
    </row>
    <row r="70" spans="1:10" ht="13.5" customHeight="1" x14ac:dyDescent="0.25">
      <c r="A70" s="13" t="s">
        <v>75</v>
      </c>
      <c r="B70" s="13"/>
      <c r="C70" s="13"/>
      <c r="D70" s="13"/>
      <c r="E70" s="13"/>
      <c r="F70" s="13">
        <v>2</v>
      </c>
      <c r="G70" s="13"/>
      <c r="H70" s="9">
        <f t="shared" si="7"/>
        <v>18.917000000000002</v>
      </c>
      <c r="I70" s="9">
        <f t="shared" si="8"/>
        <v>129.917</v>
      </c>
      <c r="J70" s="40">
        <f t="shared" si="9"/>
        <v>148.834</v>
      </c>
    </row>
    <row r="71" spans="1:10" ht="13.5" customHeight="1" x14ac:dyDescent="0.25">
      <c r="A71" s="13" t="s">
        <v>76</v>
      </c>
      <c r="B71" s="13">
        <v>5</v>
      </c>
      <c r="C71" s="13">
        <v>5</v>
      </c>
      <c r="D71" s="13"/>
      <c r="E71" s="13"/>
      <c r="F71" s="13"/>
      <c r="G71" s="13"/>
      <c r="H71" s="9">
        <f t="shared" ref="H71:H76" si="10">H70-F71-D71+B71</f>
        <v>23.917000000000002</v>
      </c>
      <c r="I71" s="9">
        <f t="shared" ref="I71:I76" si="11">I70-E71+C71</f>
        <v>134.917</v>
      </c>
      <c r="J71" s="40">
        <f t="shared" ref="J71:J76" si="12">SUM(H71:I71)</f>
        <v>158.834</v>
      </c>
    </row>
    <row r="72" spans="1:10" ht="13.5" customHeight="1" x14ac:dyDescent="0.25">
      <c r="A72" s="13" t="s">
        <v>77</v>
      </c>
      <c r="B72" s="13"/>
      <c r="C72" s="13"/>
      <c r="D72" s="13"/>
      <c r="E72" s="13"/>
      <c r="F72" s="13">
        <v>1</v>
      </c>
      <c r="G72" s="13"/>
      <c r="H72" s="9">
        <f t="shared" si="10"/>
        <v>22.917000000000002</v>
      </c>
      <c r="I72" s="9">
        <f t="shared" si="11"/>
        <v>134.917</v>
      </c>
      <c r="J72" s="40">
        <f t="shared" si="12"/>
        <v>157.834</v>
      </c>
    </row>
    <row r="73" spans="1:10" ht="13.5" customHeight="1" x14ac:dyDescent="0.25">
      <c r="A73" s="13" t="s">
        <v>78</v>
      </c>
      <c r="B73" s="13">
        <v>2.5</v>
      </c>
      <c r="C73" s="13">
        <v>2.5</v>
      </c>
      <c r="D73" s="13"/>
      <c r="E73" s="13"/>
      <c r="F73" s="13"/>
      <c r="G73" s="13"/>
      <c r="H73" s="9">
        <f t="shared" si="10"/>
        <v>25.417000000000002</v>
      </c>
      <c r="I73" s="9">
        <f t="shared" si="11"/>
        <v>137.417</v>
      </c>
      <c r="J73" s="40">
        <f t="shared" si="12"/>
        <v>162.834</v>
      </c>
    </row>
    <row r="74" spans="1:10" ht="13.5" customHeight="1" x14ac:dyDescent="0.25">
      <c r="A74" s="13" t="s">
        <v>79</v>
      </c>
      <c r="B74" s="13"/>
      <c r="C74" s="13"/>
      <c r="D74" s="13">
        <v>3</v>
      </c>
      <c r="E74" s="13"/>
      <c r="F74" s="13"/>
      <c r="G74" s="13"/>
      <c r="H74" s="9">
        <f t="shared" si="10"/>
        <v>22.417000000000002</v>
      </c>
      <c r="I74" s="9">
        <f t="shared" si="11"/>
        <v>137.417</v>
      </c>
      <c r="J74" s="40">
        <f t="shared" si="12"/>
        <v>159.834</v>
      </c>
    </row>
    <row r="75" spans="1:10" ht="13.5" customHeight="1" x14ac:dyDescent="0.25">
      <c r="A75" s="13" t="s">
        <v>80</v>
      </c>
      <c r="B75" s="13">
        <v>2.5</v>
      </c>
      <c r="C75" s="13">
        <v>2.5</v>
      </c>
      <c r="D75" s="13"/>
      <c r="E75" s="13"/>
      <c r="F75" s="13"/>
      <c r="G75" s="13"/>
      <c r="H75" s="9">
        <f t="shared" si="10"/>
        <v>24.917000000000002</v>
      </c>
      <c r="I75" s="9">
        <f t="shared" si="11"/>
        <v>139.917</v>
      </c>
      <c r="J75" s="40">
        <f t="shared" si="12"/>
        <v>164.834</v>
      </c>
    </row>
    <row r="76" spans="1:10" ht="13.5" customHeight="1" x14ac:dyDescent="0.25">
      <c r="A76" s="13" t="s">
        <v>121</v>
      </c>
      <c r="B76" s="13"/>
      <c r="C76" s="13"/>
      <c r="D76" s="13"/>
      <c r="E76" s="13"/>
      <c r="F76" s="13"/>
      <c r="G76" s="13"/>
      <c r="H76" s="9">
        <f t="shared" si="10"/>
        <v>24.917000000000002</v>
      </c>
      <c r="I76" s="9">
        <f t="shared" si="11"/>
        <v>139.917</v>
      </c>
      <c r="J76" s="40">
        <f t="shared" si="12"/>
        <v>164.834</v>
      </c>
    </row>
    <row r="77" spans="1:10" x14ac:dyDescent="0.25">
      <c r="A77" s="13" t="s">
        <v>81</v>
      </c>
      <c r="B77" s="13">
        <v>1.25</v>
      </c>
      <c r="C77" s="13">
        <v>1.25</v>
      </c>
      <c r="D77" s="13"/>
      <c r="E77" s="13"/>
      <c r="F77" s="13"/>
      <c r="G77" s="13"/>
      <c r="H77" s="9">
        <f t="shared" ref="H77" si="13">H76-F77-D77+B77</f>
        <v>26.167000000000002</v>
      </c>
      <c r="I77" s="9">
        <f t="shared" ref="I77" si="14">I76-E77+C77</f>
        <v>141.167</v>
      </c>
      <c r="J77" s="40">
        <f t="shared" ref="J77" si="15">SUM(H77:I77)</f>
        <v>167.334</v>
      </c>
    </row>
    <row r="78" spans="1:10" x14ac:dyDescent="0.25">
      <c r="A78" s="13" t="s">
        <v>82</v>
      </c>
      <c r="B78" s="13"/>
      <c r="C78" s="13"/>
      <c r="D78" s="13"/>
      <c r="E78" s="13">
        <v>3</v>
      </c>
      <c r="F78" s="13"/>
      <c r="G78" s="13"/>
      <c r="H78" s="9">
        <f t="shared" ref="H78" si="16">H77-F78-D78+B78</f>
        <v>26.167000000000002</v>
      </c>
      <c r="I78" s="9">
        <f t="shared" ref="I78" si="17">I77-E78+C78</f>
        <v>138.167</v>
      </c>
      <c r="J78" s="40">
        <f t="shared" ref="J78" si="18">SUM(H78:I78)</f>
        <v>164.334</v>
      </c>
    </row>
    <row r="79" spans="1:10" x14ac:dyDescent="0.25">
      <c r="A79" s="13" t="s">
        <v>83</v>
      </c>
      <c r="B79" s="13">
        <v>2.5</v>
      </c>
      <c r="C79" s="13">
        <v>2.5</v>
      </c>
      <c r="D79" s="13"/>
      <c r="E79" s="13"/>
      <c r="F79" s="13"/>
      <c r="G79" s="13"/>
      <c r="H79" s="9">
        <f t="shared" ref="H79" si="19">H78-F79-D79+B79</f>
        <v>28.667000000000002</v>
      </c>
      <c r="I79" s="9">
        <f t="shared" ref="I79" si="20">I78-E79+C79</f>
        <v>140.667</v>
      </c>
      <c r="J79" s="40">
        <f t="shared" ref="J79" si="21">SUM(H79:I79)</f>
        <v>169.334</v>
      </c>
    </row>
    <row r="80" spans="1:10" x14ac:dyDescent="0.25">
      <c r="A80" s="13" t="s">
        <v>84</v>
      </c>
      <c r="B80" s="13"/>
      <c r="C80" s="13"/>
      <c r="D80" s="13"/>
      <c r="E80" s="13"/>
      <c r="F80" s="13">
        <v>1</v>
      </c>
      <c r="G80" s="13"/>
      <c r="H80" s="9">
        <f t="shared" ref="H80" si="22">H79-F80-D80+B80</f>
        <v>27.667000000000002</v>
      </c>
      <c r="I80" s="9">
        <f t="shared" ref="I80" si="23">I79-E80+C80</f>
        <v>140.667</v>
      </c>
      <c r="J80" s="40">
        <f t="shared" ref="J80" si="24">SUM(H80:I80)</f>
        <v>168.334</v>
      </c>
    </row>
    <row r="81" spans="1:12" x14ac:dyDescent="0.25">
      <c r="A81" s="13" t="s">
        <v>85</v>
      </c>
      <c r="B81" s="13"/>
      <c r="C81" s="13"/>
      <c r="D81" s="13">
        <v>1</v>
      </c>
      <c r="E81" s="13"/>
      <c r="F81" s="13">
        <v>1</v>
      </c>
      <c r="G81" s="13"/>
      <c r="H81" s="9">
        <f t="shared" ref="H81" si="25">H80-F81-D81+B81</f>
        <v>25.667000000000002</v>
      </c>
      <c r="I81" s="9">
        <f t="shared" ref="I81" si="26">I80-E81+C81</f>
        <v>140.667</v>
      </c>
      <c r="J81" s="40">
        <f t="shared" ref="J81" si="27">SUM(H81:I81)</f>
        <v>166.334</v>
      </c>
    </row>
    <row r="82" spans="1:12" x14ac:dyDescent="0.25">
      <c r="A82" s="13" t="s">
        <v>86</v>
      </c>
      <c r="B82" s="13">
        <v>1.25</v>
      </c>
      <c r="C82" s="13">
        <v>1.25</v>
      </c>
      <c r="D82" s="13"/>
      <c r="E82" s="13"/>
      <c r="F82" s="13"/>
      <c r="G82" s="13"/>
      <c r="H82" s="9">
        <f t="shared" ref="H82:H83" si="28">H81-F82-D82+B82</f>
        <v>26.917000000000002</v>
      </c>
      <c r="I82" s="9">
        <f t="shared" ref="I82:I83" si="29">I81-E82+C82</f>
        <v>141.917</v>
      </c>
      <c r="J82" s="40">
        <f t="shared" ref="J82:J83" si="30">SUM(H82:I82)</f>
        <v>168.834</v>
      </c>
    </row>
    <row r="83" spans="1:12" x14ac:dyDescent="0.25">
      <c r="A83" s="13" t="s">
        <v>87</v>
      </c>
      <c r="B83" s="13"/>
      <c r="C83" s="13"/>
      <c r="D83" s="13">
        <v>3</v>
      </c>
      <c r="E83" s="13"/>
      <c r="F83" s="13"/>
      <c r="G83" s="13"/>
      <c r="H83" s="9">
        <f t="shared" si="28"/>
        <v>23.917000000000002</v>
      </c>
      <c r="I83" s="9">
        <f t="shared" si="29"/>
        <v>141.917</v>
      </c>
      <c r="J83" s="40">
        <f t="shared" si="30"/>
        <v>165.834</v>
      </c>
    </row>
    <row r="84" spans="1:12" x14ac:dyDescent="0.25">
      <c r="A84" s="13" t="s">
        <v>108</v>
      </c>
      <c r="B84" s="13">
        <v>8.75</v>
      </c>
      <c r="C84" s="13">
        <v>8.75</v>
      </c>
      <c r="D84" s="13"/>
      <c r="E84" s="13"/>
      <c r="F84" s="13"/>
      <c r="G84" s="13"/>
      <c r="H84" s="9">
        <f t="shared" ref="H84:H85" si="31">H83-F84-D84+B84</f>
        <v>32.667000000000002</v>
      </c>
      <c r="I84" s="9">
        <f t="shared" ref="I84:I85" si="32">I83-E84+C84</f>
        <v>150.667</v>
      </c>
      <c r="J84" s="40">
        <f t="shared" ref="J84:J85" si="33">SUM(H84:I84)</f>
        <v>183.334</v>
      </c>
    </row>
    <row r="85" spans="1:12" x14ac:dyDescent="0.25">
      <c r="A85" s="13" t="s">
        <v>109</v>
      </c>
      <c r="B85" s="13"/>
      <c r="C85" s="13"/>
      <c r="D85" s="13">
        <v>27</v>
      </c>
      <c r="E85" s="13"/>
      <c r="F85" s="13"/>
      <c r="G85" s="13"/>
      <c r="H85" s="9">
        <f t="shared" si="31"/>
        <v>5.6670000000000016</v>
      </c>
      <c r="I85" s="9">
        <f t="shared" si="32"/>
        <v>150.667</v>
      </c>
      <c r="J85" s="39">
        <f t="shared" si="33"/>
        <v>156.334</v>
      </c>
    </row>
    <row r="86" spans="1:12" x14ac:dyDescent="0.25">
      <c r="A86" s="13" t="s">
        <v>112</v>
      </c>
      <c r="B86" s="13">
        <v>6.25</v>
      </c>
      <c r="C86" s="13">
        <v>6.25</v>
      </c>
      <c r="D86" s="13"/>
      <c r="E86" s="13"/>
      <c r="F86" s="13"/>
      <c r="G86" s="13"/>
      <c r="H86" s="9">
        <f t="shared" ref="H86" si="34">H85-F86-D86+B86</f>
        <v>11.917000000000002</v>
      </c>
      <c r="I86" s="9">
        <f t="shared" ref="I86" si="35">I85-E86+C86</f>
        <v>156.917</v>
      </c>
      <c r="J86" s="39">
        <f t="shared" ref="J86" si="36">SUM(H86:I86)</f>
        <v>168.834</v>
      </c>
    </row>
    <row r="87" spans="1:12" x14ac:dyDescent="0.25">
      <c r="A87" s="13" t="s">
        <v>118</v>
      </c>
      <c r="B87" s="13"/>
      <c r="C87" s="13"/>
      <c r="D87" s="13"/>
      <c r="E87" s="13"/>
      <c r="F87" s="13">
        <v>5</v>
      </c>
      <c r="G87" s="13"/>
      <c r="H87" s="9">
        <f t="shared" ref="H87:H89" si="37">H86-F87-D87+B87</f>
        <v>6.9170000000000016</v>
      </c>
      <c r="I87" s="9">
        <f t="shared" ref="I87:I89" si="38">I86-E87+C87</f>
        <v>156.917</v>
      </c>
      <c r="J87" s="39">
        <f t="shared" ref="J87:J89" si="39">SUM(H87:I87)</f>
        <v>163.834</v>
      </c>
    </row>
    <row r="88" spans="1:12" x14ac:dyDescent="0.25">
      <c r="A88" s="13" t="s">
        <v>113</v>
      </c>
      <c r="B88" s="13">
        <v>2.5</v>
      </c>
      <c r="C88" s="13">
        <v>2.5</v>
      </c>
      <c r="D88" s="13"/>
      <c r="E88" s="13"/>
      <c r="F88" s="13"/>
      <c r="G88" s="13"/>
      <c r="H88" s="9">
        <f t="shared" si="37"/>
        <v>9.4170000000000016</v>
      </c>
      <c r="I88" s="9">
        <f t="shared" si="38"/>
        <v>159.417</v>
      </c>
      <c r="J88" s="39">
        <f t="shared" si="39"/>
        <v>168.834</v>
      </c>
    </row>
    <row r="89" spans="1:12" x14ac:dyDescent="0.25">
      <c r="A89" s="13" t="s">
        <v>114</v>
      </c>
      <c r="B89" s="13"/>
      <c r="C89" s="13"/>
      <c r="D89" s="13"/>
      <c r="E89" s="13">
        <v>1</v>
      </c>
      <c r="F89" s="13"/>
      <c r="G89" s="13"/>
      <c r="H89" s="9">
        <f t="shared" si="37"/>
        <v>9.4170000000000016</v>
      </c>
      <c r="I89" s="9">
        <f t="shared" si="38"/>
        <v>158.417</v>
      </c>
      <c r="J89" s="39">
        <f t="shared" si="39"/>
        <v>167.834</v>
      </c>
    </row>
    <row r="90" spans="1:12" x14ac:dyDescent="0.25">
      <c r="A90" s="13" t="s">
        <v>115</v>
      </c>
      <c r="B90" s="13">
        <v>1.25</v>
      </c>
      <c r="C90" s="13">
        <v>1.25</v>
      </c>
      <c r="D90" s="13"/>
      <c r="E90" s="13"/>
      <c r="F90" s="13"/>
      <c r="G90" s="13"/>
      <c r="H90" s="9">
        <f t="shared" ref="H90:H91" si="40">H89-F90-D90+B90</f>
        <v>10.667000000000002</v>
      </c>
      <c r="I90" s="9">
        <f t="shared" ref="I90:I91" si="41">I89-E90+C90</f>
        <v>159.667</v>
      </c>
      <c r="J90" s="39">
        <f t="shared" ref="J90:J91" si="42">SUM(H90:I90)</f>
        <v>170.334</v>
      </c>
    </row>
    <row r="91" spans="1:12" x14ac:dyDescent="0.25">
      <c r="A91" s="13" t="s">
        <v>116</v>
      </c>
      <c r="B91" s="13"/>
      <c r="C91" s="13"/>
      <c r="D91" s="13"/>
      <c r="E91" s="13">
        <v>1</v>
      </c>
      <c r="F91" s="13"/>
      <c r="G91" s="13"/>
      <c r="H91" s="9">
        <f t="shared" si="40"/>
        <v>10.667000000000002</v>
      </c>
      <c r="I91" s="9">
        <f t="shared" si="41"/>
        <v>158.667</v>
      </c>
      <c r="J91" s="39">
        <f t="shared" si="42"/>
        <v>169.334</v>
      </c>
    </row>
    <row r="92" spans="1:12" x14ac:dyDescent="0.25">
      <c r="A92" s="13" t="s">
        <v>117</v>
      </c>
      <c r="B92" s="13">
        <v>6.25</v>
      </c>
      <c r="C92" s="13">
        <v>6.25</v>
      </c>
      <c r="D92" s="13"/>
      <c r="E92" s="13"/>
      <c r="F92" s="13"/>
      <c r="G92" s="13"/>
      <c r="H92" s="9">
        <f t="shared" ref="H92" si="43">H91-F92-D92+B92</f>
        <v>16.917000000000002</v>
      </c>
      <c r="I92" s="9">
        <f t="shared" ref="I92" si="44">I91-E92+C92</f>
        <v>164.917</v>
      </c>
      <c r="J92" s="39">
        <f t="shared" ref="J92" si="45">SUM(H92:I92)</f>
        <v>181.834</v>
      </c>
    </row>
    <row r="93" spans="1:12" x14ac:dyDescent="0.25">
      <c r="A93" s="13" t="s">
        <v>120</v>
      </c>
      <c r="B93" s="13"/>
      <c r="C93" s="13"/>
      <c r="D93" s="13">
        <v>10</v>
      </c>
      <c r="E93" s="13"/>
      <c r="F93" s="13"/>
      <c r="G93" s="13"/>
      <c r="H93" s="9">
        <f t="shared" ref="H93" si="46">H92-F93-D93+B93</f>
        <v>6.9170000000000016</v>
      </c>
      <c r="I93" s="9">
        <f t="shared" ref="I93" si="47">I92-E93+C93</f>
        <v>164.917</v>
      </c>
      <c r="J93" s="39">
        <f t="shared" ref="J93" si="48">SUM(H93:I93)</f>
        <v>171.834</v>
      </c>
    </row>
    <row r="94" spans="1:12" x14ac:dyDescent="0.25">
      <c r="A94" s="43"/>
      <c r="B94" s="43"/>
      <c r="C94" s="43"/>
      <c r="D94" s="43"/>
      <c r="E94" s="43"/>
      <c r="F94" s="43"/>
      <c r="G94" s="43"/>
      <c r="H94" s="44"/>
      <c r="I94" s="44"/>
      <c r="J94" s="45"/>
    </row>
    <row r="95" spans="1:12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1"/>
      <c r="L95" s="1"/>
    </row>
    <row r="96" spans="1:12" x14ac:dyDescent="0.25">
      <c r="A96" s="37"/>
      <c r="B96" s="1"/>
      <c r="C96" s="1"/>
      <c r="D96" s="1"/>
      <c r="E96" s="1"/>
      <c r="G96" s="1"/>
      <c r="H96" s="1"/>
      <c r="I96" s="1"/>
      <c r="J96" s="1"/>
      <c r="K96" s="1"/>
      <c r="L96" s="1"/>
    </row>
    <row r="97" spans="1:12" x14ac:dyDescent="0.25">
      <c r="A97" s="37"/>
      <c r="B97" s="1"/>
      <c r="C97" s="1"/>
      <c r="D97" s="1"/>
      <c r="E97" s="1"/>
      <c r="G97" s="1"/>
      <c r="H97" s="1"/>
      <c r="I97" s="1"/>
      <c r="J97" s="1"/>
      <c r="K97" s="1"/>
      <c r="L97" s="1"/>
    </row>
    <row r="98" spans="1:12" x14ac:dyDescent="0.25">
      <c r="A98" s="37"/>
      <c r="B98" s="1"/>
      <c r="C98" s="1"/>
      <c r="D98" s="1"/>
      <c r="E98" s="1"/>
      <c r="G98" s="1"/>
      <c r="H98" s="1"/>
      <c r="I98" s="1"/>
      <c r="J98" s="1"/>
      <c r="K98" s="1"/>
      <c r="L98" s="1"/>
    </row>
    <row r="99" spans="1:12" x14ac:dyDescent="0.25">
      <c r="A99" s="37"/>
      <c r="B99" s="1"/>
      <c r="C99" s="1"/>
      <c r="D99" s="1"/>
      <c r="E99" s="1"/>
      <c r="G99" s="1"/>
      <c r="H99" s="1"/>
      <c r="I99" s="1"/>
      <c r="J99" s="1"/>
      <c r="K99" s="1"/>
      <c r="L99" s="1"/>
    </row>
    <row r="100" spans="1:12" x14ac:dyDescent="0.25">
      <c r="A100" s="37"/>
      <c r="B100" s="1"/>
      <c r="C100" s="1"/>
      <c r="D100" s="1"/>
      <c r="E100" s="1"/>
      <c r="G100" s="1"/>
      <c r="H100" s="1"/>
      <c r="I100" s="1"/>
      <c r="J100" s="1"/>
      <c r="K100" s="1"/>
      <c r="L100" s="1"/>
    </row>
    <row r="101" spans="1:12" x14ac:dyDescent="0.25">
      <c r="A101" s="37"/>
      <c r="B101" s="1"/>
      <c r="C101" s="1"/>
      <c r="D101" s="1"/>
      <c r="E101" s="1"/>
      <c r="G101" s="1"/>
      <c r="H101" s="1"/>
      <c r="I101" s="1"/>
      <c r="J101" s="1"/>
      <c r="K101" s="1"/>
      <c r="L101" s="1"/>
    </row>
    <row r="102" spans="1:12" x14ac:dyDescent="0.25">
      <c r="A102" s="37"/>
      <c r="B102" s="1"/>
      <c r="C102" s="1"/>
      <c r="D102" s="1"/>
      <c r="E102" s="1"/>
      <c r="G102" s="1"/>
      <c r="H102" s="1"/>
      <c r="I102" s="1"/>
      <c r="J102" s="1"/>
      <c r="K102" s="1"/>
      <c r="L102" s="1"/>
    </row>
    <row r="103" spans="1:12" x14ac:dyDescent="0.25">
      <c r="A103" s="37"/>
      <c r="B103" s="1"/>
      <c r="C103" s="1"/>
      <c r="D103" s="1"/>
      <c r="E103" s="1"/>
      <c r="G103" s="1"/>
      <c r="H103" s="1"/>
      <c r="I103" s="1"/>
      <c r="J103" s="1"/>
      <c r="K103" s="1"/>
      <c r="L103" s="1"/>
    </row>
    <row r="104" spans="1:12" x14ac:dyDescent="0.25">
      <c r="A104" s="37"/>
      <c r="B104" s="1"/>
      <c r="C104" s="1"/>
      <c r="D104" s="1"/>
      <c r="E104" s="1"/>
      <c r="G104" s="1"/>
      <c r="H104" s="1"/>
      <c r="I104" s="1"/>
      <c r="J104" s="1"/>
      <c r="K104" s="1"/>
      <c r="L104" s="1"/>
    </row>
    <row r="105" spans="1:12" x14ac:dyDescent="0.25">
      <c r="A105" s="37"/>
      <c r="B105" s="1"/>
      <c r="C105" s="1"/>
      <c r="D105" s="1"/>
      <c r="E105" s="1"/>
      <c r="G105" s="1"/>
      <c r="H105" s="1"/>
      <c r="I105" s="1"/>
      <c r="J105" s="1"/>
      <c r="K105" s="1"/>
      <c r="L105" s="1"/>
    </row>
    <row r="106" spans="1:12" x14ac:dyDescent="0.25">
      <c r="A106" s="37"/>
      <c r="B106" s="1"/>
      <c r="C106" s="1"/>
      <c r="D106" s="1"/>
      <c r="E106" s="1"/>
      <c r="G106" s="1"/>
      <c r="H106" s="1"/>
      <c r="I106" s="1"/>
      <c r="J106" s="1"/>
      <c r="K106" s="1"/>
      <c r="L106" s="1"/>
    </row>
    <row r="107" spans="1:12" x14ac:dyDescent="0.25">
      <c r="A107" s="37"/>
      <c r="B107" s="1"/>
      <c r="C107" s="1"/>
      <c r="D107" s="1"/>
      <c r="E107" s="1"/>
      <c r="G107" s="1"/>
      <c r="H107" s="1"/>
      <c r="I107" s="1"/>
      <c r="J107" s="1"/>
      <c r="K107" s="1"/>
      <c r="L107" s="1"/>
    </row>
    <row r="108" spans="1:12" x14ac:dyDescent="0.25">
      <c r="A108" s="37"/>
      <c r="B108" s="1"/>
      <c r="C108" s="1"/>
      <c r="D108" s="1"/>
      <c r="E108" s="1"/>
      <c r="G108" s="1"/>
      <c r="H108" s="1"/>
      <c r="I108" s="1"/>
      <c r="J108" s="1"/>
      <c r="K108" s="1"/>
      <c r="L108" s="1"/>
    </row>
    <row r="109" spans="1:12" x14ac:dyDescent="0.25">
      <c r="A109" s="37"/>
      <c r="B109" s="1"/>
      <c r="C109" s="1"/>
      <c r="D109" s="1"/>
      <c r="E109" s="1"/>
      <c r="G109" s="1"/>
      <c r="H109" s="1"/>
      <c r="I109" s="1"/>
      <c r="J109" s="1"/>
      <c r="K109" s="1"/>
      <c r="L109" s="1"/>
    </row>
    <row r="110" spans="1:12" x14ac:dyDescent="0.25">
      <c r="A110" s="37"/>
      <c r="B110" s="1"/>
      <c r="C110" s="1"/>
      <c r="D110" s="1"/>
      <c r="E110" s="1"/>
      <c r="G110" s="1"/>
      <c r="H110" s="1"/>
      <c r="I110" s="1"/>
      <c r="J110" s="1"/>
      <c r="K110" s="1"/>
      <c r="L110" s="1"/>
    </row>
    <row r="111" spans="1:12" x14ac:dyDescent="0.25">
      <c r="A111" s="37"/>
      <c r="B111" s="1"/>
      <c r="C111" s="1"/>
      <c r="D111" s="1"/>
      <c r="E111" s="1"/>
      <c r="G111" s="1"/>
      <c r="H111" s="1"/>
      <c r="I111" s="1"/>
      <c r="J111" s="1"/>
      <c r="K111" s="1"/>
      <c r="L111" s="1"/>
    </row>
    <row r="112" spans="1:12" x14ac:dyDescent="0.25">
      <c r="A112" s="37"/>
      <c r="B112" s="1"/>
      <c r="C112" s="1"/>
      <c r="D112" s="1"/>
      <c r="E112" s="1"/>
      <c r="G112" s="1"/>
      <c r="H112" s="1"/>
      <c r="I112" s="1"/>
      <c r="J112" s="1"/>
      <c r="K112" s="1"/>
      <c r="L112" s="1"/>
    </row>
    <row r="113" spans="1:12" x14ac:dyDescent="0.25">
      <c r="A113" s="37"/>
      <c r="B113" s="1"/>
      <c r="C113" s="1"/>
      <c r="D113" s="1"/>
      <c r="E113" s="1"/>
      <c r="G113" s="1"/>
      <c r="H113" s="1"/>
      <c r="I113" s="1"/>
      <c r="J113" s="1"/>
      <c r="K113" s="1"/>
      <c r="L113" s="1"/>
    </row>
    <row r="114" spans="1:12" x14ac:dyDescent="0.25">
      <c r="A114" s="37"/>
      <c r="B114" s="1"/>
      <c r="C114" s="1"/>
      <c r="D114" s="1"/>
      <c r="E114" s="1"/>
      <c r="G114" s="1"/>
      <c r="H114" s="1"/>
      <c r="I114" s="1"/>
      <c r="J114" s="1"/>
      <c r="K114" s="1"/>
      <c r="L114" s="1"/>
    </row>
    <row r="115" spans="1:12" x14ac:dyDescent="0.25">
      <c r="A115" s="37"/>
      <c r="B115" s="1"/>
      <c r="C115" s="1"/>
      <c r="D115" s="1"/>
      <c r="E115" s="1"/>
      <c r="G115" s="1"/>
      <c r="H115" s="1"/>
      <c r="I115" s="1"/>
      <c r="J115" s="1"/>
      <c r="K115" s="1"/>
      <c r="L115" s="1"/>
    </row>
    <row r="116" spans="1:12" x14ac:dyDescent="0.25">
      <c r="A116" s="37"/>
      <c r="B116" s="1"/>
      <c r="C116" s="1"/>
      <c r="D116" s="1"/>
      <c r="E116" s="1"/>
      <c r="G116" s="1"/>
      <c r="H116" s="1"/>
      <c r="I116" s="1"/>
      <c r="J116" s="1"/>
      <c r="K116" s="1"/>
      <c r="L116" s="1"/>
    </row>
    <row r="117" spans="1:12" x14ac:dyDescent="0.25">
      <c r="A117" s="37"/>
      <c r="B117" s="1"/>
      <c r="C117" s="1"/>
      <c r="D117" s="1"/>
      <c r="E117" s="1"/>
      <c r="G117" s="1"/>
      <c r="H117" s="1"/>
      <c r="I117" s="1"/>
      <c r="J117" s="1"/>
      <c r="K117" s="1"/>
      <c r="L117" s="1"/>
    </row>
    <row r="118" spans="1:12" x14ac:dyDescent="0.25">
      <c r="A118" s="37"/>
      <c r="B118" s="1"/>
      <c r="C118" s="1"/>
      <c r="D118" s="1"/>
      <c r="E118" s="1"/>
      <c r="G118" s="1"/>
      <c r="H118" s="1"/>
      <c r="I118" s="1"/>
      <c r="J118" s="1"/>
      <c r="K118" s="1"/>
      <c r="L118" s="1"/>
    </row>
    <row r="119" spans="1:12" x14ac:dyDescent="0.25">
      <c r="A119" s="37"/>
      <c r="B119" s="1"/>
      <c r="C119" s="1"/>
      <c r="D119" s="1"/>
      <c r="E119" s="1"/>
      <c r="G119" s="1"/>
      <c r="H119" s="1"/>
      <c r="I119" s="1"/>
      <c r="J119" s="1"/>
      <c r="K119" s="1"/>
      <c r="L119" s="1"/>
    </row>
    <row r="120" spans="1:12" x14ac:dyDescent="0.25">
      <c r="A120" s="37"/>
      <c r="B120" s="1"/>
      <c r="C120" s="1"/>
      <c r="D120" s="1"/>
      <c r="E120" s="1"/>
      <c r="G120" s="1"/>
      <c r="H120" s="1"/>
      <c r="I120" s="1"/>
      <c r="J120" s="1"/>
      <c r="K120" s="1"/>
      <c r="L120" s="1"/>
    </row>
    <row r="121" spans="1:12" x14ac:dyDescent="0.25">
      <c r="A121" s="37"/>
      <c r="B121" s="1"/>
      <c r="C121" s="1"/>
      <c r="D121" s="1"/>
      <c r="E121" s="1"/>
      <c r="G121" s="1"/>
      <c r="H121" s="1"/>
      <c r="I121" s="1"/>
      <c r="J121" s="1"/>
      <c r="K121" s="1"/>
      <c r="L121" s="1"/>
    </row>
    <row r="122" spans="1:12" x14ac:dyDescent="0.25">
      <c r="A122" s="37"/>
      <c r="B122" s="1"/>
      <c r="C122" s="1"/>
      <c r="D122" s="1"/>
      <c r="E122" s="1"/>
      <c r="G122" s="1"/>
      <c r="H122" s="1"/>
      <c r="I122" s="1"/>
      <c r="J122" s="1"/>
      <c r="K122" s="1"/>
      <c r="L122" s="1"/>
    </row>
    <row r="123" spans="1:12" x14ac:dyDescent="0.25">
      <c r="A123" s="37"/>
      <c r="B123" s="1"/>
      <c r="C123" s="1"/>
      <c r="D123" s="1"/>
      <c r="E123" s="1"/>
      <c r="G123" s="1"/>
      <c r="H123" s="1"/>
      <c r="I123" s="1"/>
      <c r="J123" s="1"/>
      <c r="K123" s="1"/>
      <c r="L123" s="1"/>
    </row>
    <row r="124" spans="1:12" x14ac:dyDescent="0.25">
      <c r="A124" s="37"/>
      <c r="B124" s="1"/>
      <c r="C124" s="1"/>
      <c r="D124" s="1"/>
      <c r="E124" s="1"/>
      <c r="G124" s="1"/>
      <c r="H124" s="1"/>
      <c r="I124" s="1"/>
      <c r="J124" s="1"/>
      <c r="K124" s="1"/>
      <c r="L124" s="1"/>
    </row>
    <row r="125" spans="1:12" x14ac:dyDescent="0.25">
      <c r="A125" s="37"/>
      <c r="B125" s="1"/>
      <c r="C125" s="1"/>
      <c r="D125" s="1"/>
      <c r="E125" s="1"/>
      <c r="G125" s="1"/>
      <c r="H125" s="1"/>
      <c r="I125" s="1"/>
      <c r="J125" s="1"/>
      <c r="K125" s="1"/>
      <c r="L125" s="1"/>
    </row>
    <row r="126" spans="1:12" x14ac:dyDescent="0.25">
      <c r="A126" s="37"/>
      <c r="B126" s="1"/>
      <c r="C126" s="1"/>
      <c r="D126" s="1"/>
      <c r="E126" s="1"/>
      <c r="G126" s="1"/>
      <c r="H126" s="1"/>
      <c r="I126" s="1"/>
      <c r="J126" s="1"/>
      <c r="K126" s="1"/>
      <c r="L126" s="1"/>
    </row>
    <row r="127" spans="1:12" x14ac:dyDescent="0.25">
      <c r="A127" s="37"/>
      <c r="B127" s="1"/>
      <c r="C127" s="1"/>
      <c r="D127" s="1"/>
      <c r="E127" s="1"/>
      <c r="G127" s="1"/>
      <c r="H127" s="1"/>
      <c r="I127" s="1"/>
      <c r="J127" s="1"/>
      <c r="K127" s="1"/>
      <c r="L127" s="1"/>
    </row>
    <row r="128" spans="1:12" x14ac:dyDescent="0.25">
      <c r="A128" s="37"/>
      <c r="B128" s="1"/>
      <c r="C128" s="1"/>
      <c r="D128" s="1"/>
      <c r="E128" s="1"/>
      <c r="G128" s="1"/>
      <c r="H128" s="1"/>
      <c r="I128" s="1"/>
      <c r="J128" s="1"/>
      <c r="K128" s="1"/>
      <c r="L128" s="1"/>
    </row>
    <row r="129" spans="1:12" x14ac:dyDescent="0.25">
      <c r="A129" s="37"/>
      <c r="B129" s="1"/>
      <c r="C129" s="1"/>
      <c r="D129" s="1"/>
      <c r="E129" s="1"/>
      <c r="G129" s="1"/>
      <c r="H129" s="1"/>
      <c r="I129" s="1"/>
      <c r="J129" s="1"/>
      <c r="K129" s="1"/>
      <c r="L129" s="1"/>
    </row>
    <row r="130" spans="1:12" x14ac:dyDescent="0.25">
      <c r="A130" s="37"/>
      <c r="B130" s="1"/>
      <c r="C130" s="1"/>
      <c r="D130" s="1"/>
      <c r="E130" s="1"/>
      <c r="G130" s="1"/>
      <c r="H130" s="1"/>
      <c r="I130" s="1"/>
      <c r="J130" s="1"/>
      <c r="K130" s="1"/>
      <c r="L130" s="1"/>
    </row>
    <row r="131" spans="1:12" x14ac:dyDescent="0.25">
      <c r="A131" s="37"/>
      <c r="B131" s="1"/>
      <c r="C131" s="1"/>
      <c r="D131" s="1"/>
      <c r="E131" s="1"/>
      <c r="G131" s="1"/>
      <c r="H131" s="1"/>
      <c r="I131" s="1"/>
      <c r="J131" s="1"/>
      <c r="K131" s="1"/>
      <c r="L131" s="1"/>
    </row>
    <row r="132" spans="1:12" x14ac:dyDescent="0.25">
      <c r="A132" s="37"/>
      <c r="B132" s="1"/>
      <c r="C132" s="1"/>
      <c r="D132" s="1"/>
      <c r="E132" s="1"/>
      <c r="G132" s="1"/>
      <c r="H132" s="1"/>
      <c r="I132" s="1"/>
      <c r="J132" s="1"/>
      <c r="K132" s="1"/>
      <c r="L132" s="1"/>
    </row>
    <row r="133" spans="1:12" x14ac:dyDescent="0.25">
      <c r="A133" s="37"/>
      <c r="B133" s="1"/>
      <c r="C133" s="1"/>
      <c r="D133" s="1"/>
      <c r="E133" s="1"/>
      <c r="G133" s="1"/>
      <c r="H133" s="1"/>
      <c r="I133" s="1"/>
      <c r="J133" s="1"/>
      <c r="K133" s="1"/>
      <c r="L133" s="1"/>
    </row>
    <row r="134" spans="1:12" x14ac:dyDescent="0.25">
      <c r="A134" s="37"/>
      <c r="B134" s="1"/>
      <c r="C134" s="1"/>
      <c r="D134" s="1"/>
      <c r="E134" s="1"/>
      <c r="G134" s="1"/>
      <c r="H134" s="1"/>
      <c r="I134" s="1"/>
      <c r="J134" s="1"/>
      <c r="K134" s="1"/>
      <c r="L134" s="1"/>
    </row>
    <row r="135" spans="1:12" x14ac:dyDescent="0.25">
      <c r="A135" s="37"/>
      <c r="B135" s="1"/>
      <c r="C135" s="1"/>
      <c r="D135" s="1"/>
      <c r="E135" s="1"/>
      <c r="G135" s="1"/>
      <c r="H135" s="1"/>
      <c r="I135" s="1"/>
      <c r="J135" s="1"/>
      <c r="K135" s="1"/>
      <c r="L135" s="1"/>
    </row>
    <row r="136" spans="1:12" x14ac:dyDescent="0.25">
      <c r="A136" s="37"/>
      <c r="B136" s="1"/>
      <c r="C136" s="1"/>
      <c r="D136" s="1"/>
      <c r="E136" s="1"/>
      <c r="G136" s="1"/>
      <c r="H136" s="1"/>
      <c r="I136" s="1"/>
      <c r="J136" s="1"/>
      <c r="K136" s="1"/>
      <c r="L136" s="1"/>
    </row>
    <row r="137" spans="1:12" x14ac:dyDescent="0.25">
      <c r="A137" s="37"/>
      <c r="B137" s="1"/>
      <c r="C137" s="1"/>
      <c r="D137" s="1"/>
      <c r="E137" s="1"/>
      <c r="G137" s="1"/>
      <c r="H137" s="1"/>
      <c r="I137" s="1"/>
      <c r="J137" s="1"/>
      <c r="K137" s="1"/>
      <c r="L137" s="1"/>
    </row>
    <row r="138" spans="1:12" x14ac:dyDescent="0.25">
      <c r="A138" s="37"/>
      <c r="B138" s="1"/>
      <c r="C138" s="1"/>
      <c r="D138" s="1"/>
      <c r="E138" s="1"/>
      <c r="G138" s="1"/>
      <c r="H138" s="1"/>
      <c r="I138" s="1"/>
      <c r="J138" s="1"/>
      <c r="K138" s="1"/>
      <c r="L138" s="1"/>
    </row>
    <row r="139" spans="1:12" x14ac:dyDescent="0.25">
      <c r="A139" s="37"/>
      <c r="B139" s="1"/>
      <c r="C139" s="1"/>
      <c r="D139" s="1"/>
      <c r="E139" s="1"/>
      <c r="G139" s="1"/>
      <c r="H139" s="1"/>
      <c r="I139" s="1"/>
      <c r="J139" s="1"/>
      <c r="K139" s="1"/>
      <c r="L139" s="1"/>
    </row>
    <row r="140" spans="1:12" x14ac:dyDescent="0.25">
      <c r="A140" s="37"/>
      <c r="B140" s="1"/>
      <c r="C140" s="1"/>
      <c r="D140" s="1"/>
      <c r="E140" s="1"/>
      <c r="G140" s="1"/>
      <c r="H140" s="1"/>
      <c r="I140" s="1"/>
      <c r="J140" s="1"/>
      <c r="K140" s="1"/>
      <c r="L140" s="1"/>
    </row>
    <row r="141" spans="1:12" x14ac:dyDescent="0.25">
      <c r="A141" s="37"/>
      <c r="B141" s="1"/>
      <c r="C141" s="1"/>
      <c r="D141" s="1"/>
      <c r="E141" s="1"/>
      <c r="G141" s="1"/>
      <c r="H141" s="1"/>
      <c r="I141" s="1"/>
      <c r="J141" s="1"/>
      <c r="K141" s="1"/>
      <c r="L141" s="1"/>
    </row>
    <row r="142" spans="1:12" x14ac:dyDescent="0.25">
      <c r="A142" s="37"/>
      <c r="B142" s="1"/>
      <c r="C142" s="1"/>
      <c r="D142" s="1"/>
      <c r="E142" s="1"/>
      <c r="G142" s="1"/>
      <c r="H142" s="1"/>
      <c r="I142" s="1"/>
      <c r="J142" s="1"/>
      <c r="K142" s="1"/>
      <c r="L142" s="1"/>
    </row>
    <row r="143" spans="1:12" x14ac:dyDescent="0.25">
      <c r="A143" s="37"/>
      <c r="B143" s="1"/>
      <c r="C143" s="1"/>
      <c r="D143" s="1"/>
      <c r="E143" s="1"/>
      <c r="G143" s="1"/>
      <c r="H143" s="1"/>
      <c r="I143" s="1"/>
      <c r="J143" s="1"/>
      <c r="K143" s="1"/>
      <c r="L143" s="1"/>
    </row>
    <row r="144" spans="1:12" x14ac:dyDescent="0.25">
      <c r="A144" s="37"/>
      <c r="B144" s="1"/>
      <c r="C144" s="1"/>
      <c r="D144" s="1"/>
      <c r="E144" s="1"/>
      <c r="G144" s="1"/>
      <c r="H144" s="1"/>
      <c r="I144" s="1"/>
      <c r="J144" s="1"/>
      <c r="K144" s="1"/>
      <c r="L144" s="1"/>
    </row>
    <row r="145" spans="1:12" x14ac:dyDescent="0.25">
      <c r="A145" s="37"/>
      <c r="B145" s="1"/>
      <c r="C145" s="1"/>
      <c r="D145" s="1"/>
      <c r="E145" s="1"/>
      <c r="G145" s="1"/>
      <c r="H145" s="1"/>
      <c r="I145" s="1"/>
      <c r="J145" s="1"/>
      <c r="K145" s="1"/>
      <c r="L145" s="1"/>
    </row>
    <row r="146" spans="1:12" x14ac:dyDescent="0.25">
      <c r="A146" s="37"/>
      <c r="B146" s="1"/>
      <c r="C146" s="1"/>
      <c r="D146" s="1"/>
      <c r="E146" s="1"/>
      <c r="G146" s="1"/>
      <c r="H146" s="1"/>
      <c r="I146" s="1"/>
      <c r="J146" s="1"/>
      <c r="K146" s="1"/>
      <c r="L146" s="1"/>
    </row>
    <row r="147" spans="1:12" x14ac:dyDescent="0.25">
      <c r="A147" s="37"/>
      <c r="B147" s="1"/>
      <c r="C147" s="1"/>
      <c r="D147" s="1"/>
      <c r="E147" s="1"/>
      <c r="G147" s="1"/>
      <c r="H147" s="1"/>
      <c r="I147" s="1"/>
      <c r="J147" s="1"/>
      <c r="K147" s="1"/>
      <c r="L147" s="1"/>
    </row>
    <row r="148" spans="1:12" x14ac:dyDescent="0.25">
      <c r="A148" s="37"/>
      <c r="B148" s="1"/>
      <c r="C148" s="1"/>
      <c r="D148" s="1"/>
      <c r="E148" s="1"/>
      <c r="G148" s="1"/>
      <c r="H148" s="1"/>
      <c r="I148" s="1"/>
      <c r="J148" s="1"/>
      <c r="K148" s="1"/>
      <c r="L148" s="1"/>
    </row>
    <row r="149" spans="1:12" x14ac:dyDescent="0.25">
      <c r="A149" s="37"/>
      <c r="B149" s="1"/>
      <c r="C149" s="1"/>
      <c r="D149" s="1"/>
      <c r="E149" s="1"/>
      <c r="G149" s="1"/>
      <c r="H149" s="1"/>
      <c r="I149" s="1"/>
      <c r="J149" s="1"/>
      <c r="K149" s="1"/>
      <c r="L149" s="1"/>
    </row>
    <row r="150" spans="1:12" x14ac:dyDescent="0.25">
      <c r="A150" s="37"/>
      <c r="B150" s="1"/>
      <c r="C150" s="1"/>
      <c r="D150" s="1"/>
      <c r="E150" s="1"/>
      <c r="G150" s="1"/>
      <c r="H150" s="1"/>
      <c r="I150" s="1"/>
      <c r="J150" s="1"/>
      <c r="K150" s="1"/>
      <c r="L150" s="1"/>
    </row>
    <row r="151" spans="1:12" x14ac:dyDescent="0.25">
      <c r="A151" s="37"/>
      <c r="B151" s="1"/>
      <c r="C151" s="1"/>
      <c r="D151" s="1"/>
      <c r="E151" s="1"/>
      <c r="G151" s="1"/>
      <c r="H151" s="1"/>
      <c r="I151" s="1"/>
      <c r="J151" s="1"/>
      <c r="K151" s="1"/>
      <c r="L151" s="1"/>
    </row>
    <row r="152" spans="1:12" x14ac:dyDescent="0.25">
      <c r="A152" s="37"/>
      <c r="B152" s="1"/>
      <c r="C152" s="1"/>
      <c r="D152" s="1"/>
      <c r="E152" s="1"/>
      <c r="G152" s="1"/>
      <c r="H152" s="1"/>
      <c r="I152" s="1"/>
      <c r="J152" s="1"/>
      <c r="K152" s="1"/>
      <c r="L152" s="1"/>
    </row>
    <row r="153" spans="1:12" x14ac:dyDescent="0.25">
      <c r="A153" s="37"/>
      <c r="B153" s="1"/>
      <c r="C153" s="1"/>
      <c r="D153" s="1"/>
      <c r="E153" s="1"/>
      <c r="G153" s="1"/>
      <c r="H153" s="1"/>
      <c r="I153" s="1"/>
      <c r="J153" s="1"/>
      <c r="K153" s="1"/>
      <c r="L153" s="1"/>
    </row>
    <row r="154" spans="1:12" x14ac:dyDescent="0.25">
      <c r="A154" s="37"/>
      <c r="B154" s="1"/>
      <c r="C154" s="1"/>
      <c r="D154" s="1"/>
      <c r="E154" s="1"/>
      <c r="G154" s="1"/>
      <c r="H154" s="1"/>
      <c r="I154" s="1"/>
      <c r="J154" s="1"/>
      <c r="K154" s="1"/>
      <c r="L154" s="1"/>
    </row>
    <row r="155" spans="1:12" x14ac:dyDescent="0.25">
      <c r="A155" s="37"/>
      <c r="B155" s="1"/>
      <c r="C155" s="1"/>
      <c r="D155" s="1"/>
      <c r="E155" s="1"/>
      <c r="G155" s="1"/>
      <c r="H155" s="1"/>
      <c r="I155" s="1"/>
      <c r="J155" s="1"/>
      <c r="K155" s="1"/>
      <c r="L155" s="1"/>
    </row>
    <row r="156" spans="1:12" x14ac:dyDescent="0.25">
      <c r="A156" s="37"/>
      <c r="B156" s="1"/>
      <c r="C156" s="1"/>
      <c r="D156" s="1"/>
      <c r="E156" s="1"/>
      <c r="G156" s="1"/>
      <c r="H156" s="1"/>
      <c r="I156" s="1"/>
      <c r="J156" s="1"/>
      <c r="K156" s="1"/>
      <c r="L156" s="1"/>
    </row>
    <row r="157" spans="1:12" x14ac:dyDescent="0.25">
      <c r="A157" s="37"/>
      <c r="B157" s="1"/>
      <c r="C157" s="1"/>
      <c r="D157" s="1"/>
      <c r="E157" s="1"/>
      <c r="G157" s="1"/>
      <c r="H157" s="1"/>
      <c r="I157" s="1"/>
      <c r="J157" s="1"/>
      <c r="K157" s="1"/>
      <c r="L157" s="1"/>
    </row>
    <row r="158" spans="1:12" x14ac:dyDescent="0.25">
      <c r="A158" s="37"/>
      <c r="B158" s="1"/>
      <c r="C158" s="1"/>
      <c r="D158" s="1"/>
      <c r="E158" s="1"/>
      <c r="G158" s="1"/>
      <c r="H158" s="1"/>
      <c r="I158" s="1"/>
      <c r="J158" s="1"/>
      <c r="K158" s="1"/>
      <c r="L158" s="1"/>
    </row>
    <row r="159" spans="1:12" x14ac:dyDescent="0.25">
      <c r="A159" s="37"/>
      <c r="B159" s="1"/>
      <c r="C159" s="1"/>
      <c r="D159" s="1"/>
      <c r="E159" s="1"/>
      <c r="G159" s="1"/>
      <c r="H159" s="1"/>
      <c r="I159" s="1"/>
      <c r="J159" s="1"/>
      <c r="K159" s="1"/>
      <c r="L159" s="1"/>
    </row>
    <row r="160" spans="1:12" x14ac:dyDescent="0.25">
      <c r="A160" s="37"/>
      <c r="B160" s="1"/>
      <c r="C160" s="1"/>
      <c r="D160" s="1"/>
      <c r="E160" s="1"/>
      <c r="G160" s="1"/>
      <c r="H160" s="1"/>
      <c r="I160" s="1"/>
      <c r="J160" s="1"/>
      <c r="K160" s="1"/>
      <c r="L160" s="1"/>
    </row>
    <row r="161" spans="1:12" x14ac:dyDescent="0.25">
      <c r="A161" s="37"/>
      <c r="B161" s="1"/>
      <c r="C161" s="1"/>
      <c r="D161" s="1"/>
      <c r="E161" s="1"/>
      <c r="G161" s="1"/>
      <c r="H161" s="1"/>
      <c r="I161" s="1"/>
      <c r="J161" s="1"/>
      <c r="K161" s="1"/>
      <c r="L161" s="1"/>
    </row>
    <row r="162" spans="1:12" x14ac:dyDescent="0.25">
      <c r="A162" s="37"/>
      <c r="B162" s="1"/>
      <c r="C162" s="1"/>
      <c r="D162" s="1"/>
      <c r="E162" s="1"/>
      <c r="G162" s="1"/>
      <c r="H162" s="1"/>
      <c r="I162" s="1"/>
      <c r="J162" s="1"/>
      <c r="K162" s="1"/>
      <c r="L162" s="1"/>
    </row>
    <row r="163" spans="1:12" x14ac:dyDescent="0.25">
      <c r="A163" s="37"/>
      <c r="B163" s="1"/>
      <c r="C163" s="1"/>
      <c r="D163" s="1"/>
      <c r="E163" s="1"/>
      <c r="G163" s="1"/>
      <c r="H163" s="1"/>
      <c r="I163" s="1"/>
      <c r="J163" s="1"/>
      <c r="K163" s="1"/>
      <c r="L163" s="1"/>
    </row>
    <row r="164" spans="1:12" x14ac:dyDescent="0.25">
      <c r="A164" s="37"/>
      <c r="B164" s="1"/>
      <c r="C164" s="1"/>
      <c r="D164" s="1"/>
      <c r="E164" s="1"/>
      <c r="G164" s="1"/>
      <c r="H164" s="1"/>
      <c r="I164" s="1"/>
      <c r="J164" s="1"/>
      <c r="K164" s="1"/>
      <c r="L164" s="1"/>
    </row>
    <row r="165" spans="1:12" x14ac:dyDescent="0.25">
      <c r="A165" s="37"/>
      <c r="B165" s="1"/>
      <c r="C165" s="1"/>
      <c r="D165" s="1"/>
      <c r="E165" s="1"/>
      <c r="G165" s="1"/>
      <c r="H165" s="1"/>
      <c r="I165" s="1"/>
      <c r="J165" s="1"/>
      <c r="K165" s="1"/>
      <c r="L165" s="1"/>
    </row>
    <row r="166" spans="1:12" x14ac:dyDescent="0.25">
      <c r="A166" s="37"/>
      <c r="B166" s="1"/>
      <c r="C166" s="1"/>
      <c r="D166" s="1"/>
      <c r="E166" s="1"/>
      <c r="G166" s="1"/>
      <c r="H166" s="1"/>
      <c r="I166" s="1"/>
      <c r="J166" s="1"/>
      <c r="K166" s="1"/>
      <c r="L166" s="1"/>
    </row>
    <row r="167" spans="1:12" x14ac:dyDescent="0.25">
      <c r="A167" s="37"/>
      <c r="B167" s="1"/>
      <c r="C167" s="1"/>
      <c r="D167" s="1"/>
      <c r="E167" s="1"/>
      <c r="G167" s="1"/>
      <c r="H167" s="1"/>
      <c r="I167" s="1"/>
      <c r="J167" s="1"/>
      <c r="K167" s="1"/>
      <c r="L167" s="1"/>
    </row>
    <row r="168" spans="1:12" x14ac:dyDescent="0.25">
      <c r="A168" s="37"/>
      <c r="B168" s="1"/>
      <c r="C168" s="1"/>
      <c r="D168" s="1"/>
      <c r="E168" s="1"/>
      <c r="G168" s="1"/>
      <c r="H168" s="1"/>
      <c r="I168" s="1"/>
      <c r="J168" s="1"/>
      <c r="K168" s="1"/>
      <c r="L168" s="1"/>
    </row>
    <row r="169" spans="1:12" x14ac:dyDescent="0.25">
      <c r="A169" s="37"/>
      <c r="B169" s="1"/>
      <c r="C169" s="1"/>
      <c r="D169" s="1"/>
      <c r="E169" s="1"/>
      <c r="G169" s="1"/>
      <c r="H169" s="1"/>
      <c r="I169" s="1"/>
      <c r="J169" s="1"/>
      <c r="K169" s="1"/>
      <c r="L169" s="1"/>
    </row>
    <row r="170" spans="1:12" x14ac:dyDescent="0.25">
      <c r="A170" s="37"/>
      <c r="B170" s="1"/>
      <c r="C170" s="1"/>
      <c r="D170" s="1"/>
      <c r="E170" s="1"/>
      <c r="G170" s="1"/>
      <c r="H170" s="1"/>
      <c r="I170" s="1"/>
      <c r="J170" s="1"/>
      <c r="K170" s="1"/>
      <c r="L170" s="1"/>
    </row>
    <row r="171" spans="1:12" x14ac:dyDescent="0.25">
      <c r="A171" s="37"/>
      <c r="B171" s="1"/>
      <c r="C171" s="1"/>
      <c r="D171" s="1"/>
      <c r="E171" s="1"/>
      <c r="G171" s="1"/>
      <c r="H171" s="1"/>
      <c r="I171" s="1"/>
      <c r="J171" s="1"/>
      <c r="K171" s="1"/>
      <c r="L171" s="1"/>
    </row>
    <row r="172" spans="1:12" x14ac:dyDescent="0.25">
      <c r="A172" s="37"/>
      <c r="B172" s="1"/>
      <c r="C172" s="1"/>
      <c r="D172" s="1"/>
      <c r="E172" s="1"/>
      <c r="G172" s="1"/>
      <c r="H172" s="1"/>
      <c r="I172" s="1"/>
      <c r="J172" s="1"/>
      <c r="K172" s="1"/>
      <c r="L172" s="1"/>
    </row>
    <row r="173" spans="1:12" x14ac:dyDescent="0.25">
      <c r="A173" s="37"/>
      <c r="B173" s="1"/>
      <c r="C173" s="1"/>
      <c r="D173" s="1"/>
      <c r="E173" s="1"/>
      <c r="G173" s="1"/>
      <c r="H173" s="1"/>
      <c r="I173" s="1"/>
      <c r="J173" s="1"/>
      <c r="K173" s="1"/>
      <c r="L173" s="1"/>
    </row>
    <row r="174" spans="1:12" x14ac:dyDescent="0.25">
      <c r="A174" s="37"/>
      <c r="B174" s="1"/>
      <c r="C174" s="1"/>
      <c r="D174" s="1"/>
      <c r="E174" s="1"/>
      <c r="G174" s="1"/>
      <c r="H174" s="1"/>
      <c r="I174" s="1"/>
      <c r="J174" s="1"/>
      <c r="K174" s="1"/>
      <c r="L174" s="1"/>
    </row>
    <row r="175" spans="1:12" x14ac:dyDescent="0.25">
      <c r="A175" s="37"/>
      <c r="B175" s="1"/>
      <c r="C175" s="1"/>
      <c r="D175" s="1"/>
      <c r="E175" s="1"/>
      <c r="G175" s="1"/>
      <c r="H175" s="1"/>
      <c r="I175" s="1"/>
      <c r="J175" s="1"/>
      <c r="K175" s="1"/>
      <c r="L175" s="1"/>
    </row>
    <row r="176" spans="1:12" x14ac:dyDescent="0.25">
      <c r="A176" s="37"/>
      <c r="B176" s="1"/>
      <c r="C176" s="1"/>
      <c r="D176" s="1"/>
      <c r="E176" s="1"/>
      <c r="G176" s="1"/>
      <c r="H176" s="1"/>
      <c r="I176" s="1"/>
      <c r="J176" s="1"/>
      <c r="K176" s="1"/>
      <c r="L176" s="1"/>
    </row>
    <row r="177" spans="1:12" x14ac:dyDescent="0.25">
      <c r="A177" s="37"/>
      <c r="B177" s="1"/>
      <c r="C177" s="1"/>
      <c r="D177" s="1"/>
      <c r="E177" s="1"/>
      <c r="G177" s="1"/>
      <c r="H177" s="1"/>
      <c r="I177" s="1"/>
      <c r="J177" s="1"/>
      <c r="K177" s="1"/>
      <c r="L177" s="1"/>
    </row>
    <row r="178" spans="1:12" x14ac:dyDescent="0.25">
      <c r="A178" s="37"/>
      <c r="B178" s="1"/>
      <c r="C178" s="1"/>
      <c r="D178" s="1"/>
      <c r="E178" s="1"/>
      <c r="G178" s="1"/>
      <c r="H178" s="1"/>
      <c r="I178" s="1"/>
      <c r="J178" s="1"/>
      <c r="K178" s="1"/>
      <c r="L178" s="1"/>
    </row>
    <row r="179" spans="1:12" x14ac:dyDescent="0.25">
      <c r="A179" s="37"/>
      <c r="B179" s="1"/>
      <c r="C179" s="1"/>
      <c r="D179" s="1"/>
      <c r="E179" s="1"/>
      <c r="G179" s="1"/>
      <c r="H179" s="1"/>
      <c r="I179" s="1"/>
      <c r="J179" s="1"/>
      <c r="K179" s="1"/>
      <c r="L179" s="1"/>
    </row>
    <row r="180" spans="1:12" x14ac:dyDescent="0.25">
      <c r="A180" s="37"/>
      <c r="B180" s="1"/>
      <c r="C180" s="1"/>
      <c r="D180" s="1"/>
      <c r="E180" s="1"/>
      <c r="G180" s="1"/>
      <c r="H180" s="1"/>
      <c r="I180" s="1"/>
      <c r="J180" s="1"/>
      <c r="K180" s="1"/>
      <c r="L180" s="1"/>
    </row>
    <row r="181" spans="1:12" x14ac:dyDescent="0.25">
      <c r="A181" s="37"/>
      <c r="B181" s="1"/>
      <c r="C181" s="1"/>
      <c r="D181" s="1"/>
      <c r="E181" s="1"/>
      <c r="G181" s="1"/>
      <c r="H181" s="1"/>
      <c r="I181" s="1"/>
      <c r="J181" s="1"/>
      <c r="K181" s="1"/>
      <c r="L181" s="1"/>
    </row>
    <row r="182" spans="1:12" x14ac:dyDescent="0.25">
      <c r="A182" s="37"/>
      <c r="B182" s="1"/>
      <c r="C182" s="1"/>
      <c r="D182" s="1"/>
      <c r="E182" s="1"/>
      <c r="G182" s="1"/>
      <c r="H182" s="1"/>
      <c r="I182" s="1"/>
      <c r="J182" s="1"/>
      <c r="K182" s="1"/>
      <c r="L182" s="1"/>
    </row>
    <row r="183" spans="1:12" x14ac:dyDescent="0.25">
      <c r="A183" s="37"/>
      <c r="B183" s="1"/>
      <c r="C183" s="1"/>
      <c r="D183" s="1"/>
      <c r="E183" s="1"/>
      <c r="G183" s="1"/>
      <c r="H183" s="1"/>
      <c r="I183" s="1"/>
      <c r="J183" s="1"/>
      <c r="K183" s="1"/>
      <c r="L183" s="1"/>
    </row>
    <row r="184" spans="1:12" x14ac:dyDescent="0.25">
      <c r="A184" s="37"/>
      <c r="B184" s="1"/>
      <c r="C184" s="1"/>
      <c r="D184" s="1"/>
      <c r="E184" s="1"/>
      <c r="G184" s="1"/>
      <c r="H184" s="1"/>
      <c r="I184" s="1"/>
      <c r="J184" s="1"/>
      <c r="K184" s="1"/>
      <c r="L184" s="1"/>
    </row>
    <row r="185" spans="1:12" x14ac:dyDescent="0.25">
      <c r="A185" s="37"/>
      <c r="B185" s="1"/>
      <c r="C185" s="1"/>
      <c r="D185" s="1"/>
      <c r="E185" s="1"/>
      <c r="G185" s="1"/>
      <c r="H185" s="1"/>
      <c r="I185" s="1"/>
      <c r="J185" s="1"/>
      <c r="K185" s="1"/>
      <c r="L185" s="1"/>
    </row>
    <row r="186" spans="1:12" x14ac:dyDescent="0.25">
      <c r="A186" s="37"/>
      <c r="B186" s="1"/>
      <c r="C186" s="1"/>
      <c r="D186" s="1"/>
      <c r="E186" s="1"/>
      <c r="G186" s="1"/>
      <c r="H186" s="1"/>
      <c r="I186" s="1"/>
      <c r="J186" s="1"/>
      <c r="K186" s="1"/>
      <c r="L186" s="1"/>
    </row>
    <row r="187" spans="1:12" x14ac:dyDescent="0.25">
      <c r="A187" s="37"/>
      <c r="B187" s="1"/>
      <c r="C187" s="1"/>
      <c r="D187" s="1"/>
      <c r="E187" s="1"/>
      <c r="G187" s="1"/>
      <c r="H187" s="1"/>
      <c r="I187" s="1"/>
      <c r="J187" s="1"/>
      <c r="K187" s="1"/>
      <c r="L187" s="1"/>
    </row>
    <row r="188" spans="1:12" x14ac:dyDescent="0.25">
      <c r="A188" s="37"/>
      <c r="B188" s="1"/>
      <c r="C188" s="1"/>
      <c r="D188" s="1"/>
      <c r="E188" s="1"/>
      <c r="G188" s="1"/>
      <c r="H188" s="1"/>
      <c r="I188" s="1"/>
      <c r="J188" s="1"/>
      <c r="K188" s="1"/>
      <c r="L188" s="1"/>
    </row>
    <row r="189" spans="1:12" x14ac:dyDescent="0.25">
      <c r="A189" s="37"/>
      <c r="B189" s="1"/>
      <c r="C189" s="1"/>
      <c r="D189" s="1"/>
      <c r="E189" s="1"/>
      <c r="G189" s="1"/>
      <c r="H189" s="1"/>
      <c r="I189" s="1"/>
      <c r="J189" s="1"/>
      <c r="K189" s="1"/>
      <c r="L189" s="1"/>
    </row>
    <row r="190" spans="1:12" x14ac:dyDescent="0.25">
      <c r="A190" s="37"/>
      <c r="B190" s="1"/>
      <c r="C190" s="1"/>
      <c r="D190" s="1"/>
      <c r="E190" s="1"/>
      <c r="G190" s="1"/>
      <c r="H190" s="1"/>
      <c r="I190" s="1"/>
      <c r="J190" s="1"/>
      <c r="K190" s="1"/>
      <c r="L190" s="1"/>
    </row>
    <row r="191" spans="1:12" x14ac:dyDescent="0.25">
      <c r="A191" s="37"/>
      <c r="B191" s="1"/>
      <c r="C191" s="1"/>
      <c r="D191" s="1"/>
      <c r="E191" s="1"/>
      <c r="G191" s="1"/>
      <c r="H191" s="1"/>
      <c r="I191" s="1"/>
      <c r="J191" s="1"/>
      <c r="K191" s="1"/>
      <c r="L191" s="1"/>
    </row>
    <row r="192" spans="1:12" x14ac:dyDescent="0.25">
      <c r="A192" s="37"/>
      <c r="B192" s="1"/>
      <c r="C192" s="1"/>
      <c r="D192" s="1"/>
      <c r="E192" s="1"/>
      <c r="G192" s="1"/>
      <c r="H192" s="1"/>
      <c r="I192" s="1"/>
      <c r="J192" s="1"/>
      <c r="K192" s="1"/>
      <c r="L192" s="1"/>
    </row>
    <row r="193" spans="1:12" x14ac:dyDescent="0.25">
      <c r="A193" s="37"/>
      <c r="B193" s="1"/>
      <c r="C193" s="1"/>
      <c r="D193" s="1"/>
      <c r="E193" s="1"/>
      <c r="G193" s="1"/>
      <c r="H193" s="1"/>
      <c r="I193" s="1"/>
      <c r="J193" s="1"/>
      <c r="K193" s="1"/>
      <c r="L193" s="1"/>
    </row>
    <row r="194" spans="1:12" x14ac:dyDescent="0.25">
      <c r="A194" s="37"/>
      <c r="B194" s="1"/>
      <c r="C194" s="1"/>
      <c r="D194" s="1"/>
      <c r="E194" s="1"/>
      <c r="G194" s="1"/>
      <c r="H194" s="1"/>
      <c r="I194" s="1"/>
      <c r="J194" s="1"/>
      <c r="K194" s="1"/>
      <c r="L194" s="1"/>
    </row>
    <row r="195" spans="1:12" x14ac:dyDescent="0.25">
      <c r="A195" s="37"/>
      <c r="B195" s="1"/>
      <c r="C195" s="1"/>
      <c r="D195" s="1"/>
      <c r="E195" s="1"/>
      <c r="G195" s="1"/>
      <c r="H195" s="1"/>
      <c r="I195" s="1"/>
      <c r="J195" s="1"/>
      <c r="K195" s="1"/>
      <c r="L195" s="1"/>
    </row>
    <row r="196" spans="1:12" x14ac:dyDescent="0.25">
      <c r="A196" s="37"/>
      <c r="B196" s="1"/>
      <c r="C196" s="1"/>
      <c r="D196" s="1"/>
      <c r="E196" s="1"/>
      <c r="G196" s="1"/>
      <c r="H196" s="1"/>
      <c r="I196" s="1"/>
      <c r="J196" s="1"/>
      <c r="K196" s="1"/>
      <c r="L196" s="1"/>
    </row>
    <row r="197" spans="1:12" x14ac:dyDescent="0.25">
      <c r="A197" s="37"/>
      <c r="B197" s="1"/>
      <c r="C197" s="1"/>
      <c r="D197" s="1"/>
      <c r="E197" s="1"/>
      <c r="G197" s="1"/>
      <c r="H197" s="1"/>
      <c r="I197" s="1"/>
      <c r="J197" s="1"/>
      <c r="K197" s="1"/>
      <c r="L197" s="1"/>
    </row>
    <row r="198" spans="1:12" x14ac:dyDescent="0.25">
      <c r="A198" s="37"/>
      <c r="B198" s="1"/>
      <c r="C198" s="1"/>
      <c r="D198" s="1"/>
      <c r="E198" s="1"/>
      <c r="G198" s="1"/>
      <c r="H198" s="1"/>
      <c r="I198" s="1"/>
      <c r="J198" s="1"/>
      <c r="K198" s="1"/>
      <c r="L198" s="1"/>
    </row>
    <row r="199" spans="1:12" x14ac:dyDescent="0.25">
      <c r="A199" s="37"/>
      <c r="B199" s="1"/>
      <c r="C199" s="1"/>
      <c r="D199" s="1"/>
      <c r="E199" s="1"/>
      <c r="G199" s="1"/>
      <c r="H199" s="1"/>
      <c r="I199" s="1"/>
      <c r="J199" s="1"/>
      <c r="K199" s="1"/>
      <c r="L199" s="1"/>
    </row>
    <row r="200" spans="1:12" x14ac:dyDescent="0.25">
      <c r="A200" s="37"/>
      <c r="B200" s="1"/>
      <c r="C200" s="1"/>
      <c r="D200" s="1"/>
      <c r="E200" s="1"/>
      <c r="G200" s="1"/>
      <c r="H200" s="1"/>
      <c r="I200" s="1"/>
      <c r="J200" s="1"/>
      <c r="K200" s="1"/>
      <c r="L200" s="1"/>
    </row>
    <row r="201" spans="1:12" x14ac:dyDescent="0.25">
      <c r="A201" s="37"/>
      <c r="B201" s="1"/>
      <c r="C201" s="1"/>
      <c r="D201" s="1"/>
      <c r="E201" s="1"/>
      <c r="G201" s="1"/>
      <c r="H201" s="1"/>
      <c r="I201" s="1"/>
      <c r="J201" s="1"/>
      <c r="K201" s="1"/>
      <c r="L201" s="1"/>
    </row>
    <row r="202" spans="1:12" x14ac:dyDescent="0.25">
      <c r="A202" s="37"/>
      <c r="B202" s="1"/>
      <c r="C202" s="1"/>
      <c r="D202" s="1"/>
      <c r="E202" s="1"/>
      <c r="G202" s="1"/>
      <c r="H202" s="1"/>
      <c r="I202" s="1"/>
      <c r="J202" s="1"/>
      <c r="K202" s="1"/>
      <c r="L202" s="1"/>
    </row>
    <row r="203" spans="1:12" x14ac:dyDescent="0.25">
      <c r="A203" s="37"/>
      <c r="B203" s="1"/>
      <c r="C203" s="1"/>
      <c r="D203" s="1"/>
      <c r="E203" s="1"/>
      <c r="G203" s="1"/>
      <c r="H203" s="1"/>
      <c r="I203" s="1"/>
      <c r="J203" s="1"/>
      <c r="K203" s="1"/>
      <c r="L203" s="1"/>
    </row>
    <row r="204" spans="1:12" x14ac:dyDescent="0.25">
      <c r="A204" s="37"/>
      <c r="B204" s="1"/>
      <c r="C204" s="1"/>
      <c r="D204" s="1"/>
      <c r="E204" s="1"/>
      <c r="G204" s="1"/>
      <c r="H204" s="1"/>
      <c r="I204" s="1"/>
      <c r="J204" s="1"/>
      <c r="K204" s="1"/>
      <c r="L204" s="1"/>
    </row>
    <row r="205" spans="1:12" x14ac:dyDescent="0.25">
      <c r="A205" s="37"/>
      <c r="B205" s="1"/>
      <c r="C205" s="1"/>
      <c r="D205" s="1"/>
      <c r="E205" s="1"/>
      <c r="G205" s="1"/>
      <c r="H205" s="1"/>
      <c r="I205" s="1"/>
      <c r="J205" s="1"/>
      <c r="K205" s="1"/>
      <c r="L205" s="1"/>
    </row>
    <row r="206" spans="1:12" x14ac:dyDescent="0.25">
      <c r="A206" s="37"/>
      <c r="B206" s="1"/>
      <c r="C206" s="1"/>
      <c r="D206" s="1"/>
      <c r="E206" s="1"/>
      <c r="G206" s="1"/>
      <c r="H206" s="1"/>
      <c r="I206" s="1"/>
      <c r="J206" s="1"/>
      <c r="K206" s="1"/>
      <c r="L206" s="1"/>
    </row>
    <row r="207" spans="1:12" x14ac:dyDescent="0.25">
      <c r="A207" s="37"/>
      <c r="B207" s="1"/>
      <c r="C207" s="1"/>
      <c r="D207" s="1"/>
      <c r="E207" s="1"/>
      <c r="G207" s="1"/>
      <c r="H207" s="1"/>
      <c r="I207" s="1"/>
      <c r="J207" s="1"/>
      <c r="K207" s="1"/>
      <c r="L207" s="1"/>
    </row>
    <row r="208" spans="1:12" x14ac:dyDescent="0.25">
      <c r="A208" s="37"/>
      <c r="B208" s="1"/>
      <c r="C208" s="1"/>
      <c r="D208" s="1"/>
      <c r="E208" s="1"/>
      <c r="G208" s="1"/>
      <c r="H208" s="1"/>
      <c r="I208" s="1"/>
      <c r="J208" s="1"/>
      <c r="K208" s="1"/>
      <c r="L208" s="1"/>
    </row>
    <row r="209" spans="1:12" x14ac:dyDescent="0.25">
      <c r="A209" s="37"/>
      <c r="B209" s="1"/>
      <c r="C209" s="1"/>
      <c r="D209" s="1"/>
      <c r="E209" s="1"/>
      <c r="G209" s="1"/>
      <c r="H209" s="1"/>
      <c r="I209" s="1"/>
      <c r="J209" s="1"/>
      <c r="K209" s="1"/>
      <c r="L209" s="1"/>
    </row>
    <row r="210" spans="1:12" x14ac:dyDescent="0.25">
      <c r="A210" s="37"/>
      <c r="B210" s="1"/>
      <c r="C210" s="1"/>
      <c r="D210" s="1"/>
      <c r="E210" s="1"/>
      <c r="G210" s="1"/>
      <c r="H210" s="1"/>
      <c r="I210" s="1"/>
      <c r="J210" s="1"/>
      <c r="K210" s="1"/>
      <c r="L210" s="1"/>
    </row>
    <row r="211" spans="1:12" x14ac:dyDescent="0.25">
      <c r="A211" s="37"/>
      <c r="B211" s="1"/>
      <c r="C211" s="1"/>
      <c r="D211" s="1"/>
      <c r="E211" s="1"/>
      <c r="G211" s="1"/>
      <c r="H211" s="1"/>
      <c r="I211" s="1"/>
      <c r="J211" s="1"/>
      <c r="K211" s="1"/>
      <c r="L211" s="1"/>
    </row>
    <row r="212" spans="1:12" x14ac:dyDescent="0.25">
      <c r="A212" s="37"/>
      <c r="B212" s="1"/>
      <c r="C212" s="1"/>
      <c r="D212" s="1"/>
      <c r="E212" s="1"/>
      <c r="G212" s="1"/>
      <c r="H212" s="1"/>
      <c r="I212" s="1"/>
      <c r="J212" s="1"/>
      <c r="K212" s="1"/>
      <c r="L212" s="1"/>
    </row>
    <row r="213" spans="1:12" x14ac:dyDescent="0.25">
      <c r="A213" s="37"/>
      <c r="B213" s="1"/>
      <c r="C213" s="1"/>
      <c r="D213" s="1"/>
      <c r="E213" s="1"/>
      <c r="G213" s="1"/>
      <c r="H213" s="1"/>
      <c r="I213" s="1"/>
      <c r="J213" s="1"/>
      <c r="K213" s="1"/>
      <c r="L213" s="1"/>
    </row>
    <row r="214" spans="1:12" x14ac:dyDescent="0.25">
      <c r="A214" s="37"/>
      <c r="B214" s="1"/>
      <c r="C214" s="1"/>
      <c r="D214" s="1"/>
      <c r="E214" s="1"/>
      <c r="G214" s="1"/>
      <c r="H214" s="1"/>
      <c r="I214" s="1"/>
      <c r="J214" s="1"/>
      <c r="K214" s="1"/>
      <c r="L214" s="1"/>
    </row>
    <row r="215" spans="1:12" x14ac:dyDescent="0.25">
      <c r="A215" s="37"/>
      <c r="B215" s="1"/>
      <c r="C215" s="1"/>
      <c r="D215" s="1"/>
      <c r="E215" s="1"/>
      <c r="G215" s="1"/>
      <c r="H215" s="1"/>
      <c r="I215" s="1"/>
      <c r="J215" s="1"/>
      <c r="K215" s="1"/>
      <c r="L215" s="1"/>
    </row>
    <row r="216" spans="1:12" x14ac:dyDescent="0.25">
      <c r="A216" s="37"/>
      <c r="B216" s="1"/>
      <c r="C216" s="1"/>
      <c r="D216" s="1"/>
      <c r="E216" s="1"/>
      <c r="G216" s="1"/>
      <c r="H216" s="1"/>
      <c r="I216" s="1"/>
      <c r="J216" s="1"/>
      <c r="K216" s="1"/>
      <c r="L216" s="1"/>
    </row>
    <row r="217" spans="1:12" x14ac:dyDescent="0.25">
      <c r="A217" s="37"/>
      <c r="B217" s="1"/>
      <c r="C217" s="1"/>
      <c r="D217" s="1"/>
      <c r="E217" s="1"/>
      <c r="G217" s="1"/>
      <c r="H217" s="1"/>
      <c r="I217" s="1"/>
      <c r="J217" s="1"/>
      <c r="K217" s="1"/>
      <c r="L217" s="1"/>
    </row>
    <row r="218" spans="1:12" x14ac:dyDescent="0.25">
      <c r="A218" s="37"/>
      <c r="B218" s="1"/>
      <c r="C218" s="1"/>
      <c r="D218" s="1"/>
      <c r="E218" s="1"/>
      <c r="G218" s="1"/>
      <c r="H218" s="1"/>
      <c r="I218" s="1"/>
      <c r="J218" s="1"/>
      <c r="K218" s="1"/>
      <c r="L218" s="1"/>
    </row>
    <row r="219" spans="1:12" x14ac:dyDescent="0.25">
      <c r="A219" s="37"/>
      <c r="B219" s="1"/>
      <c r="C219" s="1"/>
      <c r="D219" s="1"/>
      <c r="E219" s="1"/>
      <c r="G219" s="1"/>
      <c r="H219" s="1"/>
      <c r="I219" s="1"/>
      <c r="J219" s="1"/>
      <c r="K219" s="1"/>
      <c r="L219" s="1"/>
    </row>
    <row r="220" spans="1:12" x14ac:dyDescent="0.25">
      <c r="A220" s="37"/>
      <c r="B220" s="1"/>
      <c r="C220" s="1"/>
      <c r="D220" s="1"/>
      <c r="E220" s="1"/>
      <c r="G220" s="1"/>
      <c r="H220" s="1"/>
      <c r="I220" s="1"/>
      <c r="J220" s="1"/>
      <c r="K220" s="1"/>
      <c r="L220" s="1"/>
    </row>
    <row r="221" spans="1:12" x14ac:dyDescent="0.25">
      <c r="A221" s="37"/>
      <c r="B221" s="1"/>
      <c r="C221" s="1"/>
      <c r="D221" s="1"/>
      <c r="E221" s="1"/>
      <c r="G221" s="1"/>
      <c r="H221" s="1"/>
      <c r="I221" s="1"/>
      <c r="J221" s="1"/>
      <c r="K221" s="1"/>
      <c r="L221" s="1"/>
    </row>
    <row r="222" spans="1:12" x14ac:dyDescent="0.25">
      <c r="A222" s="37"/>
      <c r="B222" s="1"/>
      <c r="C222" s="1"/>
      <c r="D222" s="1"/>
      <c r="E222" s="1"/>
      <c r="G222" s="1"/>
      <c r="H222" s="1"/>
      <c r="I222" s="1"/>
      <c r="J222" s="1"/>
      <c r="K222" s="1"/>
      <c r="L222" s="1"/>
    </row>
    <row r="223" spans="1:12" x14ac:dyDescent="0.25">
      <c r="A223" s="37"/>
      <c r="B223" s="1"/>
      <c r="C223" s="1"/>
      <c r="D223" s="1"/>
      <c r="E223" s="1"/>
      <c r="G223" s="1"/>
      <c r="H223" s="1"/>
      <c r="I223" s="1"/>
      <c r="J223" s="1"/>
      <c r="K223" s="1"/>
      <c r="L223" s="1"/>
    </row>
    <row r="224" spans="1:12" x14ac:dyDescent="0.25">
      <c r="A224" s="37"/>
      <c r="B224" s="1"/>
      <c r="C224" s="1"/>
      <c r="D224" s="1"/>
      <c r="E224" s="1"/>
      <c r="G224" s="1"/>
      <c r="H224" s="1"/>
      <c r="I224" s="1"/>
      <c r="J224" s="1"/>
      <c r="K224" s="1"/>
      <c r="L224" s="1"/>
    </row>
    <row r="225" spans="1:12" x14ac:dyDescent="0.25">
      <c r="A225" s="37"/>
      <c r="B225" s="1"/>
      <c r="C225" s="1"/>
      <c r="D225" s="1"/>
      <c r="E225" s="1"/>
      <c r="G225" s="1"/>
      <c r="H225" s="1"/>
      <c r="I225" s="1"/>
      <c r="J225" s="1"/>
      <c r="K225" s="1"/>
      <c r="L225" s="1"/>
    </row>
    <row r="226" spans="1:12" x14ac:dyDescent="0.25">
      <c r="A226" s="37"/>
      <c r="B226" s="1"/>
      <c r="C226" s="1"/>
      <c r="D226" s="1"/>
      <c r="E226" s="1"/>
      <c r="G226" s="1"/>
      <c r="H226" s="1"/>
      <c r="I226" s="1"/>
      <c r="J226" s="1"/>
      <c r="K226" s="1"/>
      <c r="L226" s="1"/>
    </row>
    <row r="227" spans="1:12" x14ac:dyDescent="0.25">
      <c r="A227" s="37"/>
      <c r="B227" s="1"/>
      <c r="C227" s="1"/>
      <c r="D227" s="1"/>
      <c r="E227" s="1"/>
      <c r="G227" s="1"/>
      <c r="H227" s="1"/>
      <c r="I227" s="1"/>
      <c r="J227" s="1"/>
      <c r="K227" s="1"/>
      <c r="L227" s="1"/>
    </row>
    <row r="228" spans="1:12" x14ac:dyDescent="0.25">
      <c r="A228" s="37"/>
      <c r="B228" s="1"/>
      <c r="C228" s="1"/>
      <c r="D228" s="1"/>
      <c r="E228" s="1"/>
      <c r="G228" s="1"/>
      <c r="H228" s="1"/>
      <c r="I228" s="1"/>
      <c r="J228" s="1"/>
      <c r="K228" s="1"/>
      <c r="L228" s="1"/>
    </row>
    <row r="229" spans="1:12" x14ac:dyDescent="0.25">
      <c r="A229" s="37"/>
      <c r="B229" s="1"/>
      <c r="C229" s="1"/>
      <c r="D229" s="1"/>
      <c r="E229" s="1"/>
      <c r="G229" s="1"/>
      <c r="H229" s="1"/>
      <c r="I229" s="1"/>
      <c r="J229" s="1"/>
      <c r="K229" s="1"/>
      <c r="L229" s="1"/>
    </row>
    <row r="230" spans="1:12" x14ac:dyDescent="0.25">
      <c r="A230" s="37"/>
      <c r="B230" s="1"/>
      <c r="C230" s="1"/>
      <c r="D230" s="1"/>
      <c r="E230" s="1"/>
      <c r="G230" s="1"/>
      <c r="H230" s="1"/>
      <c r="I230" s="1"/>
      <c r="J230" s="1"/>
      <c r="K230" s="1"/>
      <c r="L230" s="1"/>
    </row>
    <row r="231" spans="1:12" x14ac:dyDescent="0.25">
      <c r="A231" s="37"/>
      <c r="B231" s="1"/>
      <c r="C231" s="1"/>
      <c r="D231" s="1"/>
      <c r="E231" s="1"/>
      <c r="G231" s="1"/>
      <c r="H231" s="1"/>
      <c r="I231" s="1"/>
      <c r="J231" s="1"/>
      <c r="K231" s="1"/>
      <c r="L231" s="1"/>
    </row>
    <row r="232" spans="1:12" x14ac:dyDescent="0.25">
      <c r="A232" s="37"/>
      <c r="B232" s="1"/>
      <c r="C232" s="1"/>
      <c r="D232" s="1"/>
      <c r="E232" s="1"/>
      <c r="G232" s="1"/>
      <c r="H232" s="1"/>
      <c r="I232" s="1"/>
      <c r="J232" s="1"/>
      <c r="K232" s="1"/>
      <c r="L232" s="1"/>
    </row>
    <row r="233" spans="1:12" x14ac:dyDescent="0.25">
      <c r="A233" s="37"/>
      <c r="B233" s="1"/>
      <c r="C233" s="1"/>
      <c r="D233" s="1"/>
      <c r="E233" s="1"/>
      <c r="G233" s="1"/>
      <c r="H233" s="1"/>
      <c r="I233" s="1"/>
      <c r="J233" s="1"/>
      <c r="K233" s="1"/>
      <c r="L233" s="1"/>
    </row>
    <row r="234" spans="1:12" x14ac:dyDescent="0.25">
      <c r="A234" s="37"/>
      <c r="B234" s="1"/>
      <c r="C234" s="1"/>
      <c r="D234" s="1"/>
      <c r="E234" s="1"/>
      <c r="G234" s="1"/>
      <c r="H234" s="1"/>
      <c r="I234" s="1"/>
      <c r="J234" s="1"/>
      <c r="K234" s="1"/>
      <c r="L234" s="1"/>
    </row>
    <row r="235" spans="1:12" x14ac:dyDescent="0.25">
      <c r="A235" s="37"/>
      <c r="B235" s="1"/>
      <c r="C235" s="1"/>
      <c r="D235" s="1"/>
      <c r="E235" s="1"/>
      <c r="G235" s="1"/>
      <c r="H235" s="1"/>
      <c r="I235" s="1"/>
      <c r="J235" s="1"/>
      <c r="K235" s="1"/>
      <c r="L235" s="1"/>
    </row>
    <row r="236" spans="1:12" x14ac:dyDescent="0.25">
      <c r="A236" s="37"/>
      <c r="B236" s="1"/>
      <c r="C236" s="1"/>
      <c r="D236" s="1"/>
      <c r="E236" s="1"/>
      <c r="G236" s="1"/>
      <c r="H236" s="1"/>
      <c r="I236" s="1"/>
      <c r="J236" s="1"/>
      <c r="K236" s="1"/>
      <c r="L236" s="1"/>
    </row>
    <row r="237" spans="1:12" x14ac:dyDescent="0.25">
      <c r="A237" s="37"/>
      <c r="B237" s="1"/>
      <c r="C237" s="1"/>
      <c r="D237" s="1"/>
      <c r="E237" s="1"/>
      <c r="G237" s="1"/>
      <c r="H237" s="1"/>
      <c r="I237" s="1"/>
      <c r="J237" s="1"/>
      <c r="K237" s="1"/>
      <c r="L237" s="1"/>
    </row>
    <row r="238" spans="1:12" x14ac:dyDescent="0.25">
      <c r="A238" s="37"/>
      <c r="B238" s="1"/>
      <c r="C238" s="1"/>
      <c r="D238" s="1"/>
      <c r="E238" s="1"/>
      <c r="G238" s="1"/>
      <c r="H238" s="1"/>
      <c r="I238" s="1"/>
      <c r="J238" s="1"/>
      <c r="K238" s="1"/>
      <c r="L238" s="1"/>
    </row>
    <row r="239" spans="1:12" x14ac:dyDescent="0.25">
      <c r="A239" s="37"/>
      <c r="B239" s="1"/>
      <c r="C239" s="1"/>
      <c r="D239" s="1"/>
      <c r="E239" s="1"/>
      <c r="G239" s="1"/>
      <c r="H239" s="1"/>
      <c r="I239" s="1"/>
      <c r="J239" s="1"/>
      <c r="K239" s="1"/>
      <c r="L239" s="1"/>
    </row>
    <row r="240" spans="1:12" x14ac:dyDescent="0.25">
      <c r="A240" s="37"/>
      <c r="B240" s="1"/>
      <c r="C240" s="1"/>
      <c r="D240" s="1"/>
      <c r="E240" s="1"/>
      <c r="G240" s="1"/>
      <c r="H240" s="1"/>
      <c r="I240" s="1"/>
      <c r="J240" s="1"/>
      <c r="K240" s="1"/>
      <c r="L240" s="1"/>
    </row>
    <row r="241" spans="1:12" x14ac:dyDescent="0.25">
      <c r="A241" s="37"/>
      <c r="B241" s="1"/>
      <c r="C241" s="1"/>
      <c r="D241" s="1"/>
      <c r="E241" s="1"/>
      <c r="G241" s="1"/>
      <c r="H241" s="1"/>
      <c r="I241" s="1"/>
      <c r="J241" s="1"/>
      <c r="K241" s="1"/>
      <c r="L241" s="1"/>
    </row>
    <row r="242" spans="1:12" x14ac:dyDescent="0.25">
      <c r="A242" s="37"/>
      <c r="B242" s="1"/>
      <c r="C242" s="1"/>
      <c r="D242" s="1"/>
      <c r="E242" s="1"/>
      <c r="G242" s="1"/>
      <c r="H242" s="1"/>
      <c r="I242" s="1"/>
      <c r="J242" s="1"/>
      <c r="K242" s="1"/>
      <c r="L242" s="1"/>
    </row>
    <row r="243" spans="1:12" x14ac:dyDescent="0.25">
      <c r="A243" s="37"/>
      <c r="B243" s="1"/>
      <c r="C243" s="1"/>
      <c r="D243" s="1"/>
      <c r="E243" s="1"/>
      <c r="G243" s="1"/>
      <c r="H243" s="1"/>
      <c r="I243" s="1"/>
      <c r="J243" s="1"/>
      <c r="K243" s="1"/>
      <c r="L243" s="1"/>
    </row>
    <row r="244" spans="1:12" x14ac:dyDescent="0.25">
      <c r="A244" s="37"/>
      <c r="B244" s="1"/>
      <c r="C244" s="1"/>
      <c r="D244" s="1"/>
      <c r="E244" s="1"/>
      <c r="G244" s="1"/>
      <c r="H244" s="1"/>
      <c r="I244" s="1"/>
      <c r="J244" s="1"/>
      <c r="K244" s="1"/>
      <c r="L244" s="1"/>
    </row>
    <row r="245" spans="1:12" x14ac:dyDescent="0.25">
      <c r="A245" s="37"/>
      <c r="B245" s="1"/>
      <c r="C245" s="1"/>
      <c r="D245" s="1"/>
      <c r="E245" s="1"/>
      <c r="G245" s="1"/>
      <c r="H245" s="1"/>
      <c r="I245" s="1"/>
      <c r="J245" s="1"/>
      <c r="K245" s="1"/>
      <c r="L245" s="1"/>
    </row>
    <row r="246" spans="1:12" x14ac:dyDescent="0.25">
      <c r="A246" s="37"/>
      <c r="B246" s="1"/>
      <c r="C246" s="1"/>
      <c r="D246" s="1"/>
      <c r="E246" s="1"/>
      <c r="G246" s="1"/>
      <c r="H246" s="1"/>
      <c r="I246" s="1"/>
      <c r="J246" s="1"/>
      <c r="K246" s="1"/>
      <c r="L246" s="1"/>
    </row>
    <row r="247" spans="1:12" x14ac:dyDescent="0.25">
      <c r="A247" s="37"/>
      <c r="B247" s="1"/>
      <c r="C247" s="1"/>
      <c r="D247" s="1"/>
      <c r="E247" s="1"/>
      <c r="G247" s="1"/>
      <c r="H247" s="1"/>
      <c r="I247" s="1"/>
      <c r="J247" s="1"/>
      <c r="K247" s="1"/>
      <c r="L247" s="1"/>
    </row>
    <row r="248" spans="1:12" x14ac:dyDescent="0.25">
      <c r="A248" s="37"/>
      <c r="B248" s="1"/>
      <c r="C248" s="1"/>
      <c r="D248" s="1"/>
      <c r="E248" s="1"/>
      <c r="G248" s="1"/>
      <c r="H248" s="1"/>
      <c r="I248" s="1"/>
      <c r="J248" s="1"/>
      <c r="K248" s="1"/>
      <c r="L248" s="1"/>
    </row>
    <row r="249" spans="1:12" x14ac:dyDescent="0.25">
      <c r="A249" s="37"/>
      <c r="B249" s="1"/>
      <c r="C249" s="1"/>
      <c r="D249" s="1"/>
      <c r="E249" s="1"/>
      <c r="G249" s="1"/>
      <c r="H249" s="1"/>
      <c r="I249" s="1"/>
      <c r="J249" s="1"/>
      <c r="K249" s="1"/>
      <c r="L249" s="1"/>
    </row>
    <row r="250" spans="1:12" x14ac:dyDescent="0.25">
      <c r="A250" s="37"/>
      <c r="B250" s="1"/>
      <c r="C250" s="1"/>
      <c r="D250" s="1"/>
      <c r="E250" s="1"/>
      <c r="G250" s="1"/>
      <c r="H250" s="1"/>
      <c r="I250" s="1"/>
      <c r="J250" s="1"/>
      <c r="K250" s="1"/>
      <c r="L250" s="1"/>
    </row>
    <row r="251" spans="1:12" x14ac:dyDescent="0.25">
      <c r="A251" s="37"/>
      <c r="B251" s="1"/>
      <c r="C251" s="1"/>
      <c r="D251" s="1"/>
      <c r="E251" s="1"/>
      <c r="G251" s="1"/>
      <c r="H251" s="1"/>
      <c r="I251" s="1"/>
      <c r="J251" s="1"/>
      <c r="K251" s="1"/>
      <c r="L251" s="1"/>
    </row>
    <row r="252" spans="1:12" x14ac:dyDescent="0.25">
      <c r="A252" s="37"/>
      <c r="B252" s="1"/>
      <c r="C252" s="1"/>
      <c r="D252" s="1"/>
      <c r="E252" s="1"/>
      <c r="G252" s="1"/>
      <c r="H252" s="1"/>
      <c r="I252" s="1"/>
      <c r="J252" s="1"/>
      <c r="K252" s="1"/>
      <c r="L252" s="1"/>
    </row>
    <row r="253" spans="1:12" x14ac:dyDescent="0.25">
      <c r="A253" s="37"/>
      <c r="B253" s="1"/>
      <c r="C253" s="1"/>
      <c r="D253" s="1"/>
      <c r="E253" s="1"/>
      <c r="G253" s="1"/>
      <c r="H253" s="1"/>
      <c r="I253" s="1"/>
      <c r="J253" s="1"/>
      <c r="K253" s="1"/>
      <c r="L253" s="1"/>
    </row>
    <row r="254" spans="1:12" x14ac:dyDescent="0.25">
      <c r="A254" s="37"/>
      <c r="B254" s="1"/>
      <c r="C254" s="1"/>
      <c r="D254" s="1"/>
      <c r="E254" s="1"/>
      <c r="G254" s="1"/>
      <c r="H254" s="1"/>
      <c r="I254" s="1"/>
      <c r="J254" s="1"/>
      <c r="K254" s="1"/>
      <c r="L254" s="1"/>
    </row>
    <row r="255" spans="1:12" x14ac:dyDescent="0.25">
      <c r="A255" s="37"/>
      <c r="B255" s="1"/>
      <c r="C255" s="1"/>
      <c r="D255" s="1"/>
      <c r="E255" s="1"/>
      <c r="G255" s="1"/>
      <c r="H255" s="1"/>
      <c r="I255" s="1"/>
      <c r="J255" s="1"/>
      <c r="K255" s="1"/>
      <c r="L255" s="1"/>
    </row>
    <row r="256" spans="1:12" x14ac:dyDescent="0.25">
      <c r="A256" s="37"/>
      <c r="B256" s="1"/>
      <c r="C256" s="1"/>
      <c r="D256" s="1"/>
      <c r="E256" s="1"/>
      <c r="G256" s="1"/>
      <c r="H256" s="1"/>
      <c r="I256" s="1"/>
      <c r="J256" s="1"/>
      <c r="K256" s="1"/>
      <c r="L256" s="1"/>
    </row>
    <row r="257" spans="1:12" x14ac:dyDescent="0.25">
      <c r="A257" s="37"/>
      <c r="B257" s="1"/>
      <c r="C257" s="1"/>
      <c r="D257" s="1"/>
      <c r="E257" s="1"/>
      <c r="G257" s="1"/>
      <c r="H257" s="1"/>
      <c r="I257" s="1"/>
      <c r="J257" s="1"/>
      <c r="K257" s="1"/>
      <c r="L257" s="1"/>
    </row>
    <row r="258" spans="1:12" x14ac:dyDescent="0.25">
      <c r="A258" s="37"/>
      <c r="B258" s="1"/>
      <c r="C258" s="1"/>
      <c r="D258" s="1"/>
      <c r="E258" s="1"/>
      <c r="G258" s="1"/>
      <c r="H258" s="1"/>
      <c r="I258" s="1"/>
      <c r="J258" s="1"/>
      <c r="K258" s="1"/>
      <c r="L258" s="1"/>
    </row>
    <row r="259" spans="1:12" x14ac:dyDescent="0.25">
      <c r="A259" s="37"/>
      <c r="B259" s="1"/>
      <c r="C259" s="1"/>
      <c r="D259" s="1"/>
      <c r="E259" s="1"/>
      <c r="G259" s="1"/>
      <c r="H259" s="1"/>
      <c r="I259" s="1"/>
      <c r="J259" s="1"/>
      <c r="K259" s="1"/>
      <c r="L259" s="1"/>
    </row>
    <row r="260" spans="1:12" x14ac:dyDescent="0.25">
      <c r="A260" s="37"/>
      <c r="B260" s="1"/>
      <c r="C260" s="1"/>
      <c r="D260" s="1"/>
      <c r="E260" s="1"/>
      <c r="G260" s="1"/>
      <c r="H260" s="1"/>
      <c r="I260" s="1"/>
      <c r="J260" s="1"/>
      <c r="K260" s="1"/>
      <c r="L260" s="1"/>
    </row>
    <row r="261" spans="1:12" x14ac:dyDescent="0.25">
      <c r="A261" s="37"/>
      <c r="B261" s="1"/>
      <c r="C261" s="1"/>
      <c r="D261" s="1"/>
      <c r="E261" s="1"/>
      <c r="G261" s="1"/>
      <c r="H261" s="1"/>
      <c r="I261" s="1"/>
      <c r="J261" s="1"/>
      <c r="K261" s="1"/>
      <c r="L261" s="1"/>
    </row>
    <row r="262" spans="1:12" x14ac:dyDescent="0.25">
      <c r="A262" s="37"/>
      <c r="B262" s="1"/>
      <c r="C262" s="1"/>
      <c r="D262" s="1"/>
      <c r="E262" s="1"/>
      <c r="G262" s="1"/>
      <c r="H262" s="1"/>
      <c r="I262" s="1"/>
      <c r="J262" s="1"/>
      <c r="K262" s="1"/>
      <c r="L262" s="1"/>
    </row>
    <row r="263" spans="1:12" x14ac:dyDescent="0.25">
      <c r="A263" s="37"/>
      <c r="B263" s="1"/>
      <c r="C263" s="1"/>
      <c r="D263" s="1"/>
      <c r="E263" s="1"/>
      <c r="G263" s="1"/>
      <c r="H263" s="1"/>
      <c r="I263" s="1"/>
      <c r="J263" s="1"/>
      <c r="K263" s="1"/>
      <c r="L263" s="1"/>
    </row>
  </sheetData>
  <mergeCells count="12">
    <mergeCell ref="A15:J15"/>
    <mergeCell ref="A95:J95"/>
    <mergeCell ref="A4:I4"/>
    <mergeCell ref="A5:I5"/>
    <mergeCell ref="A6:I6"/>
    <mergeCell ref="A7:I7"/>
    <mergeCell ref="A12:J12"/>
    <mergeCell ref="A13:A14"/>
    <mergeCell ref="B13:C13"/>
    <mergeCell ref="D13:G13"/>
    <mergeCell ref="H13:I13"/>
    <mergeCell ref="J13:J14"/>
  </mergeCells>
  <printOptions horizontalCentered="1"/>
  <pageMargins left="0.62992125984251968" right="0.43307086614173229" top="0.15748031496062992" bottom="0.15748031496062992" header="0.31496062992125984" footer="0.31496062992125984"/>
  <pageSetup paperSize="14" scale="62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728A-9208-4A36-BB7B-D46266984A6E}">
  <dimension ref="A1:O23"/>
  <sheetViews>
    <sheetView workbookViewId="0">
      <selection activeCell="A21" sqref="A21:L21"/>
    </sheetView>
  </sheetViews>
  <sheetFormatPr defaultRowHeight="15" x14ac:dyDescent="0.25"/>
  <cols>
    <col min="1" max="1" width="27.140625" style="23" customWidth="1"/>
    <col min="2" max="2" width="8.28515625" style="23" customWidth="1"/>
    <col min="3" max="3" width="8.140625" style="23" customWidth="1"/>
    <col min="4" max="4" width="7.28515625" style="23" customWidth="1"/>
    <col min="5" max="5" width="9.5703125" style="23" customWidth="1"/>
    <col min="6" max="6" width="8.42578125" style="23" customWidth="1"/>
    <col min="7" max="7" width="8.28515625" style="23" customWidth="1"/>
    <col min="8" max="10" width="9.5703125" style="23" customWidth="1"/>
    <col min="11" max="12" width="8.7109375" style="23" customWidth="1"/>
    <col min="13" max="13" width="8.7109375" style="23" hidden="1" customWidth="1"/>
    <col min="14" max="15" width="9.140625" style="23"/>
  </cols>
  <sheetData>
    <row r="1" spans="1:15" x14ac:dyDescent="0.25">
      <c r="A1" s="14"/>
      <c r="B1" s="14"/>
      <c r="C1" s="15"/>
      <c r="D1" s="16"/>
      <c r="E1" s="14"/>
      <c r="F1" s="14"/>
      <c r="G1" s="14"/>
      <c r="H1" s="17"/>
      <c r="I1" s="14"/>
      <c r="J1" s="14"/>
      <c r="K1" s="14"/>
      <c r="L1" s="14"/>
      <c r="M1" s="14"/>
      <c r="N1" s="14"/>
      <c r="O1" s="14"/>
    </row>
    <row r="2" spans="1:15" x14ac:dyDescent="0.25">
      <c r="A2" s="14"/>
      <c r="B2" s="14"/>
      <c r="C2" s="15"/>
      <c r="D2" s="16"/>
      <c r="E2" s="14"/>
      <c r="F2" s="14"/>
      <c r="G2" s="14"/>
      <c r="H2" s="17"/>
      <c r="I2" s="14"/>
      <c r="J2" s="14"/>
      <c r="K2" s="14"/>
      <c r="L2" s="14"/>
      <c r="M2" s="14"/>
      <c r="N2" s="14"/>
      <c r="O2" s="14"/>
    </row>
    <row r="3" spans="1:15" x14ac:dyDescent="0.25">
      <c r="A3" s="14"/>
      <c r="B3" s="14"/>
      <c r="C3" s="15"/>
      <c r="D3" s="16"/>
      <c r="E3" s="14"/>
      <c r="F3" s="14"/>
      <c r="G3" s="14"/>
      <c r="H3" s="17"/>
      <c r="I3" s="14"/>
      <c r="J3" s="14"/>
      <c r="K3" s="14"/>
      <c r="L3" s="14"/>
      <c r="M3" s="14"/>
      <c r="N3" s="14"/>
      <c r="O3" s="14"/>
    </row>
    <row r="4" spans="1:15" x14ac:dyDescent="0.25">
      <c r="A4" s="14"/>
      <c r="B4" s="14"/>
      <c r="C4" s="15"/>
      <c r="D4" s="16"/>
      <c r="E4" s="14"/>
      <c r="F4" s="14"/>
      <c r="G4" s="14"/>
      <c r="H4" s="17"/>
      <c r="I4" s="14"/>
      <c r="J4" s="14"/>
      <c r="K4" s="14"/>
      <c r="L4" s="14"/>
      <c r="M4" s="14"/>
      <c r="N4" s="14"/>
      <c r="O4" s="14"/>
    </row>
    <row r="5" spans="1:15" x14ac:dyDescent="0.25">
      <c r="A5" s="14"/>
      <c r="B5" s="14"/>
      <c r="C5" s="15"/>
      <c r="D5" s="16"/>
      <c r="E5" s="14"/>
      <c r="F5" s="14"/>
      <c r="G5" s="14"/>
      <c r="H5" s="17"/>
      <c r="I5" s="14"/>
      <c r="J5" s="14"/>
      <c r="K5" s="14"/>
      <c r="L5" s="14"/>
      <c r="M5" s="14"/>
      <c r="N5" s="14"/>
      <c r="O5" s="14"/>
    </row>
    <row r="6" spans="1:15" x14ac:dyDescent="0.25">
      <c r="A6" s="66" t="s">
        <v>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14"/>
      <c r="N6" s="14"/>
      <c r="O6" s="14"/>
    </row>
    <row r="7" spans="1:15" x14ac:dyDescent="0.25">
      <c r="A7" s="66" t="s">
        <v>1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14"/>
      <c r="N7" s="14"/>
      <c r="O7" s="14"/>
    </row>
    <row r="8" spans="1:15" x14ac:dyDescent="0.25">
      <c r="A8" s="66" t="s">
        <v>2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14"/>
      <c r="N8" s="14"/>
      <c r="O8" s="14"/>
    </row>
    <row r="9" spans="1:15" x14ac:dyDescent="0.25">
      <c r="A9" s="66" t="s">
        <v>3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14"/>
      <c r="N9" s="14"/>
      <c r="O9" s="14"/>
    </row>
    <row r="10" spans="1:15" x14ac:dyDescent="0.25">
      <c r="A10" s="14"/>
      <c r="B10" s="14"/>
      <c r="C10" s="17"/>
      <c r="D10" s="14"/>
      <c r="E10" s="14"/>
      <c r="F10" s="14"/>
      <c r="G10" s="14"/>
      <c r="H10" s="17"/>
      <c r="I10" s="14"/>
      <c r="J10" s="14"/>
      <c r="K10" s="14"/>
      <c r="L10" s="14"/>
      <c r="M10" s="14"/>
      <c r="N10" s="14"/>
      <c r="O10" s="14"/>
    </row>
    <row r="11" spans="1:15" x14ac:dyDescent="0.25">
      <c r="A11" s="14"/>
      <c r="B11" s="14"/>
      <c r="C11" s="17"/>
      <c r="D11" s="14"/>
      <c r="E11" s="14"/>
      <c r="F11" s="14"/>
      <c r="G11" s="14"/>
      <c r="H11" s="17"/>
      <c r="I11" s="14"/>
      <c r="J11" s="14"/>
      <c r="K11" s="14"/>
      <c r="L11" s="14"/>
      <c r="M11" s="14"/>
      <c r="N11" s="14"/>
      <c r="O11" s="14"/>
    </row>
    <row r="12" spans="1:15" x14ac:dyDescent="0.25">
      <c r="A12" s="18" t="s">
        <v>88</v>
      </c>
      <c r="B12" s="18"/>
      <c r="C12" s="62" t="s">
        <v>89</v>
      </c>
      <c r="D12" s="62"/>
      <c r="E12" s="62"/>
      <c r="F12" s="62"/>
      <c r="G12" s="62"/>
      <c r="H12" s="14"/>
      <c r="I12" s="62" t="s">
        <v>90</v>
      </c>
      <c r="J12" s="62"/>
      <c r="K12" s="62"/>
      <c r="L12" s="19"/>
      <c r="M12" s="14"/>
      <c r="N12" s="14"/>
      <c r="O12" s="14"/>
    </row>
    <row r="13" spans="1:15" x14ac:dyDescent="0.25">
      <c r="A13" s="14"/>
      <c r="B13" s="20"/>
      <c r="C13" s="62" t="s">
        <v>91</v>
      </c>
      <c r="D13" s="62"/>
      <c r="E13" s="62"/>
      <c r="F13" s="62"/>
      <c r="G13" s="62"/>
      <c r="H13" s="14"/>
      <c r="I13" s="63" t="s">
        <v>92</v>
      </c>
      <c r="J13" s="63"/>
      <c r="K13" s="63"/>
      <c r="L13" s="21"/>
      <c r="M13" s="14"/>
      <c r="N13" s="14"/>
      <c r="O13" s="14"/>
    </row>
    <row r="14" spans="1:15" x14ac:dyDescent="0.25">
      <c r="A14" s="18" t="s">
        <v>93</v>
      </c>
      <c r="B14" s="18"/>
      <c r="C14" s="22"/>
      <c r="D14" s="20"/>
      <c r="E14" s="20"/>
      <c r="F14" s="14"/>
      <c r="G14" s="14"/>
      <c r="H14" s="14"/>
      <c r="I14" s="62" t="s">
        <v>94</v>
      </c>
      <c r="J14" s="62"/>
      <c r="K14" s="62"/>
      <c r="L14" s="19"/>
      <c r="M14" s="14"/>
      <c r="N14" s="14"/>
      <c r="O14" s="14"/>
    </row>
    <row r="15" spans="1:15" ht="21.75" thickBot="1" x14ac:dyDescent="0.3">
      <c r="A15" s="64" t="s">
        <v>95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5" ht="48.75" thickBot="1" x14ac:dyDescent="0.3">
      <c r="A16" s="24" t="s">
        <v>11</v>
      </c>
      <c r="B16" s="25" t="s">
        <v>96</v>
      </c>
      <c r="C16" s="25" t="s">
        <v>97</v>
      </c>
      <c r="D16" s="25" t="s">
        <v>98</v>
      </c>
      <c r="E16" s="25" t="s">
        <v>99</v>
      </c>
      <c r="F16" s="25" t="s">
        <v>100</v>
      </c>
      <c r="G16" s="25" t="s">
        <v>101</v>
      </c>
      <c r="H16" s="25" t="s">
        <v>102</v>
      </c>
      <c r="I16" s="25" t="s">
        <v>103</v>
      </c>
      <c r="J16" s="25" t="s">
        <v>104</v>
      </c>
      <c r="K16" s="26" t="s">
        <v>105</v>
      </c>
      <c r="L16" s="27" t="s">
        <v>14</v>
      </c>
      <c r="M16" s="28"/>
      <c r="N16" s="28"/>
      <c r="O16" s="28"/>
    </row>
    <row r="17" spans="1:15" x14ac:dyDescent="0.25">
      <c r="A17" s="29" t="s">
        <v>106</v>
      </c>
      <c r="B17" s="30"/>
      <c r="C17" s="31"/>
      <c r="D17" s="31"/>
      <c r="E17" s="30">
        <v>7</v>
      </c>
      <c r="F17" s="30"/>
      <c r="G17" s="30"/>
      <c r="H17" s="31"/>
      <c r="I17" s="30"/>
      <c r="J17" s="30"/>
      <c r="K17" s="30"/>
      <c r="L17" s="30">
        <v>7</v>
      </c>
      <c r="M17" s="32"/>
      <c r="N17" s="32"/>
      <c r="O17" s="32"/>
    </row>
    <row r="18" spans="1:15" x14ac:dyDescent="0.25">
      <c r="A18" s="33" t="s">
        <v>107</v>
      </c>
      <c r="B18" s="34"/>
      <c r="C18" s="35"/>
      <c r="D18" s="35"/>
      <c r="E18" s="34">
        <v>3</v>
      </c>
      <c r="F18" s="34"/>
      <c r="G18" s="34"/>
      <c r="H18" s="35"/>
      <c r="I18" s="34"/>
      <c r="J18" s="34"/>
      <c r="K18" s="34"/>
      <c r="L18" s="34">
        <v>4</v>
      </c>
      <c r="M18" s="32"/>
      <c r="N18" s="32"/>
      <c r="O18" s="32"/>
    </row>
    <row r="19" spans="1:15" x14ac:dyDescent="0.25">
      <c r="A19" s="36" t="s">
        <v>110</v>
      </c>
      <c r="B19" s="34"/>
      <c r="C19" s="35"/>
      <c r="D19" s="35"/>
      <c r="E19" s="34">
        <v>1</v>
      </c>
      <c r="F19" s="34"/>
      <c r="G19" s="34"/>
      <c r="H19" s="35"/>
      <c r="I19" s="34"/>
      <c r="J19" s="34"/>
      <c r="K19" s="34"/>
      <c r="L19" s="34">
        <v>3</v>
      </c>
      <c r="M19" s="32"/>
      <c r="N19" s="32"/>
      <c r="O19" s="32"/>
    </row>
    <row r="20" spans="1:15" x14ac:dyDescent="0.25">
      <c r="A20" s="36" t="s">
        <v>111</v>
      </c>
      <c r="B20" s="34"/>
      <c r="C20" s="35"/>
      <c r="D20" s="35"/>
      <c r="E20" s="34">
        <v>1</v>
      </c>
      <c r="F20" s="34"/>
      <c r="G20" s="34"/>
      <c r="H20" s="35"/>
      <c r="I20" s="34"/>
      <c r="J20" s="34"/>
      <c r="K20" s="34"/>
      <c r="L20" s="34">
        <v>2</v>
      </c>
      <c r="M20" s="32"/>
      <c r="N20" s="32"/>
      <c r="O20" s="32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</row>
    <row r="22" spans="1:15" x14ac:dyDescent="0.25">
      <c r="A22" s="14"/>
      <c r="B22" s="14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4"/>
      <c r="B23" s="14"/>
      <c r="C23" s="17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</sheetData>
  <mergeCells count="11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21:L21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CORRECTED</vt:lpstr>
      <vt:lpstr>Sheet1</vt:lpstr>
      <vt:lpstr>OTHER TYPES OF LEAVE CORRECTED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2025-12-12T01:57:43Z</cp:lastPrinted>
  <dcterms:created xsi:type="dcterms:W3CDTF">2023-10-03T06:25:56Z</dcterms:created>
  <dcterms:modified xsi:type="dcterms:W3CDTF">2025-12-12T02:06:34Z</dcterms:modified>
</cp:coreProperties>
</file>