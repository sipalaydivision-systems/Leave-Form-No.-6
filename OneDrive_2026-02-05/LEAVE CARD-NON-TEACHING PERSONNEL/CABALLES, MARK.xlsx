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F26BD0A-A212-428B-9269-D0F8D92EF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CTO (2)" sheetId="9" r:id="rId2"/>
    <sheet name="Election &amp; NLC" sheetId="11" r:id="rId3"/>
  </sheets>
  <definedNames>
    <definedName name="_xlnm.Print_Area" localSheetId="2">'Election &amp; NLC'!$A$1:$G$21</definedName>
    <definedName name="_xlnm.Print_Area" localSheetId="0">'Leave Card as TIC'!$A$1:$J$65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2" l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H14" i="12"/>
  <c r="I52" i="12" l="1"/>
  <c r="I53" i="12" s="1"/>
  <c r="I54" i="12" s="1"/>
  <c r="I55" i="12" s="1"/>
  <c r="I56" i="12" s="1"/>
  <c r="I57" i="12" s="1"/>
  <c r="J14" i="12"/>
  <c r="H15" i="12"/>
  <c r="H16" i="12" s="1"/>
  <c r="J16" i="12" l="1"/>
  <c r="H17" i="12"/>
  <c r="J15" i="12"/>
  <c r="J17" i="12" l="1"/>
  <c r="H18" i="12"/>
  <c r="J18" i="12" l="1"/>
  <c r="H19" i="12"/>
  <c r="H20" i="12" s="1"/>
  <c r="H21" i="12" l="1"/>
  <c r="J20" i="12"/>
  <c r="J19" i="12"/>
  <c r="J21" i="12" l="1"/>
  <c r="H22" i="12"/>
  <c r="H23" i="12" l="1"/>
  <c r="J22" i="12"/>
  <c r="J23" i="12" l="1"/>
  <c r="H24" i="12"/>
  <c r="J24" i="12" l="1"/>
  <c r="H25" i="12"/>
  <c r="J25" i="12" l="1"/>
  <c r="H26" i="12"/>
  <c r="H27" i="12" l="1"/>
  <c r="J26" i="12"/>
  <c r="J27" i="12" l="1"/>
  <c r="H28" i="12"/>
  <c r="H29" i="12" l="1"/>
  <c r="J28" i="12"/>
  <c r="H30" i="12" l="1"/>
  <c r="J29" i="12"/>
  <c r="H31" i="12" l="1"/>
  <c r="J30" i="12"/>
  <c r="J31" i="12" l="1"/>
  <c r="H32" i="12"/>
  <c r="J32" i="12" l="1"/>
  <c r="H33" i="12"/>
  <c r="H34" i="12" l="1"/>
  <c r="J33" i="12"/>
  <c r="H35" i="12" l="1"/>
  <c r="J34" i="12"/>
  <c r="H36" i="12" l="1"/>
  <c r="J35" i="12"/>
  <c r="J36" i="12" l="1"/>
  <c r="H37" i="12"/>
  <c r="H38" i="12" l="1"/>
  <c r="J37" i="12"/>
  <c r="H39" i="12" l="1"/>
  <c r="J38" i="12"/>
  <c r="J39" i="12" l="1"/>
  <c r="H40" i="12"/>
  <c r="H41" i="12" l="1"/>
  <c r="J40" i="12"/>
  <c r="J41" i="12" l="1"/>
  <c r="H42" i="12"/>
  <c r="H43" i="12" l="1"/>
  <c r="J42" i="12"/>
  <c r="H44" i="12" l="1"/>
  <c r="J43" i="12"/>
  <c r="H45" i="12" l="1"/>
  <c r="J44" i="12"/>
  <c r="H46" i="12" l="1"/>
  <c r="J45" i="12"/>
  <c r="H47" i="12" l="1"/>
  <c r="J46" i="12"/>
  <c r="J47" i="12" l="1"/>
  <c r="H48" i="12"/>
  <c r="J48" i="12" l="1"/>
  <c r="H49" i="12"/>
  <c r="J49" i="12" l="1"/>
  <c r="H50" i="12"/>
  <c r="J50" i="12" l="1"/>
  <c r="H51" i="12"/>
  <c r="H52" i="12" l="1"/>
  <c r="J51" i="12"/>
  <c r="H53" i="12" l="1"/>
  <c r="J52" i="12"/>
  <c r="J53" i="12" l="1"/>
  <c r="H54" i="12"/>
  <c r="H55" i="12" l="1"/>
  <c r="J54" i="12"/>
  <c r="H56" i="12" l="1"/>
  <c r="J55" i="12"/>
  <c r="J56" i="12" l="1"/>
  <c r="H57" i="12"/>
  <c r="J57" i="12" s="1"/>
</calcChain>
</file>

<file path=xl/sharedStrings.xml><?xml version="1.0" encoding="utf-8"?>
<sst xmlns="http://schemas.openxmlformats.org/spreadsheetml/2006/main" count="106" uniqueCount="77">
  <si>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</si>
  <si>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</si>
  <si>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</si>
  <si>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</si>
  <si>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</si>
  <si>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</si>
  <si>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</si>
  <si>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</si>
  <si>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</si>
  <si>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</si>
  <si>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</si>
  <si>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</si>
  <si>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</si>
  <si>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</si>
  <si>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</si>
  <si>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</si>
  <si>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POSITION: __________________________</t>
  </si>
  <si>
    <t>SCHOOL/OFFICE:_____________________</t>
  </si>
  <si>
    <t>DISTRICT: ___________________________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</si>
  <si>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</si>
  <si>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</si>
  <si>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</si>
  <si>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</si>
  <si>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</si>
  <si>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</si>
  <si>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</si>
  <si>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</si>
  <si>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</si>
  <si>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</si>
  <si>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LESS: 09/24-25/2024</t>
  </si>
  <si>
    <t>ADD: 06/26/2024</t>
  </si>
  <si>
    <t>S.O. # 024 S. 2024. 126TH PHILIPPINE INDEPENDENCE DAY CELEBRATION</t>
  </si>
  <si>
    <t>LESS: 09/13/2024</t>
  </si>
  <si>
    <t>MAY 9, 2022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</si>
  <si>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</si>
  <si>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</si>
  <si>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</si>
  <si>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</si>
  <si>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</si>
  <si>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</si>
  <si>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NO.</t>
  </si>
  <si>
    <t>DATE RELEASED:</t>
  </si>
  <si>
    <t>NATIONAL LEARNING CAMP/NATIONAL &amp; LOCAL ELECTION</t>
  </si>
  <si>
    <t>S.O. # 051, S. 2022.</t>
  </si>
  <si>
    <t xml:space="preserve"> BRIGADA ESKWELA AND OPLAN BALIK ESKWELA 2023</t>
  </si>
  <si>
    <t xml:space="preserve">S.O # 098, S. 2023 </t>
  </si>
  <si>
    <t>SO # 015, S. 2024</t>
  </si>
  <si>
    <t>05/20/2024</t>
  </si>
  <si>
    <t>PALARONG PANLALAWIGAN 2024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</si>
  <si>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EPS</t>
    </r>
  </si>
  <si>
    <t>010, S. 2024</t>
  </si>
  <si>
    <t>04/30/2024</t>
  </si>
  <si>
    <t>OCT. 30, 2023 ELECTION</t>
  </si>
  <si>
    <t>DATE FILED/RECEIVED</t>
  </si>
  <si>
    <t>SPECIAL</t>
  </si>
  <si>
    <t xml:space="preserve">  </t>
  </si>
  <si>
    <t>ADD:  08/1-31/2024</t>
  </si>
  <si>
    <t>ADD: 07/1-31/2024</t>
  </si>
  <si>
    <t xml:space="preserve"> (NON-TEACHING): EFFECTIVE JULY 1, 2024</t>
  </si>
  <si>
    <t>ADD: 09/1/2024-10/31/2024</t>
  </si>
  <si>
    <t>LESS: 11/22/2024</t>
  </si>
  <si>
    <t>ADD: 11/1-30/2024</t>
  </si>
  <si>
    <t>LESS: 12/18, 19 &amp; 23/2024</t>
  </si>
  <si>
    <t>22 DAYS-CONVERTED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</si>
  <si>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22 DAYS</t>
    </r>
    <r>
      <rPr>
        <sz val="11"/>
        <color theme="1"/>
        <rFont val="Calibri"/>
        <family val="2"/>
        <scheme val="minor"/>
      </rPr>
      <t xml:space="preserve">:                          FORMULA: 30Y/69/2 </t>
    </r>
  </si>
  <si>
    <t>ADD: 12/1-31/2024</t>
  </si>
  <si>
    <t>UNUSED VACATION SERVICE CREDITS</t>
  </si>
  <si>
    <t>ADD: 05/20/2024</t>
  </si>
  <si>
    <t>SO#015, S. 2024 PALARONG PANLALAWIGAN 2024</t>
  </si>
  <si>
    <t>LESS: 05/5, 6 &amp; 16/2025</t>
  </si>
  <si>
    <t>ADD: 01/1/2025-05/31/2025</t>
  </si>
  <si>
    <t>LESS: 06/20/2025</t>
  </si>
  <si>
    <t>ADD: 06/1-30/2025</t>
  </si>
  <si>
    <t>LESS: 07/28-31/2025</t>
  </si>
  <si>
    <t xml:space="preserve"> </t>
  </si>
  <si>
    <t>ADD: Disapproval of Forced Leave                            (07/28-31/2025) due to Exigency of service</t>
  </si>
  <si>
    <t>ADD: 07/1-31/2025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</si>
</sst>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5">
    <xf numFmtId="0" fontId="0" fillId="0" borderId="0"/>
    <xf numFmtId="0" fontId="8" fillId="0" borderId="0"/>
    <xf numFmtId="0" fontId="12" fillId="0" borderId="0"/>
    <xf numFmtId="0" fontId="8" fillId="0" borderId="0"/>
    <xf numFmtId="0" fontId="8" fillId="0" borderId="0"/>
  </cellStyleXfs>
  <cellXfs count="1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8" fillId="2" borderId="0" xfId="1" applyFill="1"/>
    <xf numFmtId="0" fontId="1" fillId="2" borderId="0" xfId="1" applyFont="1" applyFill="1" applyAlignment="1">
      <alignment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3" xfId="1" applyFont="1" applyFill="1" applyBorder="1" applyAlignment="1">
      <alignment vertical="center"/>
    </xf>
    <xf numFmtId="0" fontId="8" fillId="0" borderId="0" xfId="1" applyAlignment="1">
      <alignment vertical="center"/>
    </xf>
    <xf numFmtId="0" fontId="9" fillId="2" borderId="0" xfId="1" applyFont="1" applyFill="1" applyAlignment="1">
      <alignment horizontal="center" vertical="center" wrapText="1"/>
    </xf>
    <xf numFmtId="0" fontId="8" fillId="2" borderId="0" xfId="1" applyFill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8" fillId="0" borderId="0" xfId="1"/>
    <xf numFmtId="0" fontId="8" fillId="2" borderId="1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8" fillId="8" borderId="1" xfId="1" applyFill="1" applyBorder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11" fillId="0" borderId="0" xfId="1" applyFont="1"/>
    <xf numFmtId="0" fontId="8" fillId="2" borderId="0" xfId="3" applyFill="1"/>
    <xf numFmtId="0" fontId="8" fillId="2" borderId="0" xfId="3" applyFill="1" applyAlignment="1">
      <alignment horizontal="center"/>
    </xf>
    <xf numFmtId="0" fontId="4" fillId="2" borderId="0" xfId="3" applyFont="1" applyFill="1" applyAlignment="1">
      <alignment vertical="center"/>
    </xf>
    <xf numFmtId="0" fontId="1" fillId="2" borderId="0" xfId="3" applyFont="1" applyFill="1" applyAlignment="1">
      <alignment horizontal="left" vertical="center"/>
    </xf>
    <xf numFmtId="0" fontId="1" fillId="2" borderId="0" xfId="3" applyFont="1" applyFill="1" applyAlignment="1">
      <alignment vertical="center"/>
    </xf>
    <xf numFmtId="0" fontId="14" fillId="2" borderId="0" xfId="3" applyFont="1" applyFill="1"/>
    <xf numFmtId="0" fontId="1" fillId="2" borderId="0" xfId="3" applyFont="1" applyFill="1"/>
    <xf numFmtId="0" fontId="1" fillId="2" borderId="0" xfId="3" applyFont="1" applyFill="1" applyAlignment="1">
      <alignment horizontal="left"/>
    </xf>
    <xf numFmtId="0" fontId="8" fillId="0" borderId="0" xfId="3"/>
    <xf numFmtId="0" fontId="3" fillId="5" borderId="15" xfId="3" applyFont="1" applyFill="1" applyBorder="1" applyAlignment="1">
      <alignment horizontal="center" vertical="center" wrapText="1"/>
    </xf>
    <xf numFmtId="0" fontId="3" fillId="5" borderId="15" xfId="3" applyFont="1" applyFill="1" applyBorder="1" applyAlignment="1">
      <alignment horizontal="center" vertical="center"/>
    </xf>
    <xf numFmtId="0" fontId="9" fillId="7" borderId="18" xfId="3" applyFont="1" applyFill="1" applyBorder="1" applyAlignment="1">
      <alignment horizontal="center" vertical="center" wrapText="1"/>
    </xf>
    <xf numFmtId="0" fontId="9" fillId="7" borderId="19" xfId="3" applyFont="1" applyFill="1" applyBorder="1" applyAlignment="1">
      <alignment horizontal="center" vertical="center" wrapText="1"/>
    </xf>
    <xf numFmtId="0" fontId="3" fillId="5" borderId="20" xfId="3" applyFont="1" applyFill="1" applyBorder="1" applyAlignment="1">
      <alignment horizontal="center" vertical="center"/>
    </xf>
    <xf numFmtId="0" fontId="7" fillId="0" borderId="0" xfId="3" applyFont="1"/>
    <xf numFmtId="0" fontId="8" fillId="2" borderId="5" xfId="4" applyFill="1" applyBorder="1" applyAlignment="1">
      <alignment horizontal="center" vertical="center" wrapText="1"/>
    </xf>
    <xf numFmtId="14" fontId="8" fillId="2" borderId="21" xfId="4" applyNumberFormat="1" applyFill="1" applyBorder="1" applyAlignment="1">
      <alignment horizontal="center" vertical="center"/>
    </xf>
    <xf numFmtId="0" fontId="9" fillId="2" borderId="1" xfId="4" applyFont="1" applyFill="1" applyBorder="1" applyAlignment="1">
      <alignment vertical="center" wrapText="1"/>
    </xf>
    <xf numFmtId="0" fontId="9" fillId="2" borderId="1" xfId="4" applyFont="1" applyFill="1" applyBorder="1" applyAlignment="1">
      <alignment horizontal="center" vertical="center" wrapText="1"/>
    </xf>
    <xf numFmtId="0" fontId="15" fillId="2" borderId="22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6" fillId="0" borderId="0" xfId="3" applyFont="1"/>
    <xf numFmtId="0" fontId="16" fillId="2" borderId="14" xfId="3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center" vertical="center"/>
    </xf>
    <xf numFmtId="0" fontId="8" fillId="9" borderId="0" xfId="3" applyFill="1"/>
    <xf numFmtId="0" fontId="8" fillId="10" borderId="0" xfId="3" applyFill="1"/>
    <xf numFmtId="0" fontId="0" fillId="2" borderId="5" xfId="4" applyFont="1" applyFill="1" applyBorder="1" applyAlignment="1">
      <alignment horizontal="center" vertical="center" wrapText="1"/>
    </xf>
    <xf numFmtId="0" fontId="0" fillId="2" borderId="3" xfId="4" applyFont="1" applyFill="1" applyBorder="1" applyAlignment="1">
      <alignment horizontal="center" vertical="center" wrapText="1"/>
    </xf>
    <xf numFmtId="0" fontId="0" fillId="2" borderId="21" xfId="4" applyFont="1" applyFill="1" applyBorder="1" applyAlignment="1">
      <alignment horizontal="center" vertical="center"/>
    </xf>
    <xf numFmtId="14" fontId="0" fillId="2" borderId="21" xfId="4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164" fontId="0" fillId="2" borderId="2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18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3" applyFont="1" applyBorder="1" applyAlignment="1">
      <alignment horizontal="center" vertical="center"/>
    </xf>
    <xf numFmtId="0" fontId="8" fillId="0" borderId="1" xfId="3" applyBorder="1" applyAlignment="1">
      <alignment horizontal="center" vertical="center" wrapText="1"/>
    </xf>
    <xf numFmtId="0" fontId="8" fillId="8" borderId="1" xfId="3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7" fillId="0" borderId="24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0" borderId="12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0" fontId="9" fillId="0" borderId="13" xfId="3" applyFont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8" fillId="0" borderId="0" xfId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9" fillId="7" borderId="12" xfId="1" applyFont="1" applyFill="1" applyBorder="1" applyAlignment="1">
      <alignment horizontal="center" vertical="center" wrapText="1"/>
    </xf>
    <xf numFmtId="0" fontId="9" fillId="7" borderId="11" xfId="1" applyFont="1" applyFill="1" applyBorder="1" applyAlignment="1">
      <alignment horizontal="center" vertical="center" wrapText="1"/>
    </xf>
    <xf numFmtId="0" fontId="9" fillId="7" borderId="13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right" vertical="center" wrapText="1"/>
    </xf>
    <xf numFmtId="0" fontId="4" fillId="2" borderId="11" xfId="3" applyFont="1" applyFill="1" applyBorder="1" applyAlignment="1">
      <alignment horizontal="right" vertical="center" wrapText="1"/>
    </xf>
    <xf numFmtId="0" fontId="4" fillId="2" borderId="13" xfId="3" applyFont="1" applyFill="1" applyBorder="1" applyAlignment="1">
      <alignment horizontal="right" vertical="center" wrapText="1"/>
    </xf>
    <xf numFmtId="0" fontId="1" fillId="2" borderId="0" xfId="3" applyFont="1" applyFill="1" applyAlignment="1">
      <alignment horizontal="center" vertical="center"/>
    </xf>
    <xf numFmtId="0" fontId="2" fillId="2" borderId="15" xfId="3" applyFont="1" applyFill="1" applyBorder="1" applyAlignment="1">
      <alignment horizontal="center" vertical="center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3" xr:uid="{CA313D46-860E-46BA-82E4-3D8F1933C369}"/>
    <cellStyle name="Normal 3" xfId="2" xr:uid="{42E1CDA4-D8E0-4AF0-BDC6-A2FF153B7A69}"/>
    <cellStyle name="Normal 3 2" xfId="4" xr:uid="{4DB14674-4954-4F18-A6B5-B800B99DC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0D32B-AEC5-4137-AF92-6638686DC5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2A7635-BF89-435B-8B2F-D63669161DEF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CABALLES, MARK E.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5655B4D-E114-4AB4-89F5-3F387EE99E3B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EPS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E0ACF6-7C38-40B6-84F9-EED85203E2EC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5</xdr:col>
      <xdr:colOff>347452</xdr:colOff>
      <xdr:row>59</xdr:row>
      <xdr:rowOff>53914</xdr:rowOff>
    </xdr:from>
    <xdr:to>
      <xdr:col>9</xdr:col>
      <xdr:colOff>672043</xdr:colOff>
      <xdr:row>64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4701C6-28C2-434E-9B82-4F25FFECE21A}"/>
            </a:ext>
          </a:extLst>
        </xdr:cNvPr>
        <xdr:cNvSpPr txBox="1"/>
      </xdr:nvSpPr>
      <xdr:spPr>
        <a:xfrm>
          <a:off x="5871952" y="98646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02063037-CE9F-4C6D-989F-FDF0277EB05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49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3BB899-965D-4D9F-9F1A-9C9FD1BABBE4}"/>
            </a:ext>
          </a:extLst>
        </xdr:cNvPr>
        <xdr:cNvSpPr txBox="1"/>
      </xdr:nvSpPr>
      <xdr:spPr>
        <a:xfrm>
          <a:off x="573942" y="1313961"/>
          <a:ext cx="198193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CABALLES, MARK</a:t>
          </a:r>
          <a:r>
            <a:rPr lang="en-US" sz="1100" baseline="0"/>
            <a:t> E.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BEAD53-7008-44F3-A6EA-C69F8FF83C9E}"/>
            </a:ext>
          </a:extLst>
        </xdr:cNvPr>
        <xdr:cNvSpPr txBox="1"/>
      </xdr:nvSpPr>
      <xdr:spPr>
        <a:xfrm>
          <a:off x="654051" y="17335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EPS-II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803A02-50BA-4B07-BA33-B1359D90D338}"/>
            </a:ext>
          </a:extLst>
        </xdr:cNvPr>
        <xdr:cNvSpPr txBox="1"/>
      </xdr:nvSpPr>
      <xdr:spPr>
        <a:xfrm>
          <a:off x="3689123" y="1756910"/>
          <a:ext cx="14128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164697-8F1A-4A48-8AF7-3442DCFA758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480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962025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FF871B-602D-4499-A44A-AE38C84269CA}"/>
            </a:ext>
          </a:extLst>
        </xdr:cNvPr>
        <xdr:cNvSpPr txBox="1"/>
      </xdr:nvSpPr>
      <xdr:spPr>
        <a:xfrm>
          <a:off x="76200" y="5429250"/>
          <a:ext cx="37338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92E614-4734-4A88-98E5-29F07A3C2A1C}"/>
            </a:ext>
          </a:extLst>
        </xdr:cNvPr>
        <xdr:cNvSpPr txBox="1"/>
      </xdr:nvSpPr>
      <xdr:spPr>
        <a:xfrm>
          <a:off x="5257800" y="545592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8F74-ACAD-44EC-BE91-472026FBFCC4}">
  <sheetPr>
    <pageSetUpPr fitToPage="1"/>
  </sheetPr>
  <dimension ref="A1:K63"/>
  <sheetViews>
    <sheetView tabSelected="1" view="pageBreakPreview" topLeftCell="A14" zoomScale="106" zoomScaleNormal="100" zoomScaleSheetLayoutView="106" workbookViewId="0">
      <selection activeCell="F57" sqref="F57"/>
    </sheetView>
  </sheetViews>
  <sheetFormatPr defaultRowHeight="15" x14ac:dyDescent="0.25"/>
  <cols>
    <col min="1" max="1" width="39" customWidth="1"/>
    <col min="2" max="5" width="11.5703125" customWidth="1"/>
    <col min="6" max="7" width="11.5703125" style="65" customWidth="1"/>
    <col min="8" max="10" width="11.5703125" customWidth="1"/>
    <col min="11" max="11" width="26.42578125" style="58" customWidth="1"/>
  </cols>
  <sheetData>
    <row r="1" spans="1:11" s="1" customFormat="1" ht="52.5" customHeight="1" x14ac:dyDescent="0.25"/>
    <row r="2" spans="1:11" s="1" customFormat="1" ht="10.5" customHeight="1" x14ac:dyDescent="0.25">
      <c r="A2" s="95" t="s">
        <v>11</v>
      </c>
      <c r="B2" s="95"/>
      <c r="C2" s="95"/>
      <c r="D2" s="95"/>
      <c r="E2" s="95"/>
      <c r="F2" s="95"/>
      <c r="G2" s="95"/>
      <c r="H2" s="95"/>
      <c r="I2" s="95"/>
      <c r="J2" s="95"/>
    </row>
    <row r="3" spans="1:11" s="1" customFormat="1" ht="15.95" customHeight="1" x14ac:dyDescent="0.25">
      <c r="A3" s="95" t="s">
        <v>12</v>
      </c>
      <c r="B3" s="95"/>
      <c r="C3" s="95"/>
      <c r="D3" s="95"/>
      <c r="E3" s="95"/>
      <c r="F3" s="95"/>
      <c r="G3" s="95"/>
      <c r="H3" s="95"/>
      <c r="I3" s="95"/>
      <c r="J3" s="95"/>
    </row>
    <row r="4" spans="1:11" s="1" customFormat="1" ht="15.95" customHeight="1" x14ac:dyDescent="0.25">
      <c r="A4" s="95" t="s">
        <v>13</v>
      </c>
      <c r="B4" s="95"/>
      <c r="C4" s="95"/>
      <c r="D4" s="95"/>
      <c r="E4" s="95"/>
      <c r="F4" s="95"/>
      <c r="G4" s="95"/>
      <c r="H4" s="95"/>
      <c r="I4" s="95"/>
      <c r="J4" s="95"/>
    </row>
    <row r="5" spans="1:11" s="1" customFormat="1" ht="15.95" customHeight="1" x14ac:dyDescent="0.25">
      <c r="A5" s="95" t="s">
        <v>14</v>
      </c>
      <c r="B5" s="95"/>
      <c r="C5" s="95"/>
      <c r="D5" s="95"/>
      <c r="E5" s="95"/>
      <c r="F5" s="95"/>
      <c r="G5" s="95"/>
      <c r="H5" s="95"/>
      <c r="I5" s="95"/>
      <c r="J5" s="95"/>
    </row>
    <row r="6" spans="1:11" s="1" customFormat="1" ht="8.25" customHeight="1" x14ac:dyDescent="0.25"/>
    <row r="7" spans="1:11" s="1" customFormat="1" ht="12" customHeight="1" x14ac:dyDescent="0.25">
      <c r="A7" s="1" t="s">
        <v>15</v>
      </c>
      <c r="B7" s="94" t="s">
        <v>18</v>
      </c>
      <c r="C7" s="94"/>
      <c r="D7" s="94"/>
      <c r="H7" s="2" t="s">
        <v>9</v>
      </c>
      <c r="I7" s="49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16</v>
      </c>
      <c r="B9" s="94" t="s">
        <v>17</v>
      </c>
      <c r="C9" s="94"/>
      <c r="D9" s="94"/>
      <c r="H9" s="2" t="s">
        <v>10</v>
      </c>
      <c r="I9" s="50"/>
      <c r="J9" s="2"/>
    </row>
    <row r="10" spans="1:11" ht="23.25" customHeight="1" thickBot="1" x14ac:dyDescent="0.3">
      <c r="A10" s="82" t="s">
        <v>0</v>
      </c>
      <c r="B10" s="82"/>
      <c r="C10" s="82"/>
      <c r="D10" s="82"/>
      <c r="E10" s="82"/>
      <c r="F10" s="82"/>
      <c r="G10" s="82"/>
      <c r="H10" s="82"/>
      <c r="I10" s="82"/>
      <c r="J10" s="82"/>
      <c r="K10"/>
    </row>
    <row r="11" spans="1:11" ht="18.75" customHeight="1" x14ac:dyDescent="0.25">
      <c r="A11" s="83" t="s">
        <v>4</v>
      </c>
      <c r="B11" s="85" t="s">
        <v>5</v>
      </c>
      <c r="C11" s="86"/>
      <c r="D11" s="87" t="s">
        <v>6</v>
      </c>
      <c r="E11" s="88"/>
      <c r="F11" s="88"/>
      <c r="G11" s="89"/>
      <c r="H11" s="90" t="s">
        <v>7</v>
      </c>
      <c r="I11" s="91"/>
      <c r="J11" s="92" t="s">
        <v>8</v>
      </c>
      <c r="K11" s="78" t="s">
        <v>53</v>
      </c>
    </row>
    <row r="12" spans="1:11" ht="15.75" thickBot="1" x14ac:dyDescent="0.3">
      <c r="A12" s="84"/>
      <c r="B12" s="51" t="s">
        <v>1</v>
      </c>
      <c r="C12" s="51" t="s">
        <v>2</v>
      </c>
      <c r="D12" s="51" t="s">
        <v>1</v>
      </c>
      <c r="E12" s="51" t="s">
        <v>2</v>
      </c>
      <c r="F12" s="51" t="s">
        <v>3</v>
      </c>
      <c r="G12" s="51" t="s">
        <v>54</v>
      </c>
      <c r="H12" s="51" t="s">
        <v>1</v>
      </c>
      <c r="I12" s="51" t="s">
        <v>2</v>
      </c>
      <c r="J12" s="93"/>
      <c r="K12" s="78"/>
    </row>
    <row r="13" spans="1:11" ht="15.75" thickBot="1" x14ac:dyDescent="0.3">
      <c r="A13" s="79" t="s">
        <v>58</v>
      </c>
      <c r="B13" s="80"/>
      <c r="C13" s="80"/>
      <c r="D13" s="80"/>
      <c r="E13" s="80"/>
      <c r="F13" s="80"/>
      <c r="G13" s="80"/>
      <c r="H13" s="80"/>
      <c r="I13" s="80"/>
      <c r="J13" s="81"/>
      <c r="K13" s="52"/>
    </row>
    <row r="14" spans="1:11" ht="32.25" customHeight="1" x14ac:dyDescent="0.25">
      <c r="A14" s="53" t="s">
        <v>64</v>
      </c>
      <c r="B14" s="54">
        <v>4.782</v>
      </c>
      <c r="C14" s="55">
        <v>4.782</v>
      </c>
      <c r="D14" s="55"/>
      <c r="E14" s="54"/>
      <c r="F14" s="54"/>
      <c r="G14" s="54"/>
      <c r="H14" s="56">
        <f>B14</f>
        <v>4.782</v>
      </c>
      <c r="I14" s="56">
        <f>C14</f>
        <v>4.782</v>
      </c>
      <c r="J14" s="57">
        <f>SUM(H14:I14)</f>
        <v>9.5640000000000001</v>
      </c>
    </row>
    <row r="15" spans="1:11" ht="17.25" customHeight="1" x14ac:dyDescent="0.25">
      <c r="A15" s="53" t="s">
        <v>57</v>
      </c>
      <c r="B15" s="54">
        <v>1.25</v>
      </c>
      <c r="C15" s="55">
        <v>1.25</v>
      </c>
      <c r="D15" s="59"/>
      <c r="E15" s="60"/>
      <c r="F15" s="60"/>
      <c r="G15" s="60"/>
      <c r="H15" s="61">
        <f>H14-F15-D15+B15</f>
        <v>6.032</v>
      </c>
      <c r="I15" s="61">
        <f>I14-E15+C15</f>
        <v>6.032</v>
      </c>
      <c r="J15" s="62">
        <f>SUM(H15:I15)</f>
        <v>12.064</v>
      </c>
    </row>
    <row r="16" spans="1:11" ht="17.25" customHeight="1" x14ac:dyDescent="0.25">
      <c r="A16" s="53" t="s">
        <v>56</v>
      </c>
      <c r="B16" s="54">
        <v>1.25</v>
      </c>
      <c r="C16" s="55">
        <v>1.25</v>
      </c>
      <c r="D16" s="59"/>
      <c r="E16" s="60"/>
      <c r="F16" s="68"/>
      <c r="G16" s="68"/>
      <c r="H16" s="61">
        <f t="shared" ref="H16" si="0">H15-F16-D16+B16</f>
        <v>7.282</v>
      </c>
      <c r="I16" s="61">
        <f t="shared" ref="I16" si="1">I15-E16+C16</f>
        <v>7.282</v>
      </c>
      <c r="J16" s="62">
        <f t="shared" ref="J16" si="2">SUM(H16:I16)</f>
        <v>14.564</v>
      </c>
    </row>
    <row r="17" spans="1:10" ht="17.25" customHeight="1" x14ac:dyDescent="0.25">
      <c r="A17" s="53" t="s">
        <v>32</v>
      </c>
      <c r="B17" s="54"/>
      <c r="C17" s="55"/>
      <c r="D17" s="59"/>
      <c r="E17" s="60"/>
      <c r="F17" s="68"/>
      <c r="G17" s="68">
        <v>1</v>
      </c>
      <c r="H17" s="61">
        <f t="shared" ref="H17:H19" si="3">H16-F17-D17+B17</f>
        <v>7.282</v>
      </c>
      <c r="I17" s="61">
        <f t="shared" ref="I17:I19" si="4">I16-E17+C17</f>
        <v>7.282</v>
      </c>
      <c r="J17" s="62">
        <f t="shared" ref="J17:J19" si="5">SUM(H17:I17)</f>
        <v>14.564</v>
      </c>
    </row>
    <row r="18" spans="1:10" ht="15.75" customHeight="1" x14ac:dyDescent="0.25">
      <c r="A18" s="53" t="s">
        <v>29</v>
      </c>
      <c r="B18" s="60"/>
      <c r="C18" s="59"/>
      <c r="D18" s="59"/>
      <c r="E18" s="60"/>
      <c r="F18" s="68">
        <v>2</v>
      </c>
      <c r="G18" s="68"/>
      <c r="H18" s="61">
        <f t="shared" si="3"/>
        <v>5.282</v>
      </c>
      <c r="I18" s="61">
        <f t="shared" si="4"/>
        <v>7.282</v>
      </c>
      <c r="J18" s="62">
        <f t="shared" si="5"/>
        <v>12.564</v>
      </c>
    </row>
    <row r="19" spans="1:10" ht="15.75" customHeight="1" x14ac:dyDescent="0.25">
      <c r="A19" s="53" t="s">
        <v>59</v>
      </c>
      <c r="B19" s="60">
        <v>2.5</v>
      </c>
      <c r="C19" s="59">
        <v>2.5</v>
      </c>
      <c r="D19" s="59"/>
      <c r="E19" s="60"/>
      <c r="F19" s="68"/>
      <c r="G19" s="68"/>
      <c r="H19" s="61">
        <f t="shared" si="3"/>
        <v>7.782</v>
      </c>
      <c r="I19" s="61">
        <f t="shared" si="4"/>
        <v>9.782</v>
      </c>
      <c r="J19" s="62">
        <f t="shared" si="5"/>
        <v>17.564</v>
      </c>
    </row>
    <row r="20" spans="1:10" ht="17.25" hidden="1" customHeight="1" x14ac:dyDescent="0.25">
      <c r="A20" s="67"/>
      <c r="B20" s="68"/>
      <c r="C20" s="69"/>
      <c r="D20" s="69"/>
      <c r="E20" s="68"/>
      <c r="F20" s="68"/>
      <c r="G20" s="68"/>
      <c r="H20" s="61">
        <f t="shared" ref="H20:H48" si="6">H19-F20-D20+B20</f>
        <v>7.782</v>
      </c>
      <c r="I20" s="61">
        <f t="shared" ref="I20:I48" si="7">I19-E20+C20</f>
        <v>9.782</v>
      </c>
      <c r="J20" s="62">
        <f t="shared" ref="J20:J48" si="8">SUM(H20:I20)</f>
        <v>17.564</v>
      </c>
    </row>
    <row r="21" spans="1:10" ht="17.25" hidden="1" customHeight="1" x14ac:dyDescent="0.25">
      <c r="A21" s="67"/>
      <c r="B21" s="68"/>
      <c r="C21" s="69"/>
      <c r="D21" s="69"/>
      <c r="E21" s="68"/>
      <c r="F21" s="68"/>
      <c r="G21" s="68"/>
      <c r="H21" s="61">
        <f t="shared" si="6"/>
        <v>7.782</v>
      </c>
      <c r="I21" s="61">
        <f t="shared" si="7"/>
        <v>9.782</v>
      </c>
      <c r="J21" s="62">
        <f t="shared" si="8"/>
        <v>17.564</v>
      </c>
    </row>
    <row r="22" spans="1:10" ht="13.5" hidden="1" customHeight="1" x14ac:dyDescent="0.25">
      <c r="A22" s="67"/>
      <c r="B22" s="68"/>
      <c r="C22" s="69"/>
      <c r="D22" s="69"/>
      <c r="E22" s="68"/>
      <c r="F22" s="68"/>
      <c r="G22" s="68"/>
      <c r="H22" s="61">
        <f t="shared" si="6"/>
        <v>7.782</v>
      </c>
      <c r="I22" s="61">
        <f t="shared" si="7"/>
        <v>9.782</v>
      </c>
      <c r="J22" s="62">
        <f t="shared" si="8"/>
        <v>17.564</v>
      </c>
    </row>
    <row r="23" spans="1:10" ht="12" hidden="1" customHeight="1" x14ac:dyDescent="0.25">
      <c r="A23" s="53"/>
      <c r="B23" s="60"/>
      <c r="C23" s="59"/>
      <c r="D23" s="59"/>
      <c r="E23" s="60"/>
      <c r="F23" s="68"/>
      <c r="G23" s="68"/>
      <c r="H23" s="61">
        <f t="shared" si="6"/>
        <v>7.782</v>
      </c>
      <c r="I23" s="61">
        <f t="shared" si="7"/>
        <v>9.782</v>
      </c>
      <c r="J23" s="62">
        <f t="shared" si="8"/>
        <v>17.564</v>
      </c>
    </row>
    <row r="24" spans="1:10" ht="12" hidden="1" customHeight="1" x14ac:dyDescent="0.25">
      <c r="A24" s="53"/>
      <c r="B24" s="60"/>
      <c r="C24" s="59"/>
      <c r="D24" s="59"/>
      <c r="E24" s="60"/>
      <c r="F24" s="68"/>
      <c r="G24" s="68"/>
      <c r="H24" s="61">
        <f t="shared" si="6"/>
        <v>7.782</v>
      </c>
      <c r="I24" s="61">
        <f t="shared" si="7"/>
        <v>9.782</v>
      </c>
      <c r="J24" s="62">
        <f t="shared" si="8"/>
        <v>17.564</v>
      </c>
    </row>
    <row r="25" spans="1:10" ht="12" hidden="1" customHeight="1" x14ac:dyDescent="0.25">
      <c r="A25" s="53"/>
      <c r="B25" s="60"/>
      <c r="C25" s="59"/>
      <c r="D25" s="59"/>
      <c r="E25" s="60"/>
      <c r="F25" s="68"/>
      <c r="G25" s="68"/>
      <c r="H25" s="61">
        <f t="shared" si="6"/>
        <v>7.782</v>
      </c>
      <c r="I25" s="61">
        <f t="shared" si="7"/>
        <v>9.782</v>
      </c>
      <c r="J25" s="62">
        <f t="shared" si="8"/>
        <v>17.564</v>
      </c>
    </row>
    <row r="26" spans="1:10" ht="12" hidden="1" customHeight="1" x14ac:dyDescent="0.25">
      <c r="A26" s="53"/>
      <c r="B26" s="60"/>
      <c r="C26" s="59"/>
      <c r="D26" s="59"/>
      <c r="E26" s="60"/>
      <c r="F26" s="68"/>
      <c r="G26" s="68"/>
      <c r="H26" s="61">
        <f t="shared" si="6"/>
        <v>7.782</v>
      </c>
      <c r="I26" s="61">
        <f t="shared" si="7"/>
        <v>9.782</v>
      </c>
      <c r="J26" s="62">
        <f t="shared" si="8"/>
        <v>17.564</v>
      </c>
    </row>
    <row r="27" spans="1:10" ht="12" hidden="1" customHeight="1" x14ac:dyDescent="0.25">
      <c r="A27" s="53"/>
      <c r="B27" s="60"/>
      <c r="C27" s="59"/>
      <c r="D27" s="59"/>
      <c r="E27" s="60"/>
      <c r="F27" s="68"/>
      <c r="G27" s="68"/>
      <c r="H27" s="61">
        <f t="shared" si="6"/>
        <v>7.782</v>
      </c>
      <c r="I27" s="61">
        <f t="shared" si="7"/>
        <v>9.782</v>
      </c>
      <c r="J27" s="62">
        <f t="shared" si="8"/>
        <v>17.564</v>
      </c>
    </row>
    <row r="28" spans="1:10" ht="12" hidden="1" customHeight="1" x14ac:dyDescent="0.25">
      <c r="A28" s="53"/>
      <c r="B28" s="60"/>
      <c r="C28" s="59"/>
      <c r="D28" s="59"/>
      <c r="E28" s="60"/>
      <c r="F28" s="68"/>
      <c r="G28" s="68"/>
      <c r="H28" s="61">
        <f t="shared" si="6"/>
        <v>7.782</v>
      </c>
      <c r="I28" s="61">
        <f t="shared" si="7"/>
        <v>9.782</v>
      </c>
      <c r="J28" s="62">
        <f t="shared" si="8"/>
        <v>17.564</v>
      </c>
    </row>
    <row r="29" spans="1:10" ht="16.5" hidden="1" customHeight="1" x14ac:dyDescent="0.25">
      <c r="A29" s="53"/>
      <c r="B29" s="60"/>
      <c r="C29" s="59"/>
      <c r="D29" s="59"/>
      <c r="E29" s="60"/>
      <c r="F29" s="68"/>
      <c r="G29" s="68"/>
      <c r="H29" s="61">
        <f t="shared" si="6"/>
        <v>7.782</v>
      </c>
      <c r="I29" s="61">
        <f t="shared" si="7"/>
        <v>9.782</v>
      </c>
      <c r="J29" s="62">
        <f t="shared" si="8"/>
        <v>17.564</v>
      </c>
    </row>
    <row r="30" spans="1:10" ht="12" hidden="1" customHeight="1" x14ac:dyDescent="0.25">
      <c r="A30" s="53"/>
      <c r="B30" s="60"/>
      <c r="C30" s="59"/>
      <c r="D30" s="59"/>
      <c r="E30" s="60"/>
      <c r="F30" s="68"/>
      <c r="G30" s="68"/>
      <c r="H30" s="61">
        <f t="shared" si="6"/>
        <v>7.782</v>
      </c>
      <c r="I30" s="61">
        <f t="shared" si="7"/>
        <v>9.782</v>
      </c>
      <c r="J30" s="62">
        <f t="shared" si="8"/>
        <v>17.564</v>
      </c>
    </row>
    <row r="31" spans="1:10" ht="12" hidden="1" customHeight="1" x14ac:dyDescent="0.25">
      <c r="A31" s="53"/>
      <c r="B31" s="60"/>
      <c r="C31" s="59"/>
      <c r="D31" s="59"/>
      <c r="E31" s="60"/>
      <c r="F31" s="68"/>
      <c r="G31" s="68"/>
      <c r="H31" s="61">
        <f t="shared" si="6"/>
        <v>7.782</v>
      </c>
      <c r="I31" s="61">
        <f t="shared" si="7"/>
        <v>9.782</v>
      </c>
      <c r="J31" s="62">
        <f t="shared" si="8"/>
        <v>17.564</v>
      </c>
    </row>
    <row r="32" spans="1:10" ht="12" hidden="1" customHeight="1" x14ac:dyDescent="0.25">
      <c r="A32" s="53"/>
      <c r="B32" s="60"/>
      <c r="C32" s="59"/>
      <c r="D32" s="59"/>
      <c r="E32" s="60"/>
      <c r="F32" s="68"/>
      <c r="G32" s="68"/>
      <c r="H32" s="61">
        <f t="shared" si="6"/>
        <v>7.782</v>
      </c>
      <c r="I32" s="61">
        <f t="shared" si="7"/>
        <v>9.782</v>
      </c>
      <c r="J32" s="62">
        <f t="shared" si="8"/>
        <v>17.564</v>
      </c>
    </row>
    <row r="33" spans="1:11" ht="12" hidden="1" customHeight="1" x14ac:dyDescent="0.25">
      <c r="A33" s="53"/>
      <c r="B33" s="60"/>
      <c r="C33" s="59"/>
      <c r="D33" s="59"/>
      <c r="E33" s="60"/>
      <c r="F33" s="68"/>
      <c r="G33" s="68"/>
      <c r="H33" s="61">
        <f t="shared" si="6"/>
        <v>7.782</v>
      </c>
      <c r="I33" s="61">
        <f t="shared" si="7"/>
        <v>9.782</v>
      </c>
      <c r="J33" s="62">
        <f t="shared" si="8"/>
        <v>17.564</v>
      </c>
    </row>
    <row r="34" spans="1:11" ht="12" hidden="1" customHeight="1" x14ac:dyDescent="0.25">
      <c r="A34" s="53"/>
      <c r="B34" s="60"/>
      <c r="C34" s="59"/>
      <c r="D34" s="59"/>
      <c r="E34" s="60"/>
      <c r="F34" s="68"/>
      <c r="G34" s="68"/>
      <c r="H34" s="61">
        <f t="shared" si="6"/>
        <v>7.782</v>
      </c>
      <c r="I34" s="61">
        <f t="shared" si="7"/>
        <v>9.782</v>
      </c>
      <c r="J34" s="62">
        <f t="shared" si="8"/>
        <v>17.564</v>
      </c>
    </row>
    <row r="35" spans="1:11" ht="12" hidden="1" customHeight="1" x14ac:dyDescent="0.25">
      <c r="A35" s="53"/>
      <c r="B35" s="60"/>
      <c r="C35" s="60"/>
      <c r="D35" s="59"/>
      <c r="E35" s="60"/>
      <c r="F35" s="68"/>
      <c r="G35" s="68"/>
      <c r="H35" s="61">
        <f t="shared" si="6"/>
        <v>7.782</v>
      </c>
      <c r="I35" s="61">
        <f t="shared" si="7"/>
        <v>9.782</v>
      </c>
      <c r="J35" s="62">
        <f t="shared" si="8"/>
        <v>17.564</v>
      </c>
    </row>
    <row r="36" spans="1:11" s="64" customFormat="1" ht="12" hidden="1" customHeight="1" x14ac:dyDescent="0.25">
      <c r="A36" s="53"/>
      <c r="B36" s="60"/>
      <c r="C36" s="59"/>
      <c r="D36" s="59"/>
      <c r="E36" s="60"/>
      <c r="F36" s="68"/>
      <c r="G36" s="68"/>
      <c r="H36" s="61">
        <f t="shared" si="6"/>
        <v>7.782</v>
      </c>
      <c r="I36" s="61">
        <f t="shared" si="7"/>
        <v>9.782</v>
      </c>
      <c r="J36" s="62">
        <f t="shared" si="8"/>
        <v>17.564</v>
      </c>
      <c r="K36" s="63"/>
    </row>
    <row r="37" spans="1:11" s="64" customFormat="1" ht="12" hidden="1" customHeight="1" x14ac:dyDescent="0.25">
      <c r="A37" s="53"/>
      <c r="B37" s="60"/>
      <c r="C37" s="60"/>
      <c r="D37" s="59"/>
      <c r="E37" s="60"/>
      <c r="F37" s="68"/>
      <c r="G37" s="68"/>
      <c r="H37" s="61">
        <f t="shared" si="6"/>
        <v>7.782</v>
      </c>
      <c r="I37" s="61">
        <f t="shared" si="7"/>
        <v>9.782</v>
      </c>
      <c r="J37" s="62">
        <f t="shared" si="8"/>
        <v>17.564</v>
      </c>
      <c r="K37" s="63"/>
    </row>
    <row r="38" spans="1:11" s="64" customFormat="1" ht="12" hidden="1" customHeight="1" x14ac:dyDescent="0.25">
      <c r="A38" s="53"/>
      <c r="B38" s="60"/>
      <c r="C38" s="59"/>
      <c r="D38" s="59"/>
      <c r="E38" s="60"/>
      <c r="F38" s="68"/>
      <c r="G38" s="68"/>
      <c r="H38" s="61">
        <f t="shared" si="6"/>
        <v>7.782</v>
      </c>
      <c r="I38" s="61">
        <f t="shared" si="7"/>
        <v>9.782</v>
      </c>
      <c r="J38" s="62">
        <f t="shared" si="8"/>
        <v>17.564</v>
      </c>
      <c r="K38" s="63"/>
    </row>
    <row r="39" spans="1:11" s="64" customFormat="1" ht="12.75" hidden="1" customHeight="1" x14ac:dyDescent="0.25">
      <c r="A39" s="53"/>
      <c r="B39" s="60"/>
      <c r="C39" s="59"/>
      <c r="D39" s="59"/>
      <c r="E39" s="60"/>
      <c r="F39" s="68"/>
      <c r="G39" s="68"/>
      <c r="H39" s="61">
        <f t="shared" si="6"/>
        <v>7.782</v>
      </c>
      <c r="I39" s="61">
        <f t="shared" si="7"/>
        <v>9.782</v>
      </c>
      <c r="J39" s="62">
        <f t="shared" si="8"/>
        <v>17.564</v>
      </c>
      <c r="K39" s="63"/>
    </row>
    <row r="40" spans="1:11" ht="12" hidden="1" customHeight="1" x14ac:dyDescent="0.25">
      <c r="A40" s="53"/>
      <c r="B40" s="60"/>
      <c r="C40" s="59"/>
      <c r="D40" s="59"/>
      <c r="E40" s="60"/>
      <c r="F40" s="68"/>
      <c r="G40" s="68"/>
      <c r="H40" s="61">
        <f t="shared" si="6"/>
        <v>7.782</v>
      </c>
      <c r="I40" s="61">
        <f t="shared" si="7"/>
        <v>9.782</v>
      </c>
      <c r="J40" s="62">
        <f t="shared" si="8"/>
        <v>17.564</v>
      </c>
    </row>
    <row r="41" spans="1:11" s="64" customFormat="1" ht="12" hidden="1" customHeight="1" x14ac:dyDescent="0.25">
      <c r="A41" s="53"/>
      <c r="B41" s="60"/>
      <c r="C41" s="59"/>
      <c r="D41" s="59"/>
      <c r="E41" s="60"/>
      <c r="F41" s="68"/>
      <c r="G41" s="68"/>
      <c r="H41" s="61">
        <f t="shared" si="6"/>
        <v>7.782</v>
      </c>
      <c r="I41" s="61">
        <f t="shared" si="7"/>
        <v>9.782</v>
      </c>
      <c r="J41" s="62">
        <f t="shared" si="8"/>
        <v>17.564</v>
      </c>
      <c r="K41" s="63"/>
    </row>
    <row r="42" spans="1:11" s="64" customFormat="1" ht="15" hidden="1" customHeight="1" x14ac:dyDescent="0.25">
      <c r="A42" s="53"/>
      <c r="B42" s="60"/>
      <c r="C42" s="59"/>
      <c r="D42" s="59"/>
      <c r="E42" s="60"/>
      <c r="F42" s="68"/>
      <c r="G42" s="68"/>
      <c r="H42" s="61">
        <f t="shared" si="6"/>
        <v>7.782</v>
      </c>
      <c r="I42" s="61">
        <f t="shared" si="7"/>
        <v>9.782</v>
      </c>
      <c r="J42" s="62">
        <f t="shared" si="8"/>
        <v>17.564</v>
      </c>
      <c r="K42" s="63"/>
    </row>
    <row r="43" spans="1:11" s="64" customFormat="1" ht="16.5" hidden="1" customHeight="1" x14ac:dyDescent="0.25">
      <c r="A43" s="53"/>
      <c r="B43" s="60"/>
      <c r="C43" s="59"/>
      <c r="D43" s="59"/>
      <c r="E43" s="60"/>
      <c r="F43" s="68"/>
      <c r="G43" s="68"/>
      <c r="H43" s="61">
        <f t="shared" si="6"/>
        <v>7.782</v>
      </c>
      <c r="I43" s="61">
        <f t="shared" si="7"/>
        <v>9.782</v>
      </c>
      <c r="J43" s="62">
        <f t="shared" si="8"/>
        <v>17.564</v>
      </c>
      <c r="K43" s="63"/>
    </row>
    <row r="44" spans="1:11" s="64" customFormat="1" ht="16.5" hidden="1" customHeight="1" x14ac:dyDescent="0.25">
      <c r="A44" s="53"/>
      <c r="B44" s="60"/>
      <c r="C44" s="59"/>
      <c r="D44" s="59"/>
      <c r="E44" s="60"/>
      <c r="F44" s="68"/>
      <c r="G44" s="68"/>
      <c r="H44" s="61">
        <f t="shared" si="6"/>
        <v>7.782</v>
      </c>
      <c r="I44" s="61">
        <f t="shared" si="7"/>
        <v>9.782</v>
      </c>
      <c r="J44" s="62">
        <f t="shared" si="8"/>
        <v>17.564</v>
      </c>
      <c r="K44" s="63"/>
    </row>
    <row r="45" spans="1:11" hidden="1" x14ac:dyDescent="0.25">
      <c r="A45" s="53"/>
      <c r="B45" s="60"/>
      <c r="C45" s="59"/>
      <c r="D45" s="59"/>
      <c r="E45" s="60"/>
      <c r="F45" s="68"/>
      <c r="G45" s="68"/>
      <c r="H45" s="61">
        <f t="shared" si="6"/>
        <v>7.782</v>
      </c>
      <c r="I45" s="61">
        <f t="shared" si="7"/>
        <v>9.782</v>
      </c>
      <c r="J45" s="62">
        <f t="shared" si="8"/>
        <v>17.564</v>
      </c>
    </row>
    <row r="46" spans="1:11" hidden="1" x14ac:dyDescent="0.25">
      <c r="A46" s="53"/>
      <c r="B46" s="60"/>
      <c r="C46" s="59"/>
      <c r="D46" s="59"/>
      <c r="E46" s="60"/>
      <c r="F46" s="68"/>
      <c r="G46" s="68"/>
      <c r="H46" s="61">
        <f t="shared" si="6"/>
        <v>7.782</v>
      </c>
      <c r="I46" s="61">
        <f t="shared" si="7"/>
        <v>9.782</v>
      </c>
      <c r="J46" s="62">
        <f t="shared" si="8"/>
        <v>17.564</v>
      </c>
    </row>
    <row r="47" spans="1:11" hidden="1" x14ac:dyDescent="0.25">
      <c r="A47" s="53"/>
      <c r="B47" s="60"/>
      <c r="C47" s="59"/>
      <c r="D47" s="59"/>
      <c r="E47" s="60"/>
      <c r="F47" s="68"/>
      <c r="G47" s="68"/>
      <c r="H47" s="61">
        <f t="shared" si="6"/>
        <v>7.782</v>
      </c>
      <c r="I47" s="61">
        <f t="shared" si="7"/>
        <v>9.782</v>
      </c>
      <c r="J47" s="62">
        <f t="shared" si="8"/>
        <v>17.564</v>
      </c>
    </row>
    <row r="48" spans="1:11" x14ac:dyDescent="0.25">
      <c r="A48" s="59" t="s">
        <v>60</v>
      </c>
      <c r="B48" s="60"/>
      <c r="C48" s="59"/>
      <c r="D48" s="59"/>
      <c r="E48" s="60"/>
      <c r="F48" s="68"/>
      <c r="G48" s="68">
        <v>1</v>
      </c>
      <c r="H48" s="61">
        <f t="shared" si="6"/>
        <v>7.782</v>
      </c>
      <c r="I48" s="61">
        <f t="shared" si="7"/>
        <v>9.782</v>
      </c>
      <c r="J48" s="62">
        <f t="shared" si="8"/>
        <v>17.564</v>
      </c>
    </row>
    <row r="49" spans="1:10" x14ac:dyDescent="0.25">
      <c r="A49" s="71" t="s">
        <v>61</v>
      </c>
      <c r="B49" s="71">
        <v>1.25</v>
      </c>
      <c r="C49" s="71">
        <v>1.25</v>
      </c>
      <c r="D49" s="70"/>
      <c r="E49" s="70"/>
      <c r="F49" s="68"/>
      <c r="G49" s="68"/>
      <c r="H49" s="61">
        <f t="shared" ref="H49:H50" si="9">H48-F49-D49+B49</f>
        <v>9.032</v>
      </c>
      <c r="I49" s="61">
        <f t="shared" ref="I49:I50" si="10">I48-E49+C49</f>
        <v>11.032</v>
      </c>
      <c r="J49" s="62">
        <f t="shared" ref="J49:J50" si="11">SUM(H49:I49)</f>
        <v>20.064</v>
      </c>
    </row>
    <row r="50" spans="1:10" x14ac:dyDescent="0.25">
      <c r="A50" s="71" t="s">
        <v>62</v>
      </c>
      <c r="B50" s="71"/>
      <c r="C50" s="71"/>
      <c r="D50" s="70"/>
      <c r="E50" s="70"/>
      <c r="F50" s="68">
        <v>3</v>
      </c>
      <c r="G50" s="68"/>
      <c r="H50" s="61">
        <f t="shared" si="9"/>
        <v>6.032</v>
      </c>
      <c r="I50" s="61">
        <f t="shared" si="10"/>
        <v>11.032</v>
      </c>
      <c r="J50" s="62">
        <f t="shared" si="11"/>
        <v>17.064</v>
      </c>
    </row>
    <row r="51" spans="1:10" x14ac:dyDescent="0.25">
      <c r="A51" s="71" t="s">
        <v>65</v>
      </c>
      <c r="B51" s="71">
        <v>1.25</v>
      </c>
      <c r="C51" s="71">
        <v>1.25</v>
      </c>
      <c r="D51" s="70"/>
      <c r="E51" s="70"/>
      <c r="F51" s="68"/>
      <c r="G51" s="68"/>
      <c r="H51" s="61">
        <f t="shared" ref="H51:H52" si="12">H50-F51-D51+B51</f>
        <v>7.282</v>
      </c>
      <c r="I51" s="61">
        <f t="shared" ref="I51:I52" si="13">I50-E51+C51</f>
        <v>12.282</v>
      </c>
      <c r="J51" s="62">
        <f t="shared" ref="J51:J52" si="14">SUM(H51:I51)</f>
        <v>19.564</v>
      </c>
    </row>
    <row r="52" spans="1:10" x14ac:dyDescent="0.25">
      <c r="A52" s="71" t="s">
        <v>70</v>
      </c>
      <c r="B52" s="71">
        <v>6.25</v>
      </c>
      <c r="C52" s="71">
        <v>6.25</v>
      </c>
      <c r="D52" s="70"/>
      <c r="E52" s="70"/>
      <c r="F52" s="68"/>
      <c r="G52" s="68"/>
      <c r="H52" s="61">
        <f t="shared" si="12"/>
        <v>13.532</v>
      </c>
      <c r="I52" s="61">
        <f t="shared" si="13"/>
        <v>18.532</v>
      </c>
      <c r="J52" s="62">
        <f t="shared" si="14"/>
        <v>32.064</v>
      </c>
    </row>
    <row r="53" spans="1:10" x14ac:dyDescent="0.25">
      <c r="A53" s="71" t="s">
        <v>71</v>
      </c>
      <c r="B53" s="71"/>
      <c r="C53" s="71"/>
      <c r="D53" s="70"/>
      <c r="E53" s="70"/>
      <c r="F53" s="68"/>
      <c r="G53" s="75">
        <v>1</v>
      </c>
      <c r="H53" s="61">
        <f t="shared" ref="H53" si="15">H52-F53-D53+B53</f>
        <v>13.532</v>
      </c>
      <c r="I53" s="61">
        <f t="shared" ref="I53" si="16">I52-E53+C53</f>
        <v>18.532</v>
      </c>
      <c r="J53" s="62">
        <f t="shared" ref="J53" si="17">SUM(H53:I53)</f>
        <v>32.064</v>
      </c>
    </row>
    <row r="54" spans="1:10" x14ac:dyDescent="0.25">
      <c r="A54" s="71" t="s">
        <v>72</v>
      </c>
      <c r="B54" s="71">
        <v>1.25</v>
      </c>
      <c r="C54" s="71">
        <v>1.25</v>
      </c>
      <c r="D54" s="70"/>
      <c r="E54" s="70"/>
      <c r="F54" s="68"/>
      <c r="G54" s="68"/>
      <c r="H54" s="61">
        <f t="shared" ref="H54:H55" si="18">H53-F54-D54+B54</f>
        <v>14.782</v>
      </c>
      <c r="I54" s="61">
        <f t="shared" ref="I54:I55" si="19">I53-E54+C54</f>
        <v>19.782</v>
      </c>
      <c r="J54" s="62">
        <f t="shared" ref="J54:J55" si="20">SUM(H54:I54)</f>
        <v>34.564</v>
      </c>
    </row>
    <row r="55" spans="1:10" x14ac:dyDescent="0.25">
      <c r="A55" s="71" t="s">
        <v>73</v>
      </c>
      <c r="B55" s="71"/>
      <c r="C55" s="71"/>
      <c r="D55" s="70"/>
      <c r="E55" s="70"/>
      <c r="F55" s="76">
        <v>4</v>
      </c>
      <c r="G55" s="68"/>
      <c r="H55" s="61">
        <f t="shared" si="18"/>
        <v>10.782</v>
      </c>
      <c r="I55" s="61">
        <f t="shared" si="19"/>
        <v>19.782</v>
      </c>
      <c r="J55" s="62">
        <f t="shared" si="20"/>
        <v>30.564</v>
      </c>
    </row>
    <row r="56" spans="1:10" x14ac:dyDescent="0.25">
      <c r="A56" s="71" t="s">
        <v>76</v>
      </c>
      <c r="B56" s="71">
        <v>1.25</v>
      </c>
      <c r="C56" s="71">
        <v>1.25</v>
      </c>
      <c r="D56" s="70"/>
      <c r="E56" s="70"/>
      <c r="F56" s="68"/>
      <c r="G56" s="68"/>
      <c r="H56" s="61">
        <f t="shared" ref="H56" si="21">H55-F56-D56+B56</f>
        <v>12.032</v>
      </c>
      <c r="I56" s="61">
        <f t="shared" ref="I56" si="22">I55-E56+C56</f>
        <v>21.032</v>
      </c>
      <c r="J56" s="62">
        <f t="shared" ref="J56" si="23">SUM(H56:I56)</f>
        <v>33.064</v>
      </c>
    </row>
    <row r="57" spans="1:10" ht="30.75" customHeight="1" x14ac:dyDescent="0.25">
      <c r="A57" s="77" t="s">
        <v>75</v>
      </c>
      <c r="B57" s="68">
        <v>4</v>
      </c>
      <c r="C57" s="71"/>
      <c r="D57" s="70"/>
      <c r="E57" s="70"/>
      <c r="F57" s="68"/>
      <c r="G57" s="68"/>
      <c r="H57" s="61">
        <f t="shared" ref="H57" si="24">H56-F57-D57+B57</f>
        <v>16.032</v>
      </c>
      <c r="I57" s="61">
        <f t="shared" ref="I57" si="25">I56-E57+C57</f>
        <v>21.032</v>
      </c>
      <c r="J57" s="62">
        <f t="shared" ref="J57" si="26">SUM(H57:I57)</f>
        <v>37.064</v>
      </c>
    </row>
    <row r="58" spans="1:10" ht="18.75" customHeight="1" x14ac:dyDescent="0.25">
      <c r="A58" s="77"/>
      <c r="B58" s="68"/>
      <c r="C58" s="71"/>
      <c r="D58" s="70"/>
      <c r="E58" s="70"/>
      <c r="F58" s="68"/>
      <c r="G58" s="68"/>
      <c r="H58" s="61"/>
      <c r="I58" s="61"/>
      <c r="J58" s="61"/>
    </row>
    <row r="59" spans="1:10" x14ac:dyDescent="0.25">
      <c r="H59" s="66"/>
      <c r="I59" s="66"/>
      <c r="J59" s="66"/>
    </row>
    <row r="63" spans="1:10" x14ac:dyDescent="0.25">
      <c r="C63" t="s">
        <v>74</v>
      </c>
      <c r="F63" s="65" t="s">
        <v>55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98A8-B99F-475D-84F1-C70703EAE332}">
  <sheetPr>
    <pageSetUpPr fitToPage="1"/>
  </sheetPr>
  <dimension ref="A1:L25"/>
  <sheetViews>
    <sheetView view="pageBreakPreview" zoomScaleNormal="100" zoomScaleSheetLayoutView="100" workbookViewId="0">
      <selection activeCell="B16" sqref="B16:E16"/>
    </sheetView>
  </sheetViews>
  <sheetFormatPr defaultRowHeight="15" x14ac:dyDescent="0.25"/>
  <cols>
    <col min="1" max="1" width="26.85546875" style="13" customWidth="1"/>
    <col min="2" max="2" width="11.42578125" style="13" customWidth="1"/>
    <col min="3" max="4" width="9.140625" style="13"/>
    <col min="5" max="5" width="13" style="13" customWidth="1"/>
    <col min="6" max="8" width="9.140625" style="13"/>
    <col min="9" max="9" width="6.140625" style="13" customWidth="1"/>
    <col min="10" max="10" width="9.140625" style="13"/>
    <col min="11" max="11" width="9.140625" style="13" customWidth="1"/>
    <col min="12" max="12" width="9.140625" style="13"/>
  </cols>
  <sheetData>
    <row r="1" spans="1:12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101" t="s">
        <v>11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</row>
    <row r="5" spans="1:12" x14ac:dyDescent="0.25">
      <c r="A5" s="101" t="s">
        <v>12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</row>
    <row r="6" spans="1:12" x14ac:dyDescent="0.25">
      <c r="A6" s="101" t="s">
        <v>13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</row>
    <row r="7" spans="1:12" x14ac:dyDescent="0.25">
      <c r="A7" s="101" t="s">
        <v>14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 t="s">
        <v>15</v>
      </c>
      <c r="B9" s="4"/>
      <c r="C9" s="5" t="s">
        <v>18</v>
      </c>
      <c r="D9" s="5"/>
      <c r="E9" s="4"/>
      <c r="F9" s="4"/>
      <c r="G9" s="5" t="s">
        <v>9</v>
      </c>
      <c r="H9" s="6"/>
      <c r="I9" s="4"/>
      <c r="J9" s="4"/>
      <c r="K9" s="4"/>
      <c r="L9" s="4"/>
    </row>
    <row r="10" spans="1:12" x14ac:dyDescent="0.25">
      <c r="A10" s="4"/>
      <c r="B10" s="4"/>
      <c r="C10" s="7"/>
      <c r="D10" s="4"/>
      <c r="E10" s="4"/>
      <c r="F10" s="4"/>
      <c r="G10" s="7"/>
      <c r="H10" s="7"/>
      <c r="I10" s="4"/>
      <c r="J10" s="4"/>
      <c r="K10" s="4"/>
      <c r="L10" s="4"/>
    </row>
    <row r="11" spans="1:12" x14ac:dyDescent="0.25">
      <c r="A11" s="4" t="s">
        <v>16</v>
      </c>
      <c r="B11" s="4"/>
      <c r="C11" s="5" t="s">
        <v>17</v>
      </c>
      <c r="D11" s="5"/>
      <c r="E11" s="4"/>
      <c r="F11" s="4"/>
      <c r="G11" s="5" t="s">
        <v>10</v>
      </c>
      <c r="H11" s="8"/>
      <c r="I11" s="4"/>
      <c r="J11" s="4"/>
      <c r="K11" s="4"/>
      <c r="L11" s="4"/>
    </row>
    <row r="12" spans="1:12" ht="21.75" thickBot="1" x14ac:dyDescent="0.3">
      <c r="A12" s="102" t="s">
        <v>19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</row>
    <row r="13" spans="1:12" x14ac:dyDescent="0.25">
      <c r="A13" s="108" t="s">
        <v>4</v>
      </c>
      <c r="B13" s="113" t="s">
        <v>5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03" t="s">
        <v>8</v>
      </c>
    </row>
    <row r="14" spans="1:12" x14ac:dyDescent="0.25">
      <c r="A14" s="109"/>
      <c r="B14" s="105" t="s">
        <v>20</v>
      </c>
      <c r="C14" s="106"/>
      <c r="D14" s="106"/>
      <c r="E14" s="107"/>
      <c r="F14" s="105" t="s">
        <v>21</v>
      </c>
      <c r="G14" s="107"/>
      <c r="H14" s="105" t="s">
        <v>22</v>
      </c>
      <c r="I14" s="107"/>
      <c r="J14" s="105" t="s">
        <v>23</v>
      </c>
      <c r="K14" s="107"/>
      <c r="L14" s="104"/>
    </row>
    <row r="15" spans="1:12" ht="30" customHeight="1" x14ac:dyDescent="0.25">
      <c r="A15" s="15" t="s">
        <v>30</v>
      </c>
      <c r="B15" s="110" t="s">
        <v>31</v>
      </c>
      <c r="C15" s="112"/>
      <c r="D15" s="112"/>
      <c r="E15" s="111"/>
      <c r="F15" s="110">
        <v>1</v>
      </c>
      <c r="G15" s="111"/>
      <c r="H15" s="110">
        <v>0</v>
      </c>
      <c r="I15" s="111"/>
      <c r="J15" s="110">
        <v>1</v>
      </c>
      <c r="K15" s="111"/>
      <c r="L15" s="14">
        <v>1</v>
      </c>
    </row>
    <row r="16" spans="1:12" ht="30" customHeight="1" x14ac:dyDescent="0.25">
      <c r="A16" s="15" t="s">
        <v>32</v>
      </c>
      <c r="B16" s="110" t="s">
        <v>31</v>
      </c>
      <c r="C16" s="112"/>
      <c r="D16" s="112"/>
      <c r="E16" s="111"/>
      <c r="F16" s="110"/>
      <c r="G16" s="111"/>
      <c r="H16" s="110">
        <v>1</v>
      </c>
      <c r="I16" s="111"/>
      <c r="J16" s="110">
        <v>0</v>
      </c>
      <c r="K16" s="111"/>
      <c r="L16" s="16">
        <v>0</v>
      </c>
    </row>
    <row r="17" spans="1:12" ht="30" customHeight="1" x14ac:dyDescent="0.25">
      <c r="A17" s="72" t="s">
        <v>67</v>
      </c>
      <c r="B17" s="96" t="s">
        <v>68</v>
      </c>
      <c r="C17" s="97"/>
      <c r="D17" s="97"/>
      <c r="E17" s="98"/>
      <c r="F17" s="96">
        <v>3</v>
      </c>
      <c r="G17" s="98"/>
      <c r="H17" s="96">
        <v>0</v>
      </c>
      <c r="I17" s="98"/>
      <c r="J17" s="96">
        <v>3</v>
      </c>
      <c r="K17" s="98"/>
      <c r="L17" s="73">
        <v>3</v>
      </c>
    </row>
    <row r="18" spans="1:12" ht="30" customHeight="1" x14ac:dyDescent="0.25">
      <c r="A18" s="72" t="s">
        <v>69</v>
      </c>
      <c r="B18" s="96" t="s">
        <v>68</v>
      </c>
      <c r="C18" s="97"/>
      <c r="D18" s="97"/>
      <c r="E18" s="98"/>
      <c r="F18" s="96"/>
      <c r="G18" s="98"/>
      <c r="H18" s="96">
        <v>3</v>
      </c>
      <c r="I18" s="98"/>
      <c r="J18" s="96">
        <v>0</v>
      </c>
      <c r="K18" s="98"/>
      <c r="L18" s="74">
        <v>0</v>
      </c>
    </row>
    <row r="19" spans="1:12" x14ac:dyDescent="0.25">
      <c r="A19" s="9" t="s">
        <v>24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</row>
    <row r="20" spans="1:12" ht="4.5" customHeight="1" x14ac:dyDescent="0.25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</row>
    <row r="21" spans="1:12" x14ac:dyDescent="0.25">
      <c r="C21" s="12"/>
      <c r="D21" s="4"/>
      <c r="E21" s="4"/>
      <c r="F21" s="4"/>
      <c r="G21" s="4"/>
      <c r="H21" s="4" t="s">
        <v>25</v>
      </c>
      <c r="I21" s="4"/>
      <c r="J21" s="4"/>
      <c r="K21" s="4"/>
      <c r="L21" s="4"/>
    </row>
    <row r="22" spans="1:12" ht="12.75" customHeight="1" x14ac:dyDescent="0.25">
      <c r="C22" s="12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H23" s="17" t="s">
        <v>26</v>
      </c>
      <c r="I23" s="17"/>
      <c r="J23" s="18"/>
    </row>
    <row r="24" spans="1:12" x14ac:dyDescent="0.25">
      <c r="H24" s="13" t="s">
        <v>27</v>
      </c>
    </row>
    <row r="25" spans="1:12" x14ac:dyDescent="0.25">
      <c r="H25" s="100" t="s">
        <v>28</v>
      </c>
      <c r="I25" s="100"/>
    </row>
  </sheetData>
  <mergeCells count="30">
    <mergeCell ref="F16:G16"/>
    <mergeCell ref="H16:I16"/>
    <mergeCell ref="J16:K16"/>
    <mergeCell ref="B16:E16"/>
    <mergeCell ref="B13:K13"/>
    <mergeCell ref="B15:E15"/>
    <mergeCell ref="F15:G15"/>
    <mergeCell ref="H15:I15"/>
    <mergeCell ref="J15:K15"/>
    <mergeCell ref="H25:I25"/>
    <mergeCell ref="A4:L4"/>
    <mergeCell ref="A5:L5"/>
    <mergeCell ref="A6:L6"/>
    <mergeCell ref="A7:L7"/>
    <mergeCell ref="A12:L12"/>
    <mergeCell ref="L13:L14"/>
    <mergeCell ref="B14:E14"/>
    <mergeCell ref="F14:G14"/>
    <mergeCell ref="H14:I14"/>
    <mergeCell ref="J14:K14"/>
    <mergeCell ref="F17:G17"/>
    <mergeCell ref="H17:I17"/>
    <mergeCell ref="J17:K17"/>
    <mergeCell ref="B17:E17"/>
    <mergeCell ref="A13:A14"/>
    <mergeCell ref="B18:E18"/>
    <mergeCell ref="F18:G18"/>
    <mergeCell ref="H18:I18"/>
    <mergeCell ref="J18:K18"/>
    <mergeCell ref="A20:L20"/>
  </mergeCells>
  <phoneticPr fontId="5" type="noConversion"/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27A8-D05B-4E91-8FEE-6E4C72C8208C}">
  <dimension ref="A1:G21"/>
  <sheetViews>
    <sheetView view="pageBreakPreview" zoomScaleNormal="100" workbookViewId="0">
      <selection activeCell="C17" sqref="C17"/>
    </sheetView>
  </sheetViews>
  <sheetFormatPr defaultColWidth="9" defaultRowHeight="15" x14ac:dyDescent="0.25"/>
  <cols>
    <col min="1" max="1" width="23.85546875" style="27" customWidth="1"/>
    <col min="2" max="2" width="18.85546875" style="27" customWidth="1"/>
    <col min="3" max="3" width="35" style="43" customWidth="1"/>
    <col min="4" max="4" width="11.7109375" style="44" customWidth="1"/>
    <col min="5" max="5" width="11" style="27" customWidth="1"/>
    <col min="6" max="6" width="11.85546875" style="44" customWidth="1"/>
    <col min="7" max="7" width="22" style="27" customWidth="1"/>
    <col min="8" max="16384" width="9" style="27"/>
  </cols>
  <sheetData>
    <row r="1" spans="1:7" s="19" customFormat="1" ht="52.5" customHeight="1" x14ac:dyDescent="0.25">
      <c r="E1" s="20"/>
    </row>
    <row r="2" spans="1:7" s="19" customFormat="1" ht="10.5" customHeight="1" x14ac:dyDescent="0.25">
      <c r="A2" s="118" t="s">
        <v>11</v>
      </c>
      <c r="B2" s="118"/>
      <c r="C2" s="118"/>
      <c r="D2" s="118"/>
      <c r="E2" s="118"/>
      <c r="F2" s="118"/>
      <c r="G2" s="118"/>
    </row>
    <row r="3" spans="1:7" s="19" customFormat="1" ht="15.95" customHeight="1" x14ac:dyDescent="0.25">
      <c r="A3" s="118" t="s">
        <v>12</v>
      </c>
      <c r="B3" s="118"/>
      <c r="C3" s="118"/>
      <c r="D3" s="118"/>
      <c r="E3" s="118"/>
      <c r="F3" s="118"/>
      <c r="G3" s="118"/>
    </row>
    <row r="4" spans="1:7" s="19" customFormat="1" ht="15.95" customHeight="1" x14ac:dyDescent="0.25">
      <c r="A4" s="118" t="s">
        <v>13</v>
      </c>
      <c r="B4" s="118"/>
      <c r="C4" s="118"/>
      <c r="D4" s="118"/>
      <c r="E4" s="118"/>
      <c r="F4" s="118"/>
      <c r="G4" s="118"/>
    </row>
    <row r="5" spans="1:7" s="19" customFormat="1" ht="15.95" customHeight="1" x14ac:dyDescent="0.25">
      <c r="A5" s="118" t="s">
        <v>14</v>
      </c>
      <c r="B5" s="118"/>
      <c r="C5" s="118"/>
      <c r="D5" s="118"/>
      <c r="E5" s="118"/>
      <c r="F5" s="118"/>
      <c r="G5" s="118"/>
    </row>
    <row r="6" spans="1:7" s="19" customFormat="1" ht="8.25" customHeight="1" x14ac:dyDescent="0.25">
      <c r="E6" s="20"/>
    </row>
    <row r="7" spans="1:7" s="19" customFormat="1" ht="8.25" customHeight="1" x14ac:dyDescent="0.25">
      <c r="E7" s="20"/>
    </row>
    <row r="8" spans="1:7" s="19" customFormat="1" ht="17.25" customHeight="1" x14ac:dyDescent="0.25">
      <c r="A8" s="21" t="s">
        <v>34</v>
      </c>
      <c r="B8" s="21"/>
      <c r="C8" s="21" t="s">
        <v>35</v>
      </c>
      <c r="D8" s="22"/>
      <c r="E8" s="21" t="s">
        <v>36</v>
      </c>
      <c r="F8" s="22"/>
      <c r="G8" s="23"/>
    </row>
    <row r="9" spans="1:7" s="19" customFormat="1" ht="12" customHeight="1" x14ac:dyDescent="0.25">
      <c r="A9" s="24"/>
      <c r="B9" s="24"/>
      <c r="C9" s="25"/>
      <c r="E9" s="21" t="s">
        <v>37</v>
      </c>
      <c r="F9" s="26"/>
      <c r="G9" s="25"/>
    </row>
    <row r="10" spans="1:7" s="19" customFormat="1" ht="14.25" customHeight="1" x14ac:dyDescent="0.25">
      <c r="A10" s="21" t="s">
        <v>49</v>
      </c>
      <c r="B10" s="21"/>
      <c r="C10" s="21" t="s">
        <v>38</v>
      </c>
      <c r="D10" s="22"/>
      <c r="E10" s="21" t="s">
        <v>39</v>
      </c>
      <c r="F10" s="22"/>
      <c r="G10" s="23"/>
    </row>
    <row r="11" spans="1:7" s="19" customFormat="1" ht="12" customHeight="1" thickBot="1" x14ac:dyDescent="0.3">
      <c r="A11" s="23"/>
      <c r="B11" s="23"/>
      <c r="C11" s="23"/>
      <c r="F11" s="22"/>
      <c r="G11" s="23"/>
    </row>
    <row r="12" spans="1:7" ht="23.25" customHeight="1" thickBot="1" x14ac:dyDescent="0.3">
      <c r="A12" s="119" t="s">
        <v>66</v>
      </c>
      <c r="B12" s="120"/>
      <c r="C12" s="120"/>
      <c r="D12" s="120"/>
      <c r="E12" s="120"/>
      <c r="F12" s="120"/>
      <c r="G12" s="121"/>
    </row>
    <row r="13" spans="1:7" s="33" customFormat="1" ht="37.5" customHeight="1" thickBot="1" x14ac:dyDescent="0.25">
      <c r="A13" s="28" t="s">
        <v>40</v>
      </c>
      <c r="B13" s="29" t="s">
        <v>41</v>
      </c>
      <c r="C13" s="30" t="s">
        <v>42</v>
      </c>
      <c r="D13" s="30" t="s">
        <v>21</v>
      </c>
      <c r="E13" s="31" t="s">
        <v>22</v>
      </c>
      <c r="F13" s="31" t="s">
        <v>23</v>
      </c>
      <c r="G13" s="32" t="s">
        <v>8</v>
      </c>
    </row>
    <row r="14" spans="1:7" s="33" customFormat="1" ht="18.75" customHeight="1" x14ac:dyDescent="0.2">
      <c r="A14" s="34" t="s">
        <v>43</v>
      </c>
      <c r="B14" s="48">
        <v>44568</v>
      </c>
      <c r="C14" s="36" t="s">
        <v>33</v>
      </c>
      <c r="D14" s="37">
        <v>5</v>
      </c>
      <c r="E14" s="38">
        <v>0</v>
      </c>
      <c r="F14" s="38">
        <v>5</v>
      </c>
      <c r="G14" s="39">
        <v>5</v>
      </c>
    </row>
    <row r="15" spans="1:7" s="33" customFormat="1" ht="23.25" customHeight="1" x14ac:dyDescent="0.2">
      <c r="A15" s="45" t="s">
        <v>45</v>
      </c>
      <c r="B15" s="35">
        <v>45240</v>
      </c>
      <c r="C15" s="36" t="s">
        <v>44</v>
      </c>
      <c r="D15" s="37">
        <v>9</v>
      </c>
      <c r="E15" s="38">
        <v>0</v>
      </c>
      <c r="F15" s="38">
        <v>9</v>
      </c>
      <c r="G15" s="39">
        <v>9</v>
      </c>
    </row>
    <row r="16" spans="1:7" s="33" customFormat="1" ht="23.25" customHeight="1" x14ac:dyDescent="0.2">
      <c r="A16" s="46" t="s">
        <v>50</v>
      </c>
      <c r="B16" s="48" t="s">
        <v>51</v>
      </c>
      <c r="C16" s="36" t="s">
        <v>52</v>
      </c>
      <c r="D16" s="37">
        <v>5</v>
      </c>
      <c r="E16" s="38">
        <v>0</v>
      </c>
      <c r="F16" s="38">
        <v>5</v>
      </c>
      <c r="G16" s="39">
        <v>5</v>
      </c>
    </row>
    <row r="17" spans="1:7" s="33" customFormat="1" ht="15.75" customHeight="1" x14ac:dyDescent="0.2">
      <c r="A17" s="46" t="s">
        <v>46</v>
      </c>
      <c r="B17" s="47" t="s">
        <v>47</v>
      </c>
      <c r="C17" s="36" t="s">
        <v>48</v>
      </c>
      <c r="D17" s="37">
        <v>3</v>
      </c>
      <c r="E17" s="38">
        <v>0</v>
      </c>
      <c r="F17" s="38">
        <v>3</v>
      </c>
      <c r="G17" s="39">
        <v>3</v>
      </c>
    </row>
    <row r="18" spans="1:7" s="40" customFormat="1" ht="15.75" x14ac:dyDescent="0.2">
      <c r="A18" s="115" t="s">
        <v>8</v>
      </c>
      <c r="B18" s="116"/>
      <c r="C18" s="116"/>
      <c r="D18" s="116"/>
      <c r="E18" s="116"/>
      <c r="F18" s="117"/>
      <c r="G18" s="41" t="s">
        <v>63</v>
      </c>
    </row>
    <row r="19" spans="1:7" s="19" customFormat="1" ht="75.75" customHeight="1" x14ac:dyDescent="0.25">
      <c r="A19" s="42"/>
      <c r="B19" s="42"/>
      <c r="G19" s="42"/>
    </row>
    <row r="20" spans="1:7" s="19" customFormat="1" x14ac:dyDescent="0.25"/>
    <row r="21" spans="1:7" s="19" customFormat="1" x14ac:dyDescent="0.25"/>
  </sheetData>
  <mergeCells count="6">
    <mergeCell ref="A18:F18"/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CTO (2)</vt:lpstr>
      <vt:lpstr>Election &amp; NLC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2025-08-18T05:44:01Z</cp:lastPrinted>
  <dcterms:created xsi:type="dcterms:W3CDTF">2021-10-07T06:10:16Z</dcterms:created>
  <dcterms:modified xsi:type="dcterms:W3CDTF">2025-09-03T01:30:05Z</dcterms:modified>
</cp:coreProperties>
</file>