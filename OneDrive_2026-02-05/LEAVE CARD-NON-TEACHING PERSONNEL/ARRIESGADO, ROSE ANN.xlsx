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32A0624F-19FB-43D0-AC4A-CFD8FC43F627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CORRECTED" sheetId="6" r:id="rId1"/>
    <sheet name="ELECTION" sheetId="13" r:id="rId2"/>
    <sheet name="CTO" sheetId="12" r:id="rId3"/>
    <sheet name="Leave Card (NE) (2)" sheetId="14" r:id="rId4"/>
    <sheet name="OTHER TYPES OF LEAVE" sheetId="11" r:id="rId5"/>
  </sheets>
  <definedNames>
    <definedName name="_xlnm.Print_Area" localSheetId="0">CORRECTED!$A$1:$J$119</definedName>
    <definedName name="_xlnm.Print_Area" localSheetId="3">'Leave Card (NE) (2)'!$A$1:$J$92</definedName>
    <definedName name="_xlnm.Print_Area" localSheetId="4">'OTHER TYPES OF LEAVE'!$A$1:$L$24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6" i="6" l="1"/>
  <c r="J116" i="6" s="1"/>
  <c r="I116" i="6"/>
  <c r="I117" i="6"/>
  <c r="I14" i="14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I34" i="14" s="1"/>
  <c r="I35" i="14" s="1"/>
  <c r="I36" i="14" s="1"/>
  <c r="I37" i="14" s="1"/>
  <c r="I38" i="14" s="1"/>
  <c r="I39" i="14" s="1"/>
  <c r="I40" i="14" s="1"/>
  <c r="I41" i="14" s="1"/>
  <c r="I42" i="14" s="1"/>
  <c r="I43" i="14" s="1"/>
  <c r="I44" i="14" s="1"/>
  <c r="I45" i="14" s="1"/>
  <c r="I46" i="14" s="1"/>
  <c r="I47" i="14" s="1"/>
  <c r="I48" i="14" s="1"/>
  <c r="I49" i="14" s="1"/>
  <c r="I50" i="14" s="1"/>
  <c r="I51" i="14" s="1"/>
  <c r="I52" i="14" s="1"/>
  <c r="I53" i="14" s="1"/>
  <c r="I54" i="14" s="1"/>
  <c r="I55" i="14" s="1"/>
  <c r="I56" i="14" s="1"/>
  <c r="I57" i="14" s="1"/>
  <c r="I58" i="14" s="1"/>
  <c r="I59" i="14" s="1"/>
  <c r="I60" i="14" s="1"/>
  <c r="I61" i="14" s="1"/>
  <c r="I62" i="14" s="1"/>
  <c r="I63" i="14" s="1"/>
  <c r="I64" i="14" s="1"/>
  <c r="I65" i="14" s="1"/>
  <c r="I66" i="14" s="1"/>
  <c r="I67" i="14" s="1"/>
  <c r="I68" i="14" s="1"/>
  <c r="I69" i="14" s="1"/>
  <c r="I70" i="14" s="1"/>
  <c r="I71" i="14" s="1"/>
  <c r="I72" i="14" s="1"/>
  <c r="I73" i="14" s="1"/>
  <c r="I74" i="14" s="1"/>
  <c r="I75" i="14" s="1"/>
  <c r="I76" i="14" s="1"/>
  <c r="I77" i="14" s="1"/>
  <c r="I78" i="14" s="1"/>
  <c r="I79" i="14" s="1"/>
  <c r="I80" i="14" s="1"/>
  <c r="I81" i="14" s="1"/>
  <c r="I82" i="14" s="1"/>
  <c r="I83" i="14" s="1"/>
  <c r="I84" i="14" s="1"/>
  <c r="I85" i="14" s="1"/>
  <c r="I86" i="14" s="1"/>
  <c r="I87" i="14" s="1"/>
  <c r="I88" i="14" s="1"/>
  <c r="I89" i="14" s="1"/>
  <c r="I90" i="14" s="1"/>
  <c r="I91" i="14" s="1"/>
  <c r="H14" i="14"/>
  <c r="C14" i="14"/>
  <c r="B14" i="14"/>
  <c r="C14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B14" i="6"/>
  <c r="H14" i="6" s="1"/>
  <c r="H15" i="6" s="1"/>
  <c r="H16" i="6" s="1"/>
  <c r="H17" i="6" s="1"/>
  <c r="H117" i="6" l="1"/>
  <c r="J117" i="6" s="1"/>
  <c r="J17" i="6"/>
  <c r="H18" i="6"/>
  <c r="H15" i="14"/>
  <c r="J14" i="14"/>
  <c r="J18" i="6" l="1"/>
  <c r="H19" i="6"/>
  <c r="H20" i="6" s="1"/>
  <c r="J15" i="14"/>
  <c r="H16" i="14"/>
  <c r="J16" i="6"/>
  <c r="J20" i="6" l="1"/>
  <c r="H21" i="6"/>
  <c r="J19" i="6"/>
  <c r="H17" i="14"/>
  <c r="J16" i="14"/>
  <c r="J21" i="6" l="1"/>
  <c r="H22" i="6"/>
  <c r="J17" i="14"/>
  <c r="H18" i="14"/>
  <c r="J14" i="6"/>
  <c r="J15" i="6"/>
  <c r="H23" i="6" l="1"/>
  <c r="J22" i="6"/>
  <c r="H19" i="14"/>
  <c r="J18" i="14"/>
  <c r="H24" i="6" l="1"/>
  <c r="J23" i="6"/>
  <c r="J19" i="14"/>
  <c r="H20" i="14"/>
  <c r="H25" i="6" l="1"/>
  <c r="J24" i="6"/>
  <c r="H21" i="14"/>
  <c r="J20" i="14"/>
  <c r="H26" i="6" l="1"/>
  <c r="J25" i="6"/>
  <c r="J21" i="14"/>
  <c r="H22" i="14"/>
  <c r="J26" i="6" l="1"/>
  <c r="H27" i="6"/>
  <c r="H23" i="14"/>
  <c r="J22" i="14"/>
  <c r="H28" i="6" l="1"/>
  <c r="J27" i="6"/>
  <c r="J23" i="14"/>
  <c r="H24" i="14"/>
  <c r="J28" i="6" l="1"/>
  <c r="H29" i="6"/>
  <c r="H25" i="14"/>
  <c r="J24" i="14"/>
  <c r="H30" i="6" l="1"/>
  <c r="J29" i="6"/>
  <c r="J25" i="14"/>
  <c r="H26" i="14"/>
  <c r="H31" i="6" l="1"/>
  <c r="J30" i="6"/>
  <c r="H27" i="14"/>
  <c r="J26" i="14"/>
  <c r="H32" i="6" l="1"/>
  <c r="J31" i="6"/>
  <c r="J27" i="14"/>
  <c r="H28" i="14"/>
  <c r="J32" i="6" l="1"/>
  <c r="H33" i="6"/>
  <c r="H29" i="14"/>
  <c r="J28" i="14"/>
  <c r="J33" i="6" l="1"/>
  <c r="H34" i="6"/>
  <c r="J29" i="14"/>
  <c r="H30" i="14"/>
  <c r="J34" i="6" l="1"/>
  <c r="H35" i="6"/>
  <c r="H31" i="14"/>
  <c r="J30" i="14"/>
  <c r="J35" i="6" l="1"/>
  <c r="H36" i="6"/>
  <c r="J31" i="14"/>
  <c r="H32" i="14"/>
  <c r="J36" i="6" l="1"/>
  <c r="H37" i="6"/>
  <c r="H33" i="14"/>
  <c r="J32" i="14"/>
  <c r="J37" i="6" l="1"/>
  <c r="H38" i="6"/>
  <c r="J33" i="14"/>
  <c r="H34" i="14"/>
  <c r="H39" i="6" l="1"/>
  <c r="J38" i="6"/>
  <c r="H35" i="14"/>
  <c r="J34" i="14"/>
  <c r="J39" i="6" l="1"/>
  <c r="H40" i="6"/>
  <c r="J35" i="14"/>
  <c r="H36" i="14"/>
  <c r="H41" i="6" l="1"/>
  <c r="J40" i="6"/>
  <c r="H37" i="14"/>
  <c r="J36" i="14"/>
  <c r="J41" i="6" l="1"/>
  <c r="H42" i="6"/>
  <c r="J37" i="14"/>
  <c r="H38" i="14"/>
  <c r="J42" i="6" l="1"/>
  <c r="H43" i="6"/>
  <c r="H39" i="14"/>
  <c r="J38" i="14"/>
  <c r="J43" i="6" l="1"/>
  <c r="H44" i="6"/>
  <c r="J39" i="14"/>
  <c r="H40" i="14"/>
  <c r="J44" i="6" l="1"/>
  <c r="H45" i="6"/>
  <c r="H41" i="14"/>
  <c r="J40" i="14"/>
  <c r="J45" i="6" l="1"/>
  <c r="H46" i="6"/>
  <c r="J41" i="14"/>
  <c r="H42" i="14"/>
  <c r="J46" i="6" l="1"/>
  <c r="H47" i="6"/>
  <c r="H43" i="14"/>
  <c r="J42" i="14"/>
  <c r="J47" i="6" l="1"/>
  <c r="H48" i="6"/>
  <c r="J43" i="14"/>
  <c r="H44" i="14"/>
  <c r="J48" i="6" l="1"/>
  <c r="H49" i="6"/>
  <c r="H45" i="14"/>
  <c r="J44" i="14"/>
  <c r="H50" i="6" l="1"/>
  <c r="J49" i="6"/>
  <c r="J45" i="14"/>
  <c r="H46" i="14"/>
  <c r="H51" i="6" l="1"/>
  <c r="J50" i="6"/>
  <c r="H47" i="14"/>
  <c r="J46" i="14"/>
  <c r="H52" i="6" l="1"/>
  <c r="J51" i="6"/>
  <c r="J47" i="14"/>
  <c r="H48" i="14"/>
  <c r="J52" i="6" l="1"/>
  <c r="H53" i="6"/>
  <c r="H49" i="14"/>
  <c r="J48" i="14"/>
  <c r="J53" i="6" l="1"/>
  <c r="H54" i="6"/>
  <c r="J49" i="14"/>
  <c r="H50" i="14"/>
  <c r="H55" i="6" l="1"/>
  <c r="J54" i="6"/>
  <c r="H51" i="14"/>
  <c r="J50" i="14"/>
  <c r="H56" i="6" l="1"/>
  <c r="J55" i="6"/>
  <c r="J51" i="14"/>
  <c r="H52" i="14"/>
  <c r="J56" i="6" l="1"/>
  <c r="H57" i="6"/>
  <c r="H53" i="14"/>
  <c r="J52" i="14"/>
  <c r="J57" i="6" l="1"/>
  <c r="H58" i="6"/>
  <c r="J53" i="14"/>
  <c r="H54" i="14"/>
  <c r="J58" i="6" l="1"/>
  <c r="H59" i="6"/>
  <c r="H55" i="14"/>
  <c r="J54" i="14"/>
  <c r="J59" i="6" l="1"/>
  <c r="H60" i="6"/>
  <c r="J55" i="14"/>
  <c r="H56" i="14"/>
  <c r="H61" i="6" l="1"/>
  <c r="J60" i="6"/>
  <c r="H57" i="14"/>
  <c r="J56" i="14"/>
  <c r="J61" i="6" l="1"/>
  <c r="H62" i="6"/>
  <c r="J57" i="14"/>
  <c r="H58" i="14"/>
  <c r="J62" i="6" l="1"/>
  <c r="H63" i="6"/>
  <c r="H59" i="14"/>
  <c r="J58" i="14"/>
  <c r="J63" i="6" l="1"/>
  <c r="H64" i="6"/>
  <c r="J59" i="14"/>
  <c r="H60" i="14"/>
  <c r="H65" i="6" l="1"/>
  <c r="J64" i="6"/>
  <c r="H61" i="14"/>
  <c r="J60" i="14"/>
  <c r="J65" i="6" l="1"/>
  <c r="H66" i="6"/>
  <c r="J61" i="14"/>
  <c r="H62" i="14"/>
  <c r="H67" i="6" l="1"/>
  <c r="J66" i="6"/>
  <c r="H63" i="14"/>
  <c r="J62" i="14"/>
  <c r="H68" i="6" l="1"/>
  <c r="J67" i="6"/>
  <c r="J63" i="14"/>
  <c r="H64" i="14"/>
  <c r="J68" i="6" l="1"/>
  <c r="H69" i="6"/>
  <c r="H65" i="14"/>
  <c r="J64" i="14"/>
  <c r="J69" i="6" l="1"/>
  <c r="H70" i="6"/>
  <c r="J65" i="14"/>
  <c r="H66" i="14"/>
  <c r="J70" i="6" l="1"/>
  <c r="H71" i="6"/>
  <c r="H67" i="14"/>
  <c r="J66" i="14"/>
  <c r="J71" i="6" l="1"/>
  <c r="H72" i="6"/>
  <c r="J67" i="14"/>
  <c r="H68" i="14"/>
  <c r="J72" i="6" l="1"/>
  <c r="H73" i="6"/>
  <c r="H69" i="14"/>
  <c r="J68" i="14"/>
  <c r="H74" i="6" l="1"/>
  <c r="J73" i="6"/>
  <c r="J69" i="14"/>
  <c r="H70" i="14"/>
  <c r="H75" i="6" l="1"/>
  <c r="J74" i="6"/>
  <c r="H71" i="14"/>
  <c r="J70" i="14"/>
  <c r="J75" i="6" l="1"/>
  <c r="H76" i="6"/>
  <c r="J71" i="14"/>
  <c r="H72" i="14"/>
  <c r="J76" i="6" l="1"/>
  <c r="H77" i="6"/>
  <c r="H73" i="14"/>
  <c r="J72" i="14"/>
  <c r="J77" i="6" l="1"/>
  <c r="H78" i="6"/>
  <c r="J73" i="14"/>
  <c r="H74" i="14"/>
  <c r="J78" i="6" l="1"/>
  <c r="H79" i="6"/>
  <c r="H75" i="14"/>
  <c r="J74" i="14"/>
  <c r="H80" i="6" l="1"/>
  <c r="J79" i="6"/>
  <c r="J75" i="14"/>
  <c r="H76" i="14"/>
  <c r="J80" i="6" l="1"/>
  <c r="H81" i="6"/>
  <c r="H77" i="14"/>
  <c r="J76" i="14"/>
  <c r="H82" i="6" l="1"/>
  <c r="J81" i="6"/>
  <c r="J77" i="14"/>
  <c r="H78" i="14"/>
  <c r="J82" i="6" l="1"/>
  <c r="H83" i="6"/>
  <c r="H79" i="14"/>
  <c r="J78" i="14"/>
  <c r="J83" i="6" l="1"/>
  <c r="H84" i="6"/>
  <c r="J79" i="14"/>
  <c r="H80" i="14"/>
  <c r="H85" i="6" l="1"/>
  <c r="J84" i="6"/>
  <c r="H81" i="14"/>
  <c r="J80" i="14"/>
  <c r="J85" i="6" l="1"/>
  <c r="H86" i="6"/>
  <c r="J81" i="14"/>
  <c r="H82" i="14"/>
  <c r="J86" i="6" l="1"/>
  <c r="H87" i="6"/>
  <c r="H83" i="14"/>
  <c r="J82" i="14"/>
  <c r="H88" i="6" l="1"/>
  <c r="J87" i="6"/>
  <c r="J83" i="14"/>
  <c r="H84" i="14"/>
  <c r="J88" i="6" l="1"/>
  <c r="H89" i="6"/>
  <c r="H85" i="14"/>
  <c r="J84" i="14"/>
  <c r="J89" i="6" l="1"/>
  <c r="H90" i="6"/>
  <c r="J85" i="14"/>
  <c r="H86" i="14"/>
  <c r="J90" i="6" l="1"/>
  <c r="H91" i="6"/>
  <c r="H87" i="14"/>
  <c r="J86" i="14"/>
  <c r="J91" i="6" l="1"/>
  <c r="H92" i="6"/>
  <c r="J87" i="14"/>
  <c r="H88" i="14"/>
  <c r="J92" i="6" l="1"/>
  <c r="H93" i="6"/>
  <c r="H89" i="14"/>
  <c r="J88" i="14"/>
  <c r="J93" i="6" l="1"/>
  <c r="H94" i="6"/>
  <c r="J89" i="14"/>
  <c r="H90" i="14"/>
  <c r="H95" i="6" l="1"/>
  <c r="J94" i="6"/>
  <c r="H91" i="14"/>
  <c r="J91" i="14" s="1"/>
  <c r="J90" i="14"/>
  <c r="J95" i="6" l="1"/>
  <c r="H96" i="6"/>
  <c r="J96" i="6" l="1"/>
  <c r="H97" i="6"/>
  <c r="J97" i="6" l="1"/>
  <c r="H98" i="6"/>
  <c r="H99" i="6" l="1"/>
  <c r="J98" i="6"/>
  <c r="J99" i="6" l="1"/>
  <c r="H100" i="6"/>
  <c r="J100" i="6" l="1"/>
  <c r="H101" i="6"/>
  <c r="H102" i="6" l="1"/>
  <c r="J101" i="6"/>
  <c r="J102" i="6" l="1"/>
  <c r="H103" i="6"/>
  <c r="J103" i="6" l="1"/>
  <c r="H104" i="6"/>
  <c r="J104" i="6" l="1"/>
  <c r="H105" i="6"/>
  <c r="H106" i="6" l="1"/>
  <c r="J105" i="6"/>
  <c r="J106" i="6" l="1"/>
  <c r="H107" i="6"/>
  <c r="J107" i="6" l="1"/>
  <c r="H108" i="6"/>
  <c r="J108" i="6" l="1"/>
  <c r="H109" i="6"/>
  <c r="J109" i="6" l="1"/>
  <c r="H110" i="6"/>
  <c r="H111" i="6" l="1"/>
  <c r="J110" i="6"/>
  <c r="J111" i="6" l="1"/>
  <c r="H112" i="6"/>
  <c r="J112" i="6" l="1"/>
  <c r="H113" i="6"/>
  <c r="J113" i="6" l="1"/>
  <c r="H114" i="6"/>
  <c r="J114" i="6" l="1"/>
  <c r="H115" i="6"/>
  <c r="J115" i="6" s="1"/>
</calcChain>
</file>

<file path=xl/sharedStrings.xml><?xml version="1.0" encoding="utf-8"?>
<sst xmlns="http://schemas.openxmlformats.org/spreadsheetml/2006/main" count="347" uniqueCount="199">
  <si>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</si>
  <si>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</si>
  <si>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</si>
  <si>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</si>
  <si>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</si>
  <si>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</si>
  <si>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</si>
  <si>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</si>
  <si>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</si>
  <si>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</si>
  <si>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</si>
  <si>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ADD: 05/01/22 - 05/31/22</t>
  </si>
  <si>
    <t>SPECIAL PRIVILEGE</t>
  </si>
  <si>
    <t>Republic of the Philippines</t>
  </si>
  <si>
    <t>Department of Education</t>
  </si>
  <si>
    <t>REGION VI-WESTERN VISAYAS</t>
  </si>
  <si>
    <t>SCHOOLS DIVISION OF SIPALAY CITY</t>
  </si>
  <si>
    <t>ADD: 12/01/2021 - 12/31/2021</t>
  </si>
  <si>
    <t>ADD: 06/01/22 - 06/30/22</t>
  </si>
  <si>
    <t>LESS: 01/24/22</t>
  </si>
  <si>
    <t>ADD: 01/01/22 - 01/31/22</t>
  </si>
  <si>
    <t>LESS: 02/18/22</t>
  </si>
  <si>
    <t>ADD: 02/01/22 - 04/30/22</t>
  </si>
  <si>
    <t>LESS: 05/13/22 PM</t>
  </si>
  <si>
    <t>LESS: 06/10/22</t>
  </si>
  <si>
    <t>LESS: 06/17/22</t>
  </si>
  <si>
    <t>LESS: 07/06 &amp; 07/22</t>
  </si>
  <si>
    <t>DATE OF ORIGINAL APPOINTMENT: MARCH 27, 2019</t>
  </si>
  <si>
    <t>ADD: 04/01/2019 - 12/31/2019</t>
  </si>
  <si>
    <t>ADD: 03/27/2019 - 03/31/2019</t>
  </si>
  <si>
    <t>LESS: 12/26 &amp; 27/2019</t>
  </si>
  <si>
    <t>LESS: 11/06/2019</t>
  </si>
  <si>
    <t>ADD: 01/01/2020 - 06/30/2020</t>
  </si>
  <si>
    <t>ADD: 07/01/2020 - 12/31/2020</t>
  </si>
  <si>
    <t>LESS: MONETIZATION 2020</t>
  </si>
  <si>
    <t>LESS: 12/28 &amp; 29/2020</t>
  </si>
  <si>
    <t>ADD: 01/01/2021 - 07/31/2021</t>
  </si>
  <si>
    <t>LESS: 05/24/2021</t>
  </si>
  <si>
    <t>LESS: 08/5 &amp; 6/2021</t>
  </si>
  <si>
    <t>LESS: 08/26/2022</t>
  </si>
  <si>
    <t>ADD: 08/01/2021 - 11/30/2021</t>
  </si>
  <si>
    <t>LESS: MONETIZATION 2021</t>
  </si>
  <si>
    <t>LESS: 12/09/2021</t>
  </si>
  <si>
    <t>LESS: 12/21,22,23,24,29(.5),31(.5)</t>
  </si>
  <si>
    <t>LESS:01/05/2022</t>
  </si>
  <si>
    <t>LESS:01/06/2022</t>
  </si>
  <si>
    <t>ADD: 07/01/22 - 08/31/22</t>
  </si>
  <si>
    <t>LESS: MONETIZATION 2022</t>
  </si>
  <si>
    <t>LESS: 09/16/22</t>
  </si>
  <si>
    <t>ADD: 09/01/22 - 10/31/22</t>
  </si>
  <si>
    <t>LESS: 11/07/2022</t>
  </si>
  <si>
    <t>LESS: 11/08 &amp; 09/2022</t>
  </si>
  <si>
    <t>Name: _____________________________</t>
  </si>
  <si>
    <t>DISTRICT: ___________________________</t>
  </si>
  <si>
    <t>POSITION: __________________________</t>
  </si>
  <si>
    <t>SCHOOL/OFFICE:_____________________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</si>
  <si>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</si>
  <si>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</si>
  <si>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</si>
  <si>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</si>
  <si>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</si>
  <si>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</si>
  <si>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</si>
  <si>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</si>
  <si>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</si>
  <si>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</si>
  <si>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</si>
  <si>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</si>
  <si>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</si>
  <si>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</si>
  <si>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</si>
  <si>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</si>
  <si>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</si>
  <si>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</si>
  <si>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ADD: 11/01/22 - 11/30/22</t>
  </si>
  <si>
    <t>LESS: 12/26/2022</t>
  </si>
  <si>
    <t>LESS: 12/19/2022</t>
  </si>
  <si>
    <t>ADD: 12/01/22 - 12/31/22</t>
  </si>
  <si>
    <t>LESS: 01/05/23</t>
  </si>
  <si>
    <t>LESS: 01/12/23</t>
  </si>
  <si>
    <t>ADD: 01/01/23 - 01/31/23</t>
  </si>
  <si>
    <t>LESS: 02/2 &amp; 6/23</t>
  </si>
  <si>
    <t>ADD: 02/01/23 - 02/28/23</t>
  </si>
  <si>
    <t>LESS: 02/28/23 (pm)</t>
  </si>
  <si>
    <t>ADD: 03/01/23 - 04/30/23</t>
  </si>
  <si>
    <t>LESS: 05/29/23</t>
  </si>
  <si>
    <t>ADD: 05/01/23 - 06/30/23</t>
  </si>
  <si>
    <t>LESS: 07/14/23</t>
  </si>
  <si>
    <t>ADD: 07/01/23 - 08/31/23</t>
  </si>
  <si>
    <t>LESS: 08/11/23</t>
  </si>
  <si>
    <t>COMPENSATORY TIME OFF (CTO)</t>
  </si>
  <si>
    <t>Special Order No. and Date Issued</t>
  </si>
  <si>
    <t>No. of Days Granted</t>
  </si>
  <si>
    <t>No. of Days Used</t>
  </si>
  <si>
    <t>Balance</t>
  </si>
  <si>
    <t>ADD: JAN 18, 2023</t>
  </si>
  <si>
    <t>S.O. # 001, S. 2023. 126TH ANNIVERSARY OF THE MARTYRDOM OF DR. JOSE P. RIZAL</t>
  </si>
  <si>
    <t>NOTE:  Valid for one (1) year only</t>
  </si>
  <si>
    <t>Certified Correct:</t>
  </si>
  <si>
    <t>MA. LUISA B. CATIGAN</t>
  </si>
  <si>
    <t>Administrative Officer IV</t>
  </si>
  <si>
    <t>HRMO</t>
  </si>
  <si>
    <t>LESS: MONETIZATION 2023</t>
  </si>
  <si>
    <t>LESS:09/22/2023</t>
  </si>
  <si>
    <t>ADD: 09/01/2023-09/30/2023</t>
  </si>
  <si>
    <t>LESS: 09/29/2023&amp;10/10/2023</t>
  </si>
  <si>
    <t>EMPLOYEE NO    : __________</t>
  </si>
  <si>
    <t>SCHOOL/OFFICE : OSDS</t>
  </si>
  <si>
    <t>SPECIAL ORDER FOR ELECTION (NATONAL/BARANGAY AND SK ELECTION)</t>
  </si>
  <si>
    <t>SPECIAL ORDER NO. AND DATE ISSUED</t>
  </si>
  <si>
    <t>NATIONAL ELECTION</t>
  </si>
  <si>
    <t>BARANGAY ELECTION/SK ELECTION</t>
  </si>
  <si>
    <t>S.0 # 051, S. 2022, JULY 1, 2022</t>
  </si>
  <si>
    <t>ADD: JULY 01, 2022</t>
  </si>
  <si>
    <t xml:space="preserve"> MAY 9, 2022 NATIONAL AND LOCAL ELECTION</t>
  </si>
  <si>
    <t>NAME          : ARRIESGADO, ROSE ANN L.</t>
  </si>
  <si>
    <t>LESS: 10/2,3,9/2023</t>
  </si>
  <si>
    <t>POSITION   : ADAS III</t>
  </si>
  <si>
    <t>ADD: 10/17/2023</t>
  </si>
  <si>
    <t>LESS: 11/28/2023</t>
  </si>
  <si>
    <t>ADD: 10/01/2023-11/30/2023</t>
  </si>
  <si>
    <t>LESS: 12/28-29/2023</t>
  </si>
  <si>
    <t>ADD:12/01/2023-12/31/2023</t>
  </si>
  <si>
    <t>LESS: 01/05/2024</t>
  </si>
  <si>
    <t>ADD: 01/01/2024-01/31/2024</t>
  </si>
  <si>
    <t>LESS: 01/31/2024</t>
  </si>
  <si>
    <t>ADD: 02/01/2024-02/29/2024</t>
  </si>
  <si>
    <t>LESS: 02/19-20/2024</t>
  </si>
  <si>
    <t>ADD: 03/1-31/2024</t>
  </si>
  <si>
    <t>LESS: 04/16/2024</t>
  </si>
  <si>
    <t>ADD: 04/1-30/2024</t>
  </si>
  <si>
    <t>LESS: 05/6,13/2024</t>
  </si>
  <si>
    <t>LESS: 05/21/2024</t>
  </si>
  <si>
    <t>LESS: 05/23/2024</t>
  </si>
  <si>
    <t>SO# 010, S. 2024</t>
  </si>
  <si>
    <t>ADD: APRIL 30, 2024</t>
  </si>
  <si>
    <t>OCTOBER 30, 2023 BRGY &amp; SK ELECTION</t>
  </si>
  <si>
    <t>LESS: 06/24-25/2024</t>
  </si>
  <si>
    <t>ADD: 05/1/2024 - 06/30/2024</t>
  </si>
  <si>
    <t>LESS: 06/4/2024</t>
  </si>
  <si>
    <t>S.O. # 159, S. 2023.125TH PHILIPPINE INDEPENDENCE DAY CELEBRATION</t>
  </si>
  <si>
    <t>ADD: 06/26/2024</t>
  </si>
  <si>
    <t>S.O. # 024, S. 2024.126TH PHILIPPINE INDEPENDENCE DAY CELEBRATION</t>
  </si>
  <si>
    <t>LESS: 07/08/2024</t>
  </si>
  <si>
    <t>ADD: 07/1-31/2024</t>
  </si>
  <si>
    <t>LESS: MONETIZATION 2024</t>
  </si>
  <si>
    <t>LESS: FL 2019</t>
  </si>
  <si>
    <t>LESS: 01/02/2024</t>
  </si>
  <si>
    <t>LESS: 07/30-31/2024</t>
  </si>
  <si>
    <t>LESS: 08/01/2024</t>
  </si>
  <si>
    <t>LESS: 08/16/2024</t>
  </si>
  <si>
    <t>ADD: 08/1-31/2024</t>
  </si>
  <si>
    <t>LESS: 09/04/2024</t>
  </si>
  <si>
    <t>LESS: 09/27/2024</t>
  </si>
  <si>
    <t>ADD:09/1-30/2024</t>
  </si>
  <si>
    <t>COMELEC CERTIFICATION</t>
  </si>
  <si>
    <t>ADD: MAY 13, 2019</t>
  </si>
  <si>
    <t xml:space="preserve"> MAY 13, 2019 NATIONAL AND LOCAL ELECTION</t>
  </si>
  <si>
    <t>LESS: 11/26/2024</t>
  </si>
  <si>
    <t>ADD: 10/1/2024-11/30/2024</t>
  </si>
  <si>
    <t>LESS: 12/23, 26-27/2024</t>
  </si>
  <si>
    <t>ADD: 07/1/2020-11/30/2020</t>
  </si>
  <si>
    <t>ADD: 12/1-31/2020</t>
  </si>
  <si>
    <t>LESS: 08/26/2021</t>
  </si>
  <si>
    <t>LESS: 12/9 &amp; 16/2024</t>
  </si>
  <si>
    <t>LESS: 01/30-31/2025</t>
  </si>
  <si>
    <t>ADD: 12/1-31/2024</t>
  </si>
  <si>
    <t>ADD: 01/1/2025-02/28/2025</t>
  </si>
  <si>
    <t>LESS: 02/6 &amp; 17, 2025</t>
  </si>
  <si>
    <t>LESS: 03/10/2025</t>
  </si>
  <si>
    <t>LESS: 03/27/2025</t>
  </si>
  <si>
    <t>ADD: 03/1-31/2025</t>
  </si>
  <si>
    <t>LESS: 04/21-22/2025</t>
  </si>
  <si>
    <t>LESS: 05/8/2025</t>
  </si>
  <si>
    <t>LESS: 05/9/2025</t>
  </si>
  <si>
    <t>ADD: 04/01/2019 - 10/31/2019</t>
  </si>
  <si>
    <t>ADD: 11/1-30/2019</t>
  </si>
  <si>
    <t>ADD: 12/1-31/2019</t>
  </si>
  <si>
    <t>ADD: 01/01/2021 - 04/30/2021</t>
  </si>
  <si>
    <t>ADD: 05/1/2021-07/31/2021</t>
  </si>
  <si>
    <t>LESS: FL 2020</t>
  </si>
  <si>
    <t>LESS:  FL 2021</t>
  </si>
  <si>
    <t>LESS: FL 2022</t>
  </si>
  <si>
    <t>ADD: 04/1/2025-06/30/2025</t>
  </si>
  <si>
    <t>LESS: MONETIZATION 2025</t>
  </si>
  <si>
    <t>LESS: 06/2/2025</t>
  </si>
  <si>
    <t>LESS: 06/30/2025</t>
  </si>
  <si>
    <t>ADD: 07/1-31/2025</t>
  </si>
  <si>
    <t>LESS: 08/13/2025</t>
  </si>
  <si>
    <t>NEGROS ISLAND REGION</t>
  </si>
  <si>
    <t>ADD: 05/13/2025</t>
  </si>
  <si>
    <t>S.O. # 021, S. 2025 2025 NEGROS OCCIDENTAL PROVINIAL MEET (LIQUIDATION)</t>
  </si>
  <si>
    <t>1.5 DAY &amp; 3 HRS</t>
  </si>
  <si>
    <t>LESS: 09/5/2025</t>
  </si>
  <si>
    <t>.5 DAY &amp; 3 HRS</t>
  </si>
  <si>
    <t>ADD: 08/1/2025-10/31/2025</t>
  </si>
  <si>
    <t>LESS: 11/28/2025</t>
  </si>
  <si>
    <t>ADD: 11/1-30/2025</t>
  </si>
  <si>
    <t>LESS: 12/26/2025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</si>
</sst>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4" fillId="0" borderId="0"/>
    <xf numFmtId="0" fontId="14" fillId="0" borderId="0"/>
  </cellStyleXfs>
  <cellXfs count="173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6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3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0" fillId="8" borderId="8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/>
    </xf>
    <xf numFmtId="0" fontId="12" fillId="0" borderId="0" xfId="0" applyFont="1"/>
    <xf numFmtId="0" fontId="0" fillId="0" borderId="6" xfId="0" applyBorder="1" applyAlignment="1">
      <alignment horizontal="center" vertical="center"/>
    </xf>
    <xf numFmtId="0" fontId="13" fillId="0" borderId="0" xfId="0" applyFont="1"/>
    <xf numFmtId="0" fontId="0" fillId="0" borderId="6" xfId="0" applyBorder="1" applyAlignment="1">
      <alignment vertical="center"/>
    </xf>
    <xf numFmtId="164" fontId="0" fillId="2" borderId="1" xfId="0" applyNumberForma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0" fontId="14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14" fillId="0" borderId="0" xfId="1"/>
    <xf numFmtId="0" fontId="12" fillId="0" borderId="0" xfId="1" applyFont="1"/>
    <xf numFmtId="0" fontId="14" fillId="2" borderId="2" xfId="1" applyFill="1" applyBorder="1" applyAlignment="1">
      <alignment horizontal="center" vertical="center" wrapText="1"/>
    </xf>
    <xf numFmtId="0" fontId="0" fillId="2" borderId="5" xfId="1" applyFont="1" applyFill="1" applyBorder="1" applyAlignment="1">
      <alignment horizontal="center" vertical="center" wrapText="1"/>
    </xf>
    <xf numFmtId="0" fontId="13" fillId="0" borderId="0" xfId="1" applyFont="1"/>
    <xf numFmtId="0" fontId="7" fillId="0" borderId="0" xfId="1" applyFont="1"/>
    <xf numFmtId="0" fontId="6" fillId="0" borderId="0" xfId="1" applyFont="1"/>
    <xf numFmtId="0" fontId="14" fillId="0" borderId="0" xfId="1" applyAlignment="1">
      <alignment vertical="center"/>
    </xf>
    <xf numFmtId="0" fontId="11" fillId="2" borderId="0" xfId="1" applyFont="1" applyFill="1" applyAlignment="1">
      <alignment horizontal="center" vertical="center" wrapText="1"/>
    </xf>
    <xf numFmtId="0" fontId="14" fillId="2" borderId="0" xfId="1" applyFill="1" applyAlignment="1">
      <alignment horizontal="center" vertical="center" wrapText="1"/>
    </xf>
    <xf numFmtId="0" fontId="14" fillId="2" borderId="0" xfId="1" applyFill="1" applyAlignment="1">
      <alignment horizontal="center"/>
    </xf>
    <xf numFmtId="0" fontId="14" fillId="2" borderId="0" xfId="2" applyFill="1"/>
    <xf numFmtId="0" fontId="1" fillId="2" borderId="0" xfId="2" applyFont="1" applyFill="1" applyAlignment="1">
      <alignment horizontal="center" wrapText="1"/>
    </xf>
    <xf numFmtId="0" fontId="1" fillId="2" borderId="0" xfId="2" applyFont="1" applyFill="1" applyAlignment="1">
      <alignment wrapText="1"/>
    </xf>
    <xf numFmtId="0" fontId="14" fillId="2" borderId="0" xfId="2" applyFill="1" applyAlignment="1">
      <alignment horizontal="center"/>
    </xf>
    <xf numFmtId="0" fontId="1" fillId="2" borderId="0" xfId="2" applyFont="1" applyFill="1" applyAlignment="1">
      <alignment vertical="center"/>
    </xf>
    <xf numFmtId="0" fontId="1" fillId="2" borderId="0" xfId="2" applyFont="1" applyFill="1"/>
    <xf numFmtId="0" fontId="1" fillId="2" borderId="0" xfId="2" applyFont="1" applyFill="1" applyAlignment="1">
      <alignment horizontal="center"/>
    </xf>
    <xf numFmtId="0" fontId="14" fillId="0" borderId="0" xfId="2"/>
    <xf numFmtId="0" fontId="7" fillId="0" borderId="0" xfId="2" applyFont="1"/>
    <xf numFmtId="0" fontId="14" fillId="2" borderId="5" xfId="2" applyFill="1" applyBorder="1" applyAlignment="1">
      <alignment horizontal="center" vertical="center" wrapText="1"/>
    </xf>
    <xf numFmtId="0" fontId="14" fillId="2" borderId="24" xfId="2" applyFill="1" applyBorder="1" applyAlignment="1">
      <alignment horizontal="center" vertical="center"/>
    </xf>
    <xf numFmtId="0" fontId="14" fillId="2" borderId="2" xfId="2" applyFill="1" applyBorder="1" applyAlignment="1">
      <alignment horizontal="center" vertical="center" wrapText="1"/>
    </xf>
    <xf numFmtId="0" fontId="14" fillId="2" borderId="1" xfId="2" applyFill="1" applyBorder="1" applyAlignment="1">
      <alignment horizontal="center" vertical="center" wrapText="1"/>
    </xf>
    <xf numFmtId="0" fontId="0" fillId="2" borderId="1" xfId="2" applyFont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14" fillId="2" borderId="1" xfId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center" vertical="center"/>
    </xf>
    <xf numFmtId="164" fontId="6" fillId="12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4" fillId="0" borderId="1" xfId="2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1" fillId="0" borderId="0" xfId="0" applyFont="1"/>
    <xf numFmtId="0" fontId="1" fillId="0" borderId="4" xfId="0" applyFont="1" applyBorder="1" applyAlignment="1">
      <alignment vertical="center"/>
    </xf>
    <xf numFmtId="0" fontId="0" fillId="2" borderId="0" xfId="1" applyFont="1" applyFill="1" applyAlignment="1">
      <alignment horizontal="center" vertical="center" wrapText="1"/>
    </xf>
    <xf numFmtId="0" fontId="15" fillId="2" borderId="0" xfId="1" applyFont="1" applyFill="1" applyAlignment="1">
      <alignment horizontal="center" vertical="center" wrapText="1"/>
    </xf>
    <xf numFmtId="0" fontId="14" fillId="13" borderId="2" xfId="1" applyFill="1" applyBorder="1" applyAlignment="1">
      <alignment horizontal="center" vertical="center" wrapText="1"/>
    </xf>
    <xf numFmtId="0" fontId="14" fillId="13" borderId="1" xfId="1" applyFill="1" applyBorder="1" applyAlignment="1">
      <alignment horizontal="center" vertical="center" wrapText="1"/>
    </xf>
    <xf numFmtId="0" fontId="14" fillId="0" borderId="1" xfId="1" applyBorder="1" applyAlignment="1">
      <alignment horizontal="center" vertical="center" wrapText="1"/>
    </xf>
    <xf numFmtId="0" fontId="14" fillId="0" borderId="0" xfId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14" fillId="13" borderId="1" xfId="2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5" xfId="2" applyFont="1" applyFill="1" applyBorder="1" applyAlignment="1">
      <alignment horizontal="center" vertical="center" wrapText="1"/>
    </xf>
    <xf numFmtId="0" fontId="0" fillId="2" borderId="24" xfId="2" applyFon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4" fontId="6" fillId="1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164" fontId="6" fillId="13" borderId="1" xfId="0" applyNumberFormat="1" applyFont="1" applyFill="1" applyBorder="1" applyAlignment="1">
      <alignment vertical="center"/>
    </xf>
    <xf numFmtId="0" fontId="0" fillId="13" borderId="1" xfId="0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2" borderId="13" xfId="2" applyFont="1" applyFill="1" applyBorder="1" applyAlignment="1">
      <alignment horizontal="center" vertical="center" wrapText="1"/>
    </xf>
    <xf numFmtId="0" fontId="11" fillId="2" borderId="14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15" xfId="2" applyFont="1" applyFill="1" applyBorder="1" applyAlignment="1">
      <alignment horizontal="center" vertical="center" wrapText="1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horizontal="left"/>
    </xf>
    <xf numFmtId="0" fontId="2" fillId="2" borderId="7" xfId="2" applyFont="1" applyFill="1" applyBorder="1" applyAlignment="1">
      <alignment horizontal="center" vertical="center"/>
    </xf>
    <xf numFmtId="0" fontId="3" fillId="8" borderId="9" xfId="2" applyFont="1" applyFill="1" applyBorder="1" applyAlignment="1">
      <alignment horizontal="center" vertical="center" wrapText="1"/>
    </xf>
    <xf numFmtId="0" fontId="3" fillId="8" borderId="18" xfId="2" applyFont="1" applyFill="1" applyBorder="1" applyAlignment="1">
      <alignment horizontal="center" vertical="center" wrapText="1"/>
    </xf>
    <xf numFmtId="0" fontId="3" fillId="8" borderId="5" xfId="2" applyFont="1" applyFill="1" applyBorder="1" applyAlignment="1">
      <alignment horizontal="center" vertical="center" wrapText="1"/>
    </xf>
    <xf numFmtId="0" fontId="3" fillId="8" borderId="9" xfId="2" applyFont="1" applyFill="1" applyBorder="1" applyAlignment="1">
      <alignment horizontal="center" vertical="center"/>
    </xf>
    <xf numFmtId="0" fontId="3" fillId="8" borderId="18" xfId="2" applyFont="1" applyFill="1" applyBorder="1" applyAlignment="1">
      <alignment horizontal="center" vertical="center"/>
    </xf>
    <xf numFmtId="0" fontId="3" fillId="8" borderId="5" xfId="2" applyFont="1" applyFill="1" applyBorder="1" applyAlignment="1">
      <alignment horizontal="center" vertical="center"/>
    </xf>
    <xf numFmtId="0" fontId="11" fillId="9" borderId="16" xfId="2" applyFont="1" applyFill="1" applyBorder="1" applyAlignment="1">
      <alignment horizontal="center" vertical="center" wrapText="1"/>
    </xf>
    <xf numFmtId="0" fontId="11" fillId="9" borderId="17" xfId="2" applyFont="1" applyFill="1" applyBorder="1" applyAlignment="1">
      <alignment horizontal="center" vertical="center" wrapText="1"/>
    </xf>
    <xf numFmtId="0" fontId="11" fillId="9" borderId="19" xfId="2" applyFont="1" applyFill="1" applyBorder="1" applyAlignment="1">
      <alignment horizontal="center" vertical="center" wrapText="1"/>
    </xf>
    <xf numFmtId="0" fontId="11" fillId="9" borderId="20" xfId="2" applyFont="1" applyFill="1" applyBorder="1" applyAlignment="1">
      <alignment horizontal="center" vertical="center" wrapText="1"/>
    </xf>
    <xf numFmtId="0" fontId="11" fillId="9" borderId="22" xfId="2" applyFont="1" applyFill="1" applyBorder="1" applyAlignment="1">
      <alignment horizontal="center" vertical="center" wrapText="1"/>
    </xf>
    <xf numFmtId="0" fontId="11" fillId="9" borderId="23" xfId="2" applyFont="1" applyFill="1" applyBorder="1" applyAlignment="1">
      <alignment horizontal="center" vertical="center" wrapText="1"/>
    </xf>
    <xf numFmtId="0" fontId="3" fillId="8" borderId="12" xfId="2" applyFont="1" applyFill="1" applyBorder="1" applyAlignment="1">
      <alignment horizontal="center" vertical="center"/>
    </xf>
    <xf numFmtId="0" fontId="3" fillId="8" borderId="21" xfId="2" applyFont="1" applyFill="1" applyBorder="1" applyAlignment="1">
      <alignment horizontal="center" vertical="center"/>
    </xf>
    <xf numFmtId="0" fontId="3" fillId="8" borderId="3" xfId="2" applyFont="1" applyFill="1" applyBorder="1" applyAlignment="1">
      <alignment horizontal="center" vertical="center"/>
    </xf>
    <xf numFmtId="0" fontId="14" fillId="2" borderId="0" xfId="2" applyFill="1" applyAlignment="1">
      <alignment horizontal="center" vertical="center"/>
    </xf>
    <xf numFmtId="0" fontId="11" fillId="2" borderId="13" xfId="1" applyFont="1" applyFill="1" applyBorder="1" applyAlignment="1">
      <alignment horizontal="center" vertical="center" wrapText="1"/>
    </xf>
    <xf numFmtId="0" fontId="15" fillId="2" borderId="14" xfId="1" applyFont="1" applyFill="1" applyBorder="1" applyAlignment="1">
      <alignment horizontal="center" vertical="center" wrapText="1"/>
    </xf>
    <xf numFmtId="0" fontId="15" fillId="2" borderId="15" xfId="1" applyFont="1" applyFill="1" applyBorder="1" applyAlignment="1">
      <alignment horizontal="center" vertical="center" wrapText="1"/>
    </xf>
    <xf numFmtId="0" fontId="15" fillId="2" borderId="13" xfId="1" applyFont="1" applyFill="1" applyBorder="1" applyAlignment="1">
      <alignment horizontal="center" vertical="center" wrapText="1"/>
    </xf>
    <xf numFmtId="0" fontId="11" fillId="9" borderId="13" xfId="1" applyFont="1" applyFill="1" applyBorder="1" applyAlignment="1">
      <alignment horizontal="center" vertical="center" wrapText="1"/>
    </xf>
    <xf numFmtId="0" fontId="11" fillId="9" borderId="15" xfId="1" applyFont="1" applyFill="1" applyBorder="1" applyAlignment="1">
      <alignment horizontal="center" vertical="center" wrapText="1"/>
    </xf>
    <xf numFmtId="0" fontId="14" fillId="2" borderId="0" xfId="1" applyFill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10" fillId="8" borderId="9" xfId="1" applyFont="1" applyFill="1" applyBorder="1" applyAlignment="1">
      <alignment horizontal="center" vertical="center"/>
    </xf>
    <xf numFmtId="0" fontId="10" fillId="8" borderId="5" xfId="1" applyFont="1" applyFill="1" applyBorder="1" applyAlignment="1">
      <alignment horizontal="center" vertical="center"/>
    </xf>
    <xf numFmtId="0" fontId="10" fillId="10" borderId="10" xfId="1" applyFont="1" applyFill="1" applyBorder="1" applyAlignment="1">
      <alignment horizontal="center" vertical="center"/>
    </xf>
    <xf numFmtId="0" fontId="10" fillId="10" borderId="11" xfId="1" applyFont="1" applyFill="1" applyBorder="1" applyAlignment="1">
      <alignment horizontal="center" vertical="center"/>
    </xf>
    <xf numFmtId="0" fontId="10" fillId="8" borderId="12" xfId="1" applyFont="1" applyFill="1" applyBorder="1" applyAlignment="1">
      <alignment horizontal="center" vertical="center"/>
    </xf>
    <xf numFmtId="0" fontId="10" fillId="8" borderId="3" xfId="1" applyFont="1" applyFill="1" applyBorder="1" applyAlignment="1">
      <alignment horizontal="center" vertical="center"/>
    </xf>
    <xf numFmtId="0" fontId="11" fillId="9" borderId="14" xfId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horizontal="center" vertical="center"/>
    </xf>
    <xf numFmtId="0" fontId="14" fillId="0" borderId="0" xfId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/>
    <xf numFmtId="164" fontId="17" fillId="2" borderId="1" xfId="0" applyNumberFormat="1" applyFont="1" applyFill="1" applyBorder="1" applyAlignment="1">
      <alignment horizontal="center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164" fontId="17" fillId="12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/>
    </xf>
    <xf numFmtId="164" fontId="17" fillId="0" borderId="1" xfId="0" applyNumberFormat="1" applyFont="1" applyFill="1" applyBorder="1" applyAlignment="1">
      <alignment horizontal="center"/>
    </xf>
    <xf numFmtId="164" fontId="17" fillId="0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 2" xfId="1" xr:uid="{AD1F96C5-09AE-4668-BB73-28DD025198CC}"/>
    <cellStyle name="Normal 3" xfId="2" xr:uid="{A2E1A6DB-8371-4317-B08D-8CE886F336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387220</xdr:colOff>
      <xdr:row>118</xdr:row>
      <xdr:rowOff>48598</xdr:rowOff>
    </xdr:from>
    <xdr:to>
      <xdr:col>9</xdr:col>
      <xdr:colOff>495689</xdr:colOff>
      <xdr:row>118</xdr:row>
      <xdr:rowOff>1088572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34C7E5-6C84-4F93-BEF2-1DDD7DEFBB10}"/>
            </a:ext>
          </a:extLst>
        </xdr:cNvPr>
        <xdr:cNvSpPr txBox="1"/>
      </xdr:nvSpPr>
      <xdr:spPr>
        <a:xfrm>
          <a:off x="6821455" y="17941991"/>
          <a:ext cx="3179795" cy="10399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  HRMO</a:t>
          </a:r>
          <a:endParaRPr lang="en-US" sz="1100"/>
        </a:p>
      </xdr:txBody>
    </xdr:sp>
    <xdr:clientData/>
  </xdr:twoCellAnchor>
  <xdr:twoCellAnchor editAs="oneCell">
    <xdr:from>
      <xdr:col>3</xdr:col>
      <xdr:colOff>223545</xdr:colOff>
      <xdr:row>0</xdr:row>
      <xdr:rowOff>35120</xdr:rowOff>
    </xdr:from>
    <xdr:to>
      <xdr:col>4</xdr:col>
      <xdr:colOff>87475</xdr:colOff>
      <xdr:row>0</xdr:row>
      <xdr:rowOff>657680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FD2860-CB12-453F-8505-664CF8BA5F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438" y="35120"/>
          <a:ext cx="631761" cy="62256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417933</xdr:colOff>
      <xdr:row>4</xdr:row>
      <xdr:rowOff>170961</xdr:rowOff>
    </xdr:from>
    <xdr:to>
      <xdr:col>1</xdr:col>
      <xdr:colOff>155509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85FC36-F619-4C7D-A342-5EE31DE6C94C}"/>
            </a:ext>
          </a:extLst>
        </xdr:cNvPr>
        <xdr:cNvSpPr txBox="1"/>
      </xdr:nvSpPr>
      <xdr:spPr>
        <a:xfrm>
          <a:off x="417933" y="1385884"/>
          <a:ext cx="1807806" cy="256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ROSE ANN L. ARRIESGADO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6FEECF-C916-4325-8CAA-256E7B5CB270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415193</xdr:colOff>
      <xdr:row>7</xdr:row>
      <xdr:rowOff>6481</xdr:rowOff>
    </xdr:from>
    <xdr:to>
      <xdr:col>4</xdr:col>
      <xdr:colOff>453571</xdr:colOff>
      <xdr:row>8</xdr:row>
      <xdr:rowOff>140435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BF85C9B-9671-4E5A-BE74-EB9541C8235C}"/>
            </a:ext>
          </a:extLst>
        </xdr:cNvPr>
        <xdr:cNvSpPr txBox="1"/>
      </xdr:nvSpPr>
      <xdr:spPr>
        <a:xfrm>
          <a:off x="4750040" y="1671736"/>
          <a:ext cx="1658276" cy="289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155004</xdr:colOff>
      <xdr:row>0</xdr:row>
      <xdr:rowOff>126401</xdr:rowOff>
    </xdr:from>
    <xdr:ext cx="781092" cy="633218"/>
    <xdr:pic>
      <xdr:nvPicPr>
        <xdr:cNvPr id="2" name="Picture 1">
          <a:extLst>
            <a:ext uri="{FF2B5EF4-FFF2-40B4-BE49-F238E27FC236}">
              <a16:creationId xmlns:a16="http://schemas.microsoft.com/office/drawing/2014/main" id="{653F5384-E41F-4B29-9613-87E1575E17F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2154" y="126401"/>
          <a:ext cx="781092" cy="633218"/>
        </a:xfrm>
        <a:prstGeom prst="rect">
          <a:avLst/>
        </a:prstGeom>
        <a:noFill/>
      </xdr:spPr>
    </xdr:pic>
    <xdr:clientData/>
  </xdr:oneCellAnchor>
  <xdr:twoCellAnchor>
    <xdr:from>
      <xdr:col>8</xdr:col>
      <xdr:colOff>5027</xdr:colOff>
      <xdr:row>29</xdr:row>
      <xdr:rowOff>180445</xdr:rowOff>
    </xdr:from>
    <xdr:to>
      <xdr:col>14</xdr:col>
      <xdr:colOff>395552</xdr:colOff>
      <xdr:row>35</xdr:row>
      <xdr:rowOff>56091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91E4157-E526-455A-B4B0-07C49698440D}"/>
            </a:ext>
          </a:extLst>
        </xdr:cNvPr>
        <xdr:cNvSpPr txBox="1"/>
      </xdr:nvSpPr>
      <xdr:spPr>
        <a:xfrm>
          <a:off x="5986727" y="5362045"/>
          <a:ext cx="3743325" cy="10186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769408</xdr:colOff>
      <xdr:row>11</xdr:row>
      <xdr:rowOff>16140</xdr:rowOff>
    </xdr:from>
    <xdr:to>
      <xdr:col>2</xdr:col>
      <xdr:colOff>45508</xdr:colOff>
      <xdr:row>11</xdr:row>
      <xdr:rowOff>16140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8093F79-E1B1-4080-8B44-77E39CC01257}"/>
            </a:ext>
          </a:extLst>
        </xdr:cNvPr>
        <xdr:cNvCxnSpPr/>
      </xdr:nvCxnSpPr>
      <xdr:spPr>
        <a:xfrm>
          <a:off x="769408" y="1778265"/>
          <a:ext cx="1981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762000</xdr:colOff>
      <xdr:row>13</xdr:row>
      <xdr:rowOff>9525</xdr:rowOff>
    </xdr:from>
    <xdr:to>
      <xdr:col>2</xdr:col>
      <xdr:colOff>38100</xdr:colOff>
      <xdr:row>13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D89C649-0E81-48BC-9CBD-2C32886FC6AA}"/>
            </a:ext>
          </a:extLst>
        </xdr:cNvPr>
        <xdr:cNvCxnSpPr/>
      </xdr:nvCxnSpPr>
      <xdr:spPr>
        <a:xfrm>
          <a:off x="762000" y="1914525"/>
          <a:ext cx="1981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521597-8B14-4B2E-A76B-FE7169A8E6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315" y="40369"/>
          <a:ext cx="701448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F06267-CA07-42EC-BA5E-CB363E0296A1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ROSE ANN L. ARRIESGADO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E002D12-157F-4F2C-B812-12C5F13B1C17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</a:t>
          </a:r>
          <a:r>
            <a:rPr lang="en-US" sz="1100" baseline="0"/>
            <a:t>S III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9EE093-1760-40A5-A4DA-94713F8A2F58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387220</xdr:colOff>
      <xdr:row>91</xdr:row>
      <xdr:rowOff>48598</xdr:rowOff>
    </xdr:from>
    <xdr:to>
      <xdr:col>9</xdr:col>
      <xdr:colOff>495689</xdr:colOff>
      <xdr:row>91</xdr:row>
      <xdr:rowOff>1088572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BD9180-2878-4D9A-8645-EDABD9A43D42}"/>
            </a:ext>
          </a:extLst>
        </xdr:cNvPr>
        <xdr:cNvSpPr txBox="1"/>
      </xdr:nvSpPr>
      <xdr:spPr>
        <a:xfrm>
          <a:off x="6835645" y="19174798"/>
          <a:ext cx="3194569" cy="10399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207348</xdr:colOff>
      <xdr:row>0</xdr:row>
      <xdr:rowOff>25400</xdr:rowOff>
    </xdr:from>
    <xdr:to>
      <xdr:col>3</xdr:col>
      <xdr:colOff>262425</xdr:colOff>
      <xdr:row>0</xdr:row>
      <xdr:rowOff>647960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C3DD0A-14C0-49E8-AF50-338E2A88DA6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1198" y="25400"/>
          <a:ext cx="826602" cy="62256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792BF17-D5BF-4487-AC2C-D6C62AB46A40}"/>
            </a:ext>
          </a:extLst>
        </xdr:cNvPr>
        <xdr:cNvSpPr txBox="1"/>
      </xdr:nvSpPr>
      <xdr:spPr>
        <a:xfrm>
          <a:off x="573942" y="137111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ROSE ANN ARRIESGADO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8B36792-D89D-45F5-B38F-4482C2AC1D90}"/>
            </a:ext>
          </a:extLst>
        </xdr:cNvPr>
        <xdr:cNvSpPr txBox="1"/>
      </xdr:nvSpPr>
      <xdr:spPr>
        <a:xfrm>
          <a:off x="616683" y="171840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415193</xdr:colOff>
      <xdr:row>7</xdr:row>
      <xdr:rowOff>6481</xdr:rowOff>
    </xdr:from>
    <xdr:to>
      <xdr:col>4</xdr:col>
      <xdr:colOff>453571</xdr:colOff>
      <xdr:row>8</xdr:row>
      <xdr:rowOff>140435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280619-7296-4D1A-8575-4A8770DD0D16}"/>
            </a:ext>
          </a:extLst>
        </xdr:cNvPr>
        <xdr:cNvSpPr txBox="1"/>
      </xdr:nvSpPr>
      <xdr:spPr>
        <a:xfrm>
          <a:off x="4549043" y="1663831"/>
          <a:ext cx="1581428" cy="286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6414</xdr:colOff>
      <xdr:row>0</xdr:row>
      <xdr:rowOff>41597</xdr:rowOff>
    </xdr:from>
    <xdr:ext cx="773490" cy="606231"/>
    <xdr:pic>
      <xdr:nvPicPr>
        <xdr:cNvPr id="2" name="Picture 1">
          <a:extLst>
            <a:ext uri="{FF2B5EF4-FFF2-40B4-BE49-F238E27FC236}">
              <a16:creationId xmlns:a16="http://schemas.microsoft.com/office/drawing/2014/main" id="{86DE3358-5A7B-46CA-9BEB-42D1DCA8067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43464" y="41597"/>
          <a:ext cx="773490" cy="606231"/>
        </a:xfrm>
        <a:prstGeom prst="rect">
          <a:avLst/>
        </a:prstGeom>
        <a:noFill/>
      </xdr:spPr>
    </xdr:pic>
    <xdr:clientData/>
  </xdr:one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5D4867-CFFC-43B6-B521-021BDB7F14FD}"/>
            </a:ext>
          </a:extLst>
        </xdr:cNvPr>
        <xdr:cNvSpPr txBox="1"/>
      </xdr:nvSpPr>
      <xdr:spPr>
        <a:xfrm>
          <a:off x="76200" y="4756150"/>
          <a:ext cx="357505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795353</xdr:colOff>
      <xdr:row>5</xdr:row>
      <xdr:rowOff>51314</xdr:rowOff>
    </xdr:from>
    <xdr:to>
      <xdr:col>1</xdr:col>
      <xdr:colOff>296223</xdr:colOff>
      <xdr:row>7</xdr:row>
      <xdr:rowOff>95651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8F490B1-5233-4224-8F53-75A0BF05EC2B}"/>
            </a:ext>
          </a:extLst>
        </xdr:cNvPr>
        <xdr:cNvSpPr txBox="1"/>
      </xdr:nvSpPr>
      <xdr:spPr>
        <a:xfrm>
          <a:off x="795353" y="1461014"/>
          <a:ext cx="2009120" cy="2475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ARRIESGADO, ROSE ANN</a:t>
          </a:r>
        </a:p>
      </xdr:txBody>
    </xdr:sp>
    <xdr:clientData/>
  </xdr:twoCellAnchor>
  <xdr:twoCellAnchor>
    <xdr:from>
      <xdr:col>0</xdr:col>
      <xdr:colOff>859495</xdr:colOff>
      <xdr:row>8</xdr:row>
      <xdr:rowOff>32071</xdr:rowOff>
    </xdr:from>
    <xdr:to>
      <xdr:col>1</xdr:col>
      <xdr:colOff>360365</xdr:colOff>
      <xdr:row>9</xdr:row>
      <xdr:rowOff>134200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C8D19D-EDEE-4D1F-806B-954162B82FF8}"/>
            </a:ext>
          </a:extLst>
        </xdr:cNvPr>
        <xdr:cNvSpPr txBox="1"/>
      </xdr:nvSpPr>
      <xdr:spPr>
        <a:xfrm>
          <a:off x="859495" y="1797371"/>
          <a:ext cx="2009120" cy="254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602929</xdr:colOff>
      <xdr:row>7</xdr:row>
      <xdr:rowOff>102626</xdr:rowOff>
    </xdr:from>
    <xdr:to>
      <xdr:col>6</xdr:col>
      <xdr:colOff>433175</xdr:colOff>
      <xdr:row>9</xdr:row>
      <xdr:rowOff>84211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5E8E22-9AE9-4A95-938B-27EA414E2CE1}"/>
            </a:ext>
          </a:extLst>
        </xdr:cNvPr>
        <xdr:cNvSpPr txBox="1"/>
      </xdr:nvSpPr>
      <xdr:spPr>
        <a:xfrm>
          <a:off x="4330379" y="1715526"/>
          <a:ext cx="1659046" cy="2863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sheetPr>
    <pageSetUpPr fitToPage="1"/>
  </sheetPr>
  <dimension ref="A1:J119"/>
  <sheetViews>
    <sheetView tabSelected="1" view="pageBreakPreview" topLeftCell="A100" zoomScale="98" zoomScaleNormal="100" zoomScaleSheetLayoutView="98" workbookViewId="0">
      <selection activeCell="H115" sqref="H115:J117"/>
    </sheetView>
  </sheetViews>
  <sheetFormatPr defaultRowHeight="15" x14ac:dyDescent="0.25"/>
  <cols>
    <col min="1" max="1" width="31" customWidth="1"/>
    <col min="2" max="2" width="11.5703125" style="14" customWidth="1"/>
    <col min="3" max="3" width="11.5703125" style="15" customWidth="1"/>
    <col min="4" max="4" width="11.5703125" style="14" customWidth="1"/>
    <col min="5" max="5" width="11.5703125" style="15" customWidth="1"/>
    <col min="6" max="10" width="11.5703125" customWidth="1"/>
  </cols>
  <sheetData>
    <row r="1" spans="1:10" s="1" customFormat="1" ht="52.5" customHeight="1" x14ac:dyDescent="0.25">
      <c r="F1"/>
      <c r="H1"/>
      <c r="I1"/>
    </row>
    <row r="2" spans="1:10" s="1" customFormat="1" ht="10.5" customHeight="1" x14ac:dyDescent="0.25">
      <c r="A2" s="104" t="s">
        <v>13</v>
      </c>
      <c r="B2" s="104"/>
      <c r="C2" s="104"/>
      <c r="D2" s="104"/>
      <c r="E2" s="104"/>
      <c r="F2" s="104"/>
      <c r="G2" s="104"/>
      <c r="H2" s="104"/>
      <c r="I2" s="104"/>
    </row>
    <row r="3" spans="1:10" s="1" customFormat="1" ht="15.95" customHeight="1" x14ac:dyDescent="0.25">
      <c r="A3" s="104" t="s">
        <v>14</v>
      </c>
      <c r="B3" s="104"/>
      <c r="C3" s="104"/>
      <c r="D3" s="104"/>
      <c r="E3" s="104"/>
      <c r="F3" s="104"/>
      <c r="G3" s="104"/>
      <c r="H3" s="104"/>
      <c r="I3" s="104"/>
    </row>
    <row r="4" spans="1:10" s="1" customFormat="1" ht="15.95" customHeight="1" x14ac:dyDescent="0.25">
      <c r="A4" s="104" t="s">
        <v>189</v>
      </c>
      <c r="B4" s="104"/>
      <c r="C4" s="104"/>
      <c r="D4" s="104"/>
      <c r="E4" s="104"/>
      <c r="F4" s="104"/>
      <c r="G4" s="104"/>
      <c r="H4" s="104"/>
      <c r="I4" s="104"/>
    </row>
    <row r="5" spans="1:10" s="1" customFormat="1" ht="15.95" customHeight="1" x14ac:dyDescent="0.25">
      <c r="A5" s="104" t="s">
        <v>16</v>
      </c>
      <c r="B5" s="104"/>
      <c r="C5" s="104"/>
      <c r="D5" s="104"/>
      <c r="E5" s="104"/>
      <c r="F5" s="104"/>
      <c r="G5" s="104"/>
      <c r="H5" s="104"/>
      <c r="I5" s="104"/>
    </row>
    <row r="6" spans="1:10" s="1" customFormat="1" ht="8.25" customHeight="1" x14ac:dyDescent="0.25">
      <c r="F6"/>
      <c r="H6"/>
      <c r="I6"/>
    </row>
    <row r="7" spans="1:10" s="1" customFormat="1" ht="12" customHeight="1" x14ac:dyDescent="0.25">
      <c r="A7" s="1" t="s">
        <v>52</v>
      </c>
      <c r="B7" s="3" t="s">
        <v>53</v>
      </c>
      <c r="C7" s="3"/>
      <c r="F7"/>
      <c r="G7" s="3" t="s">
        <v>9</v>
      </c>
      <c r="H7" s="105"/>
      <c r="I7" s="105"/>
    </row>
    <row r="8" spans="1:10" s="1" customFormat="1" ht="12" customHeight="1" x14ac:dyDescent="0.25">
      <c r="B8" s="2"/>
      <c r="C8" s="2"/>
      <c r="F8"/>
      <c r="G8" s="2"/>
      <c r="H8" s="72"/>
      <c r="I8" s="72"/>
    </row>
    <row r="9" spans="1:10" s="1" customFormat="1" ht="12" customHeight="1" x14ac:dyDescent="0.25">
      <c r="A9" s="1" t="s">
        <v>54</v>
      </c>
      <c r="B9" s="3" t="s">
        <v>55</v>
      </c>
      <c r="C9" s="3"/>
      <c r="F9"/>
      <c r="G9" s="3" t="s">
        <v>10</v>
      </c>
      <c r="H9" s="73"/>
      <c r="I9" s="73"/>
    </row>
    <row r="10" spans="1:10" ht="16.5" customHeight="1" thickBot="1" x14ac:dyDescent="0.3">
      <c r="A10" s="103" t="s">
        <v>0</v>
      </c>
      <c r="B10" s="103"/>
      <c r="C10" s="103"/>
      <c r="D10" s="103"/>
      <c r="E10" s="103"/>
      <c r="F10" s="103"/>
      <c r="G10" s="103"/>
      <c r="H10" s="103"/>
      <c r="I10" s="103"/>
    </row>
    <row r="11" spans="1:10" s="5" customFormat="1" ht="18.75" customHeight="1" x14ac:dyDescent="0.2">
      <c r="A11" s="106" t="s">
        <v>4</v>
      </c>
      <c r="B11" s="107" t="s">
        <v>5</v>
      </c>
      <c r="C11" s="107"/>
      <c r="D11" s="108" t="s">
        <v>6</v>
      </c>
      <c r="E11" s="108"/>
      <c r="F11" s="108"/>
      <c r="G11" s="108"/>
      <c r="H11" s="109" t="s">
        <v>7</v>
      </c>
      <c r="I11" s="109"/>
      <c r="J11" s="106" t="s">
        <v>8</v>
      </c>
    </row>
    <row r="12" spans="1:10" s="5" customFormat="1" ht="28.5" customHeight="1" x14ac:dyDescent="0.2">
      <c r="A12" s="106"/>
      <c r="B12" s="13" t="s">
        <v>1</v>
      </c>
      <c r="C12" s="16" t="s">
        <v>2</v>
      </c>
      <c r="D12" s="13" t="s">
        <v>1</v>
      </c>
      <c r="E12" s="16" t="s">
        <v>2</v>
      </c>
      <c r="F12" s="69" t="s">
        <v>3</v>
      </c>
      <c r="G12" s="6" t="s">
        <v>12</v>
      </c>
      <c r="H12" s="69" t="s">
        <v>1</v>
      </c>
      <c r="I12" s="69" t="s">
        <v>2</v>
      </c>
      <c r="J12" s="106"/>
    </row>
    <row r="13" spans="1:10" s="5" customFormat="1" ht="18.75" customHeight="1" x14ac:dyDescent="0.2">
      <c r="A13" s="102" t="s">
        <v>27</v>
      </c>
      <c r="B13" s="102"/>
      <c r="C13" s="102"/>
      <c r="D13" s="102"/>
      <c r="E13" s="102"/>
      <c r="F13" s="102"/>
      <c r="G13" s="102"/>
      <c r="H13" s="102"/>
      <c r="I13" s="102"/>
      <c r="J13" s="102"/>
    </row>
    <row r="14" spans="1:10" s="5" customFormat="1" ht="15.95" customHeight="1" x14ac:dyDescent="0.2">
      <c r="A14" s="154" t="s">
        <v>29</v>
      </c>
      <c r="B14" s="155">
        <f>SUM(1.25/30)*5</f>
        <v>0.20833333333333331</v>
      </c>
      <c r="C14" s="155">
        <f>SUM(1.25/30)*5</f>
        <v>0.20833333333333331</v>
      </c>
      <c r="D14" s="155"/>
      <c r="E14" s="155"/>
      <c r="F14" s="155"/>
      <c r="G14" s="156"/>
      <c r="H14" s="155">
        <f>B14</f>
        <v>0.20833333333333331</v>
      </c>
      <c r="I14" s="155">
        <f>C14</f>
        <v>0.20833333333333331</v>
      </c>
      <c r="J14" s="156">
        <f>H14+I14</f>
        <v>0.41666666666666663</v>
      </c>
    </row>
    <row r="15" spans="1:10" s="4" customFormat="1" ht="15.95" customHeight="1" x14ac:dyDescent="0.2">
      <c r="A15" s="157" t="s">
        <v>175</v>
      </c>
      <c r="B15" s="155">
        <v>8.75</v>
      </c>
      <c r="C15" s="155">
        <v>8.75</v>
      </c>
      <c r="D15" s="155"/>
      <c r="E15" s="155"/>
      <c r="F15" s="155"/>
      <c r="G15" s="156"/>
      <c r="H15" s="155">
        <f>H14-F15-D15+B15</f>
        <v>8.9583333333333339</v>
      </c>
      <c r="I15" s="155">
        <f>I14-E15+C15</f>
        <v>8.9583333333333339</v>
      </c>
      <c r="J15" s="156">
        <f>H15+I15</f>
        <v>17.916666666666668</v>
      </c>
    </row>
    <row r="16" spans="1:10" s="4" customFormat="1" ht="15.95" customHeight="1" x14ac:dyDescent="0.2">
      <c r="A16" s="157" t="s">
        <v>31</v>
      </c>
      <c r="B16" s="155"/>
      <c r="C16" s="155"/>
      <c r="D16" s="155"/>
      <c r="E16" s="155"/>
      <c r="F16" s="155">
        <v>1</v>
      </c>
      <c r="G16" s="156"/>
      <c r="H16" s="155">
        <f t="shared" ref="H16" si="0">H15-F16-D16+B16</f>
        <v>7.9583333333333339</v>
      </c>
      <c r="I16" s="155">
        <f t="shared" ref="I16" si="1">I15-E16+C16</f>
        <v>8.9583333333333339</v>
      </c>
      <c r="J16" s="156">
        <f>H16+I16</f>
        <v>16.916666666666668</v>
      </c>
    </row>
    <row r="17" spans="1:10" s="4" customFormat="1" ht="15.95" customHeight="1" x14ac:dyDescent="0.2">
      <c r="A17" s="157" t="s">
        <v>176</v>
      </c>
      <c r="B17" s="155">
        <v>1.25</v>
      </c>
      <c r="C17" s="155">
        <v>1.25</v>
      </c>
      <c r="D17" s="155"/>
      <c r="E17" s="155"/>
      <c r="F17" s="155"/>
      <c r="G17" s="156"/>
      <c r="H17" s="155">
        <f t="shared" ref="H17:H19" si="2">H16-F17-D17+B17</f>
        <v>9.2083333333333339</v>
      </c>
      <c r="I17" s="155">
        <f t="shared" ref="I17:I19" si="3">I16-E17+C17</f>
        <v>10.208333333333334</v>
      </c>
      <c r="J17" s="156">
        <f t="shared" ref="J17:J19" si="4">H17+I17</f>
        <v>19.416666666666668</v>
      </c>
    </row>
    <row r="18" spans="1:10" s="4" customFormat="1" ht="15.95" customHeight="1" x14ac:dyDescent="0.2">
      <c r="A18" s="157" t="s">
        <v>30</v>
      </c>
      <c r="B18" s="155"/>
      <c r="C18" s="155"/>
      <c r="D18" s="155"/>
      <c r="E18" s="155"/>
      <c r="F18" s="155">
        <v>2</v>
      </c>
      <c r="G18" s="156"/>
      <c r="H18" s="155">
        <f t="shared" si="2"/>
        <v>7.2083333333333339</v>
      </c>
      <c r="I18" s="155">
        <f t="shared" si="3"/>
        <v>10.208333333333334</v>
      </c>
      <c r="J18" s="156">
        <f t="shared" si="4"/>
        <v>17.416666666666668</v>
      </c>
    </row>
    <row r="19" spans="1:10" s="4" customFormat="1" ht="15.95" customHeight="1" x14ac:dyDescent="0.2">
      <c r="A19" s="157" t="s">
        <v>177</v>
      </c>
      <c r="B19" s="155">
        <v>1.25</v>
      </c>
      <c r="C19" s="155">
        <v>1.25</v>
      </c>
      <c r="D19" s="155"/>
      <c r="E19" s="155"/>
      <c r="F19" s="155"/>
      <c r="G19" s="156"/>
      <c r="H19" s="155">
        <f t="shared" si="2"/>
        <v>8.4583333333333339</v>
      </c>
      <c r="I19" s="155">
        <f t="shared" si="3"/>
        <v>11.458333333333334</v>
      </c>
      <c r="J19" s="156">
        <f t="shared" si="4"/>
        <v>19.916666666666668</v>
      </c>
    </row>
    <row r="20" spans="1:10" s="4" customFormat="1" ht="15.95" customHeight="1" x14ac:dyDescent="0.2">
      <c r="A20" s="157" t="s">
        <v>146</v>
      </c>
      <c r="B20" s="155"/>
      <c r="C20" s="155"/>
      <c r="D20" s="155"/>
      <c r="E20" s="155"/>
      <c r="F20" s="155">
        <v>2</v>
      </c>
      <c r="G20" s="156"/>
      <c r="H20" s="155">
        <f t="shared" ref="H20:H83" si="5">H19-F20-D20+B20</f>
        <v>6.4583333333333339</v>
      </c>
      <c r="I20" s="155">
        <f t="shared" ref="I20:I83" si="6">I19-E20+C20</f>
        <v>11.458333333333334</v>
      </c>
      <c r="J20" s="156">
        <f t="shared" ref="J20:J83" si="7">H20+I20</f>
        <v>17.916666666666668</v>
      </c>
    </row>
    <row r="21" spans="1:10" s="4" customFormat="1" ht="15.95" customHeight="1" x14ac:dyDescent="0.2">
      <c r="A21" s="157" t="s">
        <v>32</v>
      </c>
      <c r="B21" s="155">
        <v>7.5</v>
      </c>
      <c r="C21" s="155">
        <v>7.5</v>
      </c>
      <c r="D21" s="155"/>
      <c r="E21" s="155"/>
      <c r="F21" s="155"/>
      <c r="G21" s="156"/>
      <c r="H21" s="155">
        <f t="shared" si="5"/>
        <v>13.958333333333334</v>
      </c>
      <c r="I21" s="155">
        <f t="shared" si="6"/>
        <v>18.958333333333336</v>
      </c>
      <c r="J21" s="156">
        <f t="shared" si="7"/>
        <v>32.916666666666671</v>
      </c>
    </row>
    <row r="22" spans="1:10" s="4" customFormat="1" ht="15.95" customHeight="1" x14ac:dyDescent="0.2">
      <c r="A22" s="157" t="s">
        <v>34</v>
      </c>
      <c r="B22" s="155"/>
      <c r="C22" s="155"/>
      <c r="D22" s="155">
        <v>10</v>
      </c>
      <c r="E22" s="155"/>
      <c r="F22" s="155"/>
      <c r="G22" s="156"/>
      <c r="H22" s="155">
        <f t="shared" si="5"/>
        <v>3.9583333333333339</v>
      </c>
      <c r="I22" s="155">
        <f t="shared" si="6"/>
        <v>18.958333333333336</v>
      </c>
      <c r="J22" s="156">
        <f t="shared" si="7"/>
        <v>22.916666666666671</v>
      </c>
    </row>
    <row r="23" spans="1:10" s="4" customFormat="1" ht="15.95" customHeight="1" x14ac:dyDescent="0.2">
      <c r="A23" s="157" t="s">
        <v>161</v>
      </c>
      <c r="B23" s="155">
        <v>6.25</v>
      </c>
      <c r="C23" s="155">
        <v>6.25</v>
      </c>
      <c r="D23" s="155"/>
      <c r="E23" s="155"/>
      <c r="F23" s="155"/>
      <c r="G23" s="156"/>
      <c r="H23" s="155">
        <f t="shared" si="5"/>
        <v>10.208333333333334</v>
      </c>
      <c r="I23" s="155">
        <f t="shared" si="6"/>
        <v>25.208333333333336</v>
      </c>
      <c r="J23" s="156">
        <f t="shared" si="7"/>
        <v>35.416666666666671</v>
      </c>
    </row>
    <row r="24" spans="1:10" s="4" customFormat="1" ht="15.95" customHeight="1" x14ac:dyDescent="0.2">
      <c r="A24" s="158" t="s">
        <v>35</v>
      </c>
      <c r="B24" s="155"/>
      <c r="C24" s="155"/>
      <c r="D24" s="155"/>
      <c r="E24" s="155"/>
      <c r="F24" s="155">
        <v>2</v>
      </c>
      <c r="G24" s="156"/>
      <c r="H24" s="155">
        <f t="shared" si="5"/>
        <v>8.2083333333333339</v>
      </c>
      <c r="I24" s="155">
        <f t="shared" si="6"/>
        <v>25.208333333333336</v>
      </c>
      <c r="J24" s="156">
        <f t="shared" si="7"/>
        <v>33.416666666666671</v>
      </c>
    </row>
    <row r="25" spans="1:10" s="4" customFormat="1" ht="15.95" customHeight="1" x14ac:dyDescent="0.2">
      <c r="A25" s="158" t="s">
        <v>162</v>
      </c>
      <c r="B25" s="155">
        <v>1.25</v>
      </c>
      <c r="C25" s="155">
        <v>1.25</v>
      </c>
      <c r="D25" s="155"/>
      <c r="E25" s="155"/>
      <c r="F25" s="155"/>
      <c r="G25" s="156"/>
      <c r="H25" s="155">
        <f t="shared" si="5"/>
        <v>9.4583333333333339</v>
      </c>
      <c r="I25" s="155">
        <f t="shared" si="6"/>
        <v>26.458333333333336</v>
      </c>
      <c r="J25" s="156">
        <f t="shared" si="7"/>
        <v>35.916666666666671</v>
      </c>
    </row>
    <row r="26" spans="1:10" s="4" customFormat="1" ht="15.95" customHeight="1" x14ac:dyDescent="0.2">
      <c r="A26" s="158" t="s">
        <v>180</v>
      </c>
      <c r="B26" s="155"/>
      <c r="C26" s="155"/>
      <c r="D26" s="155"/>
      <c r="E26" s="155"/>
      <c r="F26" s="155">
        <v>3</v>
      </c>
      <c r="G26" s="156"/>
      <c r="H26" s="155">
        <f t="shared" si="5"/>
        <v>6.4583333333333339</v>
      </c>
      <c r="I26" s="155">
        <f t="shared" si="6"/>
        <v>26.458333333333336</v>
      </c>
      <c r="J26" s="156">
        <f t="shared" si="7"/>
        <v>32.916666666666671</v>
      </c>
    </row>
    <row r="27" spans="1:10" s="4" customFormat="1" ht="15.95" customHeight="1" x14ac:dyDescent="0.2">
      <c r="A27" s="157" t="s">
        <v>178</v>
      </c>
      <c r="B27" s="155">
        <v>5</v>
      </c>
      <c r="C27" s="155">
        <v>5</v>
      </c>
      <c r="D27" s="155"/>
      <c r="E27" s="155"/>
      <c r="F27" s="155"/>
      <c r="G27" s="156"/>
      <c r="H27" s="155">
        <f t="shared" si="5"/>
        <v>11.458333333333334</v>
      </c>
      <c r="I27" s="155">
        <f t="shared" si="6"/>
        <v>31.458333333333336</v>
      </c>
      <c r="J27" s="156">
        <f t="shared" si="7"/>
        <v>42.916666666666671</v>
      </c>
    </row>
    <row r="28" spans="1:10" s="4" customFormat="1" ht="15.95" customHeight="1" x14ac:dyDescent="0.2">
      <c r="A28" s="158" t="s">
        <v>37</v>
      </c>
      <c r="B28" s="155"/>
      <c r="C28" s="155"/>
      <c r="D28" s="155"/>
      <c r="E28" s="155"/>
      <c r="F28" s="155">
        <v>1</v>
      </c>
      <c r="G28" s="156"/>
      <c r="H28" s="155">
        <f t="shared" si="5"/>
        <v>10.458333333333334</v>
      </c>
      <c r="I28" s="155">
        <f t="shared" si="6"/>
        <v>31.458333333333336</v>
      </c>
      <c r="J28" s="156">
        <f t="shared" si="7"/>
        <v>41.916666666666671</v>
      </c>
    </row>
    <row r="29" spans="1:10" s="4" customFormat="1" ht="15.95" customHeight="1" x14ac:dyDescent="0.2">
      <c r="A29" s="158" t="s">
        <v>179</v>
      </c>
      <c r="B29" s="155">
        <v>3.75</v>
      </c>
      <c r="C29" s="155">
        <v>3.75</v>
      </c>
      <c r="D29" s="155"/>
      <c r="E29" s="155"/>
      <c r="F29" s="155"/>
      <c r="G29" s="156"/>
      <c r="H29" s="155">
        <f t="shared" si="5"/>
        <v>14.208333333333334</v>
      </c>
      <c r="I29" s="155">
        <f t="shared" si="6"/>
        <v>35.208333333333336</v>
      </c>
      <c r="J29" s="156">
        <f t="shared" si="7"/>
        <v>49.416666666666671</v>
      </c>
    </row>
    <row r="30" spans="1:10" s="4" customFormat="1" ht="15.95" customHeight="1" x14ac:dyDescent="0.2">
      <c r="A30" s="158" t="s">
        <v>38</v>
      </c>
      <c r="B30" s="155"/>
      <c r="C30" s="155"/>
      <c r="D30" s="155"/>
      <c r="E30" s="155"/>
      <c r="F30" s="155">
        <v>2</v>
      </c>
      <c r="G30" s="156"/>
      <c r="H30" s="155">
        <f t="shared" si="5"/>
        <v>12.208333333333334</v>
      </c>
      <c r="I30" s="155">
        <f t="shared" si="6"/>
        <v>35.208333333333336</v>
      </c>
      <c r="J30" s="156">
        <f t="shared" si="7"/>
        <v>47.416666666666671</v>
      </c>
    </row>
    <row r="31" spans="1:10" s="4" customFormat="1" ht="15.95" customHeight="1" x14ac:dyDescent="0.2">
      <c r="A31" s="158" t="s">
        <v>163</v>
      </c>
      <c r="B31" s="155"/>
      <c r="C31" s="155"/>
      <c r="D31" s="155"/>
      <c r="E31" s="155"/>
      <c r="F31" s="155">
        <v>1</v>
      </c>
      <c r="G31" s="156"/>
      <c r="H31" s="155">
        <f t="shared" si="5"/>
        <v>11.208333333333334</v>
      </c>
      <c r="I31" s="155">
        <f t="shared" si="6"/>
        <v>35.208333333333336</v>
      </c>
      <c r="J31" s="156">
        <f t="shared" si="7"/>
        <v>46.416666666666671</v>
      </c>
    </row>
    <row r="32" spans="1:10" s="4" customFormat="1" ht="15.95" customHeight="1" x14ac:dyDescent="0.2">
      <c r="A32" s="158" t="s">
        <v>40</v>
      </c>
      <c r="B32" s="155">
        <v>5</v>
      </c>
      <c r="C32" s="155">
        <v>5</v>
      </c>
      <c r="D32" s="155"/>
      <c r="E32" s="155"/>
      <c r="F32" s="155"/>
      <c r="G32" s="156"/>
      <c r="H32" s="155">
        <f t="shared" si="5"/>
        <v>16.208333333333336</v>
      </c>
      <c r="I32" s="155">
        <f t="shared" si="6"/>
        <v>40.208333333333336</v>
      </c>
      <c r="J32" s="156">
        <f t="shared" si="7"/>
        <v>56.416666666666671</v>
      </c>
    </row>
    <row r="33" spans="1:10" s="4" customFormat="1" ht="15.95" customHeight="1" x14ac:dyDescent="0.2">
      <c r="A33" s="157" t="s">
        <v>41</v>
      </c>
      <c r="B33" s="155"/>
      <c r="C33" s="155"/>
      <c r="D33" s="155">
        <v>11</v>
      </c>
      <c r="E33" s="155">
        <v>18</v>
      </c>
      <c r="F33" s="155"/>
      <c r="G33" s="156"/>
      <c r="H33" s="155">
        <f t="shared" si="5"/>
        <v>5.2083333333333357</v>
      </c>
      <c r="I33" s="155">
        <f t="shared" si="6"/>
        <v>22.208333333333336</v>
      </c>
      <c r="J33" s="156">
        <f t="shared" si="7"/>
        <v>27.416666666666671</v>
      </c>
    </row>
    <row r="34" spans="1:10" s="4" customFormat="1" ht="15.95" customHeight="1" x14ac:dyDescent="0.2">
      <c r="A34" s="158" t="s">
        <v>42</v>
      </c>
      <c r="B34" s="155"/>
      <c r="C34" s="155"/>
      <c r="D34" s="155"/>
      <c r="E34" s="155"/>
      <c r="F34" s="155"/>
      <c r="G34" s="156">
        <v>1</v>
      </c>
      <c r="H34" s="155">
        <f t="shared" si="5"/>
        <v>5.2083333333333357</v>
      </c>
      <c r="I34" s="155">
        <f t="shared" si="6"/>
        <v>22.208333333333336</v>
      </c>
      <c r="J34" s="156">
        <f t="shared" si="7"/>
        <v>27.416666666666671</v>
      </c>
    </row>
    <row r="35" spans="1:10" s="4" customFormat="1" ht="15.95" customHeight="1" x14ac:dyDescent="0.2">
      <c r="A35" s="158" t="s">
        <v>17</v>
      </c>
      <c r="B35" s="155">
        <v>1.25</v>
      </c>
      <c r="C35" s="155">
        <v>1.25</v>
      </c>
      <c r="D35" s="155"/>
      <c r="E35" s="155"/>
      <c r="F35" s="155"/>
      <c r="G35" s="156"/>
      <c r="H35" s="155">
        <f t="shared" si="5"/>
        <v>6.4583333333333357</v>
      </c>
      <c r="I35" s="155">
        <f t="shared" si="6"/>
        <v>23.458333333333336</v>
      </c>
      <c r="J35" s="156">
        <f t="shared" si="7"/>
        <v>29.916666666666671</v>
      </c>
    </row>
    <row r="36" spans="1:10" s="4" customFormat="1" ht="15.95" customHeight="1" x14ac:dyDescent="0.2">
      <c r="A36" s="158" t="s">
        <v>181</v>
      </c>
      <c r="B36" s="155"/>
      <c r="C36" s="155"/>
      <c r="D36" s="155"/>
      <c r="E36" s="155"/>
      <c r="F36" s="155">
        <v>1</v>
      </c>
      <c r="G36" s="156"/>
      <c r="H36" s="155">
        <f t="shared" si="5"/>
        <v>5.4583333333333357</v>
      </c>
      <c r="I36" s="155">
        <f t="shared" si="6"/>
        <v>23.458333333333336</v>
      </c>
      <c r="J36" s="156">
        <f t="shared" si="7"/>
        <v>28.916666666666671</v>
      </c>
    </row>
    <row r="37" spans="1:10" s="4" customFormat="1" ht="15.95" customHeight="1" x14ac:dyDescent="0.2">
      <c r="A37" s="159" t="s">
        <v>44</v>
      </c>
      <c r="B37" s="160"/>
      <c r="C37" s="155"/>
      <c r="D37" s="155"/>
      <c r="E37" s="155"/>
      <c r="F37" s="155"/>
      <c r="G37" s="156">
        <v>1</v>
      </c>
      <c r="H37" s="155">
        <f t="shared" si="5"/>
        <v>5.4583333333333357</v>
      </c>
      <c r="I37" s="155">
        <f t="shared" si="6"/>
        <v>23.458333333333336</v>
      </c>
      <c r="J37" s="156">
        <f t="shared" si="7"/>
        <v>28.916666666666671</v>
      </c>
    </row>
    <row r="38" spans="1:10" s="4" customFormat="1" ht="15.95" customHeight="1" x14ac:dyDescent="0.2">
      <c r="A38" s="159" t="s">
        <v>45</v>
      </c>
      <c r="B38" s="160"/>
      <c r="C38" s="155"/>
      <c r="D38" s="155"/>
      <c r="E38" s="155"/>
      <c r="F38" s="155">
        <v>1</v>
      </c>
      <c r="G38" s="156"/>
      <c r="H38" s="155">
        <f t="shared" si="5"/>
        <v>4.4583333333333357</v>
      </c>
      <c r="I38" s="155">
        <f t="shared" si="6"/>
        <v>23.458333333333336</v>
      </c>
      <c r="J38" s="156">
        <f t="shared" si="7"/>
        <v>27.916666666666671</v>
      </c>
    </row>
    <row r="39" spans="1:10" s="4" customFormat="1" ht="15.95" customHeight="1" x14ac:dyDescent="0.2">
      <c r="A39" s="158" t="s">
        <v>19</v>
      </c>
      <c r="B39" s="155"/>
      <c r="C39" s="155"/>
      <c r="D39" s="155"/>
      <c r="E39" s="155">
        <v>1</v>
      </c>
      <c r="F39" s="155"/>
      <c r="G39" s="156"/>
      <c r="H39" s="155">
        <f t="shared" si="5"/>
        <v>4.4583333333333357</v>
      </c>
      <c r="I39" s="155">
        <f t="shared" si="6"/>
        <v>22.458333333333336</v>
      </c>
      <c r="J39" s="156">
        <f t="shared" si="7"/>
        <v>26.916666666666671</v>
      </c>
    </row>
    <row r="40" spans="1:10" s="4" customFormat="1" ht="15.95" customHeight="1" x14ac:dyDescent="0.2">
      <c r="A40" s="158" t="s">
        <v>20</v>
      </c>
      <c r="B40" s="155">
        <v>1.25</v>
      </c>
      <c r="C40" s="155">
        <v>1.25</v>
      </c>
      <c r="D40" s="155"/>
      <c r="E40" s="155"/>
      <c r="F40" s="155"/>
      <c r="G40" s="156"/>
      <c r="H40" s="155">
        <f t="shared" si="5"/>
        <v>5.7083333333333357</v>
      </c>
      <c r="I40" s="155">
        <f t="shared" si="6"/>
        <v>23.708333333333336</v>
      </c>
      <c r="J40" s="156">
        <f t="shared" si="7"/>
        <v>29.416666666666671</v>
      </c>
    </row>
    <row r="41" spans="1:10" ht="15.95" customHeight="1" x14ac:dyDescent="0.25">
      <c r="A41" s="158" t="s">
        <v>21</v>
      </c>
      <c r="B41" s="155"/>
      <c r="C41" s="155"/>
      <c r="D41" s="155"/>
      <c r="E41" s="155"/>
      <c r="F41" s="155">
        <v>1</v>
      </c>
      <c r="G41" s="156"/>
      <c r="H41" s="155">
        <f t="shared" si="5"/>
        <v>4.7083333333333357</v>
      </c>
      <c r="I41" s="155">
        <f t="shared" si="6"/>
        <v>23.708333333333336</v>
      </c>
      <c r="J41" s="156">
        <f t="shared" si="7"/>
        <v>28.416666666666671</v>
      </c>
    </row>
    <row r="42" spans="1:10" ht="15.95" customHeight="1" x14ac:dyDescent="0.25">
      <c r="A42" s="158" t="s">
        <v>22</v>
      </c>
      <c r="B42" s="155">
        <v>3.75</v>
      </c>
      <c r="C42" s="155">
        <v>3.75</v>
      </c>
      <c r="D42" s="160"/>
      <c r="E42" s="160"/>
      <c r="F42" s="160"/>
      <c r="G42" s="161"/>
      <c r="H42" s="155">
        <f t="shared" si="5"/>
        <v>8.4583333333333357</v>
      </c>
      <c r="I42" s="155">
        <f t="shared" si="6"/>
        <v>27.458333333333336</v>
      </c>
      <c r="J42" s="156">
        <f t="shared" si="7"/>
        <v>35.916666666666671</v>
      </c>
    </row>
    <row r="43" spans="1:10" ht="15.95" customHeight="1" x14ac:dyDescent="0.25">
      <c r="A43" s="158" t="s">
        <v>23</v>
      </c>
      <c r="B43" s="155"/>
      <c r="C43" s="155"/>
      <c r="D43" s="155"/>
      <c r="E43" s="155">
        <v>0.5</v>
      </c>
      <c r="F43" s="155"/>
      <c r="G43" s="161"/>
      <c r="H43" s="155">
        <f t="shared" si="5"/>
        <v>8.4583333333333357</v>
      </c>
      <c r="I43" s="155">
        <f t="shared" si="6"/>
        <v>26.958333333333336</v>
      </c>
      <c r="J43" s="156">
        <f t="shared" si="7"/>
        <v>35.416666666666671</v>
      </c>
    </row>
    <row r="44" spans="1:10" ht="15.95" customHeight="1" x14ac:dyDescent="0.25">
      <c r="A44" s="158" t="s">
        <v>11</v>
      </c>
      <c r="B44" s="155">
        <v>1.25</v>
      </c>
      <c r="C44" s="155">
        <v>1.25</v>
      </c>
      <c r="D44" s="160"/>
      <c r="E44" s="155"/>
      <c r="F44" s="155"/>
      <c r="G44" s="161"/>
      <c r="H44" s="155">
        <f t="shared" si="5"/>
        <v>9.7083333333333357</v>
      </c>
      <c r="I44" s="155">
        <f t="shared" si="6"/>
        <v>28.208333333333336</v>
      </c>
      <c r="J44" s="156">
        <f t="shared" si="7"/>
        <v>37.916666666666671</v>
      </c>
    </row>
    <row r="45" spans="1:10" ht="15.95" customHeight="1" x14ac:dyDescent="0.25">
      <c r="A45" s="158" t="s">
        <v>24</v>
      </c>
      <c r="B45" s="155"/>
      <c r="C45" s="155"/>
      <c r="D45" s="155"/>
      <c r="E45" s="155">
        <v>1</v>
      </c>
      <c r="F45" s="155"/>
      <c r="G45" s="161"/>
      <c r="H45" s="155">
        <f t="shared" si="5"/>
        <v>9.7083333333333357</v>
      </c>
      <c r="I45" s="155">
        <f t="shared" si="6"/>
        <v>27.208333333333336</v>
      </c>
      <c r="J45" s="156">
        <f t="shared" si="7"/>
        <v>36.916666666666671</v>
      </c>
    </row>
    <row r="46" spans="1:10" ht="15.95" customHeight="1" x14ac:dyDescent="0.25">
      <c r="A46" s="158" t="s">
        <v>25</v>
      </c>
      <c r="B46" s="155"/>
      <c r="C46" s="155"/>
      <c r="D46" s="155"/>
      <c r="E46" s="155">
        <v>1</v>
      </c>
      <c r="F46" s="155"/>
      <c r="G46" s="161"/>
      <c r="H46" s="155">
        <f t="shared" si="5"/>
        <v>9.7083333333333357</v>
      </c>
      <c r="I46" s="155">
        <f t="shared" si="6"/>
        <v>26.208333333333336</v>
      </c>
      <c r="J46" s="156">
        <f t="shared" si="7"/>
        <v>35.916666666666671</v>
      </c>
    </row>
    <row r="47" spans="1:10" ht="15.95" customHeight="1" x14ac:dyDescent="0.25">
      <c r="A47" s="158" t="s">
        <v>18</v>
      </c>
      <c r="B47" s="155">
        <v>1.25</v>
      </c>
      <c r="C47" s="155">
        <v>1.25</v>
      </c>
      <c r="D47" s="155"/>
      <c r="E47" s="155"/>
      <c r="F47" s="155"/>
      <c r="G47" s="161"/>
      <c r="H47" s="155">
        <f t="shared" si="5"/>
        <v>10.958333333333336</v>
      </c>
      <c r="I47" s="155">
        <f t="shared" si="6"/>
        <v>27.458333333333336</v>
      </c>
      <c r="J47" s="156">
        <f t="shared" si="7"/>
        <v>38.416666666666671</v>
      </c>
    </row>
    <row r="48" spans="1:10" ht="15.95" customHeight="1" x14ac:dyDescent="0.25">
      <c r="A48" s="158" t="s">
        <v>26</v>
      </c>
      <c r="B48" s="155"/>
      <c r="C48" s="155"/>
      <c r="D48" s="160"/>
      <c r="E48" s="155"/>
      <c r="F48" s="155">
        <v>2</v>
      </c>
      <c r="G48" s="161"/>
      <c r="H48" s="155">
        <f t="shared" si="5"/>
        <v>8.9583333333333357</v>
      </c>
      <c r="I48" s="155">
        <f t="shared" si="6"/>
        <v>27.458333333333336</v>
      </c>
      <c r="J48" s="156">
        <f t="shared" si="7"/>
        <v>36.416666666666671</v>
      </c>
    </row>
    <row r="49" spans="1:10" ht="15.95" customHeight="1" x14ac:dyDescent="0.25">
      <c r="A49" s="158" t="s">
        <v>46</v>
      </c>
      <c r="B49" s="155">
        <v>2.5</v>
      </c>
      <c r="C49" s="155">
        <v>2.5</v>
      </c>
      <c r="D49" s="160"/>
      <c r="E49" s="155"/>
      <c r="F49" s="155"/>
      <c r="G49" s="161"/>
      <c r="H49" s="155">
        <f t="shared" si="5"/>
        <v>11.458333333333336</v>
      </c>
      <c r="I49" s="155">
        <f t="shared" si="6"/>
        <v>29.958333333333336</v>
      </c>
      <c r="J49" s="156">
        <f t="shared" si="7"/>
        <v>41.416666666666671</v>
      </c>
    </row>
    <row r="50" spans="1:10" ht="15.95" customHeight="1" x14ac:dyDescent="0.25">
      <c r="A50" s="158" t="s">
        <v>47</v>
      </c>
      <c r="B50" s="155"/>
      <c r="C50" s="155"/>
      <c r="D50" s="155">
        <v>7</v>
      </c>
      <c r="E50" s="155">
        <v>22</v>
      </c>
      <c r="F50" s="155"/>
      <c r="G50" s="161"/>
      <c r="H50" s="155">
        <f t="shared" si="5"/>
        <v>4.4583333333333357</v>
      </c>
      <c r="I50" s="155">
        <f t="shared" si="6"/>
        <v>7.9583333333333357</v>
      </c>
      <c r="J50" s="156">
        <f t="shared" si="7"/>
        <v>12.416666666666671</v>
      </c>
    </row>
    <row r="51" spans="1:10" ht="15.95" customHeight="1" x14ac:dyDescent="0.25">
      <c r="A51" s="158" t="s">
        <v>48</v>
      </c>
      <c r="B51" s="155"/>
      <c r="C51" s="155"/>
      <c r="D51" s="160"/>
      <c r="E51" s="155"/>
      <c r="F51" s="155"/>
      <c r="G51" s="161">
        <v>1</v>
      </c>
      <c r="H51" s="155">
        <f t="shared" si="5"/>
        <v>4.4583333333333357</v>
      </c>
      <c r="I51" s="155">
        <f t="shared" si="6"/>
        <v>7.9583333333333357</v>
      </c>
      <c r="J51" s="156">
        <f t="shared" si="7"/>
        <v>12.416666666666671</v>
      </c>
    </row>
    <row r="52" spans="1:10" ht="15.95" customHeight="1" x14ac:dyDescent="0.25">
      <c r="A52" s="158" t="s">
        <v>49</v>
      </c>
      <c r="B52" s="155">
        <v>2.5</v>
      </c>
      <c r="C52" s="155">
        <v>2.5</v>
      </c>
      <c r="D52" s="160"/>
      <c r="E52" s="155"/>
      <c r="F52" s="155"/>
      <c r="G52" s="161"/>
      <c r="H52" s="155">
        <f t="shared" si="5"/>
        <v>6.9583333333333357</v>
      </c>
      <c r="I52" s="155">
        <f t="shared" si="6"/>
        <v>10.458333333333336</v>
      </c>
      <c r="J52" s="156">
        <f t="shared" si="7"/>
        <v>17.416666666666671</v>
      </c>
    </row>
    <row r="53" spans="1:10" ht="15.95" customHeight="1" x14ac:dyDescent="0.25">
      <c r="A53" s="158" t="s">
        <v>50</v>
      </c>
      <c r="B53" s="155"/>
      <c r="C53" s="155"/>
      <c r="D53" s="155"/>
      <c r="E53" s="155">
        <v>0.5</v>
      </c>
      <c r="F53" s="155"/>
      <c r="G53" s="161"/>
      <c r="H53" s="155">
        <f t="shared" si="5"/>
        <v>6.9583333333333357</v>
      </c>
      <c r="I53" s="155">
        <f t="shared" si="6"/>
        <v>9.9583333333333357</v>
      </c>
      <c r="J53" s="156">
        <f t="shared" si="7"/>
        <v>16.916666666666671</v>
      </c>
    </row>
    <row r="54" spans="1:10" ht="15.95" customHeight="1" x14ac:dyDescent="0.25">
      <c r="A54" s="158" t="s">
        <v>51</v>
      </c>
      <c r="B54" s="155"/>
      <c r="C54" s="155"/>
      <c r="D54" s="160"/>
      <c r="E54" s="155">
        <v>1.5</v>
      </c>
      <c r="F54" s="155"/>
      <c r="G54" s="161"/>
      <c r="H54" s="155">
        <f t="shared" si="5"/>
        <v>6.9583333333333357</v>
      </c>
      <c r="I54" s="155">
        <f t="shared" si="6"/>
        <v>8.4583333333333357</v>
      </c>
      <c r="J54" s="156">
        <f t="shared" si="7"/>
        <v>15.416666666666671</v>
      </c>
    </row>
    <row r="55" spans="1:10" ht="15.95" customHeight="1" x14ac:dyDescent="0.25">
      <c r="A55" s="158" t="s">
        <v>74</v>
      </c>
      <c r="B55" s="155">
        <v>1.25</v>
      </c>
      <c r="C55" s="155">
        <v>1.25</v>
      </c>
      <c r="D55" s="160"/>
      <c r="E55" s="155"/>
      <c r="F55" s="155"/>
      <c r="G55" s="161"/>
      <c r="H55" s="155">
        <f t="shared" si="5"/>
        <v>8.2083333333333357</v>
      </c>
      <c r="I55" s="155">
        <f t="shared" si="6"/>
        <v>9.7083333333333357</v>
      </c>
      <c r="J55" s="156">
        <f t="shared" si="7"/>
        <v>17.916666666666671</v>
      </c>
    </row>
    <row r="56" spans="1:10" ht="15.95" customHeight="1" x14ac:dyDescent="0.25">
      <c r="A56" s="158" t="s">
        <v>75</v>
      </c>
      <c r="B56" s="155"/>
      <c r="C56" s="155"/>
      <c r="D56" s="160"/>
      <c r="E56" s="155"/>
      <c r="F56" s="155"/>
      <c r="G56" s="161">
        <v>1</v>
      </c>
      <c r="H56" s="155">
        <f t="shared" si="5"/>
        <v>8.2083333333333357</v>
      </c>
      <c r="I56" s="155">
        <f t="shared" si="6"/>
        <v>9.7083333333333357</v>
      </c>
      <c r="J56" s="156">
        <f t="shared" si="7"/>
        <v>17.916666666666671</v>
      </c>
    </row>
    <row r="57" spans="1:10" ht="15.95" customHeight="1" x14ac:dyDescent="0.25">
      <c r="A57" s="158" t="s">
        <v>76</v>
      </c>
      <c r="B57" s="155"/>
      <c r="C57" s="155"/>
      <c r="D57" s="160"/>
      <c r="E57" s="155">
        <v>1</v>
      </c>
      <c r="F57" s="155"/>
      <c r="G57" s="161"/>
      <c r="H57" s="155">
        <f t="shared" si="5"/>
        <v>8.2083333333333357</v>
      </c>
      <c r="I57" s="155">
        <f t="shared" si="6"/>
        <v>8.7083333333333357</v>
      </c>
      <c r="J57" s="156">
        <f t="shared" si="7"/>
        <v>16.916666666666671</v>
      </c>
    </row>
    <row r="58" spans="1:10" ht="15.95" customHeight="1" x14ac:dyDescent="0.25">
      <c r="A58" s="158" t="s">
        <v>77</v>
      </c>
      <c r="B58" s="155">
        <v>1.25</v>
      </c>
      <c r="C58" s="155">
        <v>1.25</v>
      </c>
      <c r="D58" s="160"/>
      <c r="E58" s="155"/>
      <c r="F58" s="155"/>
      <c r="G58" s="161"/>
      <c r="H58" s="155">
        <f t="shared" si="5"/>
        <v>9.4583333333333357</v>
      </c>
      <c r="I58" s="155">
        <f t="shared" si="6"/>
        <v>9.9583333333333357</v>
      </c>
      <c r="J58" s="156">
        <f t="shared" si="7"/>
        <v>19.416666666666671</v>
      </c>
    </row>
    <row r="59" spans="1:10" ht="15.95" customHeight="1" x14ac:dyDescent="0.25">
      <c r="A59" s="158" t="s">
        <v>182</v>
      </c>
      <c r="B59" s="155"/>
      <c r="C59" s="155"/>
      <c r="D59" s="160"/>
      <c r="E59" s="155"/>
      <c r="F59" s="155">
        <v>1</v>
      </c>
      <c r="G59" s="161"/>
      <c r="H59" s="155">
        <f t="shared" si="5"/>
        <v>8.4583333333333357</v>
      </c>
      <c r="I59" s="155">
        <f t="shared" si="6"/>
        <v>9.9583333333333357</v>
      </c>
      <c r="J59" s="156">
        <f t="shared" si="7"/>
        <v>18.416666666666671</v>
      </c>
    </row>
    <row r="60" spans="1:10" ht="15.95" customHeight="1" x14ac:dyDescent="0.25">
      <c r="A60" s="158" t="s">
        <v>78</v>
      </c>
      <c r="B60" s="155"/>
      <c r="C60" s="155"/>
      <c r="D60" s="155"/>
      <c r="E60" s="155">
        <v>0.5</v>
      </c>
      <c r="F60" s="155"/>
      <c r="G60" s="161"/>
      <c r="H60" s="155">
        <f t="shared" si="5"/>
        <v>8.4583333333333357</v>
      </c>
      <c r="I60" s="155">
        <f t="shared" si="6"/>
        <v>9.4583333333333357</v>
      </c>
      <c r="J60" s="156">
        <f t="shared" si="7"/>
        <v>17.916666666666671</v>
      </c>
    </row>
    <row r="61" spans="1:10" ht="15.95" customHeight="1" x14ac:dyDescent="0.25">
      <c r="A61" s="158" t="s">
        <v>79</v>
      </c>
      <c r="B61" s="155"/>
      <c r="C61" s="155"/>
      <c r="D61" s="155"/>
      <c r="E61" s="155">
        <v>0.5</v>
      </c>
      <c r="F61" s="155"/>
      <c r="G61" s="161"/>
      <c r="H61" s="155">
        <f t="shared" si="5"/>
        <v>8.4583333333333357</v>
      </c>
      <c r="I61" s="155">
        <f t="shared" si="6"/>
        <v>8.9583333333333357</v>
      </c>
      <c r="J61" s="156">
        <f t="shared" si="7"/>
        <v>17.416666666666671</v>
      </c>
    </row>
    <row r="62" spans="1:10" ht="15.95" customHeight="1" x14ac:dyDescent="0.25">
      <c r="A62" s="158" t="s">
        <v>80</v>
      </c>
      <c r="B62" s="155">
        <v>1.25</v>
      </c>
      <c r="C62" s="155">
        <v>1.25</v>
      </c>
      <c r="D62" s="155"/>
      <c r="E62" s="155"/>
      <c r="F62" s="155"/>
      <c r="G62" s="161"/>
      <c r="H62" s="155">
        <f t="shared" si="5"/>
        <v>9.7083333333333357</v>
      </c>
      <c r="I62" s="155">
        <f t="shared" si="6"/>
        <v>10.208333333333336</v>
      </c>
      <c r="J62" s="156">
        <f t="shared" si="7"/>
        <v>19.916666666666671</v>
      </c>
    </row>
    <row r="63" spans="1:10" ht="15.95" customHeight="1" x14ac:dyDescent="0.25">
      <c r="A63" s="158" t="s">
        <v>81</v>
      </c>
      <c r="B63" s="155"/>
      <c r="C63" s="155"/>
      <c r="D63" s="155"/>
      <c r="E63" s="155"/>
      <c r="F63" s="155">
        <v>2</v>
      </c>
      <c r="G63" s="161"/>
      <c r="H63" s="155">
        <f t="shared" si="5"/>
        <v>7.7083333333333357</v>
      </c>
      <c r="I63" s="155">
        <f t="shared" si="6"/>
        <v>10.208333333333336</v>
      </c>
      <c r="J63" s="156">
        <f t="shared" si="7"/>
        <v>17.916666666666671</v>
      </c>
    </row>
    <row r="64" spans="1:10" ht="15.95" customHeight="1" x14ac:dyDescent="0.25">
      <c r="A64" s="158" t="s">
        <v>82</v>
      </c>
      <c r="B64" s="155">
        <v>1.25</v>
      </c>
      <c r="C64" s="155">
        <v>1.25</v>
      </c>
      <c r="D64" s="155"/>
      <c r="E64" s="155"/>
      <c r="F64" s="155"/>
      <c r="G64" s="161"/>
      <c r="H64" s="155">
        <f t="shared" si="5"/>
        <v>8.9583333333333357</v>
      </c>
      <c r="I64" s="155">
        <f t="shared" si="6"/>
        <v>11.458333333333336</v>
      </c>
      <c r="J64" s="156">
        <f t="shared" si="7"/>
        <v>20.416666666666671</v>
      </c>
    </row>
    <row r="65" spans="1:10" ht="15.95" customHeight="1" x14ac:dyDescent="0.25">
      <c r="A65" s="158" t="s">
        <v>83</v>
      </c>
      <c r="B65" s="155"/>
      <c r="C65" s="155"/>
      <c r="D65" s="155"/>
      <c r="E65" s="155">
        <v>0.5</v>
      </c>
      <c r="F65" s="155"/>
      <c r="G65" s="161"/>
      <c r="H65" s="155">
        <f t="shared" si="5"/>
        <v>8.9583333333333357</v>
      </c>
      <c r="I65" s="155">
        <f t="shared" si="6"/>
        <v>10.958333333333336</v>
      </c>
      <c r="J65" s="156">
        <f t="shared" si="7"/>
        <v>19.916666666666671</v>
      </c>
    </row>
    <row r="66" spans="1:10" ht="15.95" customHeight="1" x14ac:dyDescent="0.25">
      <c r="A66" s="158" t="s">
        <v>84</v>
      </c>
      <c r="B66" s="155">
        <v>2.5</v>
      </c>
      <c r="C66" s="155">
        <v>2.5</v>
      </c>
      <c r="D66" s="160"/>
      <c r="E66" s="155"/>
      <c r="F66" s="155"/>
      <c r="G66" s="161"/>
      <c r="H66" s="155">
        <f t="shared" si="5"/>
        <v>11.458333333333336</v>
      </c>
      <c r="I66" s="155">
        <f t="shared" si="6"/>
        <v>13.458333333333336</v>
      </c>
      <c r="J66" s="156">
        <f t="shared" si="7"/>
        <v>24.916666666666671</v>
      </c>
    </row>
    <row r="67" spans="1:10" ht="15.95" customHeight="1" x14ac:dyDescent="0.25">
      <c r="A67" s="158" t="s">
        <v>85</v>
      </c>
      <c r="B67" s="155"/>
      <c r="C67" s="155"/>
      <c r="D67" s="160"/>
      <c r="E67" s="155"/>
      <c r="F67" s="155"/>
      <c r="G67" s="161">
        <v>1</v>
      </c>
      <c r="H67" s="155">
        <f t="shared" si="5"/>
        <v>11.458333333333336</v>
      </c>
      <c r="I67" s="155">
        <f t="shared" si="6"/>
        <v>13.458333333333336</v>
      </c>
      <c r="J67" s="156">
        <f t="shared" si="7"/>
        <v>24.916666666666671</v>
      </c>
    </row>
    <row r="68" spans="1:10" ht="15.95" customHeight="1" x14ac:dyDescent="0.25">
      <c r="A68" s="158" t="s">
        <v>86</v>
      </c>
      <c r="B68" s="155">
        <v>2.5</v>
      </c>
      <c r="C68" s="155">
        <v>2.5</v>
      </c>
      <c r="D68" s="160"/>
      <c r="E68" s="155"/>
      <c r="F68" s="155"/>
      <c r="G68" s="161"/>
      <c r="H68" s="155">
        <f t="shared" si="5"/>
        <v>13.958333333333336</v>
      </c>
      <c r="I68" s="155">
        <f t="shared" si="6"/>
        <v>15.958333333333336</v>
      </c>
      <c r="J68" s="156">
        <f t="shared" si="7"/>
        <v>29.916666666666671</v>
      </c>
    </row>
    <row r="69" spans="1:10" ht="15.95" customHeight="1" x14ac:dyDescent="0.25">
      <c r="A69" s="158" t="s">
        <v>87</v>
      </c>
      <c r="B69" s="155"/>
      <c r="C69" s="155"/>
      <c r="D69" s="160"/>
      <c r="E69" s="155"/>
      <c r="F69" s="155">
        <v>1</v>
      </c>
      <c r="G69" s="161"/>
      <c r="H69" s="155">
        <f t="shared" si="5"/>
        <v>12.958333333333336</v>
      </c>
      <c r="I69" s="155">
        <f t="shared" si="6"/>
        <v>15.958333333333336</v>
      </c>
      <c r="J69" s="156">
        <f t="shared" si="7"/>
        <v>28.916666666666671</v>
      </c>
    </row>
    <row r="70" spans="1:10" ht="15.95" customHeight="1" x14ac:dyDescent="0.25">
      <c r="A70" s="158" t="s">
        <v>88</v>
      </c>
      <c r="B70" s="155">
        <v>2.5</v>
      </c>
      <c r="C70" s="155">
        <v>2.5</v>
      </c>
      <c r="D70" s="160"/>
      <c r="E70" s="155"/>
      <c r="F70" s="155"/>
      <c r="G70" s="161"/>
      <c r="H70" s="155">
        <f t="shared" si="5"/>
        <v>15.458333333333336</v>
      </c>
      <c r="I70" s="155">
        <f t="shared" si="6"/>
        <v>18.458333333333336</v>
      </c>
      <c r="J70" s="156">
        <f t="shared" si="7"/>
        <v>33.916666666666671</v>
      </c>
    </row>
    <row r="71" spans="1:10" ht="15.95" customHeight="1" x14ac:dyDescent="0.25">
      <c r="A71" s="158" t="s">
        <v>102</v>
      </c>
      <c r="B71" s="155"/>
      <c r="C71" s="155"/>
      <c r="D71" s="155">
        <v>7</v>
      </c>
      <c r="E71" s="155">
        <v>13</v>
      </c>
      <c r="F71" s="155"/>
      <c r="G71" s="161"/>
      <c r="H71" s="155">
        <f t="shared" si="5"/>
        <v>8.4583333333333357</v>
      </c>
      <c r="I71" s="155">
        <f t="shared" si="6"/>
        <v>5.4583333333333357</v>
      </c>
      <c r="J71" s="156">
        <f t="shared" si="7"/>
        <v>13.916666666666671</v>
      </c>
    </row>
    <row r="72" spans="1:10" ht="15.95" customHeight="1" x14ac:dyDescent="0.25">
      <c r="A72" s="158" t="s">
        <v>103</v>
      </c>
      <c r="B72" s="155"/>
      <c r="C72" s="155"/>
      <c r="D72" s="155"/>
      <c r="E72" s="155">
        <v>1</v>
      </c>
      <c r="F72" s="155"/>
      <c r="G72" s="161"/>
      <c r="H72" s="155">
        <f t="shared" si="5"/>
        <v>8.4583333333333357</v>
      </c>
      <c r="I72" s="155">
        <f t="shared" si="6"/>
        <v>4.4583333333333357</v>
      </c>
      <c r="J72" s="156">
        <f t="shared" si="7"/>
        <v>12.916666666666671</v>
      </c>
    </row>
    <row r="73" spans="1:10" ht="15.95" customHeight="1" x14ac:dyDescent="0.25">
      <c r="A73" s="158" t="s">
        <v>104</v>
      </c>
      <c r="B73" s="155">
        <v>1.25</v>
      </c>
      <c r="C73" s="155">
        <v>1.25</v>
      </c>
      <c r="D73" s="155"/>
      <c r="E73" s="155"/>
      <c r="F73" s="155"/>
      <c r="G73" s="161"/>
      <c r="H73" s="155">
        <f t="shared" si="5"/>
        <v>9.7083333333333357</v>
      </c>
      <c r="I73" s="155">
        <f t="shared" si="6"/>
        <v>5.7083333333333357</v>
      </c>
      <c r="J73" s="156">
        <f t="shared" si="7"/>
        <v>15.416666666666671</v>
      </c>
    </row>
    <row r="74" spans="1:10" ht="15.95" customHeight="1" x14ac:dyDescent="0.25">
      <c r="A74" s="158" t="s">
        <v>105</v>
      </c>
      <c r="B74" s="155"/>
      <c r="C74" s="155"/>
      <c r="D74" s="155"/>
      <c r="E74" s="155"/>
      <c r="F74" s="155">
        <v>2</v>
      </c>
      <c r="G74" s="161"/>
      <c r="H74" s="155">
        <f t="shared" si="5"/>
        <v>7.7083333333333357</v>
      </c>
      <c r="I74" s="155">
        <f t="shared" si="6"/>
        <v>5.7083333333333357</v>
      </c>
      <c r="J74" s="156">
        <f t="shared" si="7"/>
        <v>13.416666666666671</v>
      </c>
    </row>
    <row r="75" spans="1:10" ht="15.95" customHeight="1" x14ac:dyDescent="0.25">
      <c r="A75" s="158" t="s">
        <v>120</v>
      </c>
      <c r="B75" s="155">
        <v>2.5</v>
      </c>
      <c r="C75" s="155">
        <v>2.5</v>
      </c>
      <c r="D75" s="155"/>
      <c r="E75" s="155"/>
      <c r="F75" s="155"/>
      <c r="G75" s="161"/>
      <c r="H75" s="155">
        <f t="shared" si="5"/>
        <v>10.208333333333336</v>
      </c>
      <c r="I75" s="155">
        <f t="shared" si="6"/>
        <v>8.2083333333333357</v>
      </c>
      <c r="J75" s="156">
        <f t="shared" si="7"/>
        <v>18.416666666666671</v>
      </c>
    </row>
    <row r="76" spans="1:10" ht="15.95" customHeight="1" x14ac:dyDescent="0.25">
      <c r="A76" s="158" t="s">
        <v>121</v>
      </c>
      <c r="B76" s="155"/>
      <c r="C76" s="155"/>
      <c r="D76" s="155"/>
      <c r="E76" s="155"/>
      <c r="F76" s="155"/>
      <c r="G76" s="161">
        <v>2</v>
      </c>
      <c r="H76" s="155">
        <f t="shared" si="5"/>
        <v>10.208333333333336</v>
      </c>
      <c r="I76" s="155">
        <f t="shared" si="6"/>
        <v>8.2083333333333357</v>
      </c>
      <c r="J76" s="156">
        <f t="shared" si="7"/>
        <v>18.416666666666671</v>
      </c>
    </row>
    <row r="77" spans="1:10" ht="15.95" customHeight="1" x14ac:dyDescent="0.25">
      <c r="A77" s="158" t="s">
        <v>122</v>
      </c>
      <c r="B77" s="155">
        <v>1.25</v>
      </c>
      <c r="C77" s="155">
        <v>1.25</v>
      </c>
      <c r="D77" s="155"/>
      <c r="E77" s="155"/>
      <c r="F77" s="155"/>
      <c r="G77" s="161"/>
      <c r="H77" s="155">
        <f t="shared" si="5"/>
        <v>11.458333333333336</v>
      </c>
      <c r="I77" s="155">
        <f t="shared" si="6"/>
        <v>9.4583333333333357</v>
      </c>
      <c r="J77" s="156">
        <f t="shared" si="7"/>
        <v>20.916666666666671</v>
      </c>
    </row>
    <row r="78" spans="1:10" ht="15.95" customHeight="1" x14ac:dyDescent="0.25">
      <c r="A78" s="158" t="s">
        <v>123</v>
      </c>
      <c r="B78" s="155"/>
      <c r="C78" s="155"/>
      <c r="D78" s="155"/>
      <c r="E78" s="155"/>
      <c r="F78" s="155"/>
      <c r="G78" s="155">
        <v>1</v>
      </c>
      <c r="H78" s="155">
        <f t="shared" si="5"/>
        <v>11.458333333333336</v>
      </c>
      <c r="I78" s="155">
        <f t="shared" si="6"/>
        <v>9.4583333333333357</v>
      </c>
      <c r="J78" s="156">
        <f t="shared" si="7"/>
        <v>20.916666666666671</v>
      </c>
    </row>
    <row r="79" spans="1:10" ht="15.95" customHeight="1" x14ac:dyDescent="0.25">
      <c r="A79" s="158" t="s">
        <v>124</v>
      </c>
      <c r="B79" s="155">
        <v>1.25</v>
      </c>
      <c r="C79" s="155">
        <v>1.25</v>
      </c>
      <c r="D79" s="155"/>
      <c r="E79" s="155"/>
      <c r="F79" s="155"/>
      <c r="G79" s="155"/>
      <c r="H79" s="155">
        <f t="shared" si="5"/>
        <v>12.708333333333336</v>
      </c>
      <c r="I79" s="155">
        <f t="shared" si="6"/>
        <v>10.708333333333336</v>
      </c>
      <c r="J79" s="156">
        <f t="shared" si="7"/>
        <v>23.416666666666671</v>
      </c>
    </row>
    <row r="80" spans="1:10" ht="15.95" customHeight="1" x14ac:dyDescent="0.25">
      <c r="A80" s="158" t="s">
        <v>125</v>
      </c>
      <c r="B80" s="155"/>
      <c r="C80" s="155"/>
      <c r="D80" s="155"/>
      <c r="E80" s="155"/>
      <c r="F80" s="155">
        <v>1</v>
      </c>
      <c r="G80" s="155"/>
      <c r="H80" s="155">
        <f t="shared" si="5"/>
        <v>11.708333333333336</v>
      </c>
      <c r="I80" s="155">
        <f t="shared" si="6"/>
        <v>10.708333333333336</v>
      </c>
      <c r="J80" s="156">
        <f t="shared" si="7"/>
        <v>22.416666666666671</v>
      </c>
    </row>
    <row r="81" spans="1:10" ht="15.95" customHeight="1" x14ac:dyDescent="0.25">
      <c r="A81" s="158" t="s">
        <v>126</v>
      </c>
      <c r="B81" s="155">
        <v>1.25</v>
      </c>
      <c r="C81" s="155">
        <v>1.25</v>
      </c>
      <c r="D81" s="155"/>
      <c r="E81" s="155"/>
      <c r="F81" s="155"/>
      <c r="G81" s="155"/>
      <c r="H81" s="155">
        <f t="shared" si="5"/>
        <v>12.958333333333336</v>
      </c>
      <c r="I81" s="155">
        <f t="shared" si="6"/>
        <v>11.958333333333336</v>
      </c>
      <c r="J81" s="156">
        <f t="shared" si="7"/>
        <v>24.916666666666671</v>
      </c>
    </row>
    <row r="82" spans="1:10" ht="15.95" customHeight="1" x14ac:dyDescent="0.25">
      <c r="A82" s="158" t="s">
        <v>127</v>
      </c>
      <c r="B82" s="155"/>
      <c r="C82" s="155"/>
      <c r="D82" s="155"/>
      <c r="E82" s="155">
        <v>2</v>
      </c>
      <c r="F82" s="155"/>
      <c r="G82" s="155"/>
      <c r="H82" s="155">
        <f t="shared" si="5"/>
        <v>12.958333333333336</v>
      </c>
      <c r="I82" s="155">
        <f t="shared" si="6"/>
        <v>9.9583333333333357</v>
      </c>
      <c r="J82" s="156">
        <f t="shared" si="7"/>
        <v>22.916666666666671</v>
      </c>
    </row>
    <row r="83" spans="1:10" ht="15.95" customHeight="1" x14ac:dyDescent="0.25">
      <c r="A83" s="158" t="s">
        <v>128</v>
      </c>
      <c r="B83" s="155">
        <v>1.25</v>
      </c>
      <c r="C83" s="155">
        <v>1.25</v>
      </c>
      <c r="D83" s="155"/>
      <c r="E83" s="155"/>
      <c r="F83" s="155"/>
      <c r="G83" s="155"/>
      <c r="H83" s="155">
        <f t="shared" si="5"/>
        <v>14.208333333333336</v>
      </c>
      <c r="I83" s="155">
        <f t="shared" si="6"/>
        <v>11.208333333333336</v>
      </c>
      <c r="J83" s="156">
        <f t="shared" si="7"/>
        <v>25.416666666666671</v>
      </c>
    </row>
    <row r="84" spans="1:10" s="1" customFormat="1" ht="18" customHeight="1" x14ac:dyDescent="0.25">
      <c r="A84" s="158" t="s">
        <v>129</v>
      </c>
      <c r="B84" s="155"/>
      <c r="C84" s="155"/>
      <c r="D84" s="155"/>
      <c r="E84" s="155">
        <v>1</v>
      </c>
      <c r="F84" s="155"/>
      <c r="G84" s="155"/>
      <c r="H84" s="155">
        <f t="shared" ref="H84:H107" si="8">H83-F84-D84+B84</f>
        <v>14.208333333333336</v>
      </c>
      <c r="I84" s="155">
        <f t="shared" ref="I84:I107" si="9">I83-E84+C84</f>
        <v>10.208333333333336</v>
      </c>
      <c r="J84" s="156">
        <f t="shared" ref="J84:J107" si="10">H84+I84</f>
        <v>24.416666666666671</v>
      </c>
    </row>
    <row r="85" spans="1:10" s="1" customFormat="1" ht="18" customHeight="1" x14ac:dyDescent="0.25">
      <c r="A85" s="158" t="s">
        <v>130</v>
      </c>
      <c r="B85" s="155">
        <v>1.25</v>
      </c>
      <c r="C85" s="155">
        <v>1.25</v>
      </c>
      <c r="D85" s="155"/>
      <c r="E85" s="155"/>
      <c r="F85" s="155"/>
      <c r="G85" s="155"/>
      <c r="H85" s="155">
        <f t="shared" si="8"/>
        <v>15.458333333333336</v>
      </c>
      <c r="I85" s="155">
        <f t="shared" si="9"/>
        <v>11.458333333333336</v>
      </c>
      <c r="J85" s="156">
        <f t="shared" si="10"/>
        <v>26.916666666666671</v>
      </c>
    </row>
    <row r="86" spans="1:10" s="1" customFormat="1" ht="18" customHeight="1" x14ac:dyDescent="0.25">
      <c r="A86" s="158" t="s">
        <v>131</v>
      </c>
      <c r="B86" s="155"/>
      <c r="C86" s="155"/>
      <c r="D86" s="155"/>
      <c r="E86" s="155">
        <v>2</v>
      </c>
      <c r="F86" s="155"/>
      <c r="G86" s="155"/>
      <c r="H86" s="155">
        <f t="shared" si="8"/>
        <v>15.458333333333336</v>
      </c>
      <c r="I86" s="155">
        <f t="shared" si="9"/>
        <v>9.4583333333333357</v>
      </c>
      <c r="J86" s="156">
        <f t="shared" si="10"/>
        <v>24.916666666666671</v>
      </c>
    </row>
    <row r="87" spans="1:10" s="1" customFormat="1" ht="18" customHeight="1" x14ac:dyDescent="0.25">
      <c r="A87" s="158" t="s">
        <v>132</v>
      </c>
      <c r="B87" s="155"/>
      <c r="C87" s="155"/>
      <c r="D87" s="155"/>
      <c r="E87" s="155"/>
      <c r="F87" s="155"/>
      <c r="G87" s="155">
        <v>1</v>
      </c>
      <c r="H87" s="155">
        <f t="shared" si="8"/>
        <v>15.458333333333336</v>
      </c>
      <c r="I87" s="155">
        <f t="shared" si="9"/>
        <v>9.4583333333333357</v>
      </c>
      <c r="J87" s="156">
        <f t="shared" si="10"/>
        <v>24.916666666666671</v>
      </c>
    </row>
    <row r="88" spans="1:10" s="1" customFormat="1" ht="18" customHeight="1" x14ac:dyDescent="0.25">
      <c r="A88" s="158" t="s">
        <v>133</v>
      </c>
      <c r="B88" s="155"/>
      <c r="C88" s="155"/>
      <c r="D88" s="155"/>
      <c r="E88" s="155"/>
      <c r="F88" s="155">
        <v>1</v>
      </c>
      <c r="G88" s="155"/>
      <c r="H88" s="155">
        <f t="shared" si="8"/>
        <v>14.458333333333336</v>
      </c>
      <c r="I88" s="155">
        <f t="shared" si="9"/>
        <v>9.4583333333333357</v>
      </c>
      <c r="J88" s="156">
        <f t="shared" si="10"/>
        <v>23.916666666666671</v>
      </c>
    </row>
    <row r="89" spans="1:10" s="1" customFormat="1" ht="18" customHeight="1" x14ac:dyDescent="0.25">
      <c r="A89" s="158" t="s">
        <v>138</v>
      </c>
      <c r="B89" s="155">
        <v>2.5</v>
      </c>
      <c r="C89" s="155">
        <v>2.5</v>
      </c>
      <c r="D89" s="155"/>
      <c r="E89" s="155"/>
      <c r="F89" s="155"/>
      <c r="G89" s="155"/>
      <c r="H89" s="155">
        <f t="shared" si="8"/>
        <v>16.958333333333336</v>
      </c>
      <c r="I89" s="155">
        <f t="shared" si="9"/>
        <v>11.958333333333336</v>
      </c>
      <c r="J89" s="156">
        <f t="shared" si="10"/>
        <v>28.916666666666671</v>
      </c>
    </row>
    <row r="90" spans="1:10" s="1" customFormat="1" ht="18" customHeight="1" x14ac:dyDescent="0.25">
      <c r="A90" s="158" t="s">
        <v>139</v>
      </c>
      <c r="B90" s="155"/>
      <c r="C90" s="155"/>
      <c r="D90" s="155"/>
      <c r="E90" s="155"/>
      <c r="F90" s="155"/>
      <c r="G90" s="155">
        <v>1</v>
      </c>
      <c r="H90" s="155">
        <f t="shared" si="8"/>
        <v>16.958333333333336</v>
      </c>
      <c r="I90" s="155">
        <f t="shared" si="9"/>
        <v>11.958333333333336</v>
      </c>
      <c r="J90" s="156">
        <f t="shared" si="10"/>
        <v>28.916666666666671</v>
      </c>
    </row>
    <row r="91" spans="1:10" s="1" customFormat="1" ht="18" customHeight="1" x14ac:dyDescent="0.25">
      <c r="A91" s="158" t="s">
        <v>144</v>
      </c>
      <c r="B91" s="155">
        <v>1.25</v>
      </c>
      <c r="C91" s="155">
        <v>1.25</v>
      </c>
      <c r="D91" s="155"/>
      <c r="E91" s="155"/>
      <c r="F91" s="155"/>
      <c r="G91" s="155"/>
      <c r="H91" s="155">
        <f t="shared" si="8"/>
        <v>18.208333333333336</v>
      </c>
      <c r="I91" s="155">
        <f t="shared" si="9"/>
        <v>13.208333333333336</v>
      </c>
      <c r="J91" s="156">
        <f t="shared" si="10"/>
        <v>31.416666666666671</v>
      </c>
    </row>
    <row r="92" spans="1:10" s="1" customFormat="1" ht="17.25" customHeight="1" x14ac:dyDescent="0.25">
      <c r="A92" s="158" t="s">
        <v>145</v>
      </c>
      <c r="B92" s="155"/>
      <c r="C92" s="155"/>
      <c r="D92" s="155">
        <v>10</v>
      </c>
      <c r="E92" s="155"/>
      <c r="F92" s="155"/>
      <c r="G92" s="155"/>
      <c r="H92" s="155">
        <f t="shared" si="8"/>
        <v>8.2083333333333357</v>
      </c>
      <c r="I92" s="155">
        <f t="shared" si="9"/>
        <v>13.208333333333336</v>
      </c>
      <c r="J92" s="156">
        <f t="shared" si="10"/>
        <v>21.416666666666671</v>
      </c>
    </row>
    <row r="93" spans="1:10" s="1" customFormat="1" ht="18" customHeight="1" x14ac:dyDescent="0.25">
      <c r="A93" s="158" t="s">
        <v>151</v>
      </c>
      <c r="B93" s="155">
        <v>1.25</v>
      </c>
      <c r="C93" s="155">
        <v>1.25</v>
      </c>
      <c r="D93" s="155"/>
      <c r="E93" s="155"/>
      <c r="F93" s="155"/>
      <c r="G93" s="155"/>
      <c r="H93" s="155">
        <f t="shared" si="8"/>
        <v>9.4583333333333357</v>
      </c>
      <c r="I93" s="155">
        <f t="shared" si="9"/>
        <v>14.458333333333336</v>
      </c>
      <c r="J93" s="156">
        <f t="shared" si="10"/>
        <v>23.916666666666671</v>
      </c>
    </row>
    <row r="94" spans="1:10" s="1" customFormat="1" ht="18" customHeight="1" x14ac:dyDescent="0.25">
      <c r="A94" s="158" t="s">
        <v>150</v>
      </c>
      <c r="B94" s="155"/>
      <c r="C94" s="155"/>
      <c r="D94" s="155"/>
      <c r="E94" s="155">
        <v>1</v>
      </c>
      <c r="F94" s="155"/>
      <c r="G94" s="155"/>
      <c r="H94" s="155">
        <f t="shared" si="8"/>
        <v>9.4583333333333357</v>
      </c>
      <c r="I94" s="155">
        <f t="shared" si="9"/>
        <v>13.458333333333336</v>
      </c>
      <c r="J94" s="156">
        <f t="shared" si="10"/>
        <v>22.916666666666671</v>
      </c>
    </row>
    <row r="95" spans="1:10" s="1" customFormat="1" ht="18" customHeight="1" x14ac:dyDescent="0.25">
      <c r="A95" s="158" t="s">
        <v>154</v>
      </c>
      <c r="B95" s="155">
        <v>1.25</v>
      </c>
      <c r="C95" s="155">
        <v>1.25</v>
      </c>
      <c r="D95" s="155"/>
      <c r="E95" s="155"/>
      <c r="F95" s="155"/>
      <c r="G95" s="155"/>
      <c r="H95" s="155">
        <f t="shared" si="8"/>
        <v>10.708333333333336</v>
      </c>
      <c r="I95" s="155">
        <f t="shared" si="9"/>
        <v>14.708333333333336</v>
      </c>
      <c r="J95" s="156">
        <f t="shared" si="10"/>
        <v>25.416666666666671</v>
      </c>
    </row>
    <row r="96" spans="1:10" s="1" customFormat="1" ht="20.25" customHeight="1" x14ac:dyDescent="0.25">
      <c r="A96" s="162" t="s">
        <v>153</v>
      </c>
      <c r="B96" s="163"/>
      <c r="C96" s="163"/>
      <c r="D96" s="163"/>
      <c r="E96" s="164">
        <v>1</v>
      </c>
      <c r="F96" s="165"/>
      <c r="G96" s="165"/>
      <c r="H96" s="155">
        <f t="shared" si="8"/>
        <v>10.708333333333336</v>
      </c>
      <c r="I96" s="155">
        <f t="shared" si="9"/>
        <v>13.708333333333336</v>
      </c>
      <c r="J96" s="156">
        <f t="shared" si="10"/>
        <v>24.416666666666671</v>
      </c>
    </row>
    <row r="97" spans="1:10" s="1" customFormat="1" ht="20.25" customHeight="1" x14ac:dyDescent="0.25">
      <c r="A97" s="162" t="s">
        <v>159</v>
      </c>
      <c r="B97" s="162">
        <v>2.5</v>
      </c>
      <c r="C97" s="162">
        <v>2.5</v>
      </c>
      <c r="D97" s="162"/>
      <c r="E97" s="164"/>
      <c r="F97" s="165"/>
      <c r="G97" s="165"/>
      <c r="H97" s="155">
        <f t="shared" si="8"/>
        <v>13.208333333333336</v>
      </c>
      <c r="I97" s="155">
        <f t="shared" si="9"/>
        <v>16.208333333333336</v>
      </c>
      <c r="J97" s="156">
        <f t="shared" si="10"/>
        <v>29.416666666666671</v>
      </c>
    </row>
    <row r="98" spans="1:10" s="1" customFormat="1" ht="20.25" customHeight="1" x14ac:dyDescent="0.25">
      <c r="A98" s="162" t="s">
        <v>160</v>
      </c>
      <c r="B98" s="162"/>
      <c r="C98" s="162"/>
      <c r="D98" s="162"/>
      <c r="E98" s="164"/>
      <c r="F98" s="155">
        <v>3</v>
      </c>
      <c r="G98" s="165"/>
      <c r="H98" s="155">
        <f t="shared" si="8"/>
        <v>10.208333333333336</v>
      </c>
      <c r="I98" s="155">
        <f t="shared" si="9"/>
        <v>16.208333333333336</v>
      </c>
      <c r="J98" s="156">
        <f t="shared" si="10"/>
        <v>26.416666666666671</v>
      </c>
    </row>
    <row r="99" spans="1:10" s="1" customFormat="1" ht="20.25" customHeight="1" x14ac:dyDescent="0.25">
      <c r="A99" s="162" t="s">
        <v>166</v>
      </c>
      <c r="B99" s="162">
        <v>1.25</v>
      </c>
      <c r="C99" s="162">
        <v>1.25</v>
      </c>
      <c r="D99" s="162"/>
      <c r="E99" s="164"/>
      <c r="F99" s="155"/>
      <c r="G99" s="165"/>
      <c r="H99" s="155">
        <f t="shared" si="8"/>
        <v>11.458333333333336</v>
      </c>
      <c r="I99" s="155">
        <f t="shared" si="9"/>
        <v>17.458333333333336</v>
      </c>
      <c r="J99" s="156">
        <f t="shared" si="10"/>
        <v>28.916666666666671</v>
      </c>
    </row>
    <row r="100" spans="1:10" s="1" customFormat="1" ht="20.25" customHeight="1" x14ac:dyDescent="0.25">
      <c r="A100" s="166" t="s">
        <v>167</v>
      </c>
      <c r="B100" s="166">
        <v>2.5</v>
      </c>
      <c r="C100" s="166">
        <v>2.5</v>
      </c>
      <c r="D100" s="166"/>
      <c r="E100" s="167"/>
      <c r="F100" s="155"/>
      <c r="G100" s="165"/>
      <c r="H100" s="155">
        <f t="shared" si="8"/>
        <v>13.958333333333336</v>
      </c>
      <c r="I100" s="155">
        <f t="shared" si="9"/>
        <v>19.958333333333336</v>
      </c>
      <c r="J100" s="156">
        <f t="shared" si="10"/>
        <v>33.916666666666671</v>
      </c>
    </row>
    <row r="101" spans="1:10" s="1" customFormat="1" ht="20.25" customHeight="1" x14ac:dyDescent="0.25">
      <c r="A101" s="166" t="s">
        <v>168</v>
      </c>
      <c r="B101" s="166"/>
      <c r="C101" s="166"/>
      <c r="D101" s="166"/>
      <c r="E101" s="167">
        <v>2</v>
      </c>
      <c r="F101" s="155"/>
      <c r="G101" s="165"/>
      <c r="H101" s="155">
        <f t="shared" si="8"/>
        <v>13.958333333333336</v>
      </c>
      <c r="I101" s="155">
        <f t="shared" si="9"/>
        <v>17.958333333333336</v>
      </c>
      <c r="J101" s="156">
        <f t="shared" si="10"/>
        <v>31.916666666666671</v>
      </c>
    </row>
    <row r="102" spans="1:10" s="1" customFormat="1" ht="20.25" customHeight="1" x14ac:dyDescent="0.25">
      <c r="A102" s="166" t="s">
        <v>169</v>
      </c>
      <c r="B102" s="166"/>
      <c r="C102" s="166"/>
      <c r="D102" s="166"/>
      <c r="E102" s="167">
        <v>1</v>
      </c>
      <c r="F102" s="155"/>
      <c r="G102" s="165"/>
      <c r="H102" s="155">
        <f t="shared" si="8"/>
        <v>13.958333333333336</v>
      </c>
      <c r="I102" s="155">
        <f t="shared" si="9"/>
        <v>16.958333333333336</v>
      </c>
      <c r="J102" s="156">
        <f t="shared" si="10"/>
        <v>30.916666666666671</v>
      </c>
    </row>
    <row r="103" spans="1:10" s="1" customFormat="1" ht="20.25" customHeight="1" x14ac:dyDescent="0.25">
      <c r="A103" s="166" t="s">
        <v>170</v>
      </c>
      <c r="B103" s="166"/>
      <c r="C103" s="166"/>
      <c r="D103" s="166"/>
      <c r="E103" s="167"/>
      <c r="F103" s="155"/>
      <c r="G103" s="168">
        <v>1</v>
      </c>
      <c r="H103" s="155">
        <f t="shared" si="8"/>
        <v>13.958333333333336</v>
      </c>
      <c r="I103" s="155">
        <f t="shared" si="9"/>
        <v>16.958333333333336</v>
      </c>
      <c r="J103" s="156">
        <f t="shared" si="10"/>
        <v>30.916666666666671</v>
      </c>
    </row>
    <row r="104" spans="1:10" s="1" customFormat="1" ht="20.25" customHeight="1" x14ac:dyDescent="0.25">
      <c r="A104" s="166" t="s">
        <v>171</v>
      </c>
      <c r="B104" s="166">
        <v>1.25</v>
      </c>
      <c r="C104" s="166">
        <v>1.25</v>
      </c>
      <c r="D104" s="166"/>
      <c r="E104" s="167"/>
      <c r="F104" s="155"/>
      <c r="G104" s="166"/>
      <c r="H104" s="155">
        <f t="shared" si="8"/>
        <v>15.208333333333336</v>
      </c>
      <c r="I104" s="155">
        <f t="shared" si="9"/>
        <v>18.208333333333336</v>
      </c>
      <c r="J104" s="156">
        <f t="shared" si="10"/>
        <v>33.416666666666671</v>
      </c>
    </row>
    <row r="105" spans="1:10" s="1" customFormat="1" ht="20.25" customHeight="1" x14ac:dyDescent="0.25">
      <c r="A105" s="166" t="s">
        <v>172</v>
      </c>
      <c r="B105" s="166"/>
      <c r="C105" s="166"/>
      <c r="D105" s="166"/>
      <c r="E105" s="167">
        <v>2</v>
      </c>
      <c r="F105" s="155"/>
      <c r="G105" s="166"/>
      <c r="H105" s="155">
        <f t="shared" si="8"/>
        <v>15.208333333333336</v>
      </c>
      <c r="I105" s="155">
        <f t="shared" si="9"/>
        <v>16.208333333333336</v>
      </c>
      <c r="J105" s="156">
        <f t="shared" si="10"/>
        <v>31.416666666666671</v>
      </c>
    </row>
    <row r="106" spans="1:10" s="1" customFormat="1" ht="20.25" customHeight="1" x14ac:dyDescent="0.25">
      <c r="A106" s="166" t="s">
        <v>173</v>
      </c>
      <c r="B106" s="166"/>
      <c r="C106" s="166"/>
      <c r="D106" s="166"/>
      <c r="E106" s="167"/>
      <c r="F106" s="155"/>
      <c r="G106" s="168">
        <v>1</v>
      </c>
      <c r="H106" s="155">
        <f t="shared" si="8"/>
        <v>15.208333333333336</v>
      </c>
      <c r="I106" s="155">
        <f t="shared" si="9"/>
        <v>16.208333333333336</v>
      </c>
      <c r="J106" s="156">
        <f t="shared" si="10"/>
        <v>31.416666666666671</v>
      </c>
    </row>
    <row r="107" spans="1:10" s="1" customFormat="1" ht="20.25" customHeight="1" x14ac:dyDescent="0.25">
      <c r="A107" s="166" t="s">
        <v>174</v>
      </c>
      <c r="B107" s="166"/>
      <c r="C107" s="166"/>
      <c r="D107" s="166"/>
      <c r="E107" s="167"/>
      <c r="F107" s="169">
        <v>1</v>
      </c>
      <c r="G107" s="166"/>
      <c r="H107" s="155">
        <f t="shared" si="8"/>
        <v>14.208333333333336</v>
      </c>
      <c r="I107" s="155">
        <f t="shared" si="9"/>
        <v>16.208333333333336</v>
      </c>
      <c r="J107" s="156">
        <f t="shared" si="10"/>
        <v>30.416666666666671</v>
      </c>
    </row>
    <row r="108" spans="1:10" s="1" customFormat="1" ht="20.25" customHeight="1" x14ac:dyDescent="0.25">
      <c r="A108" s="166" t="s">
        <v>183</v>
      </c>
      <c r="B108" s="166">
        <v>3.75</v>
      </c>
      <c r="C108" s="166">
        <v>3.75</v>
      </c>
      <c r="D108" s="166"/>
      <c r="E108" s="167"/>
      <c r="F108" s="155"/>
      <c r="G108" s="166"/>
      <c r="H108" s="155">
        <f t="shared" ref="H108:H109" si="11">H107-F108-D108+B108</f>
        <v>17.958333333333336</v>
      </c>
      <c r="I108" s="155">
        <f t="shared" ref="I108:I109" si="12">I107-E108+C108</f>
        <v>19.958333333333336</v>
      </c>
      <c r="J108" s="156">
        <f t="shared" ref="J108:J109" si="13">H108+I108</f>
        <v>37.916666666666671</v>
      </c>
    </row>
    <row r="109" spans="1:10" s="1" customFormat="1" ht="20.25" customHeight="1" x14ac:dyDescent="0.25">
      <c r="A109" s="166" t="s">
        <v>184</v>
      </c>
      <c r="B109" s="166"/>
      <c r="C109" s="166"/>
      <c r="D109" s="166">
        <v>10</v>
      </c>
      <c r="E109" s="167"/>
      <c r="F109" s="155"/>
      <c r="G109" s="166"/>
      <c r="H109" s="155">
        <f t="shared" si="11"/>
        <v>7.9583333333333357</v>
      </c>
      <c r="I109" s="155">
        <f t="shared" si="12"/>
        <v>19.958333333333336</v>
      </c>
      <c r="J109" s="156">
        <f t="shared" si="13"/>
        <v>27.916666666666671</v>
      </c>
    </row>
    <row r="110" spans="1:10" s="1" customFormat="1" ht="20.25" customHeight="1" x14ac:dyDescent="0.25">
      <c r="A110" s="166" t="s">
        <v>185</v>
      </c>
      <c r="B110" s="166"/>
      <c r="C110" s="166"/>
      <c r="D110" s="166"/>
      <c r="E110" s="167">
        <v>1</v>
      </c>
      <c r="F110" s="155"/>
      <c r="G110" s="166"/>
      <c r="H110" s="155">
        <f t="shared" ref="H110:H111" si="14">H109-F110-D110+B110</f>
        <v>7.9583333333333357</v>
      </c>
      <c r="I110" s="155">
        <f t="shared" ref="I110:I111" si="15">I109-E110+C110</f>
        <v>18.958333333333336</v>
      </c>
      <c r="J110" s="156">
        <f t="shared" ref="J110:J111" si="16">H110+I110</f>
        <v>26.916666666666671</v>
      </c>
    </row>
    <row r="111" spans="1:10" s="1" customFormat="1" ht="20.25" customHeight="1" x14ac:dyDescent="0.25">
      <c r="A111" s="166" t="s">
        <v>186</v>
      </c>
      <c r="B111" s="166"/>
      <c r="C111" s="166"/>
      <c r="D111" s="166"/>
      <c r="E111" s="167">
        <v>1</v>
      </c>
      <c r="F111" s="155"/>
      <c r="G111" s="166"/>
      <c r="H111" s="155">
        <f t="shared" si="14"/>
        <v>7.9583333333333357</v>
      </c>
      <c r="I111" s="155">
        <f t="shared" si="15"/>
        <v>17.958333333333336</v>
      </c>
      <c r="J111" s="156">
        <f t="shared" si="16"/>
        <v>25.916666666666671</v>
      </c>
    </row>
    <row r="112" spans="1:10" s="1" customFormat="1" ht="20.25" customHeight="1" x14ac:dyDescent="0.25">
      <c r="A112" s="166" t="s">
        <v>187</v>
      </c>
      <c r="B112" s="166">
        <v>1.25</v>
      </c>
      <c r="C112" s="166">
        <v>1.25</v>
      </c>
      <c r="D112" s="166"/>
      <c r="E112" s="167"/>
      <c r="F112" s="155"/>
      <c r="G112" s="166"/>
      <c r="H112" s="155">
        <f t="shared" ref="H112:H113" si="17">H111-F112-D112+B112</f>
        <v>9.2083333333333357</v>
      </c>
      <c r="I112" s="155">
        <f t="shared" ref="I112:I113" si="18">I111-E112+C112</f>
        <v>19.208333333333336</v>
      </c>
      <c r="J112" s="156">
        <f t="shared" ref="J112:J113" si="19">H112+I112</f>
        <v>28.416666666666671</v>
      </c>
    </row>
    <row r="113" spans="1:10" s="1" customFormat="1" ht="20.25" customHeight="1" x14ac:dyDescent="0.25">
      <c r="A113" s="166" t="s">
        <v>188</v>
      </c>
      <c r="B113" s="166"/>
      <c r="C113" s="166"/>
      <c r="D113" s="166"/>
      <c r="E113" s="167"/>
      <c r="F113" s="169">
        <v>1</v>
      </c>
      <c r="G113" s="166"/>
      <c r="H113" s="155">
        <f t="shared" si="17"/>
        <v>8.2083333333333357</v>
      </c>
      <c r="I113" s="155">
        <f t="shared" si="18"/>
        <v>19.208333333333336</v>
      </c>
      <c r="J113" s="156">
        <f t="shared" si="19"/>
        <v>27.416666666666671</v>
      </c>
    </row>
    <row r="114" spans="1:10" ht="20.25" customHeight="1" x14ac:dyDescent="0.25">
      <c r="A114" s="166" t="s">
        <v>195</v>
      </c>
      <c r="B114" s="166">
        <v>3.75</v>
      </c>
      <c r="C114" s="166">
        <v>3.75</v>
      </c>
      <c r="D114" s="166"/>
      <c r="E114" s="167"/>
      <c r="F114" s="155"/>
      <c r="G114" s="166"/>
      <c r="H114" s="155">
        <f t="shared" ref="H114" si="20">H113-F114-D114+B114</f>
        <v>11.958333333333336</v>
      </c>
      <c r="I114" s="155">
        <f t="shared" ref="I114" si="21">I113-E114+C114</f>
        <v>22.958333333333336</v>
      </c>
      <c r="J114" s="156">
        <f t="shared" ref="J114" si="22">H114+I114</f>
        <v>34.916666666666671</v>
      </c>
    </row>
    <row r="115" spans="1:10" ht="20.25" customHeight="1" x14ac:dyDescent="0.25">
      <c r="A115" s="166" t="s">
        <v>196</v>
      </c>
      <c r="B115" s="166"/>
      <c r="C115" s="166"/>
      <c r="D115" s="166"/>
      <c r="E115" s="167"/>
      <c r="F115" s="169">
        <v>1</v>
      </c>
      <c r="G115" s="166"/>
      <c r="H115" s="155">
        <f t="shared" ref="H115" si="23">H114-F115-D115+B115</f>
        <v>10.958333333333336</v>
      </c>
      <c r="I115" s="155">
        <f t="shared" ref="I115" si="24">I114-E115+C115</f>
        <v>22.958333333333336</v>
      </c>
      <c r="J115" s="156">
        <f t="shared" ref="J115" si="25">H115+I115</f>
        <v>33.916666666666671</v>
      </c>
    </row>
    <row r="116" spans="1:10" ht="20.25" customHeight="1" x14ac:dyDescent="0.25">
      <c r="A116" s="170" t="s">
        <v>197</v>
      </c>
      <c r="B116" s="170">
        <v>1.25</v>
      </c>
      <c r="C116" s="170">
        <v>1.25</v>
      </c>
      <c r="D116" s="170"/>
      <c r="E116" s="171"/>
      <c r="F116" s="172"/>
      <c r="G116" s="170"/>
      <c r="H116" s="155">
        <f t="shared" ref="H116:H117" si="26">H115-F116-D116+B116</f>
        <v>12.208333333333336</v>
      </c>
      <c r="I116" s="155">
        <f t="shared" ref="I116:I117" si="27">I115-E116+C116</f>
        <v>24.208333333333336</v>
      </c>
      <c r="J116" s="156">
        <f t="shared" ref="J116:J117" si="28">H116+I116</f>
        <v>36.416666666666671</v>
      </c>
    </row>
    <row r="117" spans="1:10" ht="20.25" customHeight="1" x14ac:dyDescent="0.25">
      <c r="A117" s="170" t="s">
        <v>198</v>
      </c>
      <c r="B117" s="170"/>
      <c r="C117" s="170"/>
      <c r="D117" s="170"/>
      <c r="E117" s="171"/>
      <c r="F117" s="169">
        <v>1</v>
      </c>
      <c r="G117" s="170"/>
      <c r="H117" s="155">
        <f t="shared" si="26"/>
        <v>11.208333333333336</v>
      </c>
      <c r="I117" s="155">
        <f t="shared" si="27"/>
        <v>24.208333333333336</v>
      </c>
      <c r="J117" s="156">
        <f t="shared" si="28"/>
        <v>35.416666666666671</v>
      </c>
    </row>
    <row r="118" spans="1:10" s="1" customFormat="1" ht="20.25" customHeight="1" x14ac:dyDescent="0.25">
      <c r="A118" s="93"/>
      <c r="B118" s="93"/>
      <c r="C118" s="93"/>
      <c r="D118" s="93"/>
      <c r="E118" s="94"/>
      <c r="F118" s="95"/>
      <c r="G118"/>
      <c r="H118" s="96"/>
      <c r="I118" s="96"/>
      <c r="J118" s="97"/>
    </row>
    <row r="119" spans="1:10" ht="87.75" customHeight="1" x14ac:dyDescent="0.25">
      <c r="A119" s="1"/>
      <c r="B119" s="1"/>
      <c r="C119" s="1"/>
      <c r="D119" s="1"/>
      <c r="E119" s="1"/>
      <c r="G119" s="1"/>
      <c r="J119" s="1"/>
    </row>
  </sheetData>
  <mergeCells count="12">
    <mergeCell ref="A13:J13"/>
    <mergeCell ref="A10:I10"/>
    <mergeCell ref="A2:I2"/>
    <mergeCell ref="A3:I3"/>
    <mergeCell ref="A4:I4"/>
    <mergeCell ref="A5:I5"/>
    <mergeCell ref="H7:I7"/>
    <mergeCell ref="A11:A12"/>
    <mergeCell ref="J11:J12"/>
    <mergeCell ref="B11:C11"/>
    <mergeCell ref="D11:G11"/>
    <mergeCell ref="H11:I11"/>
  </mergeCells>
  <phoneticPr fontId="5" type="noConversion"/>
  <printOptions horizontalCentered="1"/>
  <pageMargins left="0.23622047244094491" right="0.23622047244094491" top="0.62992125984251968" bottom="0.23622047244094491" header="0.31496062992125984" footer="0.31496062992125984"/>
  <pageSetup paperSize="9" scale="73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DA9F-A8A1-42BC-BF65-136AB9021EFD}">
  <dimension ref="A1:N31"/>
  <sheetViews>
    <sheetView topLeftCell="A6" workbookViewId="0">
      <selection activeCell="T27" sqref="T27"/>
    </sheetView>
  </sheetViews>
  <sheetFormatPr defaultRowHeight="15" x14ac:dyDescent="0.25"/>
  <cols>
    <col min="1" max="1" width="21.85546875" style="56" customWidth="1"/>
    <col min="2" max="2" width="18.7109375" style="56" customWidth="1"/>
    <col min="3" max="5" width="8.7109375" style="56"/>
    <col min="6" max="6" width="6.85546875" style="56" customWidth="1"/>
    <col min="7" max="7" width="8.7109375" style="56"/>
    <col min="8" max="8" width="7.42578125" style="56" customWidth="1"/>
    <col min="9" max="9" width="8.7109375" style="56"/>
    <col min="10" max="10" width="7" style="56" customWidth="1"/>
    <col min="11" max="11" width="9.140625" style="56"/>
    <col min="12" max="12" width="7.140625" style="56" customWidth="1"/>
    <col min="13" max="14" width="9.140625" style="56"/>
  </cols>
  <sheetData>
    <row r="1" spans="1:14" x14ac:dyDescent="0.25">
      <c r="A1" s="49"/>
      <c r="B1" s="49"/>
      <c r="C1" s="49"/>
      <c r="D1" s="50"/>
      <c r="E1" s="51"/>
      <c r="F1" s="49"/>
      <c r="G1" s="49"/>
      <c r="H1" s="49"/>
      <c r="I1" s="52"/>
      <c r="J1" s="49"/>
      <c r="K1" s="49"/>
      <c r="L1" s="49"/>
      <c r="M1" s="49"/>
      <c r="N1" s="49"/>
    </row>
    <row r="2" spans="1:14" x14ac:dyDescent="0.25">
      <c r="A2" s="49"/>
      <c r="B2" s="49"/>
      <c r="C2" s="49"/>
      <c r="D2" s="50"/>
      <c r="E2" s="51"/>
      <c r="F2" s="49"/>
      <c r="G2" s="49"/>
      <c r="H2" s="49"/>
      <c r="I2" s="52"/>
      <c r="J2" s="49"/>
      <c r="K2" s="49"/>
      <c r="L2" s="49"/>
      <c r="M2" s="49"/>
      <c r="N2" s="49"/>
    </row>
    <row r="3" spans="1:14" x14ac:dyDescent="0.25">
      <c r="A3" s="49"/>
      <c r="B3" s="49"/>
      <c r="C3" s="49"/>
      <c r="D3" s="50"/>
      <c r="E3" s="51"/>
      <c r="F3" s="49"/>
      <c r="G3" s="49"/>
      <c r="H3" s="49"/>
      <c r="I3" s="52"/>
      <c r="J3" s="49"/>
      <c r="K3" s="49"/>
      <c r="L3" s="49"/>
      <c r="M3" s="49"/>
      <c r="N3" s="49"/>
    </row>
    <row r="4" spans="1:14" x14ac:dyDescent="0.25">
      <c r="A4" s="49"/>
      <c r="B4" s="49"/>
      <c r="C4" s="49"/>
      <c r="D4" s="50"/>
      <c r="E4" s="51"/>
      <c r="F4" s="49"/>
      <c r="G4" s="49"/>
      <c r="H4" s="49"/>
      <c r="I4" s="52"/>
      <c r="J4" s="49"/>
      <c r="K4" s="49"/>
      <c r="L4" s="49"/>
      <c r="M4" s="49"/>
      <c r="N4" s="49"/>
    </row>
    <row r="5" spans="1:14" x14ac:dyDescent="0.25">
      <c r="A5" s="132" t="s">
        <v>13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49"/>
    </row>
    <row r="6" spans="1:14" x14ac:dyDescent="0.25">
      <c r="A6" s="132" t="s">
        <v>14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49"/>
    </row>
    <row r="7" spans="1:14" x14ac:dyDescent="0.25">
      <c r="A7" s="132" t="s">
        <v>15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49"/>
    </row>
    <row r="8" spans="1:14" x14ac:dyDescent="0.25">
      <c r="A8" s="132" t="s">
        <v>16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49"/>
    </row>
    <row r="9" spans="1:14" x14ac:dyDescent="0.25">
      <c r="A9" s="49"/>
      <c r="B9" s="49"/>
      <c r="C9" s="49"/>
      <c r="D9" s="52"/>
      <c r="E9" s="49"/>
      <c r="F9" s="49"/>
      <c r="G9" s="49"/>
      <c r="H9" s="49"/>
      <c r="I9" s="52"/>
      <c r="J9" s="49"/>
      <c r="K9" s="49"/>
      <c r="L9" s="49"/>
      <c r="M9" s="49"/>
      <c r="N9" s="49"/>
    </row>
    <row r="10" spans="1:14" x14ac:dyDescent="0.25">
      <c r="A10" s="49"/>
      <c r="B10" s="49"/>
      <c r="C10" s="49"/>
      <c r="D10" s="52"/>
      <c r="E10" s="49"/>
      <c r="F10" s="49"/>
      <c r="G10" s="49"/>
      <c r="H10" s="49"/>
      <c r="I10" s="52"/>
      <c r="J10" s="49"/>
      <c r="K10" s="49"/>
      <c r="L10" s="49"/>
      <c r="M10" s="49"/>
      <c r="N10" s="49"/>
    </row>
    <row r="11" spans="1:14" x14ac:dyDescent="0.25">
      <c r="A11" s="53" t="s">
        <v>115</v>
      </c>
      <c r="B11" s="53"/>
      <c r="C11" s="53"/>
      <c r="D11" s="114" t="s">
        <v>57</v>
      </c>
      <c r="E11" s="114"/>
      <c r="F11" s="114"/>
      <c r="G11" s="114"/>
      <c r="H11" s="114"/>
      <c r="I11" s="49"/>
      <c r="J11" s="114" t="s">
        <v>106</v>
      </c>
      <c r="K11" s="114"/>
      <c r="L11" s="114"/>
      <c r="M11" s="53"/>
      <c r="N11" s="49"/>
    </row>
    <row r="12" spans="1:14" x14ac:dyDescent="0.25">
      <c r="A12" s="49"/>
      <c r="B12" s="49"/>
      <c r="C12" s="54"/>
      <c r="D12" s="114" t="s">
        <v>107</v>
      </c>
      <c r="E12" s="114"/>
      <c r="F12" s="114"/>
      <c r="G12" s="114"/>
      <c r="H12" s="114"/>
      <c r="I12" s="49"/>
      <c r="J12" s="115" t="s">
        <v>60</v>
      </c>
      <c r="K12" s="115"/>
      <c r="L12" s="115"/>
      <c r="M12" s="54"/>
      <c r="N12" s="49"/>
    </row>
    <row r="13" spans="1:14" x14ac:dyDescent="0.25">
      <c r="A13" s="53" t="s">
        <v>117</v>
      </c>
      <c r="B13" s="53"/>
      <c r="C13" s="53"/>
      <c r="D13" s="55"/>
      <c r="E13" s="54"/>
      <c r="F13" s="54"/>
      <c r="G13" s="49"/>
      <c r="H13" s="49"/>
      <c r="I13" s="49"/>
      <c r="J13" s="114" t="s">
        <v>62</v>
      </c>
      <c r="K13" s="114"/>
      <c r="L13" s="114"/>
      <c r="M13" s="53"/>
      <c r="N13" s="49"/>
    </row>
    <row r="14" spans="1:14" ht="21.75" thickBot="1" x14ac:dyDescent="0.3">
      <c r="A14" s="116" t="s">
        <v>108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</row>
    <row r="15" spans="1:14" x14ac:dyDescent="0.25">
      <c r="A15" s="117" t="s">
        <v>109</v>
      </c>
      <c r="B15" s="120" t="s">
        <v>4</v>
      </c>
      <c r="C15" s="123" t="s">
        <v>110</v>
      </c>
      <c r="D15" s="124"/>
      <c r="E15" s="123" t="s">
        <v>111</v>
      </c>
      <c r="F15" s="124"/>
      <c r="G15" s="123" t="s">
        <v>92</v>
      </c>
      <c r="H15" s="124"/>
      <c r="I15" s="123" t="s">
        <v>93</v>
      </c>
      <c r="J15" s="124"/>
      <c r="K15" s="123" t="s">
        <v>94</v>
      </c>
      <c r="L15" s="124"/>
      <c r="M15" s="129" t="s">
        <v>8</v>
      </c>
      <c r="N15" s="57"/>
    </row>
    <row r="16" spans="1:14" x14ac:dyDescent="0.25">
      <c r="A16" s="118"/>
      <c r="B16" s="121"/>
      <c r="C16" s="125"/>
      <c r="D16" s="126"/>
      <c r="E16" s="125"/>
      <c r="F16" s="126"/>
      <c r="G16" s="125"/>
      <c r="H16" s="126"/>
      <c r="I16" s="125"/>
      <c r="J16" s="126"/>
      <c r="K16" s="125"/>
      <c r="L16" s="126"/>
      <c r="M16" s="130"/>
      <c r="N16" s="57"/>
    </row>
    <row r="17" spans="1:14" x14ac:dyDescent="0.25">
      <c r="A17" s="119"/>
      <c r="B17" s="122"/>
      <c r="C17" s="127"/>
      <c r="D17" s="128"/>
      <c r="E17" s="127"/>
      <c r="F17" s="128"/>
      <c r="G17" s="127"/>
      <c r="H17" s="128"/>
      <c r="I17" s="127"/>
      <c r="J17" s="128"/>
      <c r="K17" s="127"/>
      <c r="L17" s="128"/>
      <c r="M17" s="131"/>
      <c r="N17" s="57"/>
    </row>
    <row r="18" spans="1:14" ht="38.25" hidden="1" customHeight="1" x14ac:dyDescent="0.25">
      <c r="A18" s="62" t="s">
        <v>134</v>
      </c>
      <c r="B18" s="62" t="s">
        <v>135</v>
      </c>
      <c r="C18" s="112"/>
      <c r="D18" s="112"/>
      <c r="E18" s="112" t="s">
        <v>136</v>
      </c>
      <c r="F18" s="112"/>
      <c r="G18" s="112">
        <v>5</v>
      </c>
      <c r="H18" s="112"/>
      <c r="I18" s="112">
        <v>0</v>
      </c>
      <c r="J18" s="112"/>
      <c r="K18" s="112">
        <v>5</v>
      </c>
      <c r="L18" s="112"/>
      <c r="M18" s="68">
        <v>5</v>
      </c>
      <c r="N18" s="49"/>
    </row>
    <row r="19" spans="1:14" ht="38.25" hidden="1" customHeight="1" x14ac:dyDescent="0.25">
      <c r="A19" s="61"/>
      <c r="B19" s="62" t="s">
        <v>137</v>
      </c>
      <c r="C19" s="112"/>
      <c r="D19" s="112"/>
      <c r="E19" s="112" t="s">
        <v>136</v>
      </c>
      <c r="F19" s="112"/>
      <c r="G19" s="112"/>
      <c r="H19" s="112"/>
      <c r="I19" s="112">
        <v>2</v>
      </c>
      <c r="J19" s="112"/>
      <c r="K19" s="112">
        <v>3</v>
      </c>
      <c r="L19" s="112"/>
      <c r="M19" s="68">
        <v>3</v>
      </c>
      <c r="N19" s="49"/>
    </row>
    <row r="20" spans="1:14" ht="38.25" hidden="1" customHeight="1" x14ac:dyDescent="0.25">
      <c r="A20" s="61"/>
      <c r="B20" s="62" t="s">
        <v>148</v>
      </c>
      <c r="C20" s="112"/>
      <c r="D20" s="112"/>
      <c r="E20" s="112" t="s">
        <v>136</v>
      </c>
      <c r="F20" s="112"/>
      <c r="G20" s="112"/>
      <c r="H20" s="112"/>
      <c r="I20" s="112">
        <v>2</v>
      </c>
      <c r="J20" s="112"/>
      <c r="K20" s="112">
        <v>1</v>
      </c>
      <c r="L20" s="112"/>
      <c r="M20" s="68">
        <v>1</v>
      </c>
      <c r="N20" s="49"/>
    </row>
    <row r="21" spans="1:14" ht="38.25" hidden="1" customHeight="1" x14ac:dyDescent="0.25">
      <c r="A21" s="61"/>
      <c r="B21" s="62" t="s">
        <v>149</v>
      </c>
      <c r="C21" s="112"/>
      <c r="D21" s="112"/>
      <c r="E21" s="112" t="s">
        <v>136</v>
      </c>
      <c r="F21" s="112"/>
      <c r="G21" s="112"/>
      <c r="H21" s="112"/>
      <c r="I21" s="112">
        <v>1</v>
      </c>
      <c r="J21" s="112"/>
      <c r="K21" s="112">
        <v>0</v>
      </c>
      <c r="L21" s="112"/>
      <c r="M21" s="83">
        <v>0</v>
      </c>
      <c r="N21" s="49"/>
    </row>
    <row r="22" spans="1:14" ht="38.25" hidden="1" customHeight="1" x14ac:dyDescent="0.25">
      <c r="A22" s="58" t="s">
        <v>112</v>
      </c>
      <c r="B22" s="59" t="s">
        <v>113</v>
      </c>
      <c r="C22" s="110" t="s">
        <v>114</v>
      </c>
      <c r="D22" s="111"/>
      <c r="E22" s="110"/>
      <c r="F22" s="111"/>
      <c r="G22" s="110">
        <v>5</v>
      </c>
      <c r="H22" s="113"/>
      <c r="I22" s="110">
        <v>0</v>
      </c>
      <c r="J22" s="113"/>
      <c r="K22" s="110">
        <v>5</v>
      </c>
      <c r="L22" s="113"/>
      <c r="M22" s="60">
        <v>5</v>
      </c>
      <c r="N22" s="57"/>
    </row>
    <row r="23" spans="1:14" ht="38.25" hidden="1" customHeight="1" x14ac:dyDescent="0.25">
      <c r="A23" s="61"/>
      <c r="B23" s="62" t="s">
        <v>116</v>
      </c>
      <c r="C23" s="110" t="s">
        <v>114</v>
      </c>
      <c r="D23" s="111"/>
      <c r="E23" s="112"/>
      <c r="F23" s="112"/>
      <c r="G23" s="112"/>
      <c r="H23" s="112"/>
      <c r="I23" s="112">
        <v>3</v>
      </c>
      <c r="J23" s="112"/>
      <c r="K23" s="112">
        <v>2</v>
      </c>
      <c r="L23" s="112"/>
      <c r="M23" s="61">
        <v>2</v>
      </c>
      <c r="N23" s="49"/>
    </row>
    <row r="24" spans="1:14" ht="38.25" hidden="1" customHeight="1" x14ac:dyDescent="0.25">
      <c r="A24" s="61"/>
      <c r="B24" s="62" t="s">
        <v>147</v>
      </c>
      <c r="C24" s="110" t="s">
        <v>114</v>
      </c>
      <c r="D24" s="111"/>
      <c r="E24" s="112"/>
      <c r="F24" s="112"/>
      <c r="G24" s="112"/>
      <c r="H24" s="112"/>
      <c r="I24" s="112">
        <v>1</v>
      </c>
      <c r="J24" s="112"/>
      <c r="K24" s="112">
        <v>1</v>
      </c>
      <c r="L24" s="112"/>
      <c r="M24" s="68">
        <v>1</v>
      </c>
      <c r="N24" s="49"/>
    </row>
    <row r="25" spans="1:14" ht="38.25" hidden="1" customHeight="1" x14ac:dyDescent="0.25">
      <c r="A25" s="61"/>
      <c r="B25" s="62" t="s">
        <v>152</v>
      </c>
      <c r="C25" s="110" t="s">
        <v>114</v>
      </c>
      <c r="D25" s="111"/>
      <c r="E25" s="112"/>
      <c r="F25" s="112"/>
      <c r="G25" s="112"/>
      <c r="H25" s="112"/>
      <c r="I25" s="112">
        <v>1</v>
      </c>
      <c r="J25" s="112"/>
      <c r="K25" s="112">
        <v>0</v>
      </c>
      <c r="L25" s="112"/>
      <c r="M25" s="83">
        <v>0</v>
      </c>
      <c r="N25" s="49"/>
    </row>
    <row r="26" spans="1:14" ht="38.25" customHeight="1" x14ac:dyDescent="0.25">
      <c r="A26" s="89" t="s">
        <v>155</v>
      </c>
      <c r="B26" s="90" t="s">
        <v>156</v>
      </c>
      <c r="C26" s="110" t="s">
        <v>157</v>
      </c>
      <c r="D26" s="111"/>
      <c r="E26" s="110"/>
      <c r="F26" s="111"/>
      <c r="G26" s="110">
        <v>5</v>
      </c>
      <c r="H26" s="113"/>
      <c r="I26" s="110">
        <v>0</v>
      </c>
      <c r="J26" s="113"/>
      <c r="K26" s="110">
        <v>5</v>
      </c>
      <c r="L26" s="113"/>
      <c r="M26" s="60">
        <v>5</v>
      </c>
      <c r="N26" s="57"/>
    </row>
    <row r="27" spans="1:14" ht="38.25" customHeight="1" x14ac:dyDescent="0.25">
      <c r="A27" s="61"/>
      <c r="B27" s="62" t="s">
        <v>158</v>
      </c>
      <c r="C27" s="110" t="s">
        <v>157</v>
      </c>
      <c r="D27" s="111"/>
      <c r="E27" s="112"/>
      <c r="F27" s="112"/>
      <c r="G27" s="112"/>
      <c r="H27" s="112"/>
      <c r="I27" s="112">
        <v>1</v>
      </c>
      <c r="J27" s="112"/>
      <c r="K27" s="112">
        <v>4</v>
      </c>
      <c r="L27" s="112"/>
      <c r="M27" s="61">
        <v>4</v>
      </c>
      <c r="N27" s="49"/>
    </row>
    <row r="28" spans="1:14" ht="38.25" customHeight="1" x14ac:dyDescent="0.25">
      <c r="A28" s="61"/>
      <c r="B28" s="62" t="s">
        <v>164</v>
      </c>
      <c r="C28" s="110" t="s">
        <v>157</v>
      </c>
      <c r="D28" s="111"/>
      <c r="E28" s="112"/>
      <c r="F28" s="112"/>
      <c r="G28" s="112"/>
      <c r="H28" s="112"/>
      <c r="I28" s="112">
        <v>2</v>
      </c>
      <c r="J28" s="112"/>
      <c r="K28" s="112">
        <v>2</v>
      </c>
      <c r="L28" s="112"/>
      <c r="M28" s="61">
        <v>2</v>
      </c>
      <c r="N28" s="49"/>
    </row>
    <row r="29" spans="1:14" ht="38.25" customHeight="1" x14ac:dyDescent="0.25">
      <c r="A29" s="61"/>
      <c r="B29" s="62" t="s">
        <v>165</v>
      </c>
      <c r="C29" s="110" t="s">
        <v>157</v>
      </c>
      <c r="D29" s="111"/>
      <c r="E29" s="112"/>
      <c r="F29" s="112"/>
      <c r="G29" s="112"/>
      <c r="H29" s="112"/>
      <c r="I29" s="112">
        <v>2</v>
      </c>
      <c r="J29" s="112"/>
      <c r="K29" s="112">
        <v>0</v>
      </c>
      <c r="L29" s="112"/>
      <c r="M29" s="83">
        <v>0</v>
      </c>
      <c r="N29" s="49"/>
    </row>
    <row r="30" spans="1:14" x14ac:dyDescent="0.25">
      <c r="A30" s="49"/>
      <c r="B30" s="49"/>
      <c r="C30" s="49"/>
      <c r="D30" s="52"/>
      <c r="E30" s="49"/>
      <c r="F30" s="49"/>
      <c r="G30" s="49"/>
      <c r="H30" s="49"/>
      <c r="I30" s="49"/>
      <c r="J30" s="49"/>
      <c r="K30" s="49"/>
      <c r="L30" s="49"/>
      <c r="M30" s="49"/>
      <c r="N30" s="49"/>
    </row>
    <row r="31" spans="1:14" x14ac:dyDescent="0.25">
      <c r="A31" s="49"/>
      <c r="B31" s="49"/>
      <c r="C31" s="49"/>
      <c r="D31" s="52"/>
      <c r="E31" s="49"/>
      <c r="F31" s="49"/>
      <c r="G31" s="49"/>
      <c r="H31" s="49"/>
      <c r="I31" s="49"/>
      <c r="J31" s="49"/>
      <c r="K31" s="49"/>
      <c r="L31" s="49"/>
      <c r="M31" s="49"/>
      <c r="N31" s="49"/>
    </row>
  </sheetData>
  <mergeCells count="78">
    <mergeCell ref="C28:D28"/>
    <mergeCell ref="E28:F28"/>
    <mergeCell ref="G28:H28"/>
    <mergeCell ref="I28:J28"/>
    <mergeCell ref="K28:L28"/>
    <mergeCell ref="C25:D25"/>
    <mergeCell ref="E25:F25"/>
    <mergeCell ref="G25:H25"/>
    <mergeCell ref="I25:J25"/>
    <mergeCell ref="K25:L25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24:D24"/>
    <mergeCell ref="E24:F24"/>
    <mergeCell ref="G24:H24"/>
    <mergeCell ref="I24:J24"/>
    <mergeCell ref="K24:L24"/>
    <mergeCell ref="A5:M5"/>
    <mergeCell ref="A6:M6"/>
    <mergeCell ref="A7:M7"/>
    <mergeCell ref="A8:M8"/>
    <mergeCell ref="D11:H11"/>
    <mergeCell ref="J11:L11"/>
    <mergeCell ref="D12:H12"/>
    <mergeCell ref="J12:L12"/>
    <mergeCell ref="J13:L13"/>
    <mergeCell ref="A14:M14"/>
    <mergeCell ref="A15:A17"/>
    <mergeCell ref="B15:B17"/>
    <mergeCell ref="C15:D17"/>
    <mergeCell ref="E15:F17"/>
    <mergeCell ref="G15:H17"/>
    <mergeCell ref="I15:J17"/>
    <mergeCell ref="K15:L17"/>
    <mergeCell ref="M15:M17"/>
    <mergeCell ref="C22:D22"/>
    <mergeCell ref="E22:F22"/>
    <mergeCell ref="G22:H22"/>
    <mergeCell ref="I22:J22"/>
    <mergeCell ref="K22:L22"/>
    <mergeCell ref="C23:D23"/>
    <mergeCell ref="E23:F23"/>
    <mergeCell ref="G23:H23"/>
    <mergeCell ref="I23:J23"/>
    <mergeCell ref="K23:L23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C26:D26"/>
    <mergeCell ref="E26:F26"/>
    <mergeCell ref="G26:H26"/>
    <mergeCell ref="I26:J26"/>
    <mergeCell ref="K26:L26"/>
    <mergeCell ref="C27:D27"/>
    <mergeCell ref="E27:F27"/>
    <mergeCell ref="G27:H27"/>
    <mergeCell ref="I27:J27"/>
    <mergeCell ref="K27:L27"/>
    <mergeCell ref="C29:D29"/>
    <mergeCell ref="E29:F29"/>
    <mergeCell ref="G29:H29"/>
    <mergeCell ref="I29:J29"/>
    <mergeCell ref="K29:L29"/>
  </mergeCells>
  <phoneticPr fontId="5" type="noConversion"/>
  <pageMargins left="0.23622047244094491" right="0.23622047244094491" top="0.74803149606299213" bottom="0.74803149606299213" header="0.31496062992125984" footer="0.31496062992125984"/>
  <pageSetup paperSize="9" scale="75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76B0-E8F5-4294-870B-ADE44712E7B7}">
  <sheetPr>
    <pageSetUpPr fitToPage="1"/>
  </sheetPr>
  <dimension ref="A1:L28"/>
  <sheetViews>
    <sheetView view="pageBreakPreview" topLeftCell="A4" zoomScale="112" zoomScaleNormal="100" zoomScaleSheetLayoutView="112" workbookViewId="0">
      <selection activeCell="F19" sqref="F19:G19"/>
    </sheetView>
  </sheetViews>
  <sheetFormatPr defaultColWidth="8.7109375" defaultRowHeight="15" x14ac:dyDescent="0.25"/>
  <cols>
    <col min="1" max="1" width="33.5703125" style="38" customWidth="1"/>
    <col min="2" max="16384" width="8.7109375" style="38"/>
  </cols>
  <sheetData>
    <row r="1" spans="1:12" s="33" customFormat="1" ht="52.5" customHeight="1" x14ac:dyDescent="0.25"/>
    <row r="2" spans="1:12" s="33" customFormat="1" ht="10.5" customHeight="1" x14ac:dyDescent="0.25">
      <c r="A2" s="139" t="s">
        <v>13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</row>
    <row r="3" spans="1:12" s="33" customFormat="1" ht="15.95" customHeight="1" x14ac:dyDescent="0.25">
      <c r="A3" s="139" t="s">
        <v>14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</row>
    <row r="4" spans="1:12" s="33" customFormat="1" ht="15.95" customHeight="1" x14ac:dyDescent="0.25">
      <c r="A4" s="139" t="s">
        <v>15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</row>
    <row r="5" spans="1:12" s="33" customFormat="1" ht="15.95" customHeight="1" x14ac:dyDescent="0.25">
      <c r="A5" s="139" t="s">
        <v>16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</row>
    <row r="6" spans="1:12" s="33" customFormat="1" ht="8.25" customHeight="1" x14ac:dyDescent="0.25"/>
    <row r="7" spans="1:12" s="33" customFormat="1" ht="12" customHeight="1" x14ac:dyDescent="0.25">
      <c r="A7" s="33" t="s">
        <v>52</v>
      </c>
      <c r="C7" s="34" t="s">
        <v>53</v>
      </c>
      <c r="D7" s="34"/>
      <c r="G7" s="34" t="s">
        <v>9</v>
      </c>
      <c r="H7" s="35"/>
    </row>
    <row r="8" spans="1:12" s="33" customFormat="1" ht="12" customHeight="1" x14ac:dyDescent="0.25">
      <c r="C8" s="36"/>
      <c r="G8" s="36"/>
      <c r="H8" s="36"/>
    </row>
    <row r="9" spans="1:12" s="33" customFormat="1" ht="12" customHeight="1" x14ac:dyDescent="0.25">
      <c r="A9" s="33" t="s">
        <v>54</v>
      </c>
      <c r="C9" s="34" t="s">
        <v>55</v>
      </c>
      <c r="D9" s="34"/>
      <c r="G9" s="34" t="s">
        <v>10</v>
      </c>
      <c r="H9" s="37"/>
    </row>
    <row r="10" spans="1:12" ht="16.5" customHeight="1" thickBot="1" x14ac:dyDescent="0.3">
      <c r="A10" s="140" t="s">
        <v>90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</row>
    <row r="11" spans="1:12" s="39" customFormat="1" ht="18.75" customHeight="1" x14ac:dyDescent="0.2">
      <c r="A11" s="141" t="s">
        <v>4</v>
      </c>
      <c r="B11" s="143" t="s">
        <v>5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5" t="s">
        <v>8</v>
      </c>
    </row>
    <row r="12" spans="1:12" s="39" customFormat="1" ht="24" customHeight="1" x14ac:dyDescent="0.2">
      <c r="A12" s="142"/>
      <c r="B12" s="137" t="s">
        <v>91</v>
      </c>
      <c r="C12" s="147"/>
      <c r="D12" s="147"/>
      <c r="E12" s="138"/>
      <c r="F12" s="137" t="s">
        <v>92</v>
      </c>
      <c r="G12" s="138"/>
      <c r="H12" s="137" t="s">
        <v>93</v>
      </c>
      <c r="I12" s="138"/>
      <c r="J12" s="137" t="s">
        <v>94</v>
      </c>
      <c r="K12" s="138"/>
      <c r="L12" s="146"/>
    </row>
    <row r="13" spans="1:12" s="43" customFormat="1" ht="24.95" hidden="1" customHeight="1" x14ac:dyDescent="0.2">
      <c r="A13" s="41" t="s">
        <v>95</v>
      </c>
      <c r="B13" s="136" t="s">
        <v>96</v>
      </c>
      <c r="C13" s="134"/>
      <c r="D13" s="134"/>
      <c r="E13" s="135"/>
      <c r="F13" s="136">
        <v>1</v>
      </c>
      <c r="G13" s="135"/>
      <c r="H13" s="136">
        <v>0</v>
      </c>
      <c r="I13" s="135"/>
      <c r="J13" s="136">
        <v>1</v>
      </c>
      <c r="K13" s="135"/>
      <c r="L13" s="40">
        <v>1</v>
      </c>
    </row>
    <row r="14" spans="1:12" s="44" customFormat="1" ht="25.5" hidden="1" customHeight="1" x14ac:dyDescent="0.2">
      <c r="A14" s="41" t="s">
        <v>89</v>
      </c>
      <c r="B14" s="136"/>
      <c r="C14" s="134"/>
      <c r="D14" s="134"/>
      <c r="E14" s="135"/>
      <c r="F14" s="136"/>
      <c r="G14" s="135"/>
      <c r="H14" s="136">
        <v>1</v>
      </c>
      <c r="I14" s="135"/>
      <c r="J14" s="136">
        <v>0</v>
      </c>
      <c r="K14" s="135"/>
      <c r="L14" s="76">
        <v>0</v>
      </c>
    </row>
    <row r="15" spans="1:12" s="44" customFormat="1" ht="25.5" hidden="1" customHeight="1" x14ac:dyDescent="0.2">
      <c r="A15" s="63" t="s">
        <v>118</v>
      </c>
      <c r="B15" s="133" t="s">
        <v>140</v>
      </c>
      <c r="C15" s="134"/>
      <c r="D15" s="134"/>
      <c r="E15" s="135"/>
      <c r="F15" s="136">
        <v>1</v>
      </c>
      <c r="G15" s="135"/>
      <c r="H15" s="136">
        <v>0</v>
      </c>
      <c r="I15" s="135"/>
      <c r="J15" s="136">
        <v>1</v>
      </c>
      <c r="K15" s="135"/>
      <c r="L15" s="64">
        <v>1</v>
      </c>
    </row>
    <row r="16" spans="1:12" s="44" customFormat="1" ht="25.5" hidden="1" customHeight="1" x14ac:dyDescent="0.2">
      <c r="A16" s="63" t="s">
        <v>119</v>
      </c>
      <c r="B16" s="133" t="s">
        <v>140</v>
      </c>
      <c r="C16" s="134"/>
      <c r="D16" s="134"/>
      <c r="E16" s="135"/>
      <c r="F16" s="136"/>
      <c r="G16" s="135"/>
      <c r="H16" s="136">
        <v>1</v>
      </c>
      <c r="I16" s="135"/>
      <c r="J16" s="136">
        <v>0</v>
      </c>
      <c r="K16" s="135"/>
      <c r="L16" s="77">
        <v>0</v>
      </c>
    </row>
    <row r="17" spans="1:12" s="44" customFormat="1" ht="25.5" customHeight="1" x14ac:dyDescent="0.2">
      <c r="A17" s="63" t="s">
        <v>141</v>
      </c>
      <c r="B17" s="133" t="s">
        <v>142</v>
      </c>
      <c r="C17" s="134"/>
      <c r="D17" s="134"/>
      <c r="E17" s="135"/>
      <c r="F17" s="136">
        <v>1</v>
      </c>
      <c r="G17" s="135"/>
      <c r="H17" s="136">
        <v>1</v>
      </c>
      <c r="I17" s="135"/>
      <c r="J17" s="136">
        <v>0</v>
      </c>
      <c r="K17" s="135"/>
      <c r="L17" s="78">
        <v>0</v>
      </c>
    </row>
    <row r="18" spans="1:12" s="44" customFormat="1" ht="25.5" customHeight="1" x14ac:dyDescent="0.2">
      <c r="A18" s="63" t="s">
        <v>143</v>
      </c>
      <c r="B18" s="133" t="s">
        <v>142</v>
      </c>
      <c r="C18" s="134"/>
      <c r="D18" s="134"/>
      <c r="E18" s="135"/>
      <c r="F18" s="136"/>
      <c r="G18" s="135"/>
      <c r="H18" s="136">
        <v>1</v>
      </c>
      <c r="I18" s="135"/>
      <c r="J18" s="136">
        <v>0</v>
      </c>
      <c r="K18" s="135"/>
      <c r="L18" s="77">
        <v>0</v>
      </c>
    </row>
    <row r="19" spans="1:12" s="44" customFormat="1" ht="25.5" customHeight="1" x14ac:dyDescent="0.2">
      <c r="A19" s="63" t="s">
        <v>190</v>
      </c>
      <c r="B19" s="133" t="s">
        <v>191</v>
      </c>
      <c r="C19" s="134"/>
      <c r="D19" s="134"/>
      <c r="E19" s="135"/>
      <c r="F19" s="133" t="s">
        <v>192</v>
      </c>
      <c r="G19" s="135"/>
      <c r="H19" s="136">
        <v>0</v>
      </c>
      <c r="I19" s="135"/>
      <c r="J19" s="133" t="s">
        <v>192</v>
      </c>
      <c r="K19" s="135"/>
      <c r="L19" s="101" t="s">
        <v>192</v>
      </c>
    </row>
    <row r="20" spans="1:12" s="44" customFormat="1" ht="25.5" customHeight="1" x14ac:dyDescent="0.2">
      <c r="A20" s="63" t="s">
        <v>193</v>
      </c>
      <c r="B20" s="133" t="s">
        <v>191</v>
      </c>
      <c r="C20" s="134"/>
      <c r="D20" s="134"/>
      <c r="E20" s="135"/>
      <c r="F20" s="136"/>
      <c r="G20" s="135"/>
      <c r="H20" s="136">
        <v>1</v>
      </c>
      <c r="I20" s="135"/>
      <c r="J20" s="133" t="s">
        <v>194</v>
      </c>
      <c r="K20" s="135"/>
      <c r="L20" s="101" t="s">
        <v>194</v>
      </c>
    </row>
    <row r="21" spans="1:12" s="44" customFormat="1" ht="25.5" customHeight="1" x14ac:dyDescent="0.2">
      <c r="A21" s="74"/>
      <c r="B21" s="46"/>
      <c r="C21" s="75"/>
      <c r="D21" s="75"/>
      <c r="E21" s="75"/>
      <c r="F21" s="75"/>
      <c r="G21" s="75"/>
      <c r="H21" s="75"/>
      <c r="I21" s="75"/>
      <c r="J21" s="75"/>
      <c r="K21" s="75"/>
      <c r="L21" s="79"/>
    </row>
    <row r="22" spans="1:12" s="42" customFormat="1" ht="15" customHeight="1" x14ac:dyDescent="0.2">
      <c r="A22" s="45" t="s">
        <v>97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ht="18.95" customHeight="1" x14ac:dyDescent="0.25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</row>
    <row r="24" spans="1:12" s="33" customFormat="1" x14ac:dyDescent="0.25">
      <c r="C24" s="48"/>
      <c r="G24" s="33" t="s">
        <v>98</v>
      </c>
    </row>
    <row r="25" spans="1:12" s="33" customFormat="1" x14ac:dyDescent="0.25">
      <c r="C25" s="48"/>
    </row>
    <row r="26" spans="1:12" x14ac:dyDescent="0.25">
      <c r="G26" s="81" t="s">
        <v>99</v>
      </c>
      <c r="H26" s="80"/>
    </row>
    <row r="27" spans="1:12" x14ac:dyDescent="0.25">
      <c r="G27" s="38" t="s">
        <v>100</v>
      </c>
    </row>
    <row r="28" spans="1:12" x14ac:dyDescent="0.25">
      <c r="G28" s="149" t="s">
        <v>101</v>
      </c>
      <c r="H28" s="149"/>
    </row>
  </sheetData>
  <mergeCells count="46">
    <mergeCell ref="G28:H28"/>
    <mergeCell ref="B14:E14"/>
    <mergeCell ref="F14:G14"/>
    <mergeCell ref="H14:I14"/>
    <mergeCell ref="B15:E15"/>
    <mergeCell ref="F15:G15"/>
    <mergeCell ref="H15:I15"/>
    <mergeCell ref="B16:E16"/>
    <mergeCell ref="F16:G16"/>
    <mergeCell ref="H16:I16"/>
    <mergeCell ref="B17:E17"/>
    <mergeCell ref="F17:G17"/>
    <mergeCell ref="H17:I17"/>
    <mergeCell ref="B18:E18"/>
    <mergeCell ref="J14:K14"/>
    <mergeCell ref="A23:L23"/>
    <mergeCell ref="B13:E13"/>
    <mergeCell ref="F13:G13"/>
    <mergeCell ref="H13:I13"/>
    <mergeCell ref="J13:K13"/>
    <mergeCell ref="J15:K15"/>
    <mergeCell ref="J16:K16"/>
    <mergeCell ref="J17:K17"/>
    <mergeCell ref="H18:I18"/>
    <mergeCell ref="J18:K18"/>
    <mergeCell ref="F19:G19"/>
    <mergeCell ref="H19:I19"/>
    <mergeCell ref="J19:K19"/>
    <mergeCell ref="H20:I20"/>
    <mergeCell ref="J20:K20"/>
    <mergeCell ref="B20:E20"/>
    <mergeCell ref="F20:G20"/>
    <mergeCell ref="H12:I12"/>
    <mergeCell ref="J12:K12"/>
    <mergeCell ref="A2:L2"/>
    <mergeCell ref="A3:L3"/>
    <mergeCell ref="A4:L4"/>
    <mergeCell ref="A5:L5"/>
    <mergeCell ref="A10:L10"/>
    <mergeCell ref="A11:A12"/>
    <mergeCell ref="B11:K11"/>
    <mergeCell ref="L11:L12"/>
    <mergeCell ref="B12:E12"/>
    <mergeCell ref="F12:G12"/>
    <mergeCell ref="F18:G18"/>
    <mergeCell ref="B19:E19"/>
  </mergeCells>
  <phoneticPr fontId="5" type="noConversion"/>
  <pageMargins left="0.7" right="0.7" top="0.75" bottom="0.75" header="0.3" footer="0.3"/>
  <pageSetup paperSize="9" scale="68" fitToHeight="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CADD-F882-4012-9524-3AD2CF68E415}">
  <sheetPr>
    <pageSetUpPr fitToPage="1"/>
  </sheetPr>
  <dimension ref="A1:J92"/>
  <sheetViews>
    <sheetView view="pageBreakPreview" topLeftCell="A23" zoomScale="98" zoomScaleNormal="100" zoomScaleSheetLayoutView="98" workbookViewId="0">
      <selection activeCell="D31" sqref="D31"/>
    </sheetView>
  </sheetViews>
  <sheetFormatPr defaultRowHeight="15" x14ac:dyDescent="0.25"/>
  <cols>
    <col min="1" max="1" width="50.42578125" customWidth="1"/>
    <col min="2" max="2" width="11.5703125" style="14" customWidth="1"/>
    <col min="3" max="3" width="11.5703125" style="15" customWidth="1"/>
    <col min="4" max="4" width="11.5703125" style="14" customWidth="1"/>
    <col min="5" max="5" width="11.5703125" style="15" customWidth="1"/>
    <col min="6" max="10" width="11.5703125" customWidth="1"/>
  </cols>
  <sheetData>
    <row r="1" spans="1:10" s="1" customFormat="1" ht="52.5" customHeight="1" x14ac:dyDescent="0.25">
      <c r="F1"/>
      <c r="H1"/>
      <c r="I1"/>
    </row>
    <row r="2" spans="1:10" s="1" customFormat="1" ht="10.5" customHeight="1" x14ac:dyDescent="0.25">
      <c r="A2" s="104" t="s">
        <v>13</v>
      </c>
      <c r="B2" s="104"/>
      <c r="C2" s="104"/>
      <c r="D2" s="104"/>
      <c r="E2" s="104"/>
      <c r="F2" s="104"/>
      <c r="G2" s="104"/>
      <c r="H2" s="104"/>
      <c r="I2" s="104"/>
    </row>
    <row r="3" spans="1:10" s="1" customFormat="1" ht="15.95" customHeight="1" x14ac:dyDescent="0.25">
      <c r="A3" s="104" t="s">
        <v>14</v>
      </c>
      <c r="B3" s="104"/>
      <c r="C3" s="104"/>
      <c r="D3" s="104"/>
      <c r="E3" s="104"/>
      <c r="F3" s="104"/>
      <c r="G3" s="104"/>
      <c r="H3" s="104"/>
      <c r="I3" s="104"/>
    </row>
    <row r="4" spans="1:10" s="1" customFormat="1" ht="15.95" customHeight="1" x14ac:dyDescent="0.25">
      <c r="A4" s="104" t="s">
        <v>15</v>
      </c>
      <c r="B4" s="104"/>
      <c r="C4" s="104"/>
      <c r="D4" s="104"/>
      <c r="E4" s="104"/>
      <c r="F4" s="104"/>
      <c r="G4" s="104"/>
      <c r="H4" s="104"/>
      <c r="I4" s="104"/>
    </row>
    <row r="5" spans="1:10" s="1" customFormat="1" ht="15.95" customHeight="1" x14ac:dyDescent="0.25">
      <c r="A5" s="104" t="s">
        <v>16</v>
      </c>
      <c r="B5" s="104"/>
      <c r="C5" s="104"/>
      <c r="D5" s="104"/>
      <c r="E5" s="104"/>
      <c r="F5" s="104"/>
      <c r="G5" s="104"/>
      <c r="H5" s="104"/>
      <c r="I5" s="104"/>
    </row>
    <row r="6" spans="1:10" s="1" customFormat="1" ht="8.25" customHeight="1" x14ac:dyDescent="0.25">
      <c r="F6"/>
      <c r="H6"/>
      <c r="I6"/>
    </row>
    <row r="7" spans="1:10" s="1" customFormat="1" ht="12" customHeight="1" x14ac:dyDescent="0.25">
      <c r="A7" s="1" t="s">
        <v>52</v>
      </c>
      <c r="B7" s="3" t="s">
        <v>53</v>
      </c>
      <c r="C7" s="3"/>
      <c r="F7"/>
      <c r="G7" s="3" t="s">
        <v>9</v>
      </c>
      <c r="H7" s="105"/>
      <c r="I7" s="105"/>
    </row>
    <row r="8" spans="1:10" s="1" customFormat="1" ht="12" customHeight="1" x14ac:dyDescent="0.25">
      <c r="B8" s="2"/>
      <c r="C8" s="2"/>
      <c r="F8"/>
      <c r="G8" s="2"/>
      <c r="H8" s="72"/>
      <c r="I8" s="72"/>
    </row>
    <row r="9" spans="1:10" s="1" customFormat="1" ht="12" customHeight="1" x14ac:dyDescent="0.25">
      <c r="A9" s="1" t="s">
        <v>54</v>
      </c>
      <c r="B9" s="3" t="s">
        <v>55</v>
      </c>
      <c r="C9" s="3"/>
      <c r="F9"/>
      <c r="G9" s="3" t="s">
        <v>10</v>
      </c>
      <c r="H9" s="73"/>
      <c r="I9" s="73"/>
    </row>
    <row r="10" spans="1:10" ht="16.5" customHeight="1" thickBot="1" x14ac:dyDescent="0.3">
      <c r="A10" s="103" t="s">
        <v>0</v>
      </c>
      <c r="B10" s="103"/>
      <c r="C10" s="103"/>
      <c r="D10" s="103"/>
      <c r="E10" s="103"/>
      <c r="F10" s="103"/>
      <c r="G10" s="103"/>
      <c r="H10" s="103"/>
      <c r="I10" s="103"/>
    </row>
    <row r="11" spans="1:10" s="5" customFormat="1" ht="18.75" customHeight="1" x14ac:dyDescent="0.2">
      <c r="A11" s="106" t="s">
        <v>4</v>
      </c>
      <c r="B11" s="107" t="s">
        <v>5</v>
      </c>
      <c r="C11" s="107"/>
      <c r="D11" s="108" t="s">
        <v>6</v>
      </c>
      <c r="E11" s="108"/>
      <c r="F11" s="108"/>
      <c r="G11" s="108"/>
      <c r="H11" s="109" t="s">
        <v>7</v>
      </c>
      <c r="I11" s="109"/>
      <c r="J11" s="106" t="s">
        <v>8</v>
      </c>
    </row>
    <row r="12" spans="1:10" s="5" customFormat="1" ht="28.5" customHeight="1" x14ac:dyDescent="0.2">
      <c r="A12" s="106"/>
      <c r="B12" s="13" t="s">
        <v>1</v>
      </c>
      <c r="C12" s="16" t="s">
        <v>2</v>
      </c>
      <c r="D12" s="13" t="s">
        <v>1</v>
      </c>
      <c r="E12" s="16" t="s">
        <v>2</v>
      </c>
      <c r="F12" s="69" t="s">
        <v>3</v>
      </c>
      <c r="G12" s="6" t="s">
        <v>12</v>
      </c>
      <c r="H12" s="69" t="s">
        <v>1</v>
      </c>
      <c r="I12" s="69" t="s">
        <v>2</v>
      </c>
      <c r="J12" s="106"/>
    </row>
    <row r="13" spans="1:10" s="5" customFormat="1" ht="18.75" customHeight="1" x14ac:dyDescent="0.2">
      <c r="A13" s="102" t="s">
        <v>27</v>
      </c>
      <c r="B13" s="102"/>
      <c r="C13" s="102"/>
      <c r="D13" s="102"/>
      <c r="E13" s="102"/>
      <c r="F13" s="102"/>
      <c r="G13" s="102"/>
      <c r="H13" s="102"/>
      <c r="I13" s="102"/>
      <c r="J13" s="102"/>
    </row>
    <row r="14" spans="1:10" s="5" customFormat="1" ht="15.95" customHeight="1" x14ac:dyDescent="0.2">
      <c r="A14" s="8" t="s">
        <v>29</v>
      </c>
      <c r="B14" s="70">
        <f>SUM(1.25/30)*5</f>
        <v>0.20833333333333331</v>
      </c>
      <c r="C14" s="70">
        <f>SUM(1.25/30)*5</f>
        <v>0.20833333333333331</v>
      </c>
      <c r="D14" s="70"/>
      <c r="E14" s="70"/>
      <c r="F14" s="70"/>
      <c r="G14" s="31"/>
      <c r="H14" s="70">
        <f>B14</f>
        <v>0.20833333333333331</v>
      </c>
      <c r="I14" s="70">
        <f>C14</f>
        <v>0.20833333333333331</v>
      </c>
      <c r="J14" s="31">
        <f>H14+I14</f>
        <v>0.41666666666666663</v>
      </c>
    </row>
    <row r="15" spans="1:10" s="4" customFormat="1" ht="15.95" customHeight="1" x14ac:dyDescent="0.2">
      <c r="A15" s="9" t="s">
        <v>28</v>
      </c>
      <c r="B15" s="70">
        <v>11.25</v>
      </c>
      <c r="C15" s="70">
        <v>11.25</v>
      </c>
      <c r="D15" s="70"/>
      <c r="E15" s="70"/>
      <c r="F15" s="70"/>
      <c r="G15" s="31"/>
      <c r="H15" s="70">
        <f>H14-F15-D15+B15</f>
        <v>11.458333333333334</v>
      </c>
      <c r="I15" s="70">
        <f>I14-E15+C15</f>
        <v>11.458333333333334</v>
      </c>
      <c r="J15" s="31">
        <f>H15+I15</f>
        <v>22.916666666666668</v>
      </c>
    </row>
    <row r="16" spans="1:10" s="4" customFormat="1" ht="15.95" customHeight="1" x14ac:dyDescent="0.2">
      <c r="A16" s="9" t="s">
        <v>31</v>
      </c>
      <c r="B16" s="70"/>
      <c r="C16" s="70"/>
      <c r="D16" s="70"/>
      <c r="E16" s="70"/>
      <c r="F16" s="70">
        <v>1</v>
      </c>
      <c r="G16" s="31"/>
      <c r="H16" s="70">
        <f t="shared" ref="H16:H79" si="0">H15-F16-D16+B16</f>
        <v>10.458333333333334</v>
      </c>
      <c r="I16" s="70">
        <f t="shared" ref="I16:I79" si="1">I15-E16+C16</f>
        <v>11.458333333333334</v>
      </c>
      <c r="J16" s="31">
        <f>H16+I16</f>
        <v>21.916666666666668</v>
      </c>
    </row>
    <row r="17" spans="1:10" s="4" customFormat="1" ht="15.95" customHeight="1" x14ac:dyDescent="0.2">
      <c r="A17" s="9" t="s">
        <v>30</v>
      </c>
      <c r="B17" s="70"/>
      <c r="C17" s="70"/>
      <c r="D17" s="70"/>
      <c r="E17" s="70"/>
      <c r="F17" s="70">
        <v>2</v>
      </c>
      <c r="G17" s="31"/>
      <c r="H17" s="70">
        <f t="shared" si="0"/>
        <v>8.4583333333333339</v>
      </c>
      <c r="I17" s="70">
        <f t="shared" si="1"/>
        <v>11.458333333333334</v>
      </c>
      <c r="J17" s="31">
        <f>H17+I17</f>
        <v>19.916666666666668</v>
      </c>
    </row>
    <row r="18" spans="1:10" s="4" customFormat="1" ht="15.95" customHeight="1" x14ac:dyDescent="0.2">
      <c r="A18" s="100" t="s">
        <v>146</v>
      </c>
      <c r="B18" s="91"/>
      <c r="C18" s="91"/>
      <c r="D18" s="91"/>
      <c r="E18" s="91"/>
      <c r="F18" s="91">
        <v>2</v>
      </c>
      <c r="G18" s="31"/>
      <c r="H18" s="70">
        <f t="shared" si="0"/>
        <v>6.4583333333333339</v>
      </c>
      <c r="I18" s="70">
        <f t="shared" si="1"/>
        <v>11.458333333333334</v>
      </c>
      <c r="J18" s="31">
        <f t="shared" ref="J18:J38" si="2">H18+I18</f>
        <v>17.916666666666668</v>
      </c>
    </row>
    <row r="19" spans="1:10" s="4" customFormat="1" ht="15.95" customHeight="1" x14ac:dyDescent="0.2">
      <c r="A19" s="9" t="s">
        <v>32</v>
      </c>
      <c r="B19" s="70">
        <v>7.5</v>
      </c>
      <c r="C19" s="70">
        <v>7.5</v>
      </c>
      <c r="D19" s="70"/>
      <c r="E19" s="70"/>
      <c r="F19" s="70"/>
      <c r="G19" s="31"/>
      <c r="H19" s="70">
        <f t="shared" si="0"/>
        <v>13.958333333333334</v>
      </c>
      <c r="I19" s="70">
        <f t="shared" si="1"/>
        <v>18.958333333333336</v>
      </c>
      <c r="J19" s="31">
        <f t="shared" si="2"/>
        <v>32.916666666666671</v>
      </c>
    </row>
    <row r="20" spans="1:10" s="4" customFormat="1" ht="15.95" customHeight="1" x14ac:dyDescent="0.2">
      <c r="A20" s="9" t="s">
        <v>33</v>
      </c>
      <c r="B20" s="70">
        <v>7.5</v>
      </c>
      <c r="C20" s="70">
        <v>7.5</v>
      </c>
      <c r="D20" s="70"/>
      <c r="E20" s="70"/>
      <c r="F20" s="70"/>
      <c r="G20" s="31"/>
      <c r="H20" s="70">
        <f t="shared" si="0"/>
        <v>21.458333333333336</v>
      </c>
      <c r="I20" s="70">
        <f t="shared" si="1"/>
        <v>26.458333333333336</v>
      </c>
      <c r="J20" s="31">
        <f t="shared" si="2"/>
        <v>47.916666666666671</v>
      </c>
    </row>
    <row r="21" spans="1:10" s="4" customFormat="1" ht="15.95" customHeight="1" x14ac:dyDescent="0.2">
      <c r="A21" s="9" t="s">
        <v>34</v>
      </c>
      <c r="B21" s="70"/>
      <c r="C21" s="70"/>
      <c r="D21" s="70">
        <v>10</v>
      </c>
      <c r="E21" s="70"/>
      <c r="F21" s="70"/>
      <c r="G21" s="31"/>
      <c r="H21" s="70">
        <f t="shared" si="0"/>
        <v>11.458333333333336</v>
      </c>
      <c r="I21" s="70">
        <f t="shared" si="1"/>
        <v>26.458333333333336</v>
      </c>
      <c r="J21" s="31">
        <f t="shared" si="2"/>
        <v>37.916666666666671</v>
      </c>
    </row>
    <row r="22" spans="1:10" s="4" customFormat="1" ht="15.95" customHeight="1" x14ac:dyDescent="0.2">
      <c r="A22" s="17" t="s">
        <v>35</v>
      </c>
      <c r="B22" s="70"/>
      <c r="C22" s="70"/>
      <c r="D22" s="70"/>
      <c r="E22" s="70"/>
      <c r="F22" s="70">
        <v>2</v>
      </c>
      <c r="G22" s="31"/>
      <c r="H22" s="70">
        <f t="shared" si="0"/>
        <v>9.4583333333333357</v>
      </c>
      <c r="I22" s="70">
        <f t="shared" si="1"/>
        <v>26.458333333333336</v>
      </c>
      <c r="J22" s="31">
        <f t="shared" si="2"/>
        <v>35.916666666666671</v>
      </c>
    </row>
    <row r="23" spans="1:10" s="4" customFormat="1" ht="15.95" customHeight="1" x14ac:dyDescent="0.2">
      <c r="A23" s="9" t="s">
        <v>36</v>
      </c>
      <c r="B23" s="70">
        <v>8.75</v>
      </c>
      <c r="C23" s="70">
        <v>8.75</v>
      </c>
      <c r="D23" s="70"/>
      <c r="E23" s="70"/>
      <c r="F23" s="70"/>
      <c r="G23" s="31"/>
      <c r="H23" s="70">
        <f t="shared" si="0"/>
        <v>18.208333333333336</v>
      </c>
      <c r="I23" s="70">
        <f t="shared" si="1"/>
        <v>35.208333333333336</v>
      </c>
      <c r="J23" s="31">
        <f t="shared" si="2"/>
        <v>53.416666666666671</v>
      </c>
    </row>
    <row r="24" spans="1:10" s="4" customFormat="1" ht="15.95" customHeight="1" x14ac:dyDescent="0.2">
      <c r="A24" s="17" t="s">
        <v>37</v>
      </c>
      <c r="B24" s="70"/>
      <c r="C24" s="70"/>
      <c r="D24" s="70"/>
      <c r="E24" s="70"/>
      <c r="F24" s="70">
        <v>1</v>
      </c>
      <c r="G24" s="31"/>
      <c r="H24" s="70">
        <f t="shared" si="0"/>
        <v>17.208333333333336</v>
      </c>
      <c r="I24" s="70">
        <f t="shared" si="1"/>
        <v>35.208333333333336</v>
      </c>
      <c r="J24" s="31">
        <f t="shared" si="2"/>
        <v>52.416666666666671</v>
      </c>
    </row>
    <row r="25" spans="1:10" s="4" customFormat="1" ht="15.95" customHeight="1" x14ac:dyDescent="0.2">
      <c r="A25" s="17" t="s">
        <v>38</v>
      </c>
      <c r="B25" s="70"/>
      <c r="C25" s="70"/>
      <c r="D25" s="70"/>
      <c r="E25" s="70"/>
      <c r="F25" s="70">
        <v>2</v>
      </c>
      <c r="G25" s="31"/>
      <c r="H25" s="70">
        <f t="shared" si="0"/>
        <v>15.208333333333336</v>
      </c>
      <c r="I25" s="70">
        <f t="shared" si="1"/>
        <v>35.208333333333336</v>
      </c>
      <c r="J25" s="31">
        <f t="shared" si="2"/>
        <v>50.416666666666671</v>
      </c>
    </row>
    <row r="26" spans="1:10" s="4" customFormat="1" ht="15.95" customHeight="1" x14ac:dyDescent="0.2">
      <c r="A26" s="17" t="s">
        <v>39</v>
      </c>
      <c r="B26" s="70"/>
      <c r="C26" s="70"/>
      <c r="D26" s="70"/>
      <c r="E26" s="70"/>
      <c r="F26" s="70">
        <v>1</v>
      </c>
      <c r="G26" s="31"/>
      <c r="H26" s="70">
        <f t="shared" si="0"/>
        <v>14.208333333333336</v>
      </c>
      <c r="I26" s="70">
        <f t="shared" si="1"/>
        <v>35.208333333333336</v>
      </c>
      <c r="J26" s="31">
        <f t="shared" si="2"/>
        <v>49.416666666666671</v>
      </c>
    </row>
    <row r="27" spans="1:10" s="4" customFormat="1" ht="15.95" customHeight="1" x14ac:dyDescent="0.2">
      <c r="A27" s="17" t="s">
        <v>40</v>
      </c>
      <c r="B27" s="70">
        <v>5</v>
      </c>
      <c r="C27" s="70">
        <v>5</v>
      </c>
      <c r="D27" s="70"/>
      <c r="E27" s="70"/>
      <c r="F27" s="70"/>
      <c r="G27" s="31"/>
      <c r="H27" s="70">
        <f t="shared" si="0"/>
        <v>19.208333333333336</v>
      </c>
      <c r="I27" s="70">
        <f t="shared" si="1"/>
        <v>40.208333333333336</v>
      </c>
      <c r="J27" s="31">
        <f t="shared" si="2"/>
        <v>59.416666666666671</v>
      </c>
    </row>
    <row r="28" spans="1:10" s="4" customFormat="1" ht="15.95" customHeight="1" x14ac:dyDescent="0.2">
      <c r="A28" s="9" t="s">
        <v>41</v>
      </c>
      <c r="B28" s="70"/>
      <c r="C28" s="70"/>
      <c r="D28" s="70">
        <v>14</v>
      </c>
      <c r="E28" s="70">
        <v>15</v>
      </c>
      <c r="F28" s="70"/>
      <c r="G28" s="31"/>
      <c r="H28" s="70">
        <f t="shared" si="0"/>
        <v>5.2083333333333357</v>
      </c>
      <c r="I28" s="70">
        <f t="shared" si="1"/>
        <v>25.208333333333336</v>
      </c>
      <c r="J28" s="31">
        <f t="shared" si="2"/>
        <v>30.416666666666671</v>
      </c>
    </row>
    <row r="29" spans="1:10" s="4" customFormat="1" ht="15.95" customHeight="1" x14ac:dyDescent="0.2">
      <c r="A29" s="17" t="s">
        <v>42</v>
      </c>
      <c r="B29" s="70"/>
      <c r="C29" s="70"/>
      <c r="D29" s="70"/>
      <c r="E29" s="70"/>
      <c r="F29" s="70"/>
      <c r="G29" s="31">
        <v>1</v>
      </c>
      <c r="H29" s="70">
        <f t="shared" si="0"/>
        <v>5.2083333333333357</v>
      </c>
      <c r="I29" s="70">
        <f t="shared" si="1"/>
        <v>25.208333333333336</v>
      </c>
      <c r="J29" s="31">
        <f t="shared" si="2"/>
        <v>30.416666666666671</v>
      </c>
    </row>
    <row r="30" spans="1:10" s="4" customFormat="1" ht="15.95" customHeight="1" x14ac:dyDescent="0.2">
      <c r="A30" s="17" t="s">
        <v>17</v>
      </c>
      <c r="B30" s="70">
        <v>1.25</v>
      </c>
      <c r="C30" s="70">
        <v>1.25</v>
      </c>
      <c r="D30" s="70"/>
      <c r="E30" s="70"/>
      <c r="F30" s="70"/>
      <c r="G30" s="31"/>
      <c r="H30" s="70">
        <f t="shared" si="0"/>
        <v>6.4583333333333357</v>
      </c>
      <c r="I30" s="70">
        <f t="shared" si="1"/>
        <v>26.458333333333336</v>
      </c>
      <c r="J30" s="31">
        <f t="shared" si="2"/>
        <v>32.916666666666671</v>
      </c>
    </row>
    <row r="31" spans="1:10" s="4" customFormat="1" ht="15.95" customHeight="1" x14ac:dyDescent="0.2">
      <c r="A31" s="18" t="s">
        <v>44</v>
      </c>
      <c r="B31" s="71"/>
      <c r="C31" s="70"/>
      <c r="D31" s="70"/>
      <c r="E31" s="70"/>
      <c r="F31" s="70"/>
      <c r="G31" s="31">
        <v>1</v>
      </c>
      <c r="H31" s="70">
        <f t="shared" si="0"/>
        <v>6.4583333333333357</v>
      </c>
      <c r="I31" s="70">
        <f t="shared" si="1"/>
        <v>26.458333333333336</v>
      </c>
      <c r="J31" s="31">
        <f t="shared" si="2"/>
        <v>32.916666666666671</v>
      </c>
    </row>
    <row r="32" spans="1:10" s="4" customFormat="1" ht="15.95" customHeight="1" x14ac:dyDescent="0.2">
      <c r="A32" s="18" t="s">
        <v>45</v>
      </c>
      <c r="B32" s="71"/>
      <c r="C32" s="70"/>
      <c r="D32" s="70"/>
      <c r="E32" s="70"/>
      <c r="F32" s="70">
        <v>1</v>
      </c>
      <c r="G32" s="31"/>
      <c r="H32" s="70">
        <f t="shared" si="0"/>
        <v>5.4583333333333357</v>
      </c>
      <c r="I32" s="70">
        <f t="shared" si="1"/>
        <v>26.458333333333336</v>
      </c>
      <c r="J32" s="31">
        <f t="shared" si="2"/>
        <v>31.916666666666671</v>
      </c>
    </row>
    <row r="33" spans="1:10" s="4" customFormat="1" ht="15.95" customHeight="1" x14ac:dyDescent="0.2">
      <c r="A33" s="17" t="s">
        <v>19</v>
      </c>
      <c r="B33" s="70"/>
      <c r="C33" s="70"/>
      <c r="D33" s="70"/>
      <c r="E33" s="70">
        <v>1</v>
      </c>
      <c r="F33" s="70"/>
      <c r="G33" s="31"/>
      <c r="H33" s="70">
        <f t="shared" si="0"/>
        <v>5.4583333333333357</v>
      </c>
      <c r="I33" s="70">
        <f t="shared" si="1"/>
        <v>25.458333333333336</v>
      </c>
      <c r="J33" s="31">
        <f t="shared" si="2"/>
        <v>30.916666666666671</v>
      </c>
    </row>
    <row r="34" spans="1:10" s="4" customFormat="1" ht="15.95" customHeight="1" x14ac:dyDescent="0.2">
      <c r="A34" s="17" t="s">
        <v>20</v>
      </c>
      <c r="B34" s="70">
        <v>1.25</v>
      </c>
      <c r="C34" s="70">
        <v>1.25</v>
      </c>
      <c r="D34" s="70"/>
      <c r="E34" s="70"/>
      <c r="F34" s="70"/>
      <c r="G34" s="31"/>
      <c r="H34" s="70">
        <f t="shared" si="0"/>
        <v>6.7083333333333357</v>
      </c>
      <c r="I34" s="70">
        <f t="shared" si="1"/>
        <v>26.708333333333336</v>
      </c>
      <c r="J34" s="31">
        <f t="shared" si="2"/>
        <v>33.416666666666671</v>
      </c>
    </row>
    <row r="35" spans="1:10" ht="15.95" customHeight="1" x14ac:dyDescent="0.25">
      <c r="A35" s="17" t="s">
        <v>21</v>
      </c>
      <c r="B35" s="70"/>
      <c r="C35" s="70"/>
      <c r="D35" s="70"/>
      <c r="E35" s="70"/>
      <c r="F35" s="70">
        <v>1</v>
      </c>
      <c r="G35" s="31"/>
      <c r="H35" s="70">
        <f t="shared" si="0"/>
        <v>5.7083333333333357</v>
      </c>
      <c r="I35" s="70">
        <f t="shared" si="1"/>
        <v>26.708333333333336</v>
      </c>
      <c r="J35" s="31">
        <f t="shared" si="2"/>
        <v>32.416666666666671</v>
      </c>
    </row>
    <row r="36" spans="1:10" ht="15.95" customHeight="1" x14ac:dyDescent="0.25">
      <c r="A36" s="17" t="s">
        <v>22</v>
      </c>
      <c r="B36" s="70">
        <v>3.75</v>
      </c>
      <c r="C36" s="70">
        <v>3.75</v>
      </c>
      <c r="D36" s="71"/>
      <c r="E36" s="71"/>
      <c r="F36" s="71"/>
      <c r="G36" s="12"/>
      <c r="H36" s="70">
        <f t="shared" si="0"/>
        <v>9.4583333333333357</v>
      </c>
      <c r="I36" s="70">
        <f t="shared" si="1"/>
        <v>30.458333333333336</v>
      </c>
      <c r="J36" s="31">
        <f t="shared" si="2"/>
        <v>39.916666666666671</v>
      </c>
    </row>
    <row r="37" spans="1:10" ht="15.95" customHeight="1" x14ac:dyDescent="0.25">
      <c r="A37" s="17" t="s">
        <v>23</v>
      </c>
      <c r="B37" s="70"/>
      <c r="C37" s="70"/>
      <c r="D37" s="71"/>
      <c r="E37" s="70"/>
      <c r="F37" s="91">
        <v>0.5</v>
      </c>
      <c r="G37" s="12"/>
      <c r="H37" s="70">
        <f t="shared" si="0"/>
        <v>8.9583333333333357</v>
      </c>
      <c r="I37" s="70">
        <f t="shared" si="1"/>
        <v>30.458333333333336</v>
      </c>
      <c r="J37" s="31">
        <f t="shared" si="2"/>
        <v>39.416666666666671</v>
      </c>
    </row>
    <row r="38" spans="1:10" ht="15.95" customHeight="1" x14ac:dyDescent="0.25">
      <c r="A38" s="17" t="s">
        <v>11</v>
      </c>
      <c r="B38" s="70">
        <v>1.25</v>
      </c>
      <c r="C38" s="70">
        <v>1.25</v>
      </c>
      <c r="D38" s="82"/>
      <c r="E38" s="67"/>
      <c r="F38" s="67"/>
      <c r="G38" s="32"/>
      <c r="H38" s="70">
        <f t="shared" si="0"/>
        <v>10.208333333333336</v>
      </c>
      <c r="I38" s="70">
        <f t="shared" si="1"/>
        <v>31.708333333333336</v>
      </c>
      <c r="J38" s="31">
        <f t="shared" si="2"/>
        <v>41.916666666666671</v>
      </c>
    </row>
    <row r="39" spans="1:10" ht="15.95" customHeight="1" x14ac:dyDescent="0.25">
      <c r="A39" s="17" t="s">
        <v>24</v>
      </c>
      <c r="B39" s="67"/>
      <c r="C39" s="67"/>
      <c r="D39" s="67"/>
      <c r="E39" s="67">
        <v>1</v>
      </c>
      <c r="F39" s="67"/>
      <c r="G39" s="32"/>
      <c r="H39" s="70">
        <f t="shared" si="0"/>
        <v>10.208333333333336</v>
      </c>
      <c r="I39" s="70">
        <f t="shared" si="1"/>
        <v>30.708333333333336</v>
      </c>
      <c r="J39" s="31">
        <f>H39+I39</f>
        <v>40.916666666666671</v>
      </c>
    </row>
    <row r="40" spans="1:10" ht="15.95" customHeight="1" x14ac:dyDescent="0.25">
      <c r="A40" s="17" t="s">
        <v>25</v>
      </c>
      <c r="B40" s="67"/>
      <c r="C40" s="67"/>
      <c r="D40" s="67"/>
      <c r="E40" s="67">
        <v>1</v>
      </c>
      <c r="F40" s="67"/>
      <c r="G40" s="32"/>
      <c r="H40" s="70">
        <f t="shared" si="0"/>
        <v>10.208333333333336</v>
      </c>
      <c r="I40" s="70">
        <f t="shared" si="1"/>
        <v>29.708333333333336</v>
      </c>
      <c r="J40" s="31">
        <f t="shared" ref="J40:J50" si="3">H40+I40</f>
        <v>39.916666666666671</v>
      </c>
    </row>
    <row r="41" spans="1:10" ht="15.95" customHeight="1" x14ac:dyDescent="0.25">
      <c r="A41" s="17" t="s">
        <v>18</v>
      </c>
      <c r="B41" s="70">
        <v>1.25</v>
      </c>
      <c r="C41" s="70">
        <v>1.25</v>
      </c>
      <c r="D41" s="67"/>
      <c r="E41" s="67"/>
      <c r="F41" s="67"/>
      <c r="G41" s="32"/>
      <c r="H41" s="70">
        <f t="shared" si="0"/>
        <v>11.458333333333336</v>
      </c>
      <c r="I41" s="70">
        <f t="shared" si="1"/>
        <v>30.958333333333336</v>
      </c>
      <c r="J41" s="31">
        <f t="shared" si="3"/>
        <v>42.416666666666671</v>
      </c>
    </row>
    <row r="42" spans="1:10" ht="15.95" customHeight="1" x14ac:dyDescent="0.25">
      <c r="A42" s="17" t="s">
        <v>26</v>
      </c>
      <c r="B42" s="70"/>
      <c r="C42" s="70"/>
      <c r="D42" s="82"/>
      <c r="E42" s="67"/>
      <c r="F42" s="67">
        <v>2</v>
      </c>
      <c r="G42" s="32"/>
      <c r="H42" s="70">
        <f t="shared" si="0"/>
        <v>9.4583333333333357</v>
      </c>
      <c r="I42" s="70">
        <f t="shared" si="1"/>
        <v>30.958333333333336</v>
      </c>
      <c r="J42" s="31">
        <f t="shared" si="3"/>
        <v>40.416666666666671</v>
      </c>
    </row>
    <row r="43" spans="1:10" ht="15.95" customHeight="1" x14ac:dyDescent="0.25">
      <c r="A43" s="17" t="s">
        <v>46</v>
      </c>
      <c r="B43" s="70">
        <v>2.5</v>
      </c>
      <c r="C43" s="70">
        <v>2.5</v>
      </c>
      <c r="D43" s="82"/>
      <c r="E43" s="67"/>
      <c r="F43" s="67"/>
      <c r="G43" s="32"/>
      <c r="H43" s="70">
        <f t="shared" si="0"/>
        <v>11.958333333333336</v>
      </c>
      <c r="I43" s="70">
        <f t="shared" si="1"/>
        <v>33.458333333333336</v>
      </c>
      <c r="J43" s="31">
        <f t="shared" si="3"/>
        <v>45.416666666666671</v>
      </c>
    </row>
    <row r="44" spans="1:10" ht="15.95" customHeight="1" x14ac:dyDescent="0.25">
      <c r="A44" s="17" t="s">
        <v>47</v>
      </c>
      <c r="B44" s="70"/>
      <c r="C44" s="70"/>
      <c r="D44" s="67">
        <v>8</v>
      </c>
      <c r="E44" s="67">
        <v>21</v>
      </c>
      <c r="F44" s="67"/>
      <c r="G44" s="32"/>
      <c r="H44" s="70">
        <f t="shared" si="0"/>
        <v>3.9583333333333357</v>
      </c>
      <c r="I44" s="70">
        <f t="shared" si="1"/>
        <v>12.458333333333336</v>
      </c>
      <c r="J44" s="31">
        <f t="shared" si="3"/>
        <v>16.416666666666671</v>
      </c>
    </row>
    <row r="45" spans="1:10" ht="15.95" customHeight="1" x14ac:dyDescent="0.25">
      <c r="A45" s="17" t="s">
        <v>48</v>
      </c>
      <c r="B45" s="70"/>
      <c r="C45" s="70"/>
      <c r="D45" s="82"/>
      <c r="E45" s="67"/>
      <c r="F45" s="67"/>
      <c r="G45" s="32">
        <v>1</v>
      </c>
      <c r="H45" s="70">
        <f t="shared" si="0"/>
        <v>3.9583333333333357</v>
      </c>
      <c r="I45" s="70">
        <f t="shared" si="1"/>
        <v>12.458333333333336</v>
      </c>
      <c r="J45" s="31">
        <f t="shared" si="3"/>
        <v>16.416666666666671</v>
      </c>
    </row>
    <row r="46" spans="1:10" ht="15.95" customHeight="1" x14ac:dyDescent="0.25">
      <c r="A46" s="17" t="s">
        <v>49</v>
      </c>
      <c r="B46" s="70">
        <v>2.5</v>
      </c>
      <c r="C46" s="70">
        <v>2.5</v>
      </c>
      <c r="D46" s="82"/>
      <c r="E46" s="67"/>
      <c r="F46" s="67"/>
      <c r="G46" s="32"/>
      <c r="H46" s="70">
        <f t="shared" si="0"/>
        <v>6.4583333333333357</v>
      </c>
      <c r="I46" s="70">
        <f t="shared" si="1"/>
        <v>14.958333333333336</v>
      </c>
      <c r="J46" s="31">
        <f t="shared" si="3"/>
        <v>21.416666666666671</v>
      </c>
    </row>
    <row r="47" spans="1:10" ht="15.95" customHeight="1" x14ac:dyDescent="0.25">
      <c r="A47" s="17" t="s">
        <v>50</v>
      </c>
      <c r="B47" s="70"/>
      <c r="C47" s="70"/>
      <c r="D47" s="82"/>
      <c r="E47" s="67"/>
      <c r="F47" s="92">
        <v>0.5</v>
      </c>
      <c r="G47" s="32"/>
      <c r="H47" s="70">
        <f t="shared" si="0"/>
        <v>5.9583333333333357</v>
      </c>
      <c r="I47" s="70">
        <f t="shared" si="1"/>
        <v>14.958333333333336</v>
      </c>
      <c r="J47" s="31">
        <f t="shared" si="3"/>
        <v>20.916666666666671</v>
      </c>
    </row>
    <row r="48" spans="1:10" ht="15.95" customHeight="1" x14ac:dyDescent="0.25">
      <c r="A48" s="17" t="s">
        <v>51</v>
      </c>
      <c r="B48" s="70"/>
      <c r="C48" s="70"/>
      <c r="D48" s="82"/>
      <c r="E48" s="67">
        <v>1.5</v>
      </c>
      <c r="F48" s="67"/>
      <c r="G48" s="32"/>
      <c r="H48" s="70">
        <f t="shared" si="0"/>
        <v>5.9583333333333357</v>
      </c>
      <c r="I48" s="70">
        <f t="shared" si="1"/>
        <v>13.458333333333336</v>
      </c>
      <c r="J48" s="31">
        <f t="shared" si="3"/>
        <v>19.416666666666671</v>
      </c>
    </row>
    <row r="49" spans="1:10" ht="15.95" customHeight="1" x14ac:dyDescent="0.25">
      <c r="A49" s="17" t="s">
        <v>74</v>
      </c>
      <c r="B49" s="70">
        <v>1.25</v>
      </c>
      <c r="C49" s="70">
        <v>1.25</v>
      </c>
      <c r="D49" s="82"/>
      <c r="E49" s="67"/>
      <c r="F49" s="67"/>
      <c r="G49" s="32"/>
      <c r="H49" s="70">
        <f t="shared" si="0"/>
        <v>7.2083333333333357</v>
      </c>
      <c r="I49" s="70">
        <f t="shared" si="1"/>
        <v>14.708333333333336</v>
      </c>
      <c r="J49" s="31">
        <f t="shared" si="3"/>
        <v>21.916666666666671</v>
      </c>
    </row>
    <row r="50" spans="1:10" ht="15.95" customHeight="1" x14ac:dyDescent="0.25">
      <c r="A50" s="17" t="s">
        <v>75</v>
      </c>
      <c r="B50" s="70"/>
      <c r="C50" s="70"/>
      <c r="D50" s="82"/>
      <c r="E50" s="67"/>
      <c r="F50" s="67"/>
      <c r="G50" s="32">
        <v>1</v>
      </c>
      <c r="H50" s="70">
        <f t="shared" si="0"/>
        <v>7.2083333333333357</v>
      </c>
      <c r="I50" s="70">
        <f t="shared" si="1"/>
        <v>14.708333333333336</v>
      </c>
      <c r="J50" s="31">
        <f t="shared" si="3"/>
        <v>21.916666666666671</v>
      </c>
    </row>
    <row r="51" spans="1:10" ht="15.95" customHeight="1" x14ac:dyDescent="0.25">
      <c r="A51" s="17" t="s">
        <v>76</v>
      </c>
      <c r="B51" s="70"/>
      <c r="C51" s="70"/>
      <c r="D51" s="82"/>
      <c r="E51" s="67">
        <v>1</v>
      </c>
      <c r="F51" s="67"/>
      <c r="G51" s="32"/>
      <c r="H51" s="70">
        <f t="shared" si="0"/>
        <v>7.2083333333333357</v>
      </c>
      <c r="I51" s="70">
        <f t="shared" si="1"/>
        <v>13.708333333333336</v>
      </c>
      <c r="J51" s="31">
        <f>H51+I51</f>
        <v>20.916666666666671</v>
      </c>
    </row>
    <row r="52" spans="1:10" ht="15.95" customHeight="1" x14ac:dyDescent="0.25">
      <c r="A52" s="17" t="s">
        <v>77</v>
      </c>
      <c r="B52" s="70">
        <v>1.25</v>
      </c>
      <c r="C52" s="70">
        <v>1.25</v>
      </c>
      <c r="D52" s="82"/>
      <c r="E52" s="67"/>
      <c r="F52" s="67"/>
      <c r="G52" s="32"/>
      <c r="H52" s="70">
        <f t="shared" si="0"/>
        <v>8.4583333333333357</v>
      </c>
      <c r="I52" s="70">
        <f t="shared" si="1"/>
        <v>14.958333333333336</v>
      </c>
      <c r="J52" s="31">
        <f t="shared" ref="J52:J72" si="4">H52+I52</f>
        <v>23.416666666666671</v>
      </c>
    </row>
    <row r="53" spans="1:10" ht="15.95" customHeight="1" x14ac:dyDescent="0.25">
      <c r="A53" s="17" t="s">
        <v>78</v>
      </c>
      <c r="B53" s="70"/>
      <c r="C53" s="70"/>
      <c r="D53" s="82"/>
      <c r="E53" s="67"/>
      <c r="F53" s="67"/>
      <c r="G53" s="92">
        <v>0.5</v>
      </c>
      <c r="H53" s="70">
        <f t="shared" si="0"/>
        <v>8.4583333333333357</v>
      </c>
      <c r="I53" s="70">
        <f t="shared" si="1"/>
        <v>14.958333333333336</v>
      </c>
      <c r="J53" s="31">
        <f t="shared" si="4"/>
        <v>23.416666666666671</v>
      </c>
    </row>
    <row r="54" spans="1:10" ht="15.95" customHeight="1" x14ac:dyDescent="0.25">
      <c r="A54" s="17" t="s">
        <v>79</v>
      </c>
      <c r="B54" s="70"/>
      <c r="C54" s="70"/>
      <c r="D54" s="82"/>
      <c r="E54" s="67">
        <v>0.5</v>
      </c>
      <c r="F54" s="67"/>
      <c r="G54" s="32"/>
      <c r="H54" s="70">
        <f t="shared" si="0"/>
        <v>8.4583333333333357</v>
      </c>
      <c r="I54" s="70">
        <f t="shared" si="1"/>
        <v>14.458333333333336</v>
      </c>
      <c r="J54" s="31">
        <f t="shared" si="4"/>
        <v>22.916666666666671</v>
      </c>
    </row>
    <row r="55" spans="1:10" ht="15.95" customHeight="1" x14ac:dyDescent="0.25">
      <c r="A55" s="17" t="s">
        <v>80</v>
      </c>
      <c r="B55" s="70">
        <v>1.25</v>
      </c>
      <c r="C55" s="70">
        <v>1.25</v>
      </c>
      <c r="D55" s="82"/>
      <c r="E55" s="67"/>
      <c r="F55" s="67"/>
      <c r="G55" s="32"/>
      <c r="H55" s="70">
        <f t="shared" si="0"/>
        <v>9.7083333333333357</v>
      </c>
      <c r="I55" s="70">
        <f t="shared" si="1"/>
        <v>15.708333333333336</v>
      </c>
      <c r="J55" s="31">
        <f t="shared" si="4"/>
        <v>25.416666666666671</v>
      </c>
    </row>
    <row r="56" spans="1:10" ht="15.95" customHeight="1" x14ac:dyDescent="0.25">
      <c r="A56" s="17" t="s">
        <v>81</v>
      </c>
      <c r="B56" s="70"/>
      <c r="C56" s="70"/>
      <c r="D56" s="82"/>
      <c r="E56" s="67"/>
      <c r="F56" s="67">
        <v>2</v>
      </c>
      <c r="G56" s="32"/>
      <c r="H56" s="70">
        <f t="shared" si="0"/>
        <v>7.7083333333333357</v>
      </c>
      <c r="I56" s="70">
        <f t="shared" si="1"/>
        <v>15.708333333333336</v>
      </c>
      <c r="J56" s="31">
        <f t="shared" si="4"/>
        <v>23.416666666666671</v>
      </c>
    </row>
    <row r="57" spans="1:10" ht="15.95" customHeight="1" x14ac:dyDescent="0.25">
      <c r="A57" s="17" t="s">
        <v>82</v>
      </c>
      <c r="B57" s="70">
        <v>1.25</v>
      </c>
      <c r="C57" s="70">
        <v>1.25</v>
      </c>
      <c r="D57" s="82"/>
      <c r="E57" s="67"/>
      <c r="F57" s="67"/>
      <c r="G57" s="32"/>
      <c r="H57" s="70">
        <f t="shared" si="0"/>
        <v>8.9583333333333357</v>
      </c>
      <c r="I57" s="70">
        <f t="shared" si="1"/>
        <v>16.958333333333336</v>
      </c>
      <c r="J57" s="31">
        <f t="shared" si="4"/>
        <v>25.916666666666671</v>
      </c>
    </row>
    <row r="58" spans="1:10" ht="15.95" customHeight="1" x14ac:dyDescent="0.25">
      <c r="A58" s="17" t="s">
        <v>83</v>
      </c>
      <c r="B58" s="70"/>
      <c r="C58" s="70"/>
      <c r="D58" s="82"/>
      <c r="E58" s="67"/>
      <c r="F58" s="67"/>
      <c r="G58" s="92">
        <v>0.5</v>
      </c>
      <c r="H58" s="70">
        <f t="shared" si="0"/>
        <v>8.9583333333333357</v>
      </c>
      <c r="I58" s="70">
        <f t="shared" si="1"/>
        <v>16.958333333333336</v>
      </c>
      <c r="J58" s="31">
        <f t="shared" si="4"/>
        <v>25.916666666666671</v>
      </c>
    </row>
    <row r="59" spans="1:10" ht="15.95" customHeight="1" x14ac:dyDescent="0.25">
      <c r="A59" s="98" t="s">
        <v>84</v>
      </c>
      <c r="B59" s="91"/>
      <c r="C59" s="91"/>
      <c r="D59" s="99"/>
      <c r="E59" s="67"/>
      <c r="F59" s="67"/>
      <c r="G59" s="32"/>
      <c r="H59" s="70">
        <f t="shared" si="0"/>
        <v>8.9583333333333357</v>
      </c>
      <c r="I59" s="70">
        <f t="shared" si="1"/>
        <v>16.958333333333336</v>
      </c>
      <c r="J59" s="31">
        <f t="shared" si="4"/>
        <v>25.916666666666671</v>
      </c>
    </row>
    <row r="60" spans="1:10" ht="15.95" customHeight="1" x14ac:dyDescent="0.25">
      <c r="A60" s="17" t="s">
        <v>85</v>
      </c>
      <c r="B60" s="70"/>
      <c r="C60" s="70"/>
      <c r="D60" s="82"/>
      <c r="E60" s="67">
        <v>1</v>
      </c>
      <c r="F60" s="67"/>
      <c r="G60" s="32"/>
      <c r="H60" s="70">
        <f t="shared" si="0"/>
        <v>8.9583333333333357</v>
      </c>
      <c r="I60" s="70">
        <f t="shared" si="1"/>
        <v>15.958333333333336</v>
      </c>
      <c r="J60" s="31">
        <f t="shared" si="4"/>
        <v>24.916666666666671</v>
      </c>
    </row>
    <row r="61" spans="1:10" ht="15.95" customHeight="1" x14ac:dyDescent="0.25">
      <c r="A61" s="17" t="s">
        <v>86</v>
      </c>
      <c r="B61" s="70">
        <v>2.5</v>
      </c>
      <c r="C61" s="70">
        <v>2.5</v>
      </c>
      <c r="D61" s="82"/>
      <c r="E61" s="67"/>
      <c r="F61" s="67"/>
      <c r="G61" s="32"/>
      <c r="H61" s="70">
        <f t="shared" si="0"/>
        <v>11.458333333333336</v>
      </c>
      <c r="I61" s="70">
        <f t="shared" si="1"/>
        <v>18.458333333333336</v>
      </c>
      <c r="J61" s="31">
        <f t="shared" si="4"/>
        <v>29.916666666666671</v>
      </c>
    </row>
    <row r="62" spans="1:10" ht="15.95" customHeight="1" x14ac:dyDescent="0.25">
      <c r="A62" s="17" t="s">
        <v>87</v>
      </c>
      <c r="B62" s="70"/>
      <c r="C62" s="70"/>
      <c r="D62" s="82"/>
      <c r="E62" s="67"/>
      <c r="F62" s="67">
        <v>1</v>
      </c>
      <c r="G62" s="32"/>
      <c r="H62" s="70">
        <f t="shared" si="0"/>
        <v>10.458333333333336</v>
      </c>
      <c r="I62" s="70">
        <f t="shared" si="1"/>
        <v>18.458333333333336</v>
      </c>
      <c r="J62" s="31">
        <f t="shared" si="4"/>
        <v>28.916666666666671</v>
      </c>
    </row>
    <row r="63" spans="1:10" ht="15.95" customHeight="1" x14ac:dyDescent="0.25">
      <c r="A63" s="17" t="s">
        <v>88</v>
      </c>
      <c r="B63" s="70">
        <v>2.5</v>
      </c>
      <c r="C63" s="70">
        <v>2.5</v>
      </c>
      <c r="D63" s="82"/>
      <c r="E63" s="67"/>
      <c r="F63" s="67"/>
      <c r="G63" s="32"/>
      <c r="H63" s="70">
        <f t="shared" si="0"/>
        <v>12.958333333333336</v>
      </c>
      <c r="I63" s="70">
        <f t="shared" si="1"/>
        <v>20.958333333333336</v>
      </c>
      <c r="J63" s="31">
        <f t="shared" si="4"/>
        <v>33.916666666666671</v>
      </c>
    </row>
    <row r="64" spans="1:10" ht="15.95" customHeight="1" x14ac:dyDescent="0.25">
      <c r="A64" s="17" t="s">
        <v>102</v>
      </c>
      <c r="B64" s="70"/>
      <c r="C64" s="70"/>
      <c r="D64" s="67">
        <v>7</v>
      </c>
      <c r="E64" s="67">
        <v>13</v>
      </c>
      <c r="F64" s="67"/>
      <c r="G64" s="32"/>
      <c r="H64" s="70">
        <f t="shared" si="0"/>
        <v>5.9583333333333357</v>
      </c>
      <c r="I64" s="70">
        <f t="shared" si="1"/>
        <v>7.9583333333333357</v>
      </c>
      <c r="J64" s="31">
        <f t="shared" si="4"/>
        <v>13.916666666666671</v>
      </c>
    </row>
    <row r="65" spans="1:10" ht="15.95" customHeight="1" x14ac:dyDescent="0.25">
      <c r="A65" s="17" t="s">
        <v>103</v>
      </c>
      <c r="B65" s="70"/>
      <c r="C65" s="70"/>
      <c r="D65" s="67"/>
      <c r="E65" s="67">
        <v>1</v>
      </c>
      <c r="F65" s="67"/>
      <c r="G65" s="32"/>
      <c r="H65" s="70">
        <f t="shared" si="0"/>
        <v>5.9583333333333357</v>
      </c>
      <c r="I65" s="70">
        <f t="shared" si="1"/>
        <v>6.9583333333333357</v>
      </c>
      <c r="J65" s="31">
        <f t="shared" si="4"/>
        <v>12.916666666666671</v>
      </c>
    </row>
    <row r="66" spans="1:10" ht="15.95" customHeight="1" x14ac:dyDescent="0.25">
      <c r="A66" s="17" t="s">
        <v>104</v>
      </c>
      <c r="B66" s="70">
        <v>1.25</v>
      </c>
      <c r="C66" s="70">
        <v>1.25</v>
      </c>
      <c r="D66" s="67"/>
      <c r="E66" s="67"/>
      <c r="F66" s="67"/>
      <c r="G66" s="32"/>
      <c r="H66" s="70">
        <f t="shared" si="0"/>
        <v>7.2083333333333357</v>
      </c>
      <c r="I66" s="70">
        <f t="shared" si="1"/>
        <v>8.2083333333333357</v>
      </c>
      <c r="J66" s="31">
        <f t="shared" si="4"/>
        <v>15.416666666666671</v>
      </c>
    </row>
    <row r="67" spans="1:10" ht="15.95" customHeight="1" x14ac:dyDescent="0.25">
      <c r="A67" s="17" t="s">
        <v>105</v>
      </c>
      <c r="B67" s="70"/>
      <c r="C67" s="70"/>
      <c r="D67" s="67"/>
      <c r="E67" s="67"/>
      <c r="F67" s="67">
        <v>2</v>
      </c>
      <c r="G67" s="32"/>
      <c r="H67" s="70">
        <f t="shared" si="0"/>
        <v>5.2083333333333357</v>
      </c>
      <c r="I67" s="70">
        <f t="shared" si="1"/>
        <v>8.2083333333333357</v>
      </c>
      <c r="J67" s="31">
        <f t="shared" si="4"/>
        <v>13.416666666666671</v>
      </c>
    </row>
    <row r="68" spans="1:10" ht="15.95" customHeight="1" x14ac:dyDescent="0.25">
      <c r="A68" s="17" t="s">
        <v>120</v>
      </c>
      <c r="B68" s="70">
        <v>2.5</v>
      </c>
      <c r="C68" s="70">
        <v>2.5</v>
      </c>
      <c r="D68" s="67"/>
      <c r="E68" s="67"/>
      <c r="F68" s="67"/>
      <c r="G68" s="32"/>
      <c r="H68" s="70">
        <f t="shared" si="0"/>
        <v>7.7083333333333357</v>
      </c>
      <c r="I68" s="70">
        <f t="shared" si="1"/>
        <v>10.708333333333336</v>
      </c>
      <c r="J68" s="31">
        <f t="shared" si="4"/>
        <v>18.416666666666671</v>
      </c>
    </row>
    <row r="69" spans="1:10" ht="15.95" customHeight="1" x14ac:dyDescent="0.25">
      <c r="A69" s="17" t="s">
        <v>121</v>
      </c>
      <c r="B69" s="70"/>
      <c r="C69" s="70"/>
      <c r="D69" s="67"/>
      <c r="E69" s="67"/>
      <c r="F69" s="67"/>
      <c r="G69" s="32">
        <v>2</v>
      </c>
      <c r="H69" s="70">
        <f t="shared" si="0"/>
        <v>7.7083333333333357</v>
      </c>
      <c r="I69" s="70">
        <f t="shared" si="1"/>
        <v>10.708333333333336</v>
      </c>
      <c r="J69" s="31">
        <f t="shared" si="4"/>
        <v>18.416666666666671</v>
      </c>
    </row>
    <row r="70" spans="1:10" ht="15.95" customHeight="1" x14ac:dyDescent="0.25">
      <c r="A70" s="17" t="s">
        <v>122</v>
      </c>
      <c r="B70" s="70">
        <v>1.25</v>
      </c>
      <c r="C70" s="70">
        <v>1.25</v>
      </c>
      <c r="D70" s="67"/>
      <c r="E70" s="67"/>
      <c r="F70" s="67"/>
      <c r="G70" s="32"/>
      <c r="H70" s="70">
        <f t="shared" si="0"/>
        <v>8.9583333333333357</v>
      </c>
      <c r="I70" s="70">
        <f t="shared" si="1"/>
        <v>11.958333333333336</v>
      </c>
      <c r="J70" s="31">
        <f t="shared" si="4"/>
        <v>20.916666666666671</v>
      </c>
    </row>
    <row r="71" spans="1:10" ht="15.95" customHeight="1" x14ac:dyDescent="0.25">
      <c r="A71" s="17" t="s">
        <v>123</v>
      </c>
      <c r="B71" s="70"/>
      <c r="C71" s="70"/>
      <c r="D71" s="67"/>
      <c r="E71" s="67"/>
      <c r="F71" s="67"/>
      <c r="G71" s="65">
        <v>1</v>
      </c>
      <c r="H71" s="70">
        <f t="shared" si="0"/>
        <v>8.9583333333333357</v>
      </c>
      <c r="I71" s="70">
        <f t="shared" si="1"/>
        <v>11.958333333333336</v>
      </c>
      <c r="J71" s="31">
        <f t="shared" si="4"/>
        <v>20.916666666666671</v>
      </c>
    </row>
    <row r="72" spans="1:10" ht="15.95" customHeight="1" x14ac:dyDescent="0.25">
      <c r="A72" s="17" t="s">
        <v>124</v>
      </c>
      <c r="B72" s="70">
        <v>1.25</v>
      </c>
      <c r="C72" s="70">
        <v>1.25</v>
      </c>
      <c r="D72" s="67"/>
      <c r="E72" s="67"/>
      <c r="F72" s="67"/>
      <c r="G72" s="32"/>
      <c r="H72" s="70">
        <f t="shared" si="0"/>
        <v>10.208333333333336</v>
      </c>
      <c r="I72" s="70">
        <f t="shared" si="1"/>
        <v>13.208333333333336</v>
      </c>
      <c r="J72" s="31">
        <f t="shared" si="4"/>
        <v>23.416666666666671</v>
      </c>
    </row>
    <row r="73" spans="1:10" ht="15.95" customHeight="1" x14ac:dyDescent="0.25">
      <c r="A73" s="17" t="s">
        <v>125</v>
      </c>
      <c r="B73" s="70"/>
      <c r="C73" s="70"/>
      <c r="D73" s="67"/>
      <c r="E73" s="67"/>
      <c r="F73" s="66">
        <v>1</v>
      </c>
      <c r="G73" s="32"/>
      <c r="H73" s="70">
        <f t="shared" si="0"/>
        <v>9.2083333333333357</v>
      </c>
      <c r="I73" s="70">
        <f t="shared" si="1"/>
        <v>13.208333333333336</v>
      </c>
      <c r="J73" s="31">
        <f>H73+I73</f>
        <v>22.416666666666671</v>
      </c>
    </row>
    <row r="74" spans="1:10" ht="15.95" customHeight="1" x14ac:dyDescent="0.25">
      <c r="A74" s="17" t="s">
        <v>126</v>
      </c>
      <c r="B74" s="70">
        <v>1.25</v>
      </c>
      <c r="C74" s="70">
        <v>1.25</v>
      </c>
      <c r="D74" s="67"/>
      <c r="E74" s="67"/>
      <c r="F74" s="67"/>
      <c r="G74" s="32"/>
      <c r="H74" s="70">
        <f t="shared" si="0"/>
        <v>10.458333333333336</v>
      </c>
      <c r="I74" s="70">
        <f t="shared" si="1"/>
        <v>14.458333333333336</v>
      </c>
      <c r="J74" s="31">
        <f t="shared" ref="J74:J75" si="5">H74+I74</f>
        <v>24.916666666666671</v>
      </c>
    </row>
    <row r="75" spans="1:10" ht="15.95" customHeight="1" x14ac:dyDescent="0.25">
      <c r="A75" s="17" t="s">
        <v>127</v>
      </c>
      <c r="B75" s="70"/>
      <c r="C75" s="70"/>
      <c r="D75" s="67"/>
      <c r="E75" s="67">
        <v>2</v>
      </c>
      <c r="F75" s="67"/>
      <c r="G75" s="32"/>
      <c r="H75" s="70">
        <f t="shared" si="0"/>
        <v>10.458333333333336</v>
      </c>
      <c r="I75" s="70">
        <f t="shared" si="1"/>
        <v>12.458333333333336</v>
      </c>
      <c r="J75" s="31">
        <f t="shared" si="5"/>
        <v>22.916666666666671</v>
      </c>
    </row>
    <row r="76" spans="1:10" ht="15.95" customHeight="1" x14ac:dyDescent="0.25">
      <c r="A76" s="17" t="s">
        <v>128</v>
      </c>
      <c r="B76" s="70">
        <v>1.25</v>
      </c>
      <c r="C76" s="70">
        <v>1.25</v>
      </c>
      <c r="D76" s="67"/>
      <c r="E76" s="67"/>
      <c r="F76" s="67"/>
      <c r="G76" s="32"/>
      <c r="H76" s="70">
        <f t="shared" si="0"/>
        <v>11.708333333333336</v>
      </c>
      <c r="I76" s="70">
        <f t="shared" si="1"/>
        <v>13.708333333333336</v>
      </c>
      <c r="J76" s="31">
        <f>H76+I76</f>
        <v>25.416666666666671</v>
      </c>
    </row>
    <row r="77" spans="1:10" s="1" customFormat="1" ht="18" customHeight="1" x14ac:dyDescent="0.25">
      <c r="A77" s="17" t="s">
        <v>129</v>
      </c>
      <c r="B77" s="70"/>
      <c r="C77" s="70"/>
      <c r="D77" s="67"/>
      <c r="E77" s="67">
        <v>1</v>
      </c>
      <c r="F77" s="67"/>
      <c r="G77" s="32"/>
      <c r="H77" s="70">
        <f t="shared" si="0"/>
        <v>11.708333333333336</v>
      </c>
      <c r="I77" s="70">
        <f t="shared" si="1"/>
        <v>12.708333333333336</v>
      </c>
      <c r="J77" s="31">
        <f t="shared" ref="J77:J86" si="6">H77+I77</f>
        <v>24.416666666666671</v>
      </c>
    </row>
    <row r="78" spans="1:10" s="1" customFormat="1" ht="18" customHeight="1" x14ac:dyDescent="0.25">
      <c r="A78" s="17" t="s">
        <v>130</v>
      </c>
      <c r="B78" s="70">
        <v>1.25</v>
      </c>
      <c r="C78" s="70">
        <v>1.25</v>
      </c>
      <c r="D78" s="67"/>
      <c r="E78" s="67"/>
      <c r="F78" s="67"/>
      <c r="G78" s="32"/>
      <c r="H78" s="70">
        <f t="shared" si="0"/>
        <v>12.958333333333336</v>
      </c>
      <c r="I78" s="70">
        <f t="shared" si="1"/>
        <v>13.958333333333336</v>
      </c>
      <c r="J78" s="31">
        <f t="shared" si="6"/>
        <v>26.916666666666671</v>
      </c>
    </row>
    <row r="79" spans="1:10" s="1" customFormat="1" ht="18" customHeight="1" x14ac:dyDescent="0.25">
      <c r="A79" s="17" t="s">
        <v>131</v>
      </c>
      <c r="B79" s="70"/>
      <c r="C79" s="70"/>
      <c r="D79" s="67"/>
      <c r="E79" s="67">
        <v>2</v>
      </c>
      <c r="F79" s="67"/>
      <c r="G79" s="32"/>
      <c r="H79" s="70">
        <f t="shared" si="0"/>
        <v>12.958333333333336</v>
      </c>
      <c r="I79" s="70">
        <f t="shared" si="1"/>
        <v>11.958333333333336</v>
      </c>
      <c r="J79" s="31">
        <f t="shared" si="6"/>
        <v>24.916666666666671</v>
      </c>
    </row>
    <row r="80" spans="1:10" s="1" customFormat="1" ht="18" customHeight="1" x14ac:dyDescent="0.25">
      <c r="A80" s="17" t="s">
        <v>132</v>
      </c>
      <c r="B80" s="70"/>
      <c r="C80" s="70"/>
      <c r="D80" s="67"/>
      <c r="E80" s="67"/>
      <c r="F80" s="67"/>
      <c r="G80" s="65">
        <v>1</v>
      </c>
      <c r="H80" s="70">
        <f t="shared" ref="H80:H86" si="7">H79-F80-D80+B80</f>
        <v>12.958333333333336</v>
      </c>
      <c r="I80" s="70">
        <f t="shared" ref="I80:I86" si="8">I79-E80+C80</f>
        <v>11.958333333333336</v>
      </c>
      <c r="J80" s="31">
        <f t="shared" si="6"/>
        <v>24.916666666666671</v>
      </c>
    </row>
    <row r="81" spans="1:10" s="1" customFormat="1" ht="18" customHeight="1" x14ac:dyDescent="0.25">
      <c r="A81" s="17" t="s">
        <v>133</v>
      </c>
      <c r="B81" s="70"/>
      <c r="C81" s="70"/>
      <c r="D81" s="67"/>
      <c r="E81" s="67"/>
      <c r="F81" s="66">
        <v>1</v>
      </c>
      <c r="G81" s="67"/>
      <c r="H81" s="70">
        <f t="shared" si="7"/>
        <v>11.958333333333336</v>
      </c>
      <c r="I81" s="70">
        <f t="shared" si="8"/>
        <v>11.958333333333336</v>
      </c>
      <c r="J81" s="31">
        <f t="shared" si="6"/>
        <v>23.916666666666671</v>
      </c>
    </row>
    <row r="82" spans="1:10" s="1" customFormat="1" ht="18" customHeight="1" x14ac:dyDescent="0.25">
      <c r="A82" s="17" t="s">
        <v>138</v>
      </c>
      <c r="B82" s="70">
        <v>2.5</v>
      </c>
      <c r="C82" s="70">
        <v>2.5</v>
      </c>
      <c r="D82" s="67"/>
      <c r="E82" s="67"/>
      <c r="F82" s="67"/>
      <c r="G82" s="67"/>
      <c r="H82" s="70">
        <f t="shared" si="7"/>
        <v>14.458333333333336</v>
      </c>
      <c r="I82" s="70">
        <f t="shared" si="8"/>
        <v>14.458333333333336</v>
      </c>
      <c r="J82" s="31">
        <f t="shared" si="6"/>
        <v>28.916666666666671</v>
      </c>
    </row>
    <row r="83" spans="1:10" s="1" customFormat="1" ht="18" customHeight="1" x14ac:dyDescent="0.25">
      <c r="A83" s="17" t="s">
        <v>139</v>
      </c>
      <c r="B83" s="70"/>
      <c r="C83" s="70"/>
      <c r="D83" s="67"/>
      <c r="E83" s="67"/>
      <c r="F83" s="67"/>
      <c r="G83" s="65">
        <v>1</v>
      </c>
      <c r="H83" s="70">
        <f t="shared" si="7"/>
        <v>14.458333333333336</v>
      </c>
      <c r="I83" s="70">
        <f t="shared" si="8"/>
        <v>14.458333333333336</v>
      </c>
      <c r="J83" s="31">
        <f t="shared" si="6"/>
        <v>28.916666666666671</v>
      </c>
    </row>
    <row r="84" spans="1:10" s="1" customFormat="1" ht="18" customHeight="1" x14ac:dyDescent="0.25">
      <c r="A84" s="17" t="s">
        <v>144</v>
      </c>
      <c r="B84" s="70">
        <v>1.25</v>
      </c>
      <c r="C84" s="70">
        <v>1.25</v>
      </c>
      <c r="D84" s="67"/>
      <c r="E84" s="67"/>
      <c r="F84" s="67"/>
      <c r="G84" s="67"/>
      <c r="H84" s="70">
        <f t="shared" si="7"/>
        <v>15.708333333333336</v>
      </c>
      <c r="I84" s="70">
        <f t="shared" si="8"/>
        <v>15.708333333333336</v>
      </c>
      <c r="J84" s="31">
        <f t="shared" si="6"/>
        <v>31.416666666666671</v>
      </c>
    </row>
    <row r="85" spans="1:10" s="1" customFormat="1" ht="18" customHeight="1" x14ac:dyDescent="0.25">
      <c r="A85" s="17" t="s">
        <v>145</v>
      </c>
      <c r="B85" s="70"/>
      <c r="C85" s="70"/>
      <c r="D85" s="70">
        <v>10</v>
      </c>
      <c r="E85" s="67"/>
      <c r="F85" s="67"/>
      <c r="G85" s="67"/>
      <c r="H85" s="70">
        <f t="shared" si="7"/>
        <v>5.7083333333333357</v>
      </c>
      <c r="I85" s="70">
        <f t="shared" si="8"/>
        <v>15.708333333333336</v>
      </c>
      <c r="J85" s="84">
        <f t="shared" si="6"/>
        <v>21.416666666666671</v>
      </c>
    </row>
    <row r="86" spans="1:10" s="1" customFormat="1" ht="18" customHeight="1" x14ac:dyDescent="0.25">
      <c r="A86" s="17" t="s">
        <v>151</v>
      </c>
      <c r="B86" s="70">
        <v>1.25</v>
      </c>
      <c r="C86" s="70">
        <v>1.25</v>
      </c>
      <c r="D86" s="67"/>
      <c r="E86" s="67"/>
      <c r="F86" s="67"/>
      <c r="G86" s="67"/>
      <c r="H86" s="70">
        <f t="shared" si="7"/>
        <v>6.9583333333333357</v>
      </c>
      <c r="I86" s="70">
        <f t="shared" si="8"/>
        <v>16.958333333333336</v>
      </c>
      <c r="J86" s="84">
        <f t="shared" si="6"/>
        <v>23.916666666666671</v>
      </c>
    </row>
    <row r="87" spans="1:10" s="1" customFormat="1" ht="18" customHeight="1" x14ac:dyDescent="0.25">
      <c r="A87" s="17" t="s">
        <v>150</v>
      </c>
      <c r="B87" s="70"/>
      <c r="C87" s="70"/>
      <c r="D87" s="67"/>
      <c r="E87" s="70">
        <v>1</v>
      </c>
      <c r="F87" s="67"/>
      <c r="G87" s="67"/>
      <c r="H87" s="70">
        <f>H86-F87-D87+B87</f>
        <v>6.9583333333333357</v>
      </c>
      <c r="I87" s="70">
        <f>I86-E87+C87</f>
        <v>15.958333333333336</v>
      </c>
      <c r="J87" s="84">
        <f>H87+I87</f>
        <v>22.916666666666671</v>
      </c>
    </row>
    <row r="88" spans="1:10" s="1" customFormat="1" ht="18" customHeight="1" x14ac:dyDescent="0.25">
      <c r="A88" s="17" t="s">
        <v>154</v>
      </c>
      <c r="B88" s="70">
        <v>1.25</v>
      </c>
      <c r="C88" s="70">
        <v>1.25</v>
      </c>
      <c r="D88" s="67"/>
      <c r="E88" s="70"/>
      <c r="F88" s="67"/>
      <c r="G88" s="67"/>
      <c r="H88" s="70">
        <f>H87-F88-D88+B88</f>
        <v>8.2083333333333357</v>
      </c>
      <c r="I88" s="70">
        <f>I87-E88+C88</f>
        <v>17.208333333333336</v>
      </c>
      <c r="J88" s="84">
        <f>H88+I88</f>
        <v>25.416666666666671</v>
      </c>
    </row>
    <row r="89" spans="1:10" s="1" customFormat="1" ht="20.25" customHeight="1" x14ac:dyDescent="0.25">
      <c r="A89" s="87" t="s">
        <v>153</v>
      </c>
      <c r="B89" s="85"/>
      <c r="C89" s="85"/>
      <c r="D89" s="85"/>
      <c r="E89" s="88">
        <v>1</v>
      </c>
      <c r="F89" s="86"/>
      <c r="G89" s="85"/>
      <c r="H89" s="70">
        <f>H88-F89-D89+B89</f>
        <v>8.2083333333333357</v>
      </c>
      <c r="I89" s="70">
        <f>I88-E89+C89</f>
        <v>16.208333333333336</v>
      </c>
      <c r="J89" s="84">
        <f>H89+I89</f>
        <v>24.416666666666671</v>
      </c>
    </row>
    <row r="90" spans="1:10" s="1" customFormat="1" ht="20.25" customHeight="1" x14ac:dyDescent="0.25">
      <c r="A90" s="87" t="s">
        <v>159</v>
      </c>
      <c r="B90" s="87">
        <v>2.5</v>
      </c>
      <c r="C90" s="87">
        <v>2.5</v>
      </c>
      <c r="D90" s="87"/>
      <c r="E90" s="88"/>
      <c r="F90" s="86"/>
      <c r="G90" s="85"/>
      <c r="H90" s="70">
        <f t="shared" ref="H90:H91" si="9">H89-F90-D90+B90</f>
        <v>10.708333333333336</v>
      </c>
      <c r="I90" s="70">
        <f t="shared" ref="I90:I91" si="10">I89-E90+C90</f>
        <v>18.708333333333336</v>
      </c>
      <c r="J90" s="84">
        <f t="shared" ref="J90:J91" si="11">H90+I90</f>
        <v>29.416666666666671</v>
      </c>
    </row>
    <row r="91" spans="1:10" s="1" customFormat="1" ht="20.25" customHeight="1" x14ac:dyDescent="0.25">
      <c r="A91" s="87" t="s">
        <v>160</v>
      </c>
      <c r="B91" s="87"/>
      <c r="C91" s="87"/>
      <c r="D91" s="87"/>
      <c r="E91" s="88"/>
      <c r="F91" s="66">
        <v>3</v>
      </c>
      <c r="G91" s="85"/>
      <c r="H91" s="70">
        <f t="shared" si="9"/>
        <v>7.7083333333333357</v>
      </c>
      <c r="I91" s="70">
        <f t="shared" si="10"/>
        <v>18.708333333333336</v>
      </c>
      <c r="J91" s="84">
        <f t="shared" si="11"/>
        <v>26.416666666666671</v>
      </c>
    </row>
    <row r="92" spans="1:10" ht="87.75" customHeight="1" x14ac:dyDescent="0.25">
      <c r="A92" s="1"/>
      <c r="B92" s="1"/>
      <c r="C92" s="1"/>
      <c r="D92" s="1"/>
      <c r="E92" s="1"/>
      <c r="G92" s="1"/>
      <c r="J92" s="1"/>
    </row>
  </sheetData>
  <mergeCells count="12">
    <mergeCell ref="A13:J13"/>
    <mergeCell ref="A2:I2"/>
    <mergeCell ref="A3:I3"/>
    <mergeCell ref="A4:I4"/>
    <mergeCell ref="A5:I5"/>
    <mergeCell ref="H7:I7"/>
    <mergeCell ref="A10:I10"/>
    <mergeCell ref="A11:A12"/>
    <mergeCell ref="B11:C11"/>
    <mergeCell ref="D11:G11"/>
    <mergeCell ref="H11:I11"/>
    <mergeCell ref="J11:J12"/>
  </mergeCells>
  <printOptions horizontalCentered="1"/>
  <pageMargins left="0.23622047244094491" right="0.23622047244094491" top="0.23622047244094491" bottom="0.23622047244094491" header="0.31496062992125984" footer="0.31496062992125984"/>
  <pageSetup paperSize="9" scale="64" fitToHeight="0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1201-FA0E-44A1-B65D-F885E0D1C928}">
  <dimension ref="A1:L24"/>
  <sheetViews>
    <sheetView view="pageBreakPreview" zoomScale="99" zoomScaleNormal="100" zoomScaleSheetLayoutView="99" workbookViewId="0">
      <selection sqref="A1:A1048576"/>
    </sheetView>
  </sheetViews>
  <sheetFormatPr defaultRowHeight="15" x14ac:dyDescent="0.25"/>
  <cols>
    <col min="1" max="1" width="35.85546875" customWidth="1"/>
  </cols>
  <sheetData>
    <row r="1" spans="1:12" s="1" customFormat="1" ht="52.5" customHeight="1" x14ac:dyDescent="0.25">
      <c r="C1" s="19"/>
      <c r="D1" s="20"/>
      <c r="H1" s="7"/>
    </row>
    <row r="2" spans="1:12" s="1" customFormat="1" ht="10.5" customHeight="1" x14ac:dyDescent="0.25">
      <c r="A2" s="104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2" s="1" customFormat="1" ht="15.95" customHeight="1" x14ac:dyDescent="0.25">
      <c r="A3" s="104" t="s">
        <v>14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1:12" s="1" customFormat="1" ht="15.95" customHeight="1" x14ac:dyDescent="0.25">
      <c r="A4" s="104" t="s">
        <v>15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1:12" s="1" customFormat="1" ht="15.95" customHeight="1" x14ac:dyDescent="0.25">
      <c r="A5" s="104" t="s">
        <v>16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s="1" customFormat="1" ht="8.25" customHeight="1" x14ac:dyDescent="0.25">
      <c r="C6" s="7"/>
      <c r="H6" s="7"/>
    </row>
    <row r="7" spans="1:12" s="1" customFormat="1" ht="8.25" customHeight="1" x14ac:dyDescent="0.25">
      <c r="C7" s="7"/>
      <c r="H7" s="7"/>
    </row>
    <row r="8" spans="1:12" s="1" customFormat="1" ht="12" customHeight="1" x14ac:dyDescent="0.25">
      <c r="A8" s="21" t="s">
        <v>56</v>
      </c>
      <c r="B8" s="21"/>
      <c r="C8" s="150" t="s">
        <v>57</v>
      </c>
      <c r="D8" s="150"/>
      <c r="E8" s="150"/>
      <c r="F8" s="150"/>
      <c r="G8" s="150"/>
      <c r="I8" s="150" t="s">
        <v>58</v>
      </c>
      <c r="J8" s="150"/>
      <c r="K8" s="150"/>
      <c r="L8" s="21"/>
    </row>
    <row r="9" spans="1:12" s="1" customFormat="1" ht="12" customHeight="1" x14ac:dyDescent="0.25">
      <c r="B9" s="22"/>
      <c r="C9" s="150" t="s">
        <v>59</v>
      </c>
      <c r="D9" s="150"/>
      <c r="E9" s="150"/>
      <c r="F9" s="150"/>
      <c r="G9" s="150"/>
      <c r="I9" s="151" t="s">
        <v>60</v>
      </c>
      <c r="J9" s="151"/>
      <c r="K9" s="151"/>
      <c r="L9" s="22"/>
    </row>
    <row r="10" spans="1:12" s="1" customFormat="1" ht="12" customHeight="1" x14ac:dyDescent="0.25">
      <c r="A10" s="21" t="s">
        <v>61</v>
      </c>
      <c r="B10" s="21"/>
      <c r="C10" s="23"/>
      <c r="D10" s="22"/>
      <c r="E10" s="22"/>
      <c r="I10" s="150" t="s">
        <v>62</v>
      </c>
      <c r="J10" s="150"/>
      <c r="K10" s="150"/>
      <c r="L10" s="21"/>
    </row>
    <row r="11" spans="1:12" ht="16.5" customHeight="1" thickBot="1" x14ac:dyDescent="0.3">
      <c r="A11" s="152" t="s">
        <v>63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</row>
    <row r="12" spans="1:12" s="27" customFormat="1" ht="48" x14ac:dyDescent="0.2">
      <c r="A12" s="24" t="s">
        <v>4</v>
      </c>
      <c r="B12" s="25" t="s">
        <v>64</v>
      </c>
      <c r="C12" s="25" t="s">
        <v>65</v>
      </c>
      <c r="D12" s="25" t="s">
        <v>66</v>
      </c>
      <c r="E12" s="25" t="s">
        <v>67</v>
      </c>
      <c r="F12" s="25" t="s">
        <v>68</v>
      </c>
      <c r="G12" s="25" t="s">
        <v>69</v>
      </c>
      <c r="H12" s="25" t="s">
        <v>70</v>
      </c>
      <c r="I12" s="25" t="s">
        <v>71</v>
      </c>
      <c r="J12" s="25" t="s">
        <v>72</v>
      </c>
      <c r="K12" s="25" t="s">
        <v>73</v>
      </c>
      <c r="L12" s="26" t="s">
        <v>8</v>
      </c>
    </row>
    <row r="13" spans="1:12" s="27" customFormat="1" x14ac:dyDescent="0.2">
      <c r="A13" s="11" t="s">
        <v>43</v>
      </c>
      <c r="B13" s="8"/>
      <c r="C13" s="9"/>
      <c r="D13" s="9"/>
      <c r="E13" s="8"/>
      <c r="F13" s="8"/>
      <c r="G13" s="8"/>
      <c r="H13" s="9"/>
      <c r="I13" s="8"/>
      <c r="J13" s="8">
        <v>5</v>
      </c>
      <c r="K13" s="8"/>
      <c r="L13" s="10">
        <v>5</v>
      </c>
    </row>
    <row r="14" spans="1:12" s="27" customFormat="1" x14ac:dyDescent="0.2">
      <c r="A14" s="11"/>
      <c r="B14" s="8"/>
      <c r="C14" s="9"/>
      <c r="D14" s="9"/>
      <c r="E14" s="8"/>
      <c r="F14" s="8"/>
      <c r="G14" s="8"/>
      <c r="H14" s="9"/>
      <c r="I14" s="8"/>
      <c r="J14" s="8"/>
      <c r="K14" s="8"/>
      <c r="L14" s="10"/>
    </row>
    <row r="15" spans="1:12" s="29" customFormat="1" x14ac:dyDescent="0.2">
      <c r="A15" s="28"/>
      <c r="B15" s="8"/>
      <c r="C15" s="9"/>
      <c r="D15" s="9"/>
      <c r="E15" s="8"/>
      <c r="F15" s="8"/>
      <c r="G15" s="8"/>
      <c r="H15" s="9"/>
      <c r="I15" s="8"/>
      <c r="J15" s="8"/>
      <c r="K15" s="8"/>
      <c r="L15" s="10"/>
    </row>
    <row r="16" spans="1:12" s="29" customFormat="1" x14ac:dyDescent="0.2">
      <c r="A16" s="17"/>
      <c r="B16" s="8"/>
      <c r="C16" s="9"/>
      <c r="D16" s="9"/>
      <c r="E16" s="8"/>
      <c r="F16" s="8"/>
      <c r="G16" s="8"/>
      <c r="H16" s="9"/>
      <c r="I16" s="8"/>
      <c r="J16" s="8"/>
      <c r="K16" s="8"/>
      <c r="L16" s="10"/>
    </row>
    <row r="17" spans="1:12" s="29" customFormat="1" x14ac:dyDescent="0.2">
      <c r="A17" s="9"/>
      <c r="B17" s="8"/>
      <c r="C17" s="9"/>
      <c r="D17" s="9"/>
      <c r="E17" s="8"/>
      <c r="F17" s="8"/>
      <c r="G17" s="8"/>
      <c r="H17" s="9"/>
      <c r="I17" s="8"/>
      <c r="J17" s="8"/>
      <c r="K17" s="8"/>
      <c r="L17" s="10"/>
    </row>
    <row r="18" spans="1:12" s="29" customFormat="1" x14ac:dyDescent="0.2">
      <c r="A18" s="11"/>
      <c r="B18" s="8"/>
      <c r="C18" s="9"/>
      <c r="D18" s="9"/>
      <c r="E18" s="8"/>
      <c r="F18" s="8"/>
      <c r="G18" s="8"/>
      <c r="H18" s="9"/>
      <c r="I18" s="8"/>
      <c r="J18" s="8"/>
      <c r="K18" s="8"/>
      <c r="L18" s="10"/>
    </row>
    <row r="19" spans="1:12" s="29" customFormat="1" x14ac:dyDescent="0.2">
      <c r="A19" s="11"/>
      <c r="B19" s="8"/>
      <c r="C19" s="9"/>
      <c r="D19" s="9"/>
      <c r="E19" s="8"/>
      <c r="F19" s="8"/>
      <c r="G19" s="8"/>
      <c r="H19" s="9"/>
      <c r="I19" s="8"/>
      <c r="J19" s="8"/>
      <c r="K19" s="8"/>
      <c r="L19" s="10"/>
    </row>
    <row r="20" spans="1:12" s="29" customFormat="1" x14ac:dyDescent="0.2">
      <c r="A20" s="11"/>
      <c r="B20" s="8"/>
      <c r="C20" s="9"/>
      <c r="D20" s="9"/>
      <c r="E20" s="8"/>
      <c r="F20" s="8"/>
      <c r="G20" s="8"/>
      <c r="H20" s="9"/>
      <c r="I20" s="8"/>
      <c r="J20" s="8"/>
      <c r="K20" s="8"/>
      <c r="L20" s="10"/>
    </row>
    <row r="21" spans="1:12" s="29" customFormat="1" x14ac:dyDescent="0.2">
      <c r="A21" s="30"/>
      <c r="B21" s="8"/>
      <c r="C21" s="9"/>
      <c r="D21" s="9"/>
      <c r="E21" s="8"/>
      <c r="F21" s="8"/>
      <c r="G21" s="8"/>
      <c r="H21" s="9"/>
      <c r="I21" s="8"/>
      <c r="J21" s="8"/>
      <c r="K21" s="12"/>
      <c r="L21" s="10"/>
    </row>
    <row r="22" spans="1:12" ht="75.75" customHeight="1" x14ac:dyDescent="0.25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</row>
    <row r="23" spans="1:12" s="1" customFormat="1" x14ac:dyDescent="0.25">
      <c r="C23" s="7"/>
    </row>
    <row r="24" spans="1:12" s="1" customFormat="1" x14ac:dyDescent="0.25">
      <c r="C24" s="7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</mergeCells>
  <pageMargins left="0.7" right="0.7" top="0.75" bottom="0.75" header="0.3" footer="0.3"/>
  <pageSetup paperSize="9" scale="9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CORRECTED</vt:lpstr>
      <vt:lpstr>ELECTION</vt:lpstr>
      <vt:lpstr>CTO</vt:lpstr>
      <vt:lpstr>Leave Card (NE) (2)</vt:lpstr>
      <vt:lpstr>OTHER TYPES OF LEAVE</vt:lpstr>
      <vt:lpstr>CORRECTED!Print_Area</vt:lpstr>
      <vt:lpstr>'Leave Card (NE) (2)'!Print_Area</vt:lpstr>
      <vt:lpstr>'OTHER TYPES OF LEAVE'!Print_Area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2026-01-14T03:49:34Z</cp:lastPrinted>
  <dcterms:created xsi:type="dcterms:W3CDTF">2021-10-07T06:10:16Z</dcterms:created>
  <dcterms:modified xsi:type="dcterms:W3CDTF">2026-01-14T03:51:45Z</dcterms:modified>
</cp:coreProperties>
</file>