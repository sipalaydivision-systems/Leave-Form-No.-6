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827B3022-81D7-4AA8-9353-EE700BBF18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12" r:id="rId1"/>
    <sheet name="Election &amp; NLC" sheetId="13" r:id="rId2"/>
    <sheet name="CTO" sheetId="14" r:id="rId3"/>
  </sheets>
  <definedNames>
    <definedName name="_xlnm.Print_Area" localSheetId="2">CTO!$A$1:$G$18</definedName>
    <definedName name="_xlnm.Print_Area" localSheetId="1">'Election &amp; NLC'!$A$1:$G$26</definedName>
    <definedName name="_xlnm.Print_Area" localSheetId="0">'Leave Card as TIC'!$A$1:$J$31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2" l="1"/>
  <c r="I24" i="12"/>
  <c r="J24" i="12"/>
  <c r="H23" i="12"/>
  <c r="I23" i="12"/>
  <c r="H22" i="12"/>
  <c r="I22" i="12"/>
  <c r="J22" i="12" s="1"/>
  <c r="I14" i="12"/>
  <c r="I15" i="12" s="1"/>
  <c r="I16" i="12" s="1"/>
  <c r="I17" i="12" s="1"/>
  <c r="I18" i="12" s="1"/>
  <c r="I19" i="12" s="1"/>
  <c r="I20" i="12" s="1"/>
  <c r="I21" i="12" s="1"/>
  <c r="H14" i="12"/>
  <c r="J23" i="12" l="1"/>
  <c r="J14" i="12"/>
  <c r="H15" i="12"/>
  <c r="H16" i="12" s="1"/>
  <c r="J16" i="12" l="1"/>
  <c r="H17" i="12"/>
  <c r="H18" i="12" s="1"/>
  <c r="J15" i="12"/>
  <c r="H19" i="12" l="1"/>
  <c r="J18" i="12"/>
  <c r="J17" i="12"/>
  <c r="J19" i="12" l="1"/>
  <c r="H20" i="12"/>
  <c r="H21" i="12" l="1"/>
  <c r="J21" i="12" s="1"/>
  <c r="J20" i="12"/>
</calcChain>
</file>

<file path=xl/sharedStrings.xml><?xml version="1.0" encoding="utf-8"?>
<sst xmlns="http://schemas.openxmlformats.org/spreadsheetml/2006/main" count="84" uniqueCount="58">
  <si>
    <t>Republic of the Philippines</t>
  </si>
  <si>
    <t>Department of Education</t>
  </si>
  <si>
    <t>REGION VI-WESTERN VISAYAS</t>
  </si>
  <si>
    <t>SCHOOLS DIVISION OF SIPALAY CITY</t>
  </si>
  <si>
    <t>PERIOD COVERED</t>
  </si>
  <si>
    <t>TOTAL</t>
  </si>
  <si>
    <t>LEAVE EARNED</t>
  </si>
  <si>
    <t>No. of Days Granted</t>
  </si>
  <si>
    <t>No. of Days Used</t>
  </si>
  <si>
    <t>Balance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</si>
  <si>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</si>
  <si>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</si>
  <si>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</si>
  <si>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</si>
  <si>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</si>
  <si>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</si>
  <si>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</si>
  <si>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</si>
  <si>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</si>
  <si>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</si>
  <si>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</si>
  <si>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</si>
  <si>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</si>
  <si>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</si>
  <si>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</si>
  <si>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</si>
  <si>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</si>
  <si>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</si>
  <si>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</si>
  <si>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</si>
  <si>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</si>
  <si>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</si>
  <si>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</si>
  <si>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</si>
  <si>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</si>
  <si>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</t>
    </r>
  </si>
  <si>
    <t>S.O. # 051, S. 2022.</t>
  </si>
  <si>
    <t>MAY 9, 2022 ELECTION</t>
  </si>
  <si>
    <t>5 DAYS-CONVERTED</t>
  </si>
  <si>
    <t>ORIGINAL APPOINTMENT: JULY 08, 2024</t>
  </si>
  <si>
    <t>ADD: 07/8-31/2024</t>
  </si>
  <si>
    <t>ADD: 08/1/2024-12/31/2024</t>
  </si>
  <si>
    <t>ADD: 01/1-31/2025</t>
  </si>
  <si>
    <t>LESS: 02/21/2025</t>
  </si>
  <si>
    <t>ADD: 02/1-28/2025</t>
  </si>
  <si>
    <t>LESS: 03/17/2025</t>
  </si>
  <si>
    <t>ADD: 03/1/2025-07/31/2025</t>
  </si>
  <si>
    <t>LESS: 08/11/2025</t>
  </si>
  <si>
    <t>LESS: 08/15/2025</t>
  </si>
  <si>
    <t>CTO</t>
  </si>
  <si>
    <t>S.O. # 044, S. 2025</t>
  </si>
  <si>
    <t>LESS: 09/19/2025</t>
  </si>
  <si>
    <t>127TH PHIL INDEPENDENCE DAY</t>
  </si>
  <si>
    <t>128th PHIL INDEPENDENCE DAY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</si>
  <si>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ROWELA F. MONIDO</t>
    </r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</si>
  <si>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ADAS-III</t>
    </r>
  </si>
  <si>
    <t>ADD: 08/01/2025-11/30/2025</t>
  </si>
  <si>
    <t>LESS: 12/22, 23,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</si>
</sst>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6">
    <xf numFmtId="0" fontId="0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8" fillId="0" borderId="0"/>
  </cellStyleXfs>
  <cellXfs count="101">
    <xf numFmtId="0" fontId="0" fillId="0" borderId="0" xfId="0"/>
    <xf numFmtId="0" fontId="10" fillId="2" borderId="0" xfId="2" applyFill="1"/>
    <xf numFmtId="0" fontId="14" fillId="2" borderId="0" xfId="2" applyFont="1" applyFill="1" applyAlignment="1">
      <alignment vertical="center"/>
    </xf>
    <xf numFmtId="0" fontId="14" fillId="2" borderId="16" xfId="2" applyFont="1" applyFill="1" applyBorder="1" applyAlignment="1">
      <alignment horizontal="center" vertical="center"/>
    </xf>
    <xf numFmtId="0" fontId="14" fillId="2" borderId="0" xfId="2" applyFont="1" applyFill="1"/>
    <xf numFmtId="0" fontId="14" fillId="2" borderId="16" xfId="2" applyFont="1" applyFill="1" applyBorder="1" applyAlignment="1">
      <alignment vertical="center"/>
    </xf>
    <xf numFmtId="0" fontId="10" fillId="0" borderId="0" xfId="2"/>
    <xf numFmtId="0" fontId="14" fillId="2" borderId="18" xfId="2" applyFont="1" applyFill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0" fillId="2" borderId="5" xfId="2" applyFill="1" applyBorder="1" applyAlignment="1">
      <alignment horizontal="center" vertical="center"/>
    </xf>
    <xf numFmtId="0" fontId="10" fillId="2" borderId="5" xfId="2" applyFill="1" applyBorder="1" applyAlignment="1">
      <alignment horizontal="center" vertical="center" wrapText="1"/>
    </xf>
    <xf numFmtId="164" fontId="10" fillId="2" borderId="5" xfId="2" applyNumberFormat="1" applyFill="1" applyBorder="1" applyAlignment="1">
      <alignment horizontal="center" vertical="center"/>
    </xf>
    <xf numFmtId="164" fontId="10" fillId="2" borderId="11" xfId="2" applyNumberFormat="1" applyFill="1" applyBorder="1" applyAlignment="1">
      <alignment horizontal="center" vertical="center"/>
    </xf>
    <xf numFmtId="0" fontId="20" fillId="0" borderId="0" xfId="2" applyFont="1"/>
    <xf numFmtId="0" fontId="10" fillId="2" borderId="15" xfId="2" applyFill="1" applyBorder="1" applyAlignment="1">
      <alignment horizontal="center" vertical="center" wrapText="1"/>
    </xf>
    <xf numFmtId="0" fontId="10" fillId="2" borderId="15" xfId="2" applyFill="1" applyBorder="1" applyAlignment="1">
      <alignment horizontal="center" vertical="center"/>
    </xf>
    <xf numFmtId="164" fontId="10" fillId="2" borderId="15" xfId="2" applyNumberFormat="1" applyFill="1" applyBorder="1" applyAlignment="1">
      <alignment horizontal="center" vertical="center"/>
    </xf>
    <xf numFmtId="164" fontId="10" fillId="2" borderId="12" xfId="2" applyNumberFormat="1" applyFill="1" applyBorder="1" applyAlignment="1">
      <alignment horizontal="center" vertical="center"/>
    </xf>
    <xf numFmtId="0" fontId="10" fillId="0" borderId="0" xfId="2" applyAlignment="1">
      <alignment horizontal="center" vertical="center"/>
    </xf>
    <xf numFmtId="164" fontId="10" fillId="2" borderId="0" xfId="2" applyNumberFormat="1" applyFill="1" applyAlignment="1">
      <alignment horizontal="center" vertical="center"/>
    </xf>
    <xf numFmtId="0" fontId="9" fillId="2" borderId="0" xfId="3" applyFill="1"/>
    <xf numFmtId="0" fontId="9" fillId="2" borderId="0" xfId="3" applyFill="1" applyAlignment="1">
      <alignment horizontal="center"/>
    </xf>
    <xf numFmtId="0" fontId="21" fillId="2" borderId="0" xfId="3" applyFont="1" applyFill="1" applyAlignment="1">
      <alignment vertical="center"/>
    </xf>
    <xf numFmtId="0" fontId="14" fillId="2" borderId="0" xfId="3" applyFont="1" applyFill="1" applyAlignment="1">
      <alignment horizontal="left" vertical="center"/>
    </xf>
    <xf numFmtId="0" fontId="14" fillId="2" borderId="0" xfId="3" applyFont="1" applyFill="1" applyAlignment="1">
      <alignment vertical="center"/>
    </xf>
    <xf numFmtId="0" fontId="23" fillId="2" borderId="0" xfId="3" applyFont="1" applyFill="1"/>
    <xf numFmtId="0" fontId="14" fillId="2" borderId="0" xfId="3" applyFont="1" applyFill="1"/>
    <xf numFmtId="0" fontId="14" fillId="2" borderId="0" xfId="3" applyFont="1" applyFill="1" applyAlignment="1">
      <alignment horizontal="left"/>
    </xf>
    <xf numFmtId="0" fontId="9" fillId="0" borderId="0" xfId="3"/>
    <xf numFmtId="0" fontId="16" fillId="5" borderId="19" xfId="3" applyFont="1" applyFill="1" applyBorder="1" applyAlignment="1">
      <alignment horizontal="center" vertical="center" wrapText="1"/>
    </xf>
    <xf numFmtId="0" fontId="16" fillId="5" borderId="19" xfId="3" applyFont="1" applyFill="1" applyBorder="1" applyAlignment="1">
      <alignment horizontal="center" vertical="center"/>
    </xf>
    <xf numFmtId="0" fontId="17" fillId="6" borderId="22" xfId="3" applyFont="1" applyFill="1" applyBorder="1" applyAlignment="1">
      <alignment horizontal="center" vertical="center" wrapText="1"/>
    </xf>
    <xf numFmtId="0" fontId="17" fillId="6" borderId="23" xfId="3" applyFont="1" applyFill="1" applyBorder="1" applyAlignment="1">
      <alignment horizontal="center" vertical="center" wrapText="1"/>
    </xf>
    <xf numFmtId="0" fontId="16" fillId="5" borderId="24" xfId="3" applyFont="1" applyFill="1" applyBorder="1" applyAlignment="1">
      <alignment horizontal="center" vertical="center"/>
    </xf>
    <xf numFmtId="0" fontId="12" fillId="0" borderId="0" xfId="3" applyFont="1"/>
    <xf numFmtId="0" fontId="9" fillId="2" borderId="4" xfId="4" applyFill="1" applyBorder="1" applyAlignment="1">
      <alignment horizontal="center" vertical="center" wrapText="1"/>
    </xf>
    <xf numFmtId="0" fontId="9" fillId="2" borderId="5" xfId="4" applyFill="1" applyBorder="1" applyAlignment="1">
      <alignment horizontal="center" vertical="center"/>
    </xf>
    <xf numFmtId="0" fontId="17" fillId="2" borderId="15" xfId="4" applyFont="1" applyFill="1" applyBorder="1" applyAlignment="1">
      <alignment vertical="center" wrapText="1"/>
    </xf>
    <xf numFmtId="0" fontId="17" fillId="2" borderId="15" xfId="4" applyFont="1" applyFill="1" applyBorder="1" applyAlignment="1">
      <alignment horizontal="center" vertical="center" wrapText="1"/>
    </xf>
    <xf numFmtId="0" fontId="24" fillId="2" borderId="25" xfId="3" applyFont="1" applyFill="1" applyBorder="1" applyAlignment="1">
      <alignment horizontal="center" vertical="center" wrapText="1"/>
    </xf>
    <xf numFmtId="0" fontId="21" fillId="2" borderId="11" xfId="3" applyFont="1" applyFill="1" applyBorder="1" applyAlignment="1">
      <alignment horizontal="center" vertical="center" wrapText="1"/>
    </xf>
    <xf numFmtId="0" fontId="24" fillId="2" borderId="6" xfId="3" applyFont="1" applyFill="1" applyBorder="1" applyAlignment="1">
      <alignment horizontal="center" vertical="center" wrapText="1"/>
    </xf>
    <xf numFmtId="0" fontId="13" fillId="0" borderId="0" xfId="3" applyFont="1"/>
    <xf numFmtId="0" fontId="21" fillId="2" borderId="12" xfId="3" applyFont="1" applyFill="1" applyBorder="1" applyAlignment="1">
      <alignment horizontal="center" vertical="center" wrapText="1"/>
    </xf>
    <xf numFmtId="0" fontId="25" fillId="2" borderId="12" xfId="3" applyFont="1" applyFill="1" applyBorder="1" applyAlignment="1">
      <alignment horizontal="center" vertical="center" wrapText="1"/>
    </xf>
    <xf numFmtId="0" fontId="13" fillId="2" borderId="0" xfId="3" applyFont="1" applyFill="1" applyAlignment="1">
      <alignment horizontal="center" vertical="center"/>
    </xf>
    <xf numFmtId="0" fontId="9" fillId="3" borderId="0" xfId="3" applyFill="1"/>
    <xf numFmtId="0" fontId="9" fillId="4" borderId="0" xfId="3" applyFill="1"/>
    <xf numFmtId="0" fontId="9" fillId="2" borderId="16" xfId="4" applyFill="1" applyBorder="1" applyAlignment="1">
      <alignment horizontal="center" vertical="center" wrapText="1"/>
    </xf>
    <xf numFmtId="0" fontId="9" fillId="2" borderId="15" xfId="4" applyFill="1" applyBorder="1" applyAlignment="1">
      <alignment horizontal="center" vertical="center" wrapText="1"/>
    </xf>
    <xf numFmtId="0" fontId="8" fillId="2" borderId="4" xfId="4" applyFont="1" applyFill="1" applyBorder="1" applyAlignment="1">
      <alignment horizontal="center" vertical="center" wrapText="1"/>
    </xf>
    <xf numFmtId="0" fontId="8" fillId="2" borderId="16" xfId="4" applyFont="1" applyFill="1" applyBorder="1" applyAlignment="1">
      <alignment horizontal="center" vertical="center" wrapText="1"/>
    </xf>
    <xf numFmtId="0" fontId="8" fillId="2" borderId="5" xfId="4" applyFont="1" applyFill="1" applyBorder="1" applyAlignment="1">
      <alignment horizontal="center" vertical="center"/>
    </xf>
    <xf numFmtId="14" fontId="9" fillId="2" borderId="5" xfId="4" applyNumberFormat="1" applyFill="1" applyBorder="1" applyAlignment="1">
      <alignment horizontal="center" vertical="center"/>
    </xf>
    <xf numFmtId="14" fontId="7" fillId="2" borderId="5" xfId="4" applyNumberFormat="1" applyFont="1" applyFill="1" applyBorder="1" applyAlignment="1">
      <alignment horizontal="center" vertical="center"/>
    </xf>
    <xf numFmtId="0" fontId="14" fillId="7" borderId="27" xfId="2" applyFont="1" applyFill="1" applyBorder="1" applyAlignment="1">
      <alignment horizontal="left" vertical="center"/>
    </xf>
    <xf numFmtId="0" fontId="14" fillId="7" borderId="28" xfId="2" applyFont="1" applyFill="1" applyBorder="1" applyAlignment="1">
      <alignment horizontal="left" vertical="center"/>
    </xf>
    <xf numFmtId="0" fontId="14" fillId="7" borderId="29" xfId="2" applyFont="1" applyFill="1" applyBorder="1" applyAlignment="1">
      <alignment horizontal="left" vertical="center"/>
    </xf>
    <xf numFmtId="0" fontId="6" fillId="2" borderId="4" xfId="2" applyFont="1" applyFill="1" applyBorder="1" applyAlignment="1">
      <alignment horizontal="center" vertical="center" wrapText="1"/>
    </xf>
    <xf numFmtId="164" fontId="10" fillId="2" borderId="5" xfId="2" applyNumberFormat="1" applyFill="1" applyBorder="1" applyAlignment="1">
      <alignment horizontal="center" vertical="center" wrapText="1"/>
    </xf>
    <xf numFmtId="0" fontId="10" fillId="0" borderId="15" xfId="2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 wrapText="1"/>
    </xf>
    <xf numFmtId="0" fontId="10" fillId="11" borderId="15" xfId="2" applyFill="1" applyBorder="1" applyAlignment="1">
      <alignment horizontal="center" vertical="center"/>
    </xf>
    <xf numFmtId="0" fontId="4" fillId="2" borderId="15" xfId="2" applyFont="1" applyFill="1" applyBorder="1" applyAlignment="1">
      <alignment horizontal="center" vertical="center" wrapText="1"/>
    </xf>
    <xf numFmtId="0" fontId="10" fillId="0" borderId="15" xfId="2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  <xf numFmtId="0" fontId="16" fillId="5" borderId="2" xfId="3" applyFont="1" applyFill="1" applyBorder="1" applyAlignment="1">
      <alignment horizontal="center" vertical="center" wrapText="1"/>
    </xf>
    <xf numFmtId="0" fontId="16" fillId="5" borderId="2" xfId="3" applyFont="1" applyFill="1" applyBorder="1" applyAlignment="1">
      <alignment horizontal="center" vertical="center"/>
    </xf>
    <xf numFmtId="0" fontId="16" fillId="5" borderId="9" xfId="3" applyFont="1" applyFill="1" applyBorder="1" applyAlignment="1">
      <alignment horizontal="center" vertical="center"/>
    </xf>
    <xf numFmtId="0" fontId="2" fillId="2" borderId="15" xfId="4" applyFont="1" applyFill="1" applyBorder="1" applyAlignment="1">
      <alignment horizontal="center" vertical="center" wrapText="1"/>
    </xf>
    <xf numFmtId="14" fontId="9" fillId="2" borderId="15" xfId="4" applyNumberFormat="1" applyFill="1" applyBorder="1" applyAlignment="1">
      <alignment horizontal="center" vertical="center"/>
    </xf>
    <xf numFmtId="0" fontId="24" fillId="2" borderId="15" xfId="3" applyFont="1" applyFill="1" applyBorder="1" applyAlignment="1">
      <alignment horizontal="center" vertical="center" wrapText="1"/>
    </xf>
    <xf numFmtId="0" fontId="21" fillId="2" borderId="15" xfId="3" applyFont="1" applyFill="1" applyBorder="1" applyAlignment="1">
      <alignment horizontal="center" vertical="center" wrapText="1"/>
    </xf>
    <xf numFmtId="14" fontId="7" fillId="2" borderId="15" xfId="4" applyNumberFormat="1" applyFont="1" applyFill="1" applyBorder="1" applyAlignment="1">
      <alignment horizontal="center" vertical="center"/>
    </xf>
    <xf numFmtId="0" fontId="21" fillId="12" borderId="15" xfId="3" applyFont="1" applyFill="1" applyBorder="1" applyAlignment="1">
      <alignment horizontal="center" vertical="center" wrapText="1"/>
    </xf>
    <xf numFmtId="0" fontId="19" fillId="0" borderId="3" xfId="2" applyFont="1" applyBorder="1" applyAlignment="1">
      <alignment horizontal="center" vertical="center"/>
    </xf>
    <xf numFmtId="0" fontId="15" fillId="2" borderId="1" xfId="2" applyFont="1" applyFill="1" applyBorder="1" applyAlignment="1">
      <alignment horizontal="center" vertical="center"/>
    </xf>
    <xf numFmtId="0" fontId="14" fillId="7" borderId="2" xfId="2" applyFont="1" applyFill="1" applyBorder="1" applyAlignment="1">
      <alignment horizontal="center" vertical="center"/>
    </xf>
    <xf numFmtId="0" fontId="14" fillId="7" borderId="3" xfId="2" applyFont="1" applyFill="1" applyBorder="1" applyAlignment="1">
      <alignment horizontal="center" vertical="center"/>
    </xf>
    <xf numFmtId="0" fontId="14" fillId="8" borderId="13" xfId="2" applyFont="1" applyFill="1" applyBorder="1" applyAlignment="1">
      <alignment horizontal="center" vertical="center"/>
    </xf>
    <xf numFmtId="0" fontId="14" fillId="8" borderId="14" xfId="2" applyFont="1" applyFill="1" applyBorder="1" applyAlignment="1">
      <alignment horizontal="center" vertical="center"/>
    </xf>
    <xf numFmtId="0" fontId="14" fillId="9" borderId="13" xfId="2" applyFont="1" applyFill="1" applyBorder="1" applyAlignment="1">
      <alignment horizontal="center" vertical="center"/>
    </xf>
    <xf numFmtId="0" fontId="14" fillId="9" borderId="14" xfId="2" applyFont="1" applyFill="1" applyBorder="1" applyAlignment="1">
      <alignment horizontal="center" vertical="center"/>
    </xf>
    <xf numFmtId="0" fontId="14" fillId="9" borderId="17" xfId="2" applyFont="1" applyFill="1" applyBorder="1" applyAlignment="1">
      <alignment horizontal="center" vertical="center"/>
    </xf>
    <xf numFmtId="0" fontId="14" fillId="10" borderId="13" xfId="2" applyFont="1" applyFill="1" applyBorder="1" applyAlignment="1">
      <alignment horizontal="center" vertical="center"/>
    </xf>
    <xf numFmtId="0" fontId="14" fillId="10" borderId="14" xfId="2" applyFont="1" applyFill="1" applyBorder="1" applyAlignment="1">
      <alignment horizontal="center" vertical="center"/>
    </xf>
    <xf numFmtId="0" fontId="14" fillId="7" borderId="9" xfId="2" applyFont="1" applyFill="1" applyBorder="1" applyAlignment="1">
      <alignment horizontal="center" vertical="center"/>
    </xf>
    <xf numFmtId="0" fontId="14" fillId="7" borderId="10" xfId="2" applyFont="1" applyFill="1" applyBorder="1" applyAlignment="1">
      <alignment horizontal="center" vertical="center"/>
    </xf>
    <xf numFmtId="0" fontId="14" fillId="2" borderId="0" xfId="2" applyFont="1" applyFill="1" applyAlignment="1">
      <alignment horizontal="left" vertical="center"/>
    </xf>
    <xf numFmtId="0" fontId="10" fillId="2" borderId="0" xfId="2" applyFill="1" applyAlignment="1">
      <alignment horizontal="center" vertical="center"/>
    </xf>
    <xf numFmtId="0" fontId="21" fillId="2" borderId="26" xfId="3" applyFont="1" applyFill="1" applyBorder="1" applyAlignment="1">
      <alignment horizontal="right" vertical="center" wrapText="1"/>
    </xf>
    <xf numFmtId="0" fontId="21" fillId="2" borderId="7" xfId="3" applyFont="1" applyFill="1" applyBorder="1" applyAlignment="1">
      <alignment horizontal="right" vertical="center" wrapText="1"/>
    </xf>
    <xf numFmtId="0" fontId="21" fillId="2" borderId="8" xfId="3" applyFont="1" applyFill="1" applyBorder="1" applyAlignment="1">
      <alignment horizontal="right" vertical="center" wrapText="1"/>
    </xf>
    <xf numFmtId="0" fontId="14" fillId="2" borderId="0" xfId="3" applyFont="1" applyFill="1" applyAlignment="1">
      <alignment horizontal="center" vertical="center"/>
    </xf>
    <xf numFmtId="0" fontId="15" fillId="2" borderId="19" xfId="3" applyFont="1" applyFill="1" applyBorder="1" applyAlignment="1">
      <alignment horizontal="center" vertical="center"/>
    </xf>
    <xf numFmtId="0" fontId="15" fillId="2" borderId="20" xfId="3" applyFont="1" applyFill="1" applyBorder="1" applyAlignment="1">
      <alignment horizontal="center" vertical="center"/>
    </xf>
    <xf numFmtId="0" fontId="15" fillId="2" borderId="21" xfId="3" applyFont="1" applyFill="1" applyBorder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0" fontId="10" fillId="0" borderId="15" xfId="2" applyBorder="1"/>
    <xf numFmtId="0" fontId="1" fillId="0" borderId="15" xfId="2" applyFont="1" applyBorder="1" applyAlignment="1">
      <alignment horizontal="center"/>
    </xf>
    <xf numFmtId="0" fontId="10" fillId="13" borderId="15" xfId="2" applyFill="1" applyBorder="1" applyAlignment="1">
      <alignment horizontal="center" vertical="center"/>
    </xf>
  </cellXfs>
  <cellStyles count="6">
    <cellStyle name="Normal" xfId="0" builtinId="0"/>
    <cellStyle name="Normal 2" xfId="1" xr:uid="{A788F1B3-DE58-4EFE-A967-6836EFC63250}"/>
    <cellStyle name="Normal 2 2" xfId="3" xr:uid="{237C39A6-AFD4-4845-885C-F2A2DE357A85}"/>
    <cellStyle name="Normal 3" xfId="2" xr:uid="{DA5B43DB-B81B-4693-A0FE-5DF2E1DC9E44}"/>
    <cellStyle name="Normal 3 2" xfId="4" xr:uid="{59F5650C-65A8-4487-B20A-BB446D1B3792}"/>
    <cellStyle name="Normal 4" xfId="5" xr:uid="{2B35434C-5AE4-452B-B7C0-304C64B3D4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A21E5-04D1-4137-B8D4-5F2FC2EEE7F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573941</xdr:colOff>
      <xdr:row>4</xdr:row>
      <xdr:rowOff>170961</xdr:rowOff>
    </xdr:from>
    <xdr:to>
      <xdr:col>1</xdr:col>
      <xdr:colOff>134787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7DDDA6-DABD-4EBF-BF54-466E5FEEA4AF}"/>
            </a:ext>
          </a:extLst>
        </xdr:cNvPr>
        <xdr:cNvSpPr txBox="1"/>
      </xdr:nvSpPr>
      <xdr:spPr>
        <a:xfrm>
          <a:off x="573941" y="1366079"/>
          <a:ext cx="1996011" cy="250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MONIDO, ROWELA F.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F2A28F-E9CD-4CB1-AF63-998E8A2600CE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ADAS III</a:t>
          </a:r>
          <a:endParaRPr lang="en-US" sz="1100"/>
        </a:p>
      </xdr:txBody>
    </xdr:sp>
    <xdr:clientData/>
  </xdr:twoCellAnchor>
  <xdr:twoCellAnchor>
    <xdr:from>
      <xdr:col>2</xdr:col>
      <xdr:colOff>415192</xdr:colOff>
      <xdr:row>7</xdr:row>
      <xdr:rowOff>42741</xdr:rowOff>
    </xdr:from>
    <xdr:to>
      <xdr:col>5</xdr:col>
      <xdr:colOff>80872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80BED6-D901-49E5-9CE4-22B61BA2BA77}"/>
            </a:ext>
          </a:extLst>
        </xdr:cNvPr>
        <xdr:cNvSpPr txBox="1"/>
      </xdr:nvSpPr>
      <xdr:spPr>
        <a:xfrm>
          <a:off x="3623140" y="1696137"/>
          <a:ext cx="1984029" cy="25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GMNHS-CABADIANGAN EXT.</a:t>
          </a:r>
        </a:p>
      </xdr:txBody>
    </xdr:sp>
    <xdr:clientData/>
  </xdr:twoCellAnchor>
  <xdr:twoCellAnchor>
    <xdr:from>
      <xdr:col>5</xdr:col>
      <xdr:colOff>347452</xdr:colOff>
      <xdr:row>25</xdr:row>
      <xdr:rowOff>53914</xdr:rowOff>
    </xdr:from>
    <xdr:to>
      <xdr:col>9</xdr:col>
      <xdr:colOff>672043</xdr:colOff>
      <xdr:row>30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8702A9-0F12-44E7-AE8F-E2B592A706B8}"/>
            </a:ext>
          </a:extLst>
        </xdr:cNvPr>
        <xdr:cNvSpPr txBox="1"/>
      </xdr:nvSpPr>
      <xdr:spPr>
        <a:xfrm>
          <a:off x="5871952" y="884548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26F69A-FE25-4E7A-A680-8AFCBFD453C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962025</xdr:colOff>
      <xdr:row>25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3D1DA7-71A1-463A-885D-DED2B1A25AB7}"/>
            </a:ext>
          </a:extLst>
        </xdr:cNvPr>
        <xdr:cNvSpPr txBox="1"/>
      </xdr:nvSpPr>
      <xdr:spPr>
        <a:xfrm>
          <a:off x="76200" y="4295775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23</xdr:row>
      <xdr:rowOff>236220</xdr:rowOff>
    </xdr:from>
    <xdr:to>
      <xdr:col>6</xdr:col>
      <xdr:colOff>476250</xdr:colOff>
      <xdr:row>25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91BFC3-E97A-4679-8BB0-E273674B20BE}"/>
            </a:ext>
          </a:extLst>
        </xdr:cNvPr>
        <xdr:cNvSpPr txBox="1"/>
      </xdr:nvSpPr>
      <xdr:spPr>
        <a:xfrm>
          <a:off x="5238750" y="4322445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11085-B289-4EAB-80A2-C34E51E576F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1480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15</xdr:row>
      <xdr:rowOff>236220</xdr:rowOff>
    </xdr:from>
    <xdr:to>
      <xdr:col>6</xdr:col>
      <xdr:colOff>476250</xdr:colOff>
      <xdr:row>17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97FE3D3-E544-4193-8E47-D6D2E8773411}"/>
            </a:ext>
          </a:extLst>
        </xdr:cNvPr>
        <xdr:cNvSpPr txBox="1"/>
      </xdr:nvSpPr>
      <xdr:spPr>
        <a:xfrm>
          <a:off x="5257800" y="545592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BD06-8DB3-4D3C-9362-E47BA34A87C1}">
  <sheetPr>
    <pageSetUpPr fitToPage="1"/>
  </sheetPr>
  <dimension ref="A1:K29"/>
  <sheetViews>
    <sheetView tabSelected="1" view="pageBreakPreview" topLeftCell="A7" zoomScale="106" zoomScaleNormal="100" zoomScaleSheetLayoutView="106" workbookViewId="0">
      <selection activeCell="A23" sqref="A23:XFD23"/>
    </sheetView>
  </sheetViews>
  <sheetFormatPr defaultRowHeight="15"/>
  <cols>
    <col min="1" max="1" width="36.5703125" style="6" customWidth="1"/>
    <col min="2" max="5" width="11.5703125" style="6" customWidth="1"/>
    <col min="6" max="7" width="11.5703125" style="18" customWidth="1"/>
    <col min="8" max="10" width="11.5703125" style="6" customWidth="1"/>
    <col min="11" max="11" width="26.42578125" style="13" customWidth="1"/>
    <col min="12" max="16384" width="9.140625" style="6"/>
  </cols>
  <sheetData>
    <row r="1" spans="1:11" s="1" customFormat="1" ht="52.5" customHeight="1"/>
    <row r="2" spans="1:11" s="1" customFormat="1" ht="10.5" customHeight="1">
      <c r="A2" s="89" t="s">
        <v>0</v>
      </c>
      <c r="B2" s="89"/>
      <c r="C2" s="89"/>
      <c r="D2" s="89"/>
      <c r="E2" s="89"/>
      <c r="F2" s="89"/>
      <c r="G2" s="89"/>
      <c r="H2" s="89"/>
      <c r="I2" s="89"/>
      <c r="J2" s="89"/>
    </row>
    <row r="3" spans="1:11" s="1" customFormat="1" ht="15.95" customHeight="1">
      <c r="A3" s="89" t="s">
        <v>1</v>
      </c>
      <c r="B3" s="89"/>
      <c r="C3" s="89"/>
      <c r="D3" s="89"/>
      <c r="E3" s="89"/>
      <c r="F3" s="89"/>
      <c r="G3" s="89"/>
      <c r="H3" s="89"/>
      <c r="I3" s="89"/>
      <c r="J3" s="89"/>
    </row>
    <row r="4" spans="1:11" s="1" customFormat="1" ht="15.95" customHeight="1">
      <c r="A4" s="89" t="s">
        <v>2</v>
      </c>
      <c r="B4" s="89"/>
      <c r="C4" s="89"/>
      <c r="D4" s="89"/>
      <c r="E4" s="89"/>
      <c r="F4" s="89"/>
      <c r="G4" s="89"/>
      <c r="H4" s="89"/>
      <c r="I4" s="89"/>
      <c r="J4" s="89"/>
    </row>
    <row r="5" spans="1:11" s="1" customFormat="1" ht="15.95" customHeight="1">
      <c r="A5" s="89" t="s">
        <v>3</v>
      </c>
      <c r="B5" s="89"/>
      <c r="C5" s="89"/>
      <c r="D5" s="89"/>
      <c r="E5" s="89"/>
      <c r="F5" s="89"/>
      <c r="G5" s="89"/>
      <c r="H5" s="89"/>
      <c r="I5" s="89"/>
      <c r="J5" s="89"/>
    </row>
    <row r="6" spans="1:11" s="1" customFormat="1" ht="8.25" customHeight="1"/>
    <row r="7" spans="1:11" s="1" customFormat="1" ht="12" customHeight="1">
      <c r="A7" s="1" t="s">
        <v>10</v>
      </c>
      <c r="B7" s="88" t="s">
        <v>11</v>
      </c>
      <c r="C7" s="88"/>
      <c r="D7" s="88"/>
      <c r="H7" s="2" t="s">
        <v>12</v>
      </c>
      <c r="I7" s="3"/>
      <c r="J7" s="2"/>
    </row>
    <row r="8" spans="1:11" s="1" customFormat="1" ht="12" customHeight="1">
      <c r="B8" s="4"/>
      <c r="C8" s="4"/>
      <c r="H8" s="4"/>
      <c r="I8" s="4"/>
      <c r="J8" s="4"/>
    </row>
    <row r="9" spans="1:11" s="1" customFormat="1" ht="12" customHeight="1">
      <c r="A9" s="1" t="s">
        <v>13</v>
      </c>
      <c r="B9" s="88" t="s">
        <v>14</v>
      </c>
      <c r="C9" s="88"/>
      <c r="D9" s="88"/>
      <c r="H9" s="2" t="s">
        <v>15</v>
      </c>
      <c r="I9" s="5"/>
      <c r="J9" s="2"/>
    </row>
    <row r="10" spans="1:11" ht="23.25" customHeight="1" thickBot="1">
      <c r="A10" s="76" t="s">
        <v>16</v>
      </c>
      <c r="B10" s="76"/>
      <c r="C10" s="76"/>
      <c r="D10" s="76"/>
      <c r="E10" s="76"/>
      <c r="F10" s="76"/>
      <c r="G10" s="76"/>
      <c r="H10" s="76"/>
      <c r="I10" s="76"/>
      <c r="J10" s="76"/>
      <c r="K10" s="6"/>
    </row>
    <row r="11" spans="1:11" ht="18.75" customHeight="1">
      <c r="A11" s="77" t="s">
        <v>4</v>
      </c>
      <c r="B11" s="79" t="s">
        <v>6</v>
      </c>
      <c r="C11" s="80"/>
      <c r="D11" s="81" t="s">
        <v>17</v>
      </c>
      <c r="E11" s="82"/>
      <c r="F11" s="82"/>
      <c r="G11" s="83"/>
      <c r="H11" s="84" t="s">
        <v>18</v>
      </c>
      <c r="I11" s="85"/>
      <c r="J11" s="86" t="s">
        <v>5</v>
      </c>
      <c r="K11" s="75" t="s">
        <v>19</v>
      </c>
    </row>
    <row r="12" spans="1:11">
      <c r="A12" s="78"/>
      <c r="B12" s="7" t="s">
        <v>20</v>
      </c>
      <c r="C12" s="7" t="s">
        <v>21</v>
      </c>
      <c r="D12" s="7" t="s">
        <v>20</v>
      </c>
      <c r="E12" s="7" t="s">
        <v>21</v>
      </c>
      <c r="F12" s="7" t="s">
        <v>22</v>
      </c>
      <c r="G12" s="7" t="s">
        <v>23</v>
      </c>
      <c r="H12" s="7" t="s">
        <v>20</v>
      </c>
      <c r="I12" s="7" t="s">
        <v>21</v>
      </c>
      <c r="J12" s="87"/>
      <c r="K12" s="75"/>
    </row>
    <row r="13" spans="1:11" ht="15.75" thickBot="1">
      <c r="A13" s="55" t="s">
        <v>39</v>
      </c>
      <c r="B13" s="56"/>
      <c r="C13" s="56"/>
      <c r="D13" s="56"/>
      <c r="E13" s="56"/>
      <c r="F13" s="56"/>
      <c r="G13" s="56"/>
      <c r="H13" s="56"/>
      <c r="I13" s="56"/>
      <c r="J13" s="57"/>
      <c r="K13" s="8"/>
    </row>
    <row r="14" spans="1:11" ht="27" customHeight="1">
      <c r="A14" s="58" t="s">
        <v>40</v>
      </c>
      <c r="B14" s="11">
        <v>1</v>
      </c>
      <c r="C14" s="59">
        <v>1</v>
      </c>
      <c r="D14" s="10"/>
      <c r="E14" s="9"/>
      <c r="F14" s="9"/>
      <c r="G14" s="9"/>
      <c r="H14" s="11">
        <f>B14</f>
        <v>1</v>
      </c>
      <c r="I14" s="11">
        <f>C14</f>
        <v>1</v>
      </c>
      <c r="J14" s="12">
        <f>SUM(H14:I14)</f>
        <v>2</v>
      </c>
    </row>
    <row r="15" spans="1:11" ht="17.25" customHeight="1">
      <c r="A15" s="58" t="s">
        <v>41</v>
      </c>
      <c r="B15" s="9">
        <v>6.25</v>
      </c>
      <c r="C15" s="10">
        <v>6.25</v>
      </c>
      <c r="D15" s="14"/>
      <c r="E15" s="15"/>
      <c r="F15" s="15"/>
      <c r="G15" s="15"/>
      <c r="H15" s="16">
        <f>H14-F15-D15+B15</f>
        <v>7.25</v>
      </c>
      <c r="I15" s="16">
        <f>I14-E15+C15</f>
        <v>7.25</v>
      </c>
      <c r="J15" s="17">
        <f>SUM(H15:I15)</f>
        <v>14.5</v>
      </c>
    </row>
    <row r="16" spans="1:11" ht="15.75" customHeight="1">
      <c r="A16" s="58" t="s">
        <v>42</v>
      </c>
      <c r="B16" s="15">
        <v>1.25</v>
      </c>
      <c r="C16" s="14">
        <v>1.25</v>
      </c>
      <c r="D16" s="14"/>
      <c r="E16" s="15"/>
      <c r="F16" s="15"/>
      <c r="G16" s="15"/>
      <c r="H16" s="16">
        <f t="shared" ref="H16" si="0">H15-F16-D16+B16</f>
        <v>8.5</v>
      </c>
      <c r="I16" s="16">
        <f t="shared" ref="I16" si="1">I15-E16+C16</f>
        <v>8.5</v>
      </c>
      <c r="J16" s="17">
        <f t="shared" ref="J16" si="2">SUM(H16:I16)</f>
        <v>17</v>
      </c>
    </row>
    <row r="17" spans="1:10" ht="17.25" customHeight="1">
      <c r="A17" s="58" t="s">
        <v>43</v>
      </c>
      <c r="B17" s="15"/>
      <c r="C17" s="14"/>
      <c r="D17" s="14"/>
      <c r="E17" s="15">
        <v>1</v>
      </c>
      <c r="F17" s="15"/>
      <c r="G17" s="60"/>
      <c r="H17" s="16">
        <f t="shared" ref="H17" si="3">H16-F17-D17+B17</f>
        <v>8.5</v>
      </c>
      <c r="I17" s="16">
        <f t="shared" ref="I17" si="4">I16-E17+C17</f>
        <v>7.5</v>
      </c>
      <c r="J17" s="17">
        <f t="shared" ref="J17" si="5">SUM(H17:I17)</f>
        <v>16</v>
      </c>
    </row>
    <row r="18" spans="1:10" ht="17.25" customHeight="1">
      <c r="A18" s="61" t="s">
        <v>44</v>
      </c>
      <c r="B18" s="15">
        <v>1.25</v>
      </c>
      <c r="C18" s="14">
        <v>1.25</v>
      </c>
      <c r="D18" s="14"/>
      <c r="E18" s="15"/>
      <c r="F18" s="15"/>
      <c r="G18" s="60"/>
      <c r="H18" s="16">
        <f t="shared" ref="H18:H19" si="6">H17-F18-D18+B18</f>
        <v>9.75</v>
      </c>
      <c r="I18" s="16">
        <f t="shared" ref="I18:I19" si="7">I17-E18+C18</f>
        <v>8.75</v>
      </c>
      <c r="J18" s="17">
        <f t="shared" ref="J18:J19" si="8">SUM(H18:I18)</f>
        <v>18.5</v>
      </c>
    </row>
    <row r="19" spans="1:10" ht="17.25" customHeight="1">
      <c r="A19" s="61" t="s">
        <v>45</v>
      </c>
      <c r="B19" s="15"/>
      <c r="C19" s="14"/>
      <c r="D19" s="14"/>
      <c r="E19" s="15"/>
      <c r="F19" s="15"/>
      <c r="G19" s="62">
        <v>1</v>
      </c>
      <c r="H19" s="16">
        <f t="shared" si="6"/>
        <v>9.75</v>
      </c>
      <c r="I19" s="16">
        <f t="shared" si="7"/>
        <v>8.75</v>
      </c>
      <c r="J19" s="17">
        <f t="shared" si="8"/>
        <v>18.5</v>
      </c>
    </row>
    <row r="20" spans="1:10" ht="17.25" customHeight="1">
      <c r="A20" s="63" t="s">
        <v>46</v>
      </c>
      <c r="B20" s="15">
        <v>6.25</v>
      </c>
      <c r="C20" s="14">
        <v>6.25</v>
      </c>
      <c r="D20" s="14"/>
      <c r="E20" s="15"/>
      <c r="F20" s="15"/>
      <c r="G20" s="60"/>
      <c r="H20" s="16">
        <f t="shared" ref="H20:H21" si="9">H19-F20-D20+B20</f>
        <v>16</v>
      </c>
      <c r="I20" s="16">
        <f t="shared" ref="I20:I21" si="10">I19-E20+C20</f>
        <v>15</v>
      </c>
      <c r="J20" s="17">
        <f t="shared" ref="J20:J21" si="11">SUM(H20:I20)</f>
        <v>31</v>
      </c>
    </row>
    <row r="21" spans="1:10" ht="17.25" customHeight="1">
      <c r="A21" s="63" t="s">
        <v>47</v>
      </c>
      <c r="B21" s="15"/>
      <c r="C21" s="14"/>
      <c r="D21" s="14"/>
      <c r="E21" s="15"/>
      <c r="F21" s="15"/>
      <c r="G21" s="62">
        <v>1</v>
      </c>
      <c r="H21" s="16">
        <f t="shared" si="9"/>
        <v>16</v>
      </c>
      <c r="I21" s="16">
        <f t="shared" si="10"/>
        <v>15</v>
      </c>
      <c r="J21" s="17">
        <f t="shared" si="11"/>
        <v>31</v>
      </c>
    </row>
    <row r="22" spans="1:10" ht="17.25" customHeight="1">
      <c r="A22" s="65" t="s">
        <v>48</v>
      </c>
      <c r="B22" s="60"/>
      <c r="C22" s="64"/>
      <c r="D22" s="64"/>
      <c r="E22" s="60"/>
      <c r="F22" s="60"/>
      <c r="G22" s="62">
        <v>1</v>
      </c>
      <c r="H22" s="16">
        <f t="shared" ref="H22" si="12">H21-F22-D22+B22</f>
        <v>16</v>
      </c>
      <c r="I22" s="16">
        <f t="shared" ref="I22" si="13">I21-E22+C22</f>
        <v>15</v>
      </c>
      <c r="J22" s="17">
        <f t="shared" ref="J22" si="14">SUM(H22:I22)</f>
        <v>31</v>
      </c>
    </row>
    <row r="23" spans="1:10" ht="17.25" customHeight="1">
      <c r="A23" s="97" t="s">
        <v>56</v>
      </c>
      <c r="B23" s="60">
        <v>5</v>
      </c>
      <c r="C23" s="64">
        <v>5</v>
      </c>
      <c r="D23" s="64"/>
      <c r="E23" s="60"/>
      <c r="F23" s="60"/>
      <c r="G23" s="60"/>
      <c r="H23" s="16">
        <f t="shared" ref="H23" si="15">H22-F23-D23+B23</f>
        <v>21</v>
      </c>
      <c r="I23" s="16">
        <f t="shared" ref="I23" si="16">I22-E23+C23</f>
        <v>20</v>
      </c>
      <c r="J23" s="17">
        <f t="shared" ref="J23" si="17">SUM(H23:I23)</f>
        <v>41</v>
      </c>
    </row>
    <row r="24" spans="1:10">
      <c r="A24" s="99" t="s">
        <v>57</v>
      </c>
      <c r="B24" s="98"/>
      <c r="C24" s="98"/>
      <c r="D24" s="98"/>
      <c r="E24" s="98"/>
      <c r="F24" s="100">
        <v>3</v>
      </c>
      <c r="G24" s="60"/>
      <c r="H24" s="16">
        <f t="shared" ref="H24" si="18">H23-F24-D24+B24</f>
        <v>18</v>
      </c>
      <c r="I24" s="16">
        <f t="shared" ref="I24" si="19">I23-E24+C24</f>
        <v>20</v>
      </c>
      <c r="J24" s="17">
        <f t="shared" ref="J24" si="20">SUM(H24:I24)</f>
        <v>38</v>
      </c>
    </row>
    <row r="25" spans="1:10">
      <c r="H25" s="19"/>
      <c r="I25" s="19"/>
      <c r="J25" s="19"/>
    </row>
    <row r="29" spans="1:10">
      <c r="F29" s="18" t="s">
        <v>24</v>
      </c>
    </row>
  </sheetData>
  <mergeCells count="13">
    <mergeCell ref="B9:D9"/>
    <mergeCell ref="A2:J2"/>
    <mergeCell ref="A3:J3"/>
    <mergeCell ref="A4:J4"/>
    <mergeCell ref="A5:J5"/>
    <mergeCell ref="B7:D7"/>
    <mergeCell ref="K11:K12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DF87-E01F-4D4E-9FA3-3F17E9E19ECF}">
  <dimension ref="A1:G26"/>
  <sheetViews>
    <sheetView view="pageBreakPreview" zoomScaleNormal="100" workbookViewId="0">
      <selection activeCell="G23" sqref="G23"/>
    </sheetView>
  </sheetViews>
  <sheetFormatPr defaultColWidth="9" defaultRowHeight="15"/>
  <cols>
    <col min="1" max="1" width="23.85546875" style="28" customWidth="1"/>
    <col min="2" max="2" width="18.85546875" style="28" customWidth="1"/>
    <col min="3" max="3" width="35" style="46" customWidth="1"/>
    <col min="4" max="4" width="11.7109375" style="47" customWidth="1"/>
    <col min="5" max="5" width="11" style="28" customWidth="1"/>
    <col min="6" max="6" width="11.85546875" style="47" customWidth="1"/>
    <col min="7" max="7" width="22" style="28" customWidth="1"/>
    <col min="8" max="16384" width="9" style="28"/>
  </cols>
  <sheetData>
    <row r="1" spans="1:7" s="20" customFormat="1" ht="52.5" customHeight="1">
      <c r="E1" s="21"/>
    </row>
    <row r="2" spans="1:7" s="20" customFormat="1" ht="10.5" customHeight="1">
      <c r="A2" s="93" t="s">
        <v>0</v>
      </c>
      <c r="B2" s="93"/>
      <c r="C2" s="93"/>
      <c r="D2" s="93"/>
      <c r="E2" s="93"/>
      <c r="F2" s="93"/>
      <c r="G2" s="93"/>
    </row>
    <row r="3" spans="1:7" s="20" customFormat="1" ht="15.95" customHeight="1">
      <c r="A3" s="93" t="s">
        <v>1</v>
      </c>
      <c r="B3" s="93"/>
      <c r="C3" s="93"/>
      <c r="D3" s="93"/>
      <c r="E3" s="93"/>
      <c r="F3" s="93"/>
      <c r="G3" s="93"/>
    </row>
    <row r="4" spans="1:7" s="20" customFormat="1" ht="15.95" customHeight="1">
      <c r="A4" s="93" t="s">
        <v>2</v>
      </c>
      <c r="B4" s="93"/>
      <c r="C4" s="93"/>
      <c r="D4" s="93"/>
      <c r="E4" s="93"/>
      <c r="F4" s="93"/>
      <c r="G4" s="93"/>
    </row>
    <row r="5" spans="1:7" s="20" customFormat="1" ht="15.95" customHeight="1">
      <c r="A5" s="93" t="s">
        <v>3</v>
      </c>
      <c r="B5" s="93"/>
      <c r="C5" s="93"/>
      <c r="D5" s="93"/>
      <c r="E5" s="93"/>
      <c r="F5" s="93"/>
      <c r="G5" s="93"/>
    </row>
    <row r="6" spans="1:7" s="20" customFormat="1" ht="8.25" customHeight="1">
      <c r="E6" s="21"/>
    </row>
    <row r="7" spans="1:7" s="20" customFormat="1" ht="8.25" customHeight="1">
      <c r="E7" s="21"/>
    </row>
    <row r="8" spans="1:7" s="20" customFormat="1" ht="17.25" customHeight="1">
      <c r="A8" s="22" t="s">
        <v>35</v>
      </c>
      <c r="B8" s="22"/>
      <c r="C8" s="22" t="s">
        <v>25</v>
      </c>
      <c r="D8" s="23"/>
      <c r="E8" s="22" t="s">
        <v>26</v>
      </c>
      <c r="F8" s="23"/>
      <c r="G8" s="24"/>
    </row>
    <row r="9" spans="1:7" s="20" customFormat="1" ht="12" customHeight="1">
      <c r="A9" s="25"/>
      <c r="B9" s="25"/>
      <c r="C9" s="26"/>
      <c r="E9" s="22" t="s">
        <v>27</v>
      </c>
      <c r="F9" s="27"/>
      <c r="G9" s="26"/>
    </row>
    <row r="10" spans="1:7" s="20" customFormat="1" ht="14.25" customHeight="1">
      <c r="A10" s="22" t="s">
        <v>28</v>
      </c>
      <c r="B10" s="22"/>
      <c r="C10" s="22" t="s">
        <v>29</v>
      </c>
      <c r="D10" s="23"/>
      <c r="E10" s="22" t="s">
        <v>30</v>
      </c>
      <c r="F10" s="23"/>
      <c r="G10" s="24"/>
    </row>
    <row r="11" spans="1:7" s="20" customFormat="1" ht="12" customHeight="1" thickBot="1">
      <c r="A11" s="24"/>
      <c r="B11" s="24"/>
      <c r="C11" s="24"/>
      <c r="F11" s="23"/>
      <c r="G11" s="24"/>
    </row>
    <row r="12" spans="1:7" ht="23.25" customHeight="1" thickBot="1">
      <c r="A12" s="94" t="s">
        <v>31</v>
      </c>
      <c r="B12" s="95"/>
      <c r="C12" s="95"/>
      <c r="D12" s="95"/>
      <c r="E12" s="95"/>
      <c r="F12" s="95"/>
      <c r="G12" s="96"/>
    </row>
    <row r="13" spans="1:7" s="34" customFormat="1" ht="37.5" customHeight="1" thickBot="1">
      <c r="A13" s="29" t="s">
        <v>32</v>
      </c>
      <c r="B13" s="30" t="s">
        <v>33</v>
      </c>
      <c r="C13" s="31" t="s">
        <v>34</v>
      </c>
      <c r="D13" s="31" t="s">
        <v>7</v>
      </c>
      <c r="E13" s="32" t="s">
        <v>8</v>
      </c>
      <c r="F13" s="32" t="s">
        <v>9</v>
      </c>
      <c r="G13" s="33" t="s">
        <v>5</v>
      </c>
    </row>
    <row r="14" spans="1:7" s="34" customFormat="1" ht="18.75" customHeight="1">
      <c r="A14" s="50" t="s">
        <v>36</v>
      </c>
      <c r="B14" s="53"/>
      <c r="C14" s="37" t="s">
        <v>37</v>
      </c>
      <c r="D14" s="38">
        <v>5</v>
      </c>
      <c r="E14" s="39">
        <v>0</v>
      </c>
      <c r="F14" s="39">
        <v>5</v>
      </c>
      <c r="G14" s="40">
        <v>5</v>
      </c>
    </row>
    <row r="15" spans="1:7" s="34" customFormat="1" ht="23.25" customHeight="1">
      <c r="A15" s="50"/>
      <c r="B15" s="54"/>
      <c r="C15" s="37"/>
      <c r="D15" s="38"/>
      <c r="E15" s="39"/>
      <c r="F15" s="39"/>
      <c r="G15" s="40"/>
    </row>
    <row r="16" spans="1:7" s="34" customFormat="1" ht="15.75" customHeight="1">
      <c r="A16" s="51"/>
      <c r="B16" s="52"/>
      <c r="C16" s="37"/>
      <c r="D16" s="38"/>
      <c r="E16" s="39"/>
      <c r="F16" s="39"/>
      <c r="G16" s="40"/>
    </row>
    <row r="17" spans="1:7" s="34" customFormat="1" ht="15.75" customHeight="1">
      <c r="A17" s="51"/>
      <c r="B17" s="52"/>
      <c r="C17" s="37"/>
      <c r="D17" s="38"/>
      <c r="E17" s="39"/>
      <c r="F17" s="39"/>
      <c r="G17" s="40"/>
    </row>
    <row r="18" spans="1:7" s="34" customFormat="1" ht="15.75" customHeight="1">
      <c r="A18" s="51"/>
      <c r="B18" s="36"/>
      <c r="C18" s="37"/>
      <c r="D18" s="38"/>
      <c r="E18" s="39"/>
      <c r="F18" s="39"/>
      <c r="G18" s="40"/>
    </row>
    <row r="19" spans="1:7" s="34" customFormat="1" ht="15.75" customHeight="1">
      <c r="A19" s="35"/>
      <c r="B19" s="36"/>
      <c r="C19" s="37"/>
      <c r="D19" s="38"/>
      <c r="E19" s="39"/>
      <c r="F19" s="39"/>
      <c r="G19" s="40"/>
    </row>
    <row r="20" spans="1:7" s="34" customFormat="1" ht="15.75" customHeight="1">
      <c r="A20" s="48"/>
      <c r="B20" s="36"/>
      <c r="C20" s="37"/>
      <c r="D20" s="38"/>
      <c r="E20" s="39"/>
      <c r="F20" s="39"/>
      <c r="G20" s="40"/>
    </row>
    <row r="21" spans="1:7" s="42" customFormat="1" ht="15.75">
      <c r="A21" s="49"/>
      <c r="B21" s="49"/>
      <c r="C21" s="37"/>
      <c r="D21" s="41"/>
      <c r="E21" s="41"/>
      <c r="F21" s="41"/>
      <c r="G21" s="40"/>
    </row>
    <row r="22" spans="1:7" s="42" customFormat="1" ht="15.75">
      <c r="A22" s="49"/>
      <c r="B22" s="49"/>
      <c r="C22" s="37"/>
      <c r="D22" s="41"/>
      <c r="E22" s="41"/>
      <c r="F22" s="41"/>
      <c r="G22" s="43"/>
    </row>
    <row r="23" spans="1:7" s="42" customFormat="1" ht="15.75">
      <c r="A23" s="90" t="s">
        <v>5</v>
      </c>
      <c r="B23" s="91"/>
      <c r="C23" s="91"/>
      <c r="D23" s="91"/>
      <c r="E23" s="91"/>
      <c r="F23" s="92"/>
      <c r="G23" s="44" t="s">
        <v>38</v>
      </c>
    </row>
    <row r="24" spans="1:7" s="20" customFormat="1" ht="75.75" customHeight="1">
      <c r="A24" s="45"/>
      <c r="B24" s="45"/>
      <c r="G24" s="45"/>
    </row>
    <row r="25" spans="1:7" s="20" customFormat="1"/>
    <row r="26" spans="1:7" s="20" customFormat="1"/>
  </sheetData>
  <mergeCells count="6">
    <mergeCell ref="A23:F23"/>
    <mergeCell ref="A2:G2"/>
    <mergeCell ref="A3:G3"/>
    <mergeCell ref="A4:G4"/>
    <mergeCell ref="A5:G5"/>
    <mergeCell ref="A12:G12"/>
  </mergeCells>
  <phoneticPr fontId="18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A060-4E8F-4137-AD3D-B73D37C6100D}">
  <sheetPr>
    <pageSetUpPr fitToPage="1"/>
  </sheetPr>
  <dimension ref="A1:G18"/>
  <sheetViews>
    <sheetView view="pageBreakPreview" zoomScaleNormal="100" workbookViewId="0">
      <selection activeCell="A16" sqref="A16:XFD16"/>
    </sheetView>
  </sheetViews>
  <sheetFormatPr defaultColWidth="9" defaultRowHeight="15"/>
  <cols>
    <col min="1" max="1" width="23.85546875" style="28" customWidth="1"/>
    <col min="2" max="2" width="18.85546875" style="28" customWidth="1"/>
    <col min="3" max="3" width="28.28515625" style="46" customWidth="1"/>
    <col min="4" max="4" width="11.7109375" style="47" customWidth="1"/>
    <col min="5" max="5" width="11" style="28" customWidth="1"/>
    <col min="6" max="6" width="11.85546875" style="47" customWidth="1"/>
    <col min="7" max="7" width="22" style="28" customWidth="1"/>
    <col min="8" max="16384" width="9" style="28"/>
  </cols>
  <sheetData>
    <row r="1" spans="1:7" s="20" customFormat="1" ht="52.5" customHeight="1">
      <c r="E1" s="21"/>
    </row>
    <row r="2" spans="1:7" s="20" customFormat="1" ht="10.5" customHeight="1">
      <c r="A2" s="93" t="s">
        <v>0</v>
      </c>
      <c r="B2" s="93"/>
      <c r="C2" s="93"/>
      <c r="D2" s="93"/>
      <c r="E2" s="93"/>
      <c r="F2" s="93"/>
      <c r="G2" s="93"/>
    </row>
    <row r="3" spans="1:7" s="20" customFormat="1" ht="15.95" customHeight="1">
      <c r="A3" s="93" t="s">
        <v>1</v>
      </c>
      <c r="B3" s="93"/>
      <c r="C3" s="93"/>
      <c r="D3" s="93"/>
      <c r="E3" s="93"/>
      <c r="F3" s="93"/>
      <c r="G3" s="93"/>
    </row>
    <row r="4" spans="1:7" s="20" customFormat="1" ht="15.95" customHeight="1">
      <c r="A4" s="93" t="s">
        <v>2</v>
      </c>
      <c r="B4" s="93"/>
      <c r="C4" s="93"/>
      <c r="D4" s="93"/>
      <c r="E4" s="93"/>
      <c r="F4" s="93"/>
      <c r="G4" s="93"/>
    </row>
    <row r="5" spans="1:7" s="20" customFormat="1" ht="15.95" customHeight="1">
      <c r="A5" s="93" t="s">
        <v>3</v>
      </c>
      <c r="B5" s="93"/>
      <c r="C5" s="93"/>
      <c r="D5" s="93"/>
      <c r="E5" s="93"/>
      <c r="F5" s="93"/>
      <c r="G5" s="93"/>
    </row>
    <row r="6" spans="1:7" s="20" customFormat="1" ht="8.25" customHeight="1">
      <c r="E6" s="21"/>
    </row>
    <row r="7" spans="1:7" s="20" customFormat="1" ht="8.25" customHeight="1">
      <c r="E7" s="21"/>
    </row>
    <row r="8" spans="1:7" s="20" customFormat="1" ht="17.25" customHeight="1">
      <c r="A8" s="22" t="s">
        <v>54</v>
      </c>
      <c r="B8" s="22"/>
      <c r="C8" s="22" t="s">
        <v>25</v>
      </c>
      <c r="D8" s="23"/>
      <c r="E8" s="22" t="s">
        <v>26</v>
      </c>
      <c r="F8" s="23"/>
      <c r="G8" s="24"/>
    </row>
    <row r="9" spans="1:7" s="20" customFormat="1" ht="12" customHeight="1">
      <c r="A9" s="25"/>
      <c r="B9" s="25"/>
      <c r="C9" s="26"/>
      <c r="E9" s="22" t="s">
        <v>27</v>
      </c>
      <c r="F9" s="27"/>
      <c r="G9" s="26"/>
    </row>
    <row r="10" spans="1:7" s="20" customFormat="1" ht="14.25" customHeight="1">
      <c r="A10" s="22" t="s">
        <v>55</v>
      </c>
      <c r="B10" s="22"/>
      <c r="C10" s="22" t="s">
        <v>29</v>
      </c>
      <c r="D10" s="23"/>
      <c r="E10" s="22" t="s">
        <v>30</v>
      </c>
      <c r="F10" s="23"/>
      <c r="G10" s="24"/>
    </row>
    <row r="11" spans="1:7" s="20" customFormat="1" ht="12" customHeight="1" thickBot="1">
      <c r="A11" s="24"/>
      <c r="B11" s="24"/>
      <c r="C11" s="24"/>
      <c r="F11" s="23"/>
      <c r="G11" s="24"/>
    </row>
    <row r="12" spans="1:7" ht="23.25" customHeight="1" thickBot="1">
      <c r="A12" s="94" t="s">
        <v>49</v>
      </c>
      <c r="B12" s="95"/>
      <c r="C12" s="95"/>
      <c r="D12" s="95"/>
      <c r="E12" s="95"/>
      <c r="F12" s="95"/>
      <c r="G12" s="96"/>
    </row>
    <row r="13" spans="1:7" s="34" customFormat="1" ht="37.5" customHeight="1">
      <c r="A13" s="66" t="s">
        <v>32</v>
      </c>
      <c r="B13" s="67" t="s">
        <v>33</v>
      </c>
      <c r="C13" s="31" t="s">
        <v>34</v>
      </c>
      <c r="D13" s="31" t="s">
        <v>7</v>
      </c>
      <c r="E13" s="31" t="s">
        <v>8</v>
      </c>
      <c r="F13" s="31" t="s">
        <v>9</v>
      </c>
      <c r="G13" s="68" t="s">
        <v>5</v>
      </c>
    </row>
    <row r="14" spans="1:7" s="34" customFormat="1" ht="18.75" customHeight="1">
      <c r="A14" s="69" t="s">
        <v>50</v>
      </c>
      <c r="B14" s="70">
        <v>45664</v>
      </c>
      <c r="C14" s="37" t="s">
        <v>52</v>
      </c>
      <c r="D14" s="38">
        <v>1</v>
      </c>
      <c r="E14" s="71">
        <v>0</v>
      </c>
      <c r="F14" s="71">
        <v>1</v>
      </c>
      <c r="G14" s="72">
        <v>1</v>
      </c>
    </row>
    <row r="15" spans="1:7" s="34" customFormat="1" ht="23.25" customHeight="1">
      <c r="A15" s="69" t="s">
        <v>51</v>
      </c>
      <c r="B15" s="73"/>
      <c r="C15" s="37" t="s">
        <v>53</v>
      </c>
      <c r="D15" s="38"/>
      <c r="E15" s="71">
        <v>1</v>
      </c>
      <c r="F15" s="71">
        <v>0</v>
      </c>
      <c r="G15" s="74">
        <v>0</v>
      </c>
    </row>
    <row r="16" spans="1:7" s="20" customFormat="1" ht="75.75" customHeight="1">
      <c r="A16" s="45"/>
      <c r="B16" s="45"/>
      <c r="G16" s="45"/>
    </row>
    <row r="17" s="20" customFormat="1"/>
    <row r="18" s="20" customFormat="1"/>
  </sheetData>
  <mergeCells count="5">
    <mergeCell ref="A2:G2"/>
    <mergeCell ref="A3:G3"/>
    <mergeCell ref="A4:G4"/>
    <mergeCell ref="A5:G5"/>
    <mergeCell ref="A12:G12"/>
  </mergeCells>
  <phoneticPr fontId="26" type="noConversion"/>
  <pageMargins left="0.25" right="0.25" top="0.75" bottom="0.75" header="0.3" footer="0.3"/>
  <pageSetup paperSize="9"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as TIC</vt:lpstr>
      <vt:lpstr>Election &amp; NLC</vt:lpstr>
      <vt:lpstr>CTO</vt:lpstr>
      <vt:lpstr>CTO!Print_Area</vt:lpstr>
      <vt:lpstr>'Election &amp; NLC'!Print_Area</vt:lpstr>
      <vt:lpstr>'Leave Card as TIC'!Print_Area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2026-01-07T06:35:18Z</cp:lastPrinted>
  <dcterms:created xsi:type="dcterms:W3CDTF">2021-10-07T06:10:00Z</dcterms:created>
  <dcterms:modified xsi:type="dcterms:W3CDTF">2026-01-07T06:36:48Z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