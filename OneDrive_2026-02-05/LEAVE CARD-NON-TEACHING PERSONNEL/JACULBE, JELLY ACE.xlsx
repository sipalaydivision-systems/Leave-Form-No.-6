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8665E8C-E959-4CD7-BF35-84FF3CEBF564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 (2)" sheetId="11" r:id="rId1"/>
    <sheet name="CTO" sheetId="10" r:id="rId2"/>
    <sheet name="ELECTION" sheetId="9" r:id="rId3"/>
  </sheets>
  <definedNames>
    <definedName name="_xlnm.Print_Area" localSheetId="0">'Leave Card (NE) (2)'!$A$1:$K$33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1" l="1"/>
  <c r="I27" i="11" s="1"/>
  <c r="J26" i="11"/>
  <c r="J27" i="11" s="1"/>
  <c r="K26" i="11"/>
  <c r="K27" i="11" l="1"/>
  <c r="J13" i="1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I13" i="11"/>
  <c r="I14" i="11" s="1"/>
  <c r="K14" i="11" l="1"/>
  <c r="I15" i="11"/>
  <c r="K13" i="11"/>
  <c r="I16" i="11" l="1"/>
  <c r="K15" i="11"/>
  <c r="K16" i="11" l="1"/>
  <c r="I17" i="11"/>
  <c r="I18" i="11" l="1"/>
  <c r="I19" i="11" s="1"/>
  <c r="I20" i="11" s="1"/>
  <c r="K17" i="11"/>
  <c r="K20" i="11" l="1"/>
  <c r="I21" i="11"/>
  <c r="K19" i="11"/>
  <c r="K18" i="11"/>
  <c r="I22" i="11" l="1"/>
  <c r="K21" i="11"/>
  <c r="I23" i="11" l="1"/>
  <c r="K22" i="11"/>
  <c r="K23" i="11" l="1"/>
  <c r="I24" i="11"/>
  <c r="I25" i="11" l="1"/>
  <c r="K25" i="11" s="1"/>
  <c r="K24" i="11"/>
</calcChain>
</file>

<file path=xl/sharedStrings.xml><?xml version="1.0" encoding="utf-8"?>
<sst xmlns="http://schemas.openxmlformats.org/spreadsheetml/2006/main" count="112" uniqueCount="77">
  <si>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</si>
  <si>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</si>
  <si>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</si>
  <si>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</si>
  <si>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</si>
  <si>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</si>
  <si>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</si>
  <si>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</si>
  <si>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</si>
  <si>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</si>
  <si>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</si>
  <si>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</si>
  <si>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</si>
  <si>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</si>
  <si>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</si>
  <si>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</si>
  <si>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</si>
  <si>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</si>
  <si>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</si>
  <si>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</si>
  <si>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</si>
  <si>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</si>
  <si>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</si>
  <si>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</si>
  <si>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</si>
  <si>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</si>
  <si>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NAME          : JACULBE, JELLY ACE</t>
  </si>
  <si>
    <t>POSITION   : _MT I</t>
  </si>
  <si>
    <t>SCHOOL/OFFICE : CID</t>
  </si>
  <si>
    <t>UNNUMBERED SO, MAY 9, 2016</t>
  </si>
  <si>
    <t>UNNUMBERED SO, MAY 14, 2018</t>
  </si>
  <si>
    <t>ADD: MAY 9, 2016</t>
  </si>
  <si>
    <t>ADD: MAY 14, 2018</t>
  </si>
  <si>
    <t xml:space="preserve"> MAY 9, 2016 NATIONAL AND LOCAL ELECTION</t>
  </si>
  <si>
    <t xml:space="preserve"> MAY 14, 2018 NATIONAL AND LOCAL ELECTION</t>
  </si>
  <si>
    <t>LESS: 09/ 27-30/2022</t>
  </si>
  <si>
    <t>LESS: 11/7, 8 &amp; 14, 2022</t>
  </si>
  <si>
    <t>LESS: 01/23, 24 &amp; 25, 2023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</si>
  <si>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</si>
  <si>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</si>
  <si>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</si>
  <si>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</si>
  <si>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</si>
  <si>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</si>
  <si>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NOTE:  Valid for one (1) year only</t>
  </si>
  <si>
    <t>Certified Correct:</t>
  </si>
  <si>
    <t>MA. LUISA B. CATIGAN</t>
  </si>
  <si>
    <t>Administrative Officer IV</t>
  </si>
  <si>
    <t>HRMO</t>
  </si>
  <si>
    <t>ADD: APRIL 17, 2023</t>
  </si>
  <si>
    <t>LESS: APRIL 24, 2023</t>
  </si>
  <si>
    <t>S.O. # 047, S. 2023, PERFORMANCE PLANNING &amp; COMMITMENT FOR SY 2023</t>
  </si>
  <si>
    <t>LESS: JUNE 09, 2023</t>
  </si>
  <si>
    <t>ADD: 05/20/2024</t>
  </si>
  <si>
    <t>SO # 015, S. 2024 PALARONG PANLALAWIGAN</t>
  </si>
  <si>
    <t>LESS: 09/17-19/2024</t>
  </si>
  <si>
    <t>DATE FILED/RECEIVED</t>
  </si>
  <si>
    <t>SPECIAL</t>
  </si>
  <si>
    <t xml:space="preserve">  </t>
  </si>
  <si>
    <r>
      <t xml:space="preserve">ADD: UNUSED VSC </t>
    </r>
    <r>
      <rPr>
        <b/>
        <sz val="11"/>
        <color theme="1"/>
        <rFont val="Calibri"/>
        <family val="2"/>
        <scheme val="minor"/>
      </rPr>
      <t>(10 DAYS)</t>
    </r>
  </si>
  <si>
    <t>ADD: 01/13-31/2025</t>
  </si>
  <si>
    <t>ADD: 02/1/2025-04/30/2025</t>
  </si>
  <si>
    <t>LESS: 06/2-6/2025</t>
  </si>
  <si>
    <t>LESS: 06/9/2025</t>
  </si>
  <si>
    <t>LESS: 06/10, 11 &amp; 13/2025</t>
  </si>
  <si>
    <t>SO # 019, S. 2025 PROVINCIAL MEET 2025</t>
  </si>
  <si>
    <t>LESS: 06/16-18/2025</t>
  </si>
  <si>
    <t>LESS: 06/19, 20, 23-26/2025                       (TO UNDERGO MEDICAL EXAMINATION)</t>
  </si>
  <si>
    <t>SICK LAWOP: 06/27/2025-08/31/2025            (45 WORKING DAYS)</t>
  </si>
  <si>
    <t>LWOP</t>
  </si>
  <si>
    <t>ADD: 05/1-31/2025</t>
  </si>
  <si>
    <t>SICK LWOP: 06/27 &amp; 30/2025</t>
  </si>
  <si>
    <t>ADD: JUNE 2025                                               (28 days only due to LWOP)</t>
  </si>
  <si>
    <t xml:space="preserve">SICK LWOP: 07/1-31/2025 </t>
  </si>
  <si>
    <t>ADD: JULY 2025                                                (7 days only due to LWOP)</t>
  </si>
  <si>
    <t>SICK LWOP: 08/1-7/2025</t>
  </si>
  <si>
    <t>ADD: AUGUST 2025                                                (25 days only due to LWOP)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</si>
</sst>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8" fillId="0" borderId="0" xfId="0" applyFont="1"/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9" fillId="0" borderId="0" xfId="0" applyFont="1"/>
    <xf numFmtId="0" fontId="9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7" borderId="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0" fillId="1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B9864-3EA6-4D04-9A7E-891C19E6D8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03E328-8D4A-457D-8580-6EB046ECD565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JACULBE, JELLY ACE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DE3570-39CB-4768-BFCE-63DE2C4A7AA3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PRINCIPAL I (01/13/2025)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0C6E14-4826-4216-BE5C-9DE0A1DE682E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  <xdr:twoCellAnchor>
    <xdr:from>
      <xdr:col>5</xdr:col>
      <xdr:colOff>347452</xdr:colOff>
      <xdr:row>27</xdr:row>
      <xdr:rowOff>116815</xdr:rowOff>
    </xdr:from>
    <xdr:to>
      <xdr:col>10</xdr:col>
      <xdr:colOff>672043</xdr:colOff>
      <xdr:row>33</xdr:row>
      <xdr:rowOff>44929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B5DE44-6458-480F-B8D9-F6D914BB058E}"/>
            </a:ext>
          </a:extLst>
        </xdr:cNvPr>
        <xdr:cNvSpPr txBox="1"/>
      </xdr:nvSpPr>
      <xdr:spPr>
        <a:xfrm>
          <a:off x="5873749" y="4978159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521834</xdr:colOff>
      <xdr:row>0</xdr:row>
      <xdr:rowOff>38329</xdr:rowOff>
    </xdr:from>
    <xdr:to>
      <xdr:col>5</xdr:col>
      <xdr:colOff>20639</xdr:colOff>
      <xdr:row>1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F2339-73DF-4554-B5F9-573C68ACB26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5784" y="38329"/>
          <a:ext cx="718005" cy="63114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1281339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0650D0-FA69-419E-9E22-C4A7BEB4CABC}"/>
            </a:ext>
          </a:extLst>
        </xdr:cNvPr>
        <xdr:cNvSpPr txBox="1"/>
      </xdr:nvSpPr>
      <xdr:spPr>
        <a:xfrm>
          <a:off x="573942" y="1377461"/>
          <a:ext cx="2091697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JACULBE, JELLY ACE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340179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FB719C-A703-4002-969A-172B04733F52}"/>
            </a:ext>
          </a:extLst>
        </xdr:cNvPr>
        <xdr:cNvSpPr txBox="1"/>
      </xdr:nvSpPr>
      <xdr:spPr>
        <a:xfrm>
          <a:off x="654051" y="1685926"/>
          <a:ext cx="1012824" cy="24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B89FBE-7AEA-401F-ABFE-60A71F43C1A8}"/>
            </a:ext>
          </a:extLst>
        </xdr:cNvPr>
        <xdr:cNvSpPr txBox="1"/>
      </xdr:nvSpPr>
      <xdr:spPr>
        <a:xfrm>
          <a:off x="41907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215445</xdr:colOff>
      <xdr:row>0</xdr:row>
      <xdr:rowOff>27409</xdr:rowOff>
    </xdr:from>
    <xdr:to>
      <xdr:col>5</xdr:col>
      <xdr:colOff>167811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5BDBA-A48D-4C8A-882B-D22D7C9F7C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40" y="27409"/>
          <a:ext cx="564687" cy="6416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81869</xdr:colOff>
      <xdr:row>19</xdr:row>
      <xdr:rowOff>28122</xdr:rowOff>
    </xdr:from>
    <xdr:to>
      <xdr:col>3</xdr:col>
      <xdr:colOff>539069</xdr:colOff>
      <xdr:row>21</xdr:row>
      <xdr:rowOff>85045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194F11-605C-4181-A873-6A8F1E19AFC7}"/>
            </a:ext>
          </a:extLst>
        </xdr:cNvPr>
        <xdr:cNvSpPr txBox="1"/>
      </xdr:nvSpPr>
      <xdr:spPr>
        <a:xfrm>
          <a:off x="81869" y="4932363"/>
          <a:ext cx="3978048" cy="1054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24F825D-4D43-4658-9FE7-7C7DB6EE1E63}"/>
            </a:ext>
          </a:extLst>
        </xdr:cNvPr>
        <xdr:cNvCxnSpPr/>
      </xdr:nvCxnSpPr>
      <xdr:spPr>
        <a:xfrm>
          <a:off x="742950" y="177482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9745FA5-0A48-41AA-8223-9F6CFCDC5745}"/>
            </a:ext>
          </a:extLst>
        </xdr:cNvPr>
        <xdr:cNvCxnSpPr/>
      </xdr:nvCxnSpPr>
      <xdr:spPr>
        <a:xfrm>
          <a:off x="752475" y="206057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5CA8-A047-4A7B-B1A1-D694B1DE57DE}">
  <sheetPr>
    <pageSetUpPr fitToPage="1"/>
  </sheetPr>
  <dimension ref="A1:L31"/>
  <sheetViews>
    <sheetView tabSelected="1" view="pageBreakPreview" topLeftCell="A10" zoomScale="106" zoomScaleNormal="100" zoomScaleSheetLayoutView="106" workbookViewId="0">
      <selection activeCell="B27" sqref="B27"/>
    </sheetView>
  </sheetViews>
  <sheetFormatPr defaultRowHeight="15" x14ac:dyDescent="0.25"/>
  <cols>
    <col min="1" max="1" width="36.5703125" customWidth="1"/>
    <col min="2" max="5" width="11.5703125" customWidth="1"/>
    <col min="6" max="8" width="11.5703125" style="30" customWidth="1"/>
    <col min="9" max="11" width="11.5703125" customWidth="1"/>
    <col min="12" max="12" width="26.42578125" style="31" customWidth="1"/>
  </cols>
  <sheetData>
    <row r="1" spans="1:12" s="1" customFormat="1" ht="52.5" customHeight="1" x14ac:dyDescent="0.25"/>
    <row r="2" spans="1:12" s="1" customFormat="1" ht="10.5" customHeight="1" x14ac:dyDescent="0.25">
      <c r="A2" s="55" t="s">
        <v>11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2" s="1" customFormat="1" ht="15.95" customHeight="1" x14ac:dyDescent="0.25">
      <c r="A3" s="55" t="s">
        <v>12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2" s="1" customFormat="1" ht="15.95" customHeight="1" x14ac:dyDescent="0.25">
      <c r="A4" s="55" t="s">
        <v>13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2" s="1" customFormat="1" ht="15.95" customHeight="1" x14ac:dyDescent="0.25">
      <c r="A5" s="55" t="s">
        <v>14</v>
      </c>
      <c r="B5" s="55"/>
      <c r="C5" s="55"/>
      <c r="D5" s="55"/>
      <c r="E5" s="55"/>
      <c r="F5" s="55"/>
      <c r="G5" s="55"/>
      <c r="H5" s="55"/>
      <c r="I5" s="55"/>
      <c r="J5" s="55"/>
      <c r="K5" s="55"/>
    </row>
    <row r="6" spans="1:12" s="1" customFormat="1" ht="8.25" customHeight="1" x14ac:dyDescent="0.25"/>
    <row r="7" spans="1:12" s="1" customFormat="1" ht="12" customHeight="1" x14ac:dyDescent="0.25">
      <c r="A7" s="1" t="s">
        <v>38</v>
      </c>
      <c r="B7" s="54" t="s">
        <v>39</v>
      </c>
      <c r="C7" s="54"/>
      <c r="D7" s="54"/>
      <c r="I7" s="2" t="s">
        <v>9</v>
      </c>
      <c r="J7" s="18"/>
      <c r="K7" s="2"/>
    </row>
    <row r="8" spans="1:12" s="1" customFormat="1" ht="12" customHeight="1" x14ac:dyDescent="0.25">
      <c r="B8" s="3"/>
      <c r="C8" s="3"/>
      <c r="I8" s="3"/>
      <c r="J8" s="3"/>
      <c r="K8" s="3"/>
    </row>
    <row r="9" spans="1:12" s="1" customFormat="1" ht="12" customHeight="1" x14ac:dyDescent="0.25">
      <c r="A9" s="1" t="s">
        <v>40</v>
      </c>
      <c r="B9" s="54" t="s">
        <v>41</v>
      </c>
      <c r="C9" s="54"/>
      <c r="D9" s="54"/>
      <c r="I9" s="2" t="s">
        <v>10</v>
      </c>
      <c r="J9" s="4"/>
      <c r="K9" s="2"/>
    </row>
    <row r="10" spans="1:12" ht="23.25" customHeight="1" thickBot="1" x14ac:dyDescent="0.3">
      <c r="A10" s="42" t="s">
        <v>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/>
    </row>
    <row r="11" spans="1:12" ht="18.75" customHeight="1" x14ac:dyDescent="0.25">
      <c r="A11" s="43" t="s">
        <v>4</v>
      </c>
      <c r="B11" s="45" t="s">
        <v>5</v>
      </c>
      <c r="C11" s="46"/>
      <c r="D11" s="47" t="s">
        <v>6</v>
      </c>
      <c r="E11" s="48"/>
      <c r="F11" s="48"/>
      <c r="G11" s="49"/>
      <c r="H11" s="35"/>
      <c r="I11" s="50" t="s">
        <v>7</v>
      </c>
      <c r="J11" s="51"/>
      <c r="K11" s="52" t="s">
        <v>8</v>
      </c>
      <c r="L11" s="41" t="s">
        <v>56</v>
      </c>
    </row>
    <row r="12" spans="1:12" ht="18.75" customHeight="1" x14ac:dyDescent="0.25">
      <c r="A12" s="44"/>
      <c r="B12" s="39" t="s">
        <v>1</v>
      </c>
      <c r="C12" s="39" t="s">
        <v>2</v>
      </c>
      <c r="D12" s="39" t="s">
        <v>1</v>
      </c>
      <c r="E12" s="39" t="s">
        <v>2</v>
      </c>
      <c r="F12" s="39" t="s">
        <v>3</v>
      </c>
      <c r="G12" s="39" t="s">
        <v>57</v>
      </c>
      <c r="H12" s="39" t="s">
        <v>69</v>
      </c>
      <c r="I12" s="39" t="s">
        <v>1</v>
      </c>
      <c r="J12" s="39" t="s">
        <v>2</v>
      </c>
      <c r="K12" s="53"/>
      <c r="L12" s="41"/>
    </row>
    <row r="13" spans="1:12" ht="30.75" customHeight="1" x14ac:dyDescent="0.25">
      <c r="A13" s="40" t="s">
        <v>59</v>
      </c>
      <c r="B13" s="32">
        <v>2.173</v>
      </c>
      <c r="C13" s="32">
        <v>2.173</v>
      </c>
      <c r="D13" s="32"/>
      <c r="E13" s="32"/>
      <c r="F13" s="32"/>
      <c r="G13" s="32"/>
      <c r="H13" s="32"/>
      <c r="I13" s="33">
        <f>B13</f>
        <v>2.173</v>
      </c>
      <c r="J13" s="33">
        <f>C13</f>
        <v>2.173</v>
      </c>
      <c r="K13" s="33">
        <f>SUM(I13:J13)</f>
        <v>4.3460000000000001</v>
      </c>
    </row>
    <row r="14" spans="1:12" ht="16.5" customHeight="1" x14ac:dyDescent="0.25">
      <c r="A14" s="34" t="s">
        <v>60</v>
      </c>
      <c r="B14" s="32">
        <v>0.79200000000000004</v>
      </c>
      <c r="C14" s="32">
        <v>0.79200000000000004</v>
      </c>
      <c r="D14" s="32"/>
      <c r="E14" s="32"/>
      <c r="F14" s="32"/>
      <c r="G14" s="32"/>
      <c r="H14" s="32"/>
      <c r="I14" s="33">
        <f>I13-F14-D14+B14</f>
        <v>2.9649999999999999</v>
      </c>
      <c r="J14" s="33">
        <f>J13-E14+C14</f>
        <v>2.9649999999999999</v>
      </c>
      <c r="K14" s="33">
        <f>SUM(I14:J14)</f>
        <v>5.93</v>
      </c>
    </row>
    <row r="15" spans="1:12" ht="18" customHeight="1" x14ac:dyDescent="0.25">
      <c r="A15" s="34" t="s">
        <v>61</v>
      </c>
      <c r="B15" s="32">
        <v>3.75</v>
      </c>
      <c r="C15" s="32">
        <v>3.75</v>
      </c>
      <c r="D15" s="32"/>
      <c r="E15" s="32"/>
      <c r="F15" s="32"/>
      <c r="G15" s="32"/>
      <c r="H15" s="32"/>
      <c r="I15" s="33">
        <f t="shared" ref="I15:I16" si="0">I14-F15-D15+B15</f>
        <v>6.7149999999999999</v>
      </c>
      <c r="J15" s="33">
        <f t="shared" ref="J15:J16" si="1">J14-E15+C15</f>
        <v>6.7149999999999999</v>
      </c>
      <c r="K15" s="33">
        <f t="shared" ref="K15:K18" si="2">SUM(I15:J15)</f>
        <v>13.43</v>
      </c>
    </row>
    <row r="16" spans="1:12" ht="17.25" customHeight="1" x14ac:dyDescent="0.25">
      <c r="A16" s="34" t="s">
        <v>62</v>
      </c>
      <c r="B16" s="32"/>
      <c r="C16" s="32"/>
      <c r="D16" s="32"/>
      <c r="E16" s="32"/>
      <c r="F16" s="36">
        <v>5</v>
      </c>
      <c r="G16" s="32"/>
      <c r="H16" s="32"/>
      <c r="I16" s="33">
        <f t="shared" si="0"/>
        <v>1.7149999999999999</v>
      </c>
      <c r="J16" s="33">
        <f t="shared" si="1"/>
        <v>6.7149999999999999</v>
      </c>
      <c r="K16" s="33">
        <f t="shared" si="2"/>
        <v>8.43</v>
      </c>
    </row>
    <row r="17" spans="1:11" ht="18.75" customHeight="1" x14ac:dyDescent="0.25">
      <c r="A17" s="34" t="s">
        <v>63</v>
      </c>
      <c r="B17" s="32"/>
      <c r="C17" s="32"/>
      <c r="D17" s="32">
        <v>1</v>
      </c>
      <c r="E17" s="32"/>
      <c r="F17" s="32"/>
      <c r="G17" s="32"/>
      <c r="H17" s="32"/>
      <c r="I17" s="33">
        <f>I16-F17-D17+B17</f>
        <v>0.71499999999999986</v>
      </c>
      <c r="J17" s="33">
        <f>J16-E17+C17</f>
        <v>6.7149999999999999</v>
      </c>
      <c r="K17" s="33">
        <f t="shared" si="2"/>
        <v>7.43</v>
      </c>
    </row>
    <row r="18" spans="1:11" ht="18" customHeight="1" x14ac:dyDescent="0.25">
      <c r="A18" s="34" t="s">
        <v>64</v>
      </c>
      <c r="B18" s="32"/>
      <c r="C18" s="32"/>
      <c r="D18" s="32"/>
      <c r="E18" s="32"/>
      <c r="F18" s="32"/>
      <c r="G18" s="37">
        <v>3</v>
      </c>
      <c r="H18" s="90"/>
      <c r="I18" s="33">
        <f>I17-F18-D18+B18</f>
        <v>0.71499999999999986</v>
      </c>
      <c r="J18" s="33">
        <f>J17-E18+C18</f>
        <v>6.7149999999999999</v>
      </c>
      <c r="K18" s="33">
        <f t="shared" si="2"/>
        <v>7.43</v>
      </c>
    </row>
    <row r="19" spans="1:11" ht="30.75" customHeight="1" x14ac:dyDescent="0.25">
      <c r="A19" s="40" t="s">
        <v>67</v>
      </c>
      <c r="B19" s="32"/>
      <c r="C19" s="32"/>
      <c r="D19" s="32"/>
      <c r="E19" s="32">
        <v>6</v>
      </c>
      <c r="F19" s="32"/>
      <c r="G19" s="32"/>
      <c r="H19" s="32"/>
      <c r="I19" s="33">
        <f t="shared" ref="I19" si="3">I18-F19-D19+B19</f>
        <v>0.71499999999999986</v>
      </c>
      <c r="J19" s="33">
        <f t="shared" ref="J19" si="4">J18-E19+C19</f>
        <v>0.71499999999999986</v>
      </c>
      <c r="K19" s="33">
        <f t="shared" ref="K19" si="5">SUM(I19:J19)</f>
        <v>1.4299999999999997</v>
      </c>
    </row>
    <row r="20" spans="1:11" ht="36" hidden="1" customHeight="1" x14ac:dyDescent="0.25">
      <c r="A20" s="38" t="s">
        <v>68</v>
      </c>
      <c r="B20" s="32"/>
      <c r="C20" s="32"/>
      <c r="D20" s="32"/>
      <c r="E20" s="32"/>
      <c r="F20" s="32"/>
      <c r="G20" s="32"/>
      <c r="H20" s="32"/>
      <c r="I20" s="33">
        <f t="shared" ref="I20:I23" si="6">I19-F20-D20+B20</f>
        <v>0.71499999999999986</v>
      </c>
      <c r="J20" s="33">
        <f t="shared" ref="J20:J23" si="7">J19-E20+C20</f>
        <v>0.71499999999999986</v>
      </c>
      <c r="K20" s="33">
        <f t="shared" ref="K20:K23" si="8">SUM(I20:J20)</f>
        <v>1.4299999999999997</v>
      </c>
    </row>
    <row r="21" spans="1:11" ht="23.25" customHeight="1" x14ac:dyDescent="0.25">
      <c r="A21" s="91" t="s">
        <v>70</v>
      </c>
      <c r="B21" s="90">
        <v>1.25</v>
      </c>
      <c r="C21" s="90">
        <v>1.25</v>
      </c>
      <c r="D21" s="90"/>
      <c r="E21" s="90"/>
      <c r="F21" s="90"/>
      <c r="G21" s="90"/>
      <c r="H21" s="90"/>
      <c r="I21" s="33">
        <f t="shared" si="6"/>
        <v>1.9649999999999999</v>
      </c>
      <c r="J21" s="33">
        <f t="shared" si="7"/>
        <v>1.9649999999999999</v>
      </c>
      <c r="K21" s="33">
        <f t="shared" si="8"/>
        <v>3.9299999999999997</v>
      </c>
    </row>
    <row r="22" spans="1:11" ht="23.25" customHeight="1" x14ac:dyDescent="0.25">
      <c r="A22" s="92" t="s">
        <v>71</v>
      </c>
      <c r="B22" s="90"/>
      <c r="C22" s="90"/>
      <c r="D22" s="90"/>
      <c r="E22" s="90"/>
      <c r="F22" s="90"/>
      <c r="G22" s="90"/>
      <c r="H22" s="93">
        <v>2</v>
      </c>
      <c r="I22" s="33">
        <f t="shared" si="6"/>
        <v>1.9649999999999999</v>
      </c>
      <c r="J22" s="33">
        <f t="shared" si="7"/>
        <v>1.9649999999999999</v>
      </c>
      <c r="K22" s="33">
        <f t="shared" si="8"/>
        <v>3.9299999999999997</v>
      </c>
    </row>
    <row r="23" spans="1:11" ht="28.5" customHeight="1" x14ac:dyDescent="0.25">
      <c r="A23" s="91" t="s">
        <v>72</v>
      </c>
      <c r="B23" s="90">
        <v>1.167</v>
      </c>
      <c r="C23" s="90">
        <v>1.167</v>
      </c>
      <c r="D23" s="90"/>
      <c r="E23" s="90"/>
      <c r="F23" s="90"/>
      <c r="G23" s="90"/>
      <c r="H23" s="90"/>
      <c r="I23" s="33">
        <f t="shared" si="6"/>
        <v>3.1319999999999997</v>
      </c>
      <c r="J23" s="33">
        <f t="shared" si="7"/>
        <v>3.1319999999999997</v>
      </c>
      <c r="K23" s="33">
        <f t="shared" si="8"/>
        <v>6.2639999999999993</v>
      </c>
    </row>
    <row r="24" spans="1:11" ht="22.5" customHeight="1" x14ac:dyDescent="0.25">
      <c r="A24" s="92" t="s">
        <v>73</v>
      </c>
      <c r="B24" s="90"/>
      <c r="C24" s="90"/>
      <c r="D24" s="90"/>
      <c r="E24" s="90"/>
      <c r="F24" s="90"/>
      <c r="G24" s="90"/>
      <c r="H24" s="93">
        <v>23</v>
      </c>
      <c r="I24" s="33">
        <f t="shared" ref="I24:I25" si="9">I23-F24-D24+B24</f>
        <v>3.1319999999999997</v>
      </c>
      <c r="J24" s="33">
        <f t="shared" ref="J24:J25" si="10">J23-E24+C24</f>
        <v>3.1319999999999997</v>
      </c>
      <c r="K24" s="33">
        <f t="shared" ref="K24:K25" si="11">SUM(I24:J24)</f>
        <v>6.2639999999999993</v>
      </c>
    </row>
    <row r="25" spans="1:11" ht="30" customHeight="1" x14ac:dyDescent="0.25">
      <c r="A25" s="91" t="s">
        <v>74</v>
      </c>
      <c r="B25" s="90">
        <v>0.29199999999999998</v>
      </c>
      <c r="C25" s="90">
        <v>0.29199999999999998</v>
      </c>
      <c r="D25" s="90"/>
      <c r="E25" s="90"/>
      <c r="F25" s="90"/>
      <c r="G25" s="90"/>
      <c r="H25" s="90"/>
      <c r="I25" s="33">
        <f t="shared" si="9"/>
        <v>3.4239999999999995</v>
      </c>
      <c r="J25" s="33">
        <f t="shared" si="10"/>
        <v>3.4239999999999995</v>
      </c>
      <c r="K25" s="33">
        <f t="shared" si="11"/>
        <v>6.847999999999999</v>
      </c>
    </row>
    <row r="26" spans="1:11" ht="24.75" customHeight="1" x14ac:dyDescent="0.25">
      <c r="A26" s="92" t="s">
        <v>75</v>
      </c>
      <c r="B26" s="90"/>
      <c r="C26" s="90"/>
      <c r="D26" s="90"/>
      <c r="E26" s="90"/>
      <c r="F26" s="90"/>
      <c r="G26" s="90"/>
      <c r="H26" s="93">
        <v>5</v>
      </c>
      <c r="I26" s="33">
        <f t="shared" ref="I26:I27" si="12">I25-F26-D26+B26</f>
        <v>3.4239999999999995</v>
      </c>
      <c r="J26" s="33">
        <f t="shared" ref="J26:J27" si="13">J25-E26+C26</f>
        <v>3.4239999999999995</v>
      </c>
      <c r="K26" s="33">
        <f t="shared" ref="K26:K27" si="14">SUM(I26:J26)</f>
        <v>6.847999999999999</v>
      </c>
    </row>
    <row r="27" spans="1:11" ht="30" customHeight="1" x14ac:dyDescent="0.25">
      <c r="A27" s="91" t="s">
        <v>76</v>
      </c>
      <c r="B27" s="90">
        <v>1.042</v>
      </c>
      <c r="C27" s="90">
        <v>1.042</v>
      </c>
      <c r="D27" s="90"/>
      <c r="E27" s="90"/>
      <c r="F27" s="90"/>
      <c r="G27" s="90"/>
      <c r="H27" s="90"/>
      <c r="I27" s="33">
        <f t="shared" si="12"/>
        <v>4.4659999999999993</v>
      </c>
      <c r="J27" s="33">
        <f t="shared" si="13"/>
        <v>4.4659999999999993</v>
      </c>
      <c r="K27" s="33">
        <f t="shared" si="14"/>
        <v>8.9319999999999986</v>
      </c>
    </row>
    <row r="31" spans="1:11" x14ac:dyDescent="0.25">
      <c r="F31" s="30" t="s">
        <v>58</v>
      </c>
    </row>
  </sheetData>
  <mergeCells count="13">
    <mergeCell ref="B9:D9"/>
    <mergeCell ref="A2:K2"/>
    <mergeCell ref="A3:K3"/>
    <mergeCell ref="A4:K4"/>
    <mergeCell ref="A5:K5"/>
    <mergeCell ref="B7:D7"/>
    <mergeCell ref="L11:L12"/>
    <mergeCell ref="A10:K10"/>
    <mergeCell ref="A11:A12"/>
    <mergeCell ref="B11:C11"/>
    <mergeCell ref="D11:G11"/>
    <mergeCell ref="I11:J11"/>
    <mergeCell ref="K11:K12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6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92FF-A29D-4273-8CD9-75FB2A4CA98E}">
  <sheetPr>
    <pageSetUpPr fitToPage="1"/>
  </sheetPr>
  <dimension ref="A1:I28"/>
  <sheetViews>
    <sheetView view="pageBreakPreview" topLeftCell="A3" zoomScale="112" zoomScaleNormal="100" zoomScaleSheetLayoutView="112" workbookViewId="0">
      <selection activeCell="A21" sqref="A21:XFD21"/>
    </sheetView>
  </sheetViews>
  <sheetFormatPr defaultRowHeight="15" x14ac:dyDescent="0.25"/>
  <cols>
    <col min="1" max="1" width="19.85546875" customWidth="1"/>
    <col min="2" max="2" width="23.85546875" customWidth="1"/>
    <col min="6" max="6" width="8.85546875" customWidth="1"/>
  </cols>
  <sheetData>
    <row r="1" spans="1:9" s="1" customFormat="1" ht="52.5" customHeight="1" x14ac:dyDescent="0.25"/>
    <row r="2" spans="1:9" s="1" customFormat="1" ht="10.5" customHeight="1" x14ac:dyDescent="0.25">
      <c r="A2" s="55" t="s">
        <v>11</v>
      </c>
      <c r="B2" s="55"/>
      <c r="C2" s="55"/>
      <c r="D2" s="55"/>
      <c r="E2" s="55"/>
      <c r="F2" s="55"/>
      <c r="G2" s="55"/>
      <c r="H2" s="55"/>
      <c r="I2" s="55"/>
    </row>
    <row r="3" spans="1:9" s="1" customFormat="1" ht="15.95" customHeight="1" x14ac:dyDescent="0.25">
      <c r="A3" s="55" t="s">
        <v>12</v>
      </c>
      <c r="B3" s="55"/>
      <c r="C3" s="55"/>
      <c r="D3" s="55"/>
      <c r="E3" s="55"/>
      <c r="F3" s="55"/>
      <c r="G3" s="55"/>
      <c r="H3" s="55"/>
      <c r="I3" s="55"/>
    </row>
    <row r="4" spans="1:9" s="1" customFormat="1" ht="15.95" customHeight="1" x14ac:dyDescent="0.25">
      <c r="A4" s="55" t="s">
        <v>13</v>
      </c>
      <c r="B4" s="55"/>
      <c r="C4" s="55"/>
      <c r="D4" s="55"/>
      <c r="E4" s="55"/>
      <c r="F4" s="55"/>
      <c r="G4" s="55"/>
      <c r="H4" s="55"/>
      <c r="I4" s="55"/>
    </row>
    <row r="5" spans="1:9" s="1" customFormat="1" ht="15.95" customHeight="1" x14ac:dyDescent="0.25">
      <c r="A5" s="55" t="s">
        <v>14</v>
      </c>
      <c r="B5" s="55"/>
      <c r="C5" s="55"/>
      <c r="D5" s="55"/>
      <c r="E5" s="55"/>
      <c r="F5" s="55"/>
      <c r="G5" s="55"/>
      <c r="H5" s="55"/>
      <c r="I5" s="55"/>
    </row>
    <row r="6" spans="1:9" s="1" customFormat="1" ht="8.25" customHeight="1" x14ac:dyDescent="0.25"/>
    <row r="7" spans="1:9" s="1" customFormat="1" ht="12" customHeight="1" x14ac:dyDescent="0.25">
      <c r="A7" s="1" t="s">
        <v>38</v>
      </c>
      <c r="C7" s="2" t="s">
        <v>39</v>
      </c>
      <c r="D7" s="2"/>
      <c r="G7" s="18"/>
    </row>
    <row r="8" spans="1:9" s="1" customFormat="1" ht="12" customHeight="1" x14ac:dyDescent="0.25">
      <c r="C8" s="3"/>
      <c r="G8" s="3"/>
    </row>
    <row r="9" spans="1:9" s="1" customFormat="1" ht="12" customHeight="1" x14ac:dyDescent="0.25">
      <c r="A9" s="1" t="s">
        <v>40</v>
      </c>
      <c r="C9" s="2" t="s">
        <v>41</v>
      </c>
      <c r="D9" s="2"/>
      <c r="G9" s="4"/>
    </row>
    <row r="10" spans="1:9" ht="16.5" customHeight="1" thickBot="1" x14ac:dyDescent="0.3">
      <c r="A10" s="66" t="s">
        <v>42</v>
      </c>
      <c r="B10" s="66"/>
      <c r="C10" s="66"/>
      <c r="D10" s="66"/>
      <c r="E10" s="66"/>
      <c r="F10" s="66"/>
      <c r="G10" s="66"/>
      <c r="H10" s="66"/>
      <c r="I10" s="66"/>
    </row>
    <row r="11" spans="1:9" s="13" customFormat="1" ht="18.75" customHeight="1" x14ac:dyDescent="0.2">
      <c r="A11" s="67" t="s">
        <v>4</v>
      </c>
      <c r="B11" s="69" t="s">
        <v>5</v>
      </c>
      <c r="C11" s="70"/>
      <c r="D11" s="70"/>
      <c r="E11" s="70"/>
      <c r="F11" s="70"/>
      <c r="G11" s="70"/>
      <c r="H11" s="70"/>
      <c r="I11" s="71" t="s">
        <v>8</v>
      </c>
    </row>
    <row r="12" spans="1:9" s="13" customFormat="1" ht="27.75" customHeight="1" x14ac:dyDescent="0.2">
      <c r="A12" s="68"/>
      <c r="B12" s="73" t="s">
        <v>43</v>
      </c>
      <c r="C12" s="74"/>
      <c r="D12" s="74"/>
      <c r="E12" s="75"/>
      <c r="F12" s="24" t="s">
        <v>23</v>
      </c>
      <c r="G12" s="24" t="s">
        <v>24</v>
      </c>
      <c r="H12" s="24" t="s">
        <v>25</v>
      </c>
      <c r="I12" s="72"/>
    </row>
    <row r="13" spans="1:9" s="13" customFormat="1" ht="24.95" hidden="1" customHeight="1" x14ac:dyDescent="0.2">
      <c r="A13" s="7" t="s">
        <v>49</v>
      </c>
      <c r="B13" s="56" t="s">
        <v>51</v>
      </c>
      <c r="C13" s="57"/>
      <c r="D13" s="57"/>
      <c r="E13" s="58"/>
      <c r="F13" s="23">
        <v>2</v>
      </c>
      <c r="G13" s="23">
        <v>0</v>
      </c>
      <c r="H13" s="23">
        <v>2</v>
      </c>
      <c r="I13" s="6">
        <v>2</v>
      </c>
    </row>
    <row r="14" spans="1:9" s="16" customFormat="1" ht="25.5" hidden="1" customHeight="1" x14ac:dyDescent="0.2">
      <c r="A14" s="7" t="s">
        <v>50</v>
      </c>
      <c r="B14" s="56" t="s">
        <v>51</v>
      </c>
      <c r="C14" s="57"/>
      <c r="D14" s="57"/>
      <c r="E14" s="58"/>
      <c r="F14" s="23"/>
      <c r="G14" s="23">
        <v>1</v>
      </c>
      <c r="H14" s="23">
        <v>1</v>
      </c>
      <c r="I14" s="6">
        <v>1</v>
      </c>
    </row>
    <row r="15" spans="1:9" s="16" customFormat="1" ht="25.5" hidden="1" customHeight="1" x14ac:dyDescent="0.2">
      <c r="A15" s="27" t="s">
        <v>52</v>
      </c>
      <c r="B15" s="59" t="s">
        <v>51</v>
      </c>
      <c r="C15" s="60"/>
      <c r="D15" s="60"/>
      <c r="E15" s="61"/>
      <c r="F15" s="28"/>
      <c r="G15" s="28">
        <v>1</v>
      </c>
      <c r="H15" s="28">
        <v>0</v>
      </c>
      <c r="I15" s="29">
        <v>0</v>
      </c>
    </row>
    <row r="16" spans="1:9" s="16" customFormat="1" ht="25.5" customHeight="1" x14ac:dyDescent="0.2">
      <c r="A16" s="7" t="s">
        <v>53</v>
      </c>
      <c r="B16" s="56" t="s">
        <v>54</v>
      </c>
      <c r="C16" s="57"/>
      <c r="D16" s="57"/>
      <c r="E16" s="58"/>
      <c r="F16" s="23">
        <v>3</v>
      </c>
      <c r="G16" s="23">
        <v>0</v>
      </c>
      <c r="H16" s="23">
        <v>3</v>
      </c>
      <c r="I16" s="25">
        <v>3</v>
      </c>
    </row>
    <row r="17" spans="1:9" s="16" customFormat="1" ht="25.5" customHeight="1" x14ac:dyDescent="0.2">
      <c r="A17" s="7" t="s">
        <v>55</v>
      </c>
      <c r="B17" s="56" t="s">
        <v>54</v>
      </c>
      <c r="C17" s="57"/>
      <c r="D17" s="57"/>
      <c r="E17" s="58"/>
      <c r="F17" s="23"/>
      <c r="G17" s="23">
        <v>3</v>
      </c>
      <c r="H17" s="23">
        <v>0</v>
      </c>
      <c r="I17" s="29">
        <v>0</v>
      </c>
    </row>
    <row r="18" spans="1:9" s="16" customFormat="1" ht="25.5" customHeight="1" x14ac:dyDescent="0.2">
      <c r="A18" s="7" t="s">
        <v>53</v>
      </c>
      <c r="B18" s="56" t="s">
        <v>65</v>
      </c>
      <c r="C18" s="57"/>
      <c r="D18" s="57"/>
      <c r="E18" s="58"/>
      <c r="F18" s="23">
        <v>3</v>
      </c>
      <c r="G18" s="23">
        <v>0</v>
      </c>
      <c r="H18" s="23">
        <v>3</v>
      </c>
      <c r="I18" s="25">
        <v>3</v>
      </c>
    </row>
    <row r="19" spans="1:9" s="16" customFormat="1" ht="25.5" customHeight="1" x14ac:dyDescent="0.2">
      <c r="A19" s="7" t="s">
        <v>66</v>
      </c>
      <c r="B19" s="56" t="s">
        <v>65</v>
      </c>
      <c r="C19" s="57"/>
      <c r="D19" s="57"/>
      <c r="E19" s="58"/>
      <c r="F19" s="23"/>
      <c r="G19" s="23">
        <v>3</v>
      </c>
      <c r="H19" s="23">
        <v>0</v>
      </c>
      <c r="I19" s="29">
        <v>0</v>
      </c>
    </row>
    <row r="20" spans="1:9" s="16" customFormat="1" ht="25.5" customHeight="1" x14ac:dyDescent="0.2">
      <c r="A20" s="7"/>
      <c r="B20" s="56"/>
      <c r="C20" s="57"/>
      <c r="D20" s="57"/>
      <c r="E20" s="58"/>
      <c r="F20" s="23"/>
      <c r="G20" s="23"/>
      <c r="H20" s="23"/>
      <c r="I20" s="25"/>
    </row>
    <row r="21" spans="1:9" s="16" customFormat="1" ht="25.5" customHeight="1" x14ac:dyDescent="0.2">
      <c r="A21" s="22"/>
      <c r="B21" s="21"/>
      <c r="C21" s="21"/>
      <c r="D21" s="21"/>
      <c r="E21" s="21"/>
      <c r="F21" s="21"/>
      <c r="G21" s="21"/>
      <c r="H21" s="21"/>
      <c r="I21" s="26"/>
    </row>
    <row r="22" spans="1:9" s="16" customFormat="1" x14ac:dyDescent="0.2">
      <c r="A22" s="20" t="s">
        <v>44</v>
      </c>
      <c r="B22" s="21"/>
      <c r="C22" s="21"/>
      <c r="D22" s="21"/>
      <c r="E22" s="21"/>
      <c r="F22" s="21"/>
      <c r="G22" s="21"/>
      <c r="H22" s="21"/>
      <c r="I22" s="22"/>
    </row>
    <row r="23" spans="1:9" ht="6.9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</row>
    <row r="24" spans="1:9" s="1" customFormat="1" x14ac:dyDescent="0.25">
      <c r="C24" s="5"/>
      <c r="F24" s="1" t="s">
        <v>45</v>
      </c>
    </row>
    <row r="25" spans="1:9" s="1" customFormat="1" x14ac:dyDescent="0.25">
      <c r="C25" s="5"/>
    </row>
    <row r="26" spans="1:9" x14ac:dyDescent="0.25">
      <c r="F26" s="63" t="s">
        <v>46</v>
      </c>
      <c r="G26" s="63"/>
      <c r="H26" s="63"/>
    </row>
    <row r="27" spans="1:9" x14ac:dyDescent="0.25">
      <c r="F27" s="64" t="s">
        <v>47</v>
      </c>
      <c r="G27" s="64"/>
      <c r="H27" s="64"/>
    </row>
    <row r="28" spans="1:9" x14ac:dyDescent="0.25">
      <c r="F28" s="65" t="s">
        <v>48</v>
      </c>
      <c r="G28" s="65"/>
      <c r="H28" s="65"/>
    </row>
  </sheetData>
  <mergeCells count="21">
    <mergeCell ref="F26:H26"/>
    <mergeCell ref="F27:H27"/>
    <mergeCell ref="F28:H28"/>
    <mergeCell ref="B13:E13"/>
    <mergeCell ref="A2:I2"/>
    <mergeCell ref="A3:I3"/>
    <mergeCell ref="A4:I4"/>
    <mergeCell ref="A5:I5"/>
    <mergeCell ref="A10:I10"/>
    <mergeCell ref="A11:A12"/>
    <mergeCell ref="B11:H11"/>
    <mergeCell ref="I11:I12"/>
    <mergeCell ref="B12:E12"/>
    <mergeCell ref="B14:E14"/>
    <mergeCell ref="B15:E15"/>
    <mergeCell ref="A23:I23"/>
    <mergeCell ref="B16:E16"/>
    <mergeCell ref="B17:E17"/>
    <mergeCell ref="B20:E20"/>
    <mergeCell ref="B18:E18"/>
    <mergeCell ref="B19:E19"/>
  </mergeCells>
  <phoneticPr fontId="3" type="noConversion"/>
  <pageMargins left="0.7" right="0.7" top="0.75" bottom="0.75" header="0.3" footer="0.3"/>
  <pageSetup paperSize="9" scale="82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6D7C-6338-4FD2-B098-07BE099C7657}">
  <dimension ref="A1:M22"/>
  <sheetViews>
    <sheetView view="pageBreakPreview" topLeftCell="A5" zoomScale="112" zoomScaleNormal="100" zoomScaleSheetLayoutView="112" workbookViewId="0">
      <selection activeCell="B16" sqref="B16"/>
    </sheetView>
  </sheetViews>
  <sheetFormatPr defaultRowHeight="15" x14ac:dyDescent="0.25"/>
  <cols>
    <col min="1" max="1" width="22.28515625" customWidth="1"/>
    <col min="2" max="2" width="19.42578125" customWidth="1"/>
    <col min="4" max="4" width="11" customWidth="1"/>
    <col min="6" max="6" width="7.140625" customWidth="1"/>
    <col min="8" max="8" width="5.85546875" customWidth="1"/>
    <col min="10" max="10" width="7.42578125" customWidth="1"/>
    <col min="12" max="12" width="6.28515625" customWidth="1"/>
  </cols>
  <sheetData>
    <row r="1" spans="1:13" s="1" customFormat="1" ht="52.5" customHeight="1" x14ac:dyDescent="0.25">
      <c r="D1" s="8"/>
      <c r="E1" s="9"/>
      <c r="I1" s="5"/>
    </row>
    <row r="2" spans="1:13" s="1" customFormat="1" ht="10.5" customHeight="1" x14ac:dyDescent="0.25">
      <c r="A2" s="55" t="s">
        <v>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1" customFormat="1" ht="15.95" customHeight="1" x14ac:dyDescent="0.25">
      <c r="A3" s="55" t="s">
        <v>12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s="1" customFormat="1" ht="15.95" customHeight="1" x14ac:dyDescent="0.25">
      <c r="A4" s="55" t="s">
        <v>13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1" customFormat="1" ht="15.95" customHeight="1" x14ac:dyDescent="0.25">
      <c r="A5" s="55" t="s">
        <v>14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10" t="s">
        <v>26</v>
      </c>
      <c r="B8" s="10"/>
      <c r="C8" s="10"/>
      <c r="D8" s="76" t="s">
        <v>15</v>
      </c>
      <c r="E8" s="76"/>
      <c r="F8" s="76"/>
      <c r="G8" s="76"/>
      <c r="H8" s="76"/>
      <c r="J8" s="76" t="s">
        <v>16</v>
      </c>
      <c r="K8" s="76"/>
      <c r="L8" s="76"/>
      <c r="M8" s="10"/>
    </row>
    <row r="9" spans="1:13" s="1" customFormat="1" ht="12" customHeight="1" x14ac:dyDescent="0.25">
      <c r="C9" s="11"/>
      <c r="D9" s="76" t="s">
        <v>28</v>
      </c>
      <c r="E9" s="76"/>
      <c r="F9" s="76"/>
      <c r="G9" s="76"/>
      <c r="H9" s="76"/>
      <c r="J9" s="77" t="s">
        <v>17</v>
      </c>
      <c r="K9" s="77"/>
      <c r="L9" s="77"/>
      <c r="M9" s="11"/>
    </row>
    <row r="10" spans="1:13" s="1" customFormat="1" ht="12" customHeight="1" x14ac:dyDescent="0.25">
      <c r="A10" s="10" t="s">
        <v>27</v>
      </c>
      <c r="B10" s="10"/>
      <c r="C10" s="10"/>
      <c r="D10" s="12"/>
      <c r="E10" s="11"/>
      <c r="F10" s="11"/>
      <c r="J10" s="76" t="s">
        <v>18</v>
      </c>
      <c r="K10" s="76"/>
      <c r="L10" s="76"/>
      <c r="M10" s="10"/>
    </row>
    <row r="11" spans="1:13" ht="16.5" customHeight="1" thickBot="1" x14ac:dyDescent="0.3">
      <c r="A11" s="66" t="s">
        <v>19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</row>
    <row r="12" spans="1:13" s="13" customFormat="1" ht="18.75" customHeight="1" x14ac:dyDescent="0.2">
      <c r="A12" s="78" t="s">
        <v>20</v>
      </c>
      <c r="B12" s="67" t="s">
        <v>4</v>
      </c>
      <c r="C12" s="82" t="s">
        <v>21</v>
      </c>
      <c r="D12" s="83"/>
      <c r="E12" s="82" t="s">
        <v>22</v>
      </c>
      <c r="F12" s="83"/>
      <c r="G12" s="82" t="s">
        <v>23</v>
      </c>
      <c r="H12" s="83"/>
      <c r="I12" s="82" t="s">
        <v>24</v>
      </c>
      <c r="J12" s="83"/>
      <c r="K12" s="82" t="s">
        <v>25</v>
      </c>
      <c r="L12" s="83"/>
      <c r="M12" s="71" t="s">
        <v>8</v>
      </c>
    </row>
    <row r="13" spans="1:13" s="13" customFormat="1" ht="18.75" customHeight="1" x14ac:dyDescent="0.2">
      <c r="A13" s="79"/>
      <c r="B13" s="81"/>
      <c r="C13" s="84"/>
      <c r="D13" s="85"/>
      <c r="E13" s="84"/>
      <c r="F13" s="85"/>
      <c r="G13" s="84"/>
      <c r="H13" s="85"/>
      <c r="I13" s="84"/>
      <c r="J13" s="85"/>
      <c r="K13" s="84"/>
      <c r="L13" s="85"/>
      <c r="M13" s="88"/>
    </row>
    <row r="14" spans="1:13" s="13" customFormat="1" ht="24" customHeight="1" x14ac:dyDescent="0.2">
      <c r="A14" s="80"/>
      <c r="B14" s="68"/>
      <c r="C14" s="86"/>
      <c r="D14" s="87"/>
      <c r="E14" s="86"/>
      <c r="F14" s="87"/>
      <c r="G14" s="86"/>
      <c r="H14" s="87"/>
      <c r="I14" s="86"/>
      <c r="J14" s="87"/>
      <c r="K14" s="86"/>
      <c r="L14" s="87"/>
      <c r="M14" s="72"/>
    </row>
    <row r="15" spans="1:13" s="13" customFormat="1" ht="30" x14ac:dyDescent="0.2">
      <c r="A15" s="7" t="s">
        <v>29</v>
      </c>
      <c r="B15" s="14" t="s">
        <v>31</v>
      </c>
      <c r="C15" s="56" t="s">
        <v>33</v>
      </c>
      <c r="D15" s="57"/>
      <c r="E15" s="56"/>
      <c r="F15" s="57"/>
      <c r="G15" s="89">
        <v>10</v>
      </c>
      <c r="H15" s="89"/>
      <c r="I15" s="56">
        <v>0</v>
      </c>
      <c r="J15" s="58"/>
      <c r="K15" s="56">
        <v>5</v>
      </c>
      <c r="L15" s="58"/>
      <c r="M15" s="6">
        <v>5</v>
      </c>
    </row>
    <row r="16" spans="1:13" s="13" customFormat="1" ht="30" x14ac:dyDescent="0.2">
      <c r="A16" s="7" t="s">
        <v>30</v>
      </c>
      <c r="B16" s="15" t="s">
        <v>32</v>
      </c>
      <c r="C16" s="56" t="s">
        <v>34</v>
      </c>
      <c r="D16" s="58"/>
      <c r="E16" s="56"/>
      <c r="F16" s="58"/>
      <c r="G16" s="89"/>
      <c r="H16" s="89"/>
      <c r="I16" s="56">
        <v>0</v>
      </c>
      <c r="J16" s="58"/>
      <c r="K16" s="56">
        <v>5</v>
      </c>
      <c r="L16" s="58"/>
      <c r="M16" s="6">
        <v>10</v>
      </c>
    </row>
    <row r="17" spans="1:13" s="13" customFormat="1" ht="30" x14ac:dyDescent="0.2">
      <c r="A17" s="7" t="s">
        <v>29</v>
      </c>
      <c r="B17" s="15" t="s">
        <v>35</v>
      </c>
      <c r="C17" s="56" t="s">
        <v>34</v>
      </c>
      <c r="D17" s="58"/>
      <c r="E17" s="56"/>
      <c r="F17" s="58"/>
      <c r="G17" s="89">
        <v>10</v>
      </c>
      <c r="H17" s="89"/>
      <c r="I17" s="56">
        <v>4</v>
      </c>
      <c r="J17" s="58"/>
      <c r="K17" s="56">
        <v>1</v>
      </c>
      <c r="L17" s="58"/>
      <c r="M17" s="6">
        <v>6</v>
      </c>
    </row>
    <row r="18" spans="1:13" s="16" customFormat="1" ht="30" x14ac:dyDescent="0.2">
      <c r="A18" s="7" t="s">
        <v>30</v>
      </c>
      <c r="B18" s="15" t="s">
        <v>36</v>
      </c>
      <c r="C18" s="56" t="s">
        <v>34</v>
      </c>
      <c r="D18" s="58"/>
      <c r="E18" s="56"/>
      <c r="F18" s="58"/>
      <c r="G18" s="56">
        <v>6</v>
      </c>
      <c r="H18" s="58"/>
      <c r="I18" s="56">
        <v>3</v>
      </c>
      <c r="J18" s="58"/>
      <c r="K18" s="56">
        <v>1</v>
      </c>
      <c r="L18" s="58"/>
      <c r="M18" s="6">
        <v>3</v>
      </c>
    </row>
    <row r="19" spans="1:13" s="16" customFormat="1" ht="30" x14ac:dyDescent="0.2">
      <c r="A19" s="7" t="s">
        <v>30</v>
      </c>
      <c r="B19" s="15" t="s">
        <v>37</v>
      </c>
      <c r="C19" s="56" t="s">
        <v>34</v>
      </c>
      <c r="D19" s="58"/>
      <c r="E19" s="56"/>
      <c r="F19" s="58"/>
      <c r="G19" s="56">
        <v>3</v>
      </c>
      <c r="H19" s="58"/>
      <c r="I19" s="56">
        <v>3</v>
      </c>
      <c r="J19" s="58"/>
      <c r="K19" s="56">
        <v>0</v>
      </c>
      <c r="L19" s="58"/>
      <c r="M19" s="19">
        <v>0</v>
      </c>
    </row>
    <row r="20" spans="1:13" s="1" customFormat="1" ht="64.5" customHeight="1" x14ac:dyDescent="0.25">
      <c r="A20" s="17"/>
      <c r="B20" s="17"/>
      <c r="D20" s="5"/>
      <c r="M20" s="17"/>
    </row>
    <row r="21" spans="1:13" s="1" customFormat="1" x14ac:dyDescent="0.25">
      <c r="D21" s="5"/>
    </row>
    <row r="22" spans="1:13" s="1" customFormat="1" x14ac:dyDescent="0.25">
      <c r="D22" s="5"/>
    </row>
  </sheetData>
  <mergeCells count="42">
    <mergeCell ref="I18:J18"/>
    <mergeCell ref="K18:L18"/>
    <mergeCell ref="C19:D19"/>
    <mergeCell ref="E19:F19"/>
    <mergeCell ref="G19:H19"/>
    <mergeCell ref="I19:J19"/>
    <mergeCell ref="K19:L19"/>
    <mergeCell ref="G18:H18"/>
    <mergeCell ref="C18:D18"/>
    <mergeCell ref="E18:F18"/>
    <mergeCell ref="I15:J15"/>
    <mergeCell ref="K15:L15"/>
    <mergeCell ref="C17:D17"/>
    <mergeCell ref="E17:F17"/>
    <mergeCell ref="I17:J17"/>
    <mergeCell ref="K17:L17"/>
    <mergeCell ref="G17:H17"/>
    <mergeCell ref="G15:H16"/>
    <mergeCell ref="C15:D15"/>
    <mergeCell ref="E15:F15"/>
    <mergeCell ref="C16:D16"/>
    <mergeCell ref="E16:F16"/>
    <mergeCell ref="I16:J16"/>
    <mergeCell ref="K16:L16"/>
    <mergeCell ref="D9:H9"/>
    <mergeCell ref="J9:L9"/>
    <mergeCell ref="J10:L10"/>
    <mergeCell ref="A11:M11"/>
    <mergeCell ref="A12:A14"/>
    <mergeCell ref="B12:B14"/>
    <mergeCell ref="C12:D14"/>
    <mergeCell ref="E12:F14"/>
    <mergeCell ref="G12:H14"/>
    <mergeCell ref="I12:J14"/>
    <mergeCell ref="K12:L14"/>
    <mergeCell ref="M12:M14"/>
    <mergeCell ref="A2:M2"/>
    <mergeCell ref="A3:M3"/>
    <mergeCell ref="A4:M4"/>
    <mergeCell ref="A5:M5"/>
    <mergeCell ref="D8:H8"/>
    <mergeCell ref="J8:L8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 (2)</vt:lpstr>
      <vt:lpstr>CTO</vt:lpstr>
      <vt:lpstr>ELECTION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2025-05-14T06:30:11Z</cp:lastPrinted>
  <dcterms:created xsi:type="dcterms:W3CDTF">2021-10-07T06:10:16Z</dcterms:created>
  <dcterms:modified xsi:type="dcterms:W3CDTF">2025-09-03T23:50:35Z</dcterms:modified>
</cp:coreProperties>
</file>