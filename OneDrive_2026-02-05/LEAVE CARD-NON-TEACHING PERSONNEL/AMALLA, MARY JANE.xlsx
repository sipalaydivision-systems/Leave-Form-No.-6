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24DFD90-960A-4198-A1B4-596F27711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  <sheet name="ELECTION" sheetId="8" r:id="rId3"/>
  </sheets>
  <definedNames>
    <definedName name="_xlnm.Print_Area" localSheetId="0">'Leave Card (NE)'!$A$1:$J$73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6" l="1"/>
  <c r="I70" i="6"/>
  <c r="J70" i="6" s="1"/>
  <c r="B32" i="6" l="1"/>
  <c r="I14" i="6" l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H14" i="6"/>
  <c r="I48" i="6" l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J14" i="6"/>
  <c r="H15" i="6"/>
  <c r="H16" i="6" s="1"/>
  <c r="J15" i="6" l="1"/>
  <c r="H17" i="6"/>
  <c r="J16" i="6"/>
  <c r="H18" i="6" l="1"/>
  <c r="J17" i="6"/>
  <c r="H19" i="6" l="1"/>
  <c r="J18" i="6"/>
  <c r="H20" i="6" l="1"/>
  <c r="J19" i="6"/>
  <c r="H21" i="6" l="1"/>
  <c r="J20" i="6"/>
  <c r="H22" i="6" l="1"/>
  <c r="J21" i="6"/>
  <c r="H23" i="6" l="1"/>
  <c r="J22" i="6"/>
  <c r="H24" i="6" l="1"/>
  <c r="J23" i="6"/>
  <c r="H25" i="6" l="1"/>
  <c r="J24" i="6"/>
  <c r="H26" i="6" l="1"/>
  <c r="J25" i="6"/>
  <c r="J26" i="6" l="1"/>
  <c r="H27" i="6"/>
  <c r="H28" i="6" l="1"/>
  <c r="J27" i="6"/>
  <c r="H29" i="6" l="1"/>
  <c r="H30" i="6" s="1"/>
  <c r="J28" i="6"/>
  <c r="H31" i="6" l="1"/>
  <c r="J30" i="6"/>
  <c r="J29" i="6"/>
  <c r="H32" i="6" l="1"/>
  <c r="J31" i="6"/>
  <c r="J32" i="6" l="1"/>
  <c r="H33" i="6"/>
  <c r="H34" i="6" l="1"/>
  <c r="J33" i="6"/>
  <c r="H35" i="6" l="1"/>
  <c r="J34" i="6"/>
  <c r="J35" i="6" l="1"/>
  <c r="H36" i="6"/>
  <c r="H37" i="6" l="1"/>
  <c r="J36" i="6"/>
  <c r="H38" i="6" l="1"/>
  <c r="J37" i="6"/>
  <c r="H39" i="6" l="1"/>
  <c r="J38" i="6"/>
  <c r="J39" i="6" l="1"/>
  <c r="H40" i="6"/>
  <c r="J40" i="6" l="1"/>
  <c r="H41" i="6"/>
  <c r="H42" i="6" l="1"/>
  <c r="J41" i="6"/>
  <c r="H43" i="6" l="1"/>
  <c r="J42" i="6"/>
  <c r="J43" i="6" l="1"/>
  <c r="H44" i="6"/>
  <c r="H45" i="6" l="1"/>
  <c r="J44" i="6"/>
  <c r="J45" i="6" l="1"/>
  <c r="H46" i="6"/>
  <c r="J46" i="6" l="1"/>
  <c r="H47" i="6"/>
  <c r="H48" i="6" l="1"/>
  <c r="J47" i="6"/>
  <c r="H49" i="6" l="1"/>
  <c r="J48" i="6"/>
  <c r="J49" i="6" l="1"/>
  <c r="H50" i="6"/>
  <c r="J50" i="6" l="1"/>
  <c r="H51" i="6"/>
  <c r="J51" i="6" l="1"/>
  <c r="H52" i="6"/>
  <c r="J52" i="6" l="1"/>
  <c r="H53" i="6"/>
  <c r="H54" i="6" l="1"/>
  <c r="J53" i="6"/>
  <c r="J54" i="6" l="1"/>
  <c r="H55" i="6"/>
  <c r="H56" i="6" l="1"/>
  <c r="J55" i="6"/>
  <c r="J56" i="6" l="1"/>
  <c r="H57" i="6"/>
  <c r="J57" i="6" l="1"/>
  <c r="H58" i="6"/>
  <c r="H59" i="6" l="1"/>
  <c r="J58" i="6"/>
  <c r="J59" i="6" l="1"/>
  <c r="H60" i="6"/>
  <c r="J60" i="6" l="1"/>
  <c r="H61" i="6"/>
  <c r="J61" i="6" l="1"/>
  <c r="H62" i="6"/>
  <c r="J62" i="6" l="1"/>
  <c r="H63" i="6"/>
  <c r="J63" i="6" l="1"/>
  <c r="H64" i="6"/>
  <c r="H65" i="6" l="1"/>
  <c r="J64" i="6"/>
  <c r="J65" i="6" l="1"/>
  <c r="H66" i="6"/>
  <c r="J66" i="6" l="1"/>
  <c r="H67" i="6"/>
  <c r="H68" i="6" l="1"/>
  <c r="J67" i="6"/>
  <c r="J68" i="6" l="1"/>
  <c r="H69" i="6"/>
  <c r="J69" i="6" s="1"/>
</calcChain>
</file>

<file path=xl/sharedStrings.xml><?xml version="1.0" encoding="utf-8"?>
<sst xmlns="http://schemas.openxmlformats.org/spreadsheetml/2006/main" count="159" uniqueCount="118">
  <si>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</si>
  <si>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</si>
  <si>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</si>
  <si>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</si>
  <si>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</si>
  <si>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</si>
  <si>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</si>
  <si>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</si>
  <si>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</si>
  <si>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</si>
  <si>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</si>
  <si>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</si>
  <si>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</si>
  <si>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</si>
  <si>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</si>
  <si>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</si>
  <si>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ORIGINAL APPOINTMENT: DEC 15, 2021</t>
  </si>
  <si>
    <t>ADD: 12/15/21 - 12/31/21</t>
  </si>
  <si>
    <t>LESS: 07/15/22</t>
  </si>
  <si>
    <t>ADD: 01/01/22 - 05/31/22</t>
  </si>
  <si>
    <t>ADD: 06/01/22 - 06/30/22</t>
  </si>
  <si>
    <t>LESS: 07/29/22</t>
  </si>
  <si>
    <t>ADD: 07/01/22 - 08/31/22</t>
  </si>
  <si>
    <t>LESS: 10/03/22</t>
  </si>
  <si>
    <t>ADD: 09/01/22 - 09/30/22</t>
  </si>
  <si>
    <t>LESS: 11/11/22</t>
  </si>
  <si>
    <t>LESS: 12/01 &amp; 02/22</t>
  </si>
  <si>
    <t>Name: _____________________________</t>
  </si>
  <si>
    <t>POSITION: __________________________</t>
  </si>
  <si>
    <t>SCHOOL/OFFICE:_____________________</t>
  </si>
  <si>
    <t>DISTRICT: ____________________________</t>
  </si>
  <si>
    <t>ADD: 10/01/22 - 11/30/22</t>
  </si>
  <si>
    <t>LESS: 12/28 &amp; 29/22</t>
  </si>
  <si>
    <t>ADD: 12/01/22 - 12/31/22</t>
  </si>
  <si>
    <t>ADD: 01/01/23 - 02/28/23</t>
  </si>
  <si>
    <t>DISTRICT: ___________________________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</si>
  <si>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</si>
  <si>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</si>
  <si>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</si>
  <si>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</si>
  <si>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</si>
  <si>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</si>
  <si>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</si>
  <si>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NOTE:  Valid for one (1) year only</t>
  </si>
  <si>
    <t>Certified Correct:</t>
  </si>
  <si>
    <t>MA. LUISA B. CATIGAN</t>
  </si>
  <si>
    <t>Administrative Officer IV</t>
  </si>
  <si>
    <t>LESS: 03/17/2023</t>
  </si>
  <si>
    <t>LESS: 03/22/2023 (pm)</t>
  </si>
  <si>
    <t>LESS: 04/28 &amp; 05/02/23</t>
  </si>
  <si>
    <t>ADD: 03/01/23 - 06/30/23</t>
  </si>
  <si>
    <t>LESS: 07/14/23</t>
  </si>
  <si>
    <t>LESS: 07/27/23</t>
  </si>
  <si>
    <t>ADD: 06/22/2023</t>
  </si>
  <si>
    <t xml:space="preserve">S.O. #056, S. 2023. COMPLIANCE WITH THE SUBPOENA TECUM RELATIVE TO SUPPLY AND DELIVERY OF LAPTOP COMPUTERS FOR PUBLIC SCHOOL TEACHERS FOR THE DEPED </t>
  </si>
  <si>
    <t>LESS: 10/05/2023</t>
  </si>
  <si>
    <t>ADD: 07/01/2023-9/30/2023</t>
  </si>
  <si>
    <t>LESS: 10/11/2023</t>
  </si>
  <si>
    <t>LESS: 11/03/2023</t>
  </si>
  <si>
    <t>ADD: 10/01/2023-10/31/2023</t>
  </si>
  <si>
    <t>LESS: MONETIZATION 2023</t>
  </si>
  <si>
    <t>LESS: 11/28/2023</t>
  </si>
  <si>
    <t>LESS: 12/27/2023</t>
  </si>
  <si>
    <t>ADD: 11/01/2023-11/30/2023</t>
  </si>
  <si>
    <t>ADD: 12/01/2023-12/31/2023</t>
  </si>
  <si>
    <t>LESS: 01/02/2024</t>
  </si>
  <si>
    <t>ADD: 10/17/2023</t>
  </si>
  <si>
    <t>S.O. # 159, S. 2023. 125TH PHILIPPINE INDEPENDENCE DAY CELEBRATION</t>
  </si>
  <si>
    <t>ADD: 01/01/2024-01/31/2024</t>
  </si>
  <si>
    <t>ADD: (DISAPPROVED FL-12/27/2023)</t>
  </si>
  <si>
    <t>ADD: 02/01/2024-02/29/2024</t>
  </si>
  <si>
    <t>LESS: 02/20/2024</t>
  </si>
  <si>
    <t>LESS: 04/08/2024</t>
  </si>
  <si>
    <t>ADD: 03/1-31/2024</t>
  </si>
  <si>
    <t>LESS: 04/30/2024</t>
  </si>
  <si>
    <t>ADD: 04/1/2024-05/31/2024</t>
  </si>
  <si>
    <t>LESS: 06/5-6/2024</t>
  </si>
  <si>
    <t>SPECIAL ORDER FOR ELECTION (NATONAL/BARANGAY AND SK ELECTION)</t>
  </si>
  <si>
    <t>SPECIAL ORDER NO. AND DATE ISSUED</t>
  </si>
  <si>
    <t>NATIONAL ELECTION</t>
  </si>
  <si>
    <t>BARANGAY ELECTION/SK ELECTION</t>
  </si>
  <si>
    <t>SO# 010,S.2024</t>
  </si>
  <si>
    <t>APRIL 30, 2024</t>
  </si>
  <si>
    <t>OCTOBER 30, 2023 (BRGY. &amp; SK ELECTION)</t>
  </si>
  <si>
    <t>LESS: 07/15-16/2024</t>
  </si>
  <si>
    <t>LESS: 09/12/2024</t>
  </si>
  <si>
    <t>ADD: 06/1/2024-10/31/2024</t>
  </si>
  <si>
    <t>LESS: 11/27-28/2024</t>
  </si>
  <si>
    <t>LESS: 11/29/2024</t>
  </si>
  <si>
    <t>LESS: 12/2 &amp; 6/2024</t>
  </si>
  <si>
    <t>ADD: 11/1-30/2024</t>
  </si>
  <si>
    <t>LESS: 12/26-27/2024</t>
  </si>
  <si>
    <t>ADD: 06/26/2024</t>
  </si>
  <si>
    <t>S.O. # 024, S. 2024. 126TH PHILIPPINE INDEPENDENCE DAY CELEBRATION</t>
  </si>
  <si>
    <t>LESS: 12/9/2024</t>
  </si>
  <si>
    <t xml:space="preserve">         HRMO</t>
  </si>
  <si>
    <t>ADD: 12/1-31/2024</t>
  </si>
  <si>
    <t>LESS: 01/20/2025</t>
  </si>
  <si>
    <t>LESS: 01/28/2025</t>
  </si>
  <si>
    <t>ADD: 01/1-31/2025</t>
  </si>
  <si>
    <t>LESS: 02/12/2025</t>
  </si>
  <si>
    <t>ADD: 02/05/2025</t>
  </si>
  <si>
    <t>S.O # 002, S. 2025 -RIZAL DAY2024</t>
  </si>
  <si>
    <t>LESS: 02/10/2025</t>
  </si>
  <si>
    <t>LESS: 02/26/2025</t>
  </si>
  <si>
    <t>ADD: 02/1-28/2025</t>
  </si>
  <si>
    <t>LESS: 02/27-28/2025</t>
  </si>
  <si>
    <t>LESS: 03/25/2025</t>
  </si>
  <si>
    <t>ADD: 03/1-31/2025</t>
  </si>
  <si>
    <t>LESS: 04/21/2025</t>
  </si>
  <si>
    <t>ADD: 04/1/2025-05/31/2025</t>
  </si>
  <si>
    <t>LESS: MONETIZATION 2025 (30 DAYS)</t>
  </si>
  <si>
    <t>LESS: 06/30/2025</t>
  </si>
  <si>
    <t>ADD: 07/1/2025</t>
  </si>
  <si>
    <t>S.O. # 044, S. 2025. 127TH PHILIPPINE INDEPENDENCE DAY CELEBRATION</t>
  </si>
  <si>
    <t>LESS: 07/1/2025</t>
  </si>
  <si>
    <t>ADD: 06/1/2025-08/31/2025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</si>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</sst>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0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3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9" fillId="2" borderId="0" xfId="1" applyFill="1"/>
    <xf numFmtId="0" fontId="1" fillId="2" borderId="0" xfId="1" applyFont="1" applyFill="1" applyAlignment="1">
      <alignment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3" xfId="1" applyFont="1" applyFill="1" applyBorder="1" applyAlignment="1">
      <alignment vertical="center"/>
    </xf>
    <xf numFmtId="0" fontId="9" fillId="2" borderId="5" xfId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vertical="center" wrapText="1"/>
    </xf>
    <xf numFmtId="0" fontId="12" fillId="2" borderId="14" xfId="1" applyFont="1" applyFill="1" applyBorder="1" applyAlignment="1">
      <alignment vertical="center" wrapText="1"/>
    </xf>
    <xf numFmtId="0" fontId="9" fillId="2" borderId="15" xfId="1" applyFill="1" applyBorder="1" applyAlignment="1">
      <alignment horizontal="center" vertical="center" wrapText="1"/>
    </xf>
    <xf numFmtId="0" fontId="9" fillId="0" borderId="0" xfId="1" applyAlignment="1">
      <alignment vertical="center"/>
    </xf>
    <xf numFmtId="0" fontId="12" fillId="2" borderId="0" xfId="1" applyFont="1" applyFill="1" applyAlignment="1">
      <alignment horizontal="center" vertical="center" wrapText="1"/>
    </xf>
    <xf numFmtId="0" fontId="9" fillId="2" borderId="0" xfId="1" applyFill="1" applyAlignment="1">
      <alignment horizontal="center" vertical="center" wrapText="1"/>
    </xf>
    <xf numFmtId="0" fontId="9" fillId="2" borderId="0" xfId="1" applyFill="1" applyAlignment="1">
      <alignment horizontal="center"/>
    </xf>
    <xf numFmtId="0" fontId="9" fillId="0" borderId="0" xfId="1"/>
    <xf numFmtId="0" fontId="9" fillId="2" borderId="1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8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9" borderId="1" xfId="1" applyFill="1" applyBorder="1" applyAlignment="1">
      <alignment horizontal="center" vertical="center" wrapText="1"/>
    </xf>
    <xf numFmtId="0" fontId="9" fillId="9" borderId="15" xfId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/>
    </xf>
    <xf numFmtId="0" fontId="7" fillId="0" borderId="0" xfId="1" applyFont="1"/>
    <xf numFmtId="0" fontId="6" fillId="0" borderId="0" xfId="1" applyFont="1"/>
    <xf numFmtId="0" fontId="0" fillId="2" borderId="5" xfId="1" applyFont="1" applyFill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2" fillId="2" borderId="13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0" fillId="0" borderId="0" xfId="1" applyFont="1" applyAlignment="1">
      <alignment horizontal="center"/>
    </xf>
    <xf numFmtId="0" fontId="13" fillId="2" borderId="0" xfId="1" applyFont="1" applyFill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6" borderId="8" xfId="1" applyFont="1" applyFill="1" applyBorder="1" applyAlignment="1">
      <alignment horizontal="center" vertical="center"/>
    </xf>
    <xf numFmtId="0" fontId="11" fillId="6" borderId="9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12" fillId="7" borderId="13" xfId="1" applyFont="1" applyFill="1" applyBorder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2" fillId="7" borderId="14" xfId="1" applyFont="1" applyFill="1" applyBorder="1" applyAlignment="1">
      <alignment horizontal="center" vertical="center" wrapText="1"/>
    </xf>
    <xf numFmtId="0" fontId="9" fillId="2" borderId="0" xfId="1" applyFill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9" fillId="0" borderId="0" xfId="1" applyAlignment="1">
      <alignment horizontal="center" vertical="center"/>
    </xf>
    <xf numFmtId="0" fontId="14" fillId="2" borderId="13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85726</xdr:colOff>
      <xdr:row>70</xdr:row>
      <xdr:rowOff>219075</xdr:rowOff>
    </xdr:from>
    <xdr:to>
      <xdr:col>9</xdr:col>
      <xdr:colOff>742951</xdr:colOff>
      <xdr:row>72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6496051" y="15792450"/>
          <a:ext cx="29718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0</xdr:row>
      <xdr:rowOff>44449</xdr:rowOff>
    </xdr:from>
    <xdr:to>
      <xdr:col>3</xdr:col>
      <xdr:colOff>727319</xdr:colOff>
      <xdr:row>1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1CE575-41C9-412E-A81B-00BE547FD7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050" y="44449"/>
          <a:ext cx="727319" cy="6604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037E24-D2C8-421D-B68A-1D31BCC3D6CD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AMALLA, MARY JANE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F37029-A289-4687-9F96-BE3B190089B1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</a:t>
          </a:r>
        </a:p>
      </xdr:txBody>
    </xdr:sp>
    <xdr:clientData/>
  </xdr:twoCellAnchor>
  <xdr:twoCellAnchor>
    <xdr:from>
      <xdr:col>3</xdr:col>
      <xdr:colOff>281842</xdr:colOff>
      <xdr:row>7</xdr:row>
      <xdr:rowOff>41275</xdr:rowOff>
    </xdr:from>
    <xdr:to>
      <xdr:col>5</xdr:col>
      <xdr:colOff>304799</xdr:colOff>
      <xdr:row>8</xdr:row>
      <xdr:rowOff>130909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49AB70-CF37-4450-92F3-B8A81C4D34C1}"/>
            </a:ext>
          </a:extLst>
        </xdr:cNvPr>
        <xdr:cNvSpPr txBox="1"/>
      </xdr:nvSpPr>
      <xdr:spPr>
        <a:xfrm>
          <a:off x="4377592" y="1698625"/>
          <a:ext cx="1566007" cy="242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381000</xdr:colOff>
      <xdr:row>0</xdr:row>
      <xdr:rowOff>29030</xdr:rowOff>
    </xdr:from>
    <xdr:ext cx="599847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1FF5620B-126B-4F13-A9C3-7E009232C4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29030"/>
          <a:ext cx="599847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C16F9F-1209-4F85-AD6B-C0883B1ADF76}"/>
            </a:ext>
          </a:extLst>
        </xdr:cNvPr>
        <xdr:cNvSpPr txBox="1"/>
      </xdr:nvSpPr>
      <xdr:spPr>
        <a:xfrm>
          <a:off x="573942" y="1377461"/>
          <a:ext cx="210575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AMALLA, MARY JANE</a:t>
          </a:r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BBA2CB-8461-4A5E-B989-8CEF21E28E84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46B4BF-C289-4046-8129-52B9650CFC14}"/>
            </a:ext>
          </a:extLst>
        </xdr:cNvPr>
        <xdr:cNvSpPr txBox="1"/>
      </xdr:nvSpPr>
      <xdr:spPr>
        <a:xfrm>
          <a:off x="3816123" y="1706110"/>
          <a:ext cx="14541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17</xdr:row>
      <xdr:rowOff>285750</xdr:rowOff>
    </xdr:from>
    <xdr:to>
      <xdr:col>12</xdr:col>
      <xdr:colOff>381000</xdr:colOff>
      <xdr:row>20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DAEDA5-2237-42FF-B3F8-4524B789A774}"/>
            </a:ext>
          </a:extLst>
        </xdr:cNvPr>
        <xdr:cNvSpPr txBox="1"/>
      </xdr:nvSpPr>
      <xdr:spPr>
        <a:xfrm>
          <a:off x="6905625" y="6610350"/>
          <a:ext cx="29813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71F08E-88F4-4F6B-BB08-D5C734A2E84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8407"/>
          <a:ext cx="664756" cy="6212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8A8428-6C3F-4E62-AAE0-B3D95FC72701}"/>
            </a:ext>
          </a:extLst>
        </xdr:cNvPr>
        <xdr:cNvSpPr txBox="1"/>
      </xdr:nvSpPr>
      <xdr:spPr>
        <a:xfrm>
          <a:off x="554892" y="1418736"/>
          <a:ext cx="1559658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AMALLA, MARY JANE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9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0EB8CC7-BC85-44B0-8C1F-54F6C4D5D0FC}"/>
            </a:ext>
          </a:extLst>
        </xdr:cNvPr>
        <xdr:cNvSpPr txBox="1"/>
      </xdr:nvSpPr>
      <xdr:spPr>
        <a:xfrm>
          <a:off x="654783" y="1746982"/>
          <a:ext cx="130394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9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778A51-8D0E-449E-90DB-C479872DE0F3}"/>
            </a:ext>
          </a:extLst>
        </xdr:cNvPr>
        <xdr:cNvSpPr txBox="1"/>
      </xdr:nvSpPr>
      <xdr:spPr>
        <a:xfrm>
          <a:off x="2982845" y="1750584"/>
          <a:ext cx="1914608" cy="23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3"/>
  <sheetViews>
    <sheetView tabSelected="1" view="pageBreakPreview" topLeftCell="A58" zoomScaleNormal="100" zoomScaleSheetLayoutView="100" workbookViewId="0">
      <selection activeCell="A69" sqref="A69:XFD69"/>
    </sheetView>
  </sheetViews>
  <sheetFormatPr defaultRowHeight="15" x14ac:dyDescent="0.25"/>
  <cols>
    <col min="1" max="1" width="38.28515625" style="27" customWidth="1"/>
    <col min="2" max="2" width="11.5703125" style="27" customWidth="1"/>
    <col min="3" max="10" width="11.5703125" customWidth="1"/>
  </cols>
  <sheetData>
    <row r="1" spans="1:10" s="1" customFormat="1" ht="52.5" customHeight="1" x14ac:dyDescent="0.25">
      <c r="A1" s="26"/>
      <c r="B1" s="27"/>
      <c r="C1"/>
      <c r="D1"/>
      <c r="E1"/>
      <c r="F1"/>
      <c r="H1"/>
      <c r="I1"/>
    </row>
    <row r="2" spans="1:10" s="1" customFormat="1" ht="10.5" customHeight="1" x14ac:dyDescent="0.25">
      <c r="A2" s="50" t="s">
        <v>12</v>
      </c>
      <c r="B2" s="50"/>
      <c r="C2" s="50"/>
      <c r="D2" s="50"/>
      <c r="E2" s="50"/>
      <c r="F2" s="50"/>
      <c r="G2" s="50"/>
      <c r="H2" s="50"/>
      <c r="I2" s="50"/>
    </row>
    <row r="3" spans="1:10" s="1" customFormat="1" ht="15.95" customHeight="1" x14ac:dyDescent="0.25">
      <c r="A3" s="50" t="s">
        <v>13</v>
      </c>
      <c r="B3" s="50"/>
      <c r="C3" s="50"/>
      <c r="D3" s="50"/>
      <c r="E3" s="50"/>
      <c r="F3" s="50"/>
      <c r="G3" s="50"/>
      <c r="H3" s="50"/>
      <c r="I3" s="50"/>
    </row>
    <row r="4" spans="1:10" s="1" customFormat="1" ht="15.95" customHeight="1" x14ac:dyDescent="0.25">
      <c r="A4" s="50" t="s">
        <v>14</v>
      </c>
      <c r="B4" s="50"/>
      <c r="C4" s="50"/>
      <c r="D4" s="50"/>
      <c r="E4" s="50"/>
      <c r="F4" s="50"/>
      <c r="G4" s="50"/>
      <c r="H4" s="50"/>
      <c r="I4" s="50"/>
    </row>
    <row r="5" spans="1:10" s="1" customFormat="1" ht="15.95" customHeight="1" x14ac:dyDescent="0.25">
      <c r="A5" s="50" t="s">
        <v>15</v>
      </c>
      <c r="B5" s="50"/>
      <c r="C5" s="50"/>
      <c r="D5" s="50"/>
      <c r="E5" s="50"/>
      <c r="F5" s="50"/>
      <c r="G5" s="50"/>
      <c r="H5" s="50"/>
      <c r="I5" s="50"/>
    </row>
    <row r="6" spans="1:10" s="1" customFormat="1" ht="8.25" customHeight="1" x14ac:dyDescent="0.25">
      <c r="A6" s="26"/>
      <c r="B6" s="27"/>
      <c r="C6"/>
      <c r="D6"/>
      <c r="E6"/>
      <c r="F6"/>
      <c r="H6"/>
      <c r="I6"/>
    </row>
    <row r="7" spans="1:10" s="1" customFormat="1" ht="12" customHeight="1" x14ac:dyDescent="0.25">
      <c r="A7" s="26" t="s">
        <v>27</v>
      </c>
      <c r="B7" s="36" t="s">
        <v>30</v>
      </c>
      <c r="C7" s="33"/>
      <c r="D7"/>
      <c r="E7"/>
      <c r="F7"/>
      <c r="G7" s="2" t="s">
        <v>9</v>
      </c>
      <c r="H7" s="32"/>
      <c r="I7" s="33"/>
    </row>
    <row r="8" spans="1:10" s="1" customFormat="1" ht="12" customHeight="1" x14ac:dyDescent="0.25">
      <c r="A8" s="26"/>
      <c r="B8" s="37"/>
      <c r="C8" s="34"/>
      <c r="D8"/>
      <c r="E8"/>
      <c r="F8"/>
      <c r="G8" s="3"/>
      <c r="H8" s="34"/>
      <c r="I8" s="34"/>
    </row>
    <row r="9" spans="1:10" s="1" customFormat="1" ht="12" customHeight="1" x14ac:dyDescent="0.25">
      <c r="A9" s="26" t="s">
        <v>28</v>
      </c>
      <c r="B9" s="64" t="s">
        <v>29</v>
      </c>
      <c r="C9" s="64"/>
      <c r="D9"/>
      <c r="E9"/>
      <c r="F9"/>
      <c r="G9" s="2" t="s">
        <v>10</v>
      </c>
      <c r="H9" s="35"/>
      <c r="I9" s="33"/>
    </row>
    <row r="10" spans="1:10" ht="16.5" customHeight="1" thickBot="1" x14ac:dyDescent="0.3">
      <c r="A10" s="60" t="s">
        <v>0</v>
      </c>
      <c r="B10" s="60"/>
      <c r="C10" s="60"/>
      <c r="D10" s="60"/>
      <c r="E10" s="60"/>
      <c r="F10" s="60"/>
      <c r="G10" s="60"/>
      <c r="H10" s="60"/>
      <c r="I10" s="60"/>
      <c r="J10" s="60"/>
    </row>
    <row r="11" spans="1:10" s="6" customFormat="1" ht="18.75" customHeight="1" x14ac:dyDescent="0.2">
      <c r="A11" s="52" t="s">
        <v>4</v>
      </c>
      <c r="B11" s="56" t="s">
        <v>5</v>
      </c>
      <c r="C11" s="57"/>
      <c r="D11" s="58" t="s">
        <v>6</v>
      </c>
      <c r="E11" s="59"/>
      <c r="F11" s="59"/>
      <c r="G11" s="59"/>
      <c r="H11" s="56" t="s">
        <v>7</v>
      </c>
      <c r="I11" s="57"/>
      <c r="J11" s="54" t="s">
        <v>8</v>
      </c>
    </row>
    <row r="12" spans="1:10" s="6" customFormat="1" ht="28.5" customHeight="1" x14ac:dyDescent="0.2">
      <c r="A12" s="53"/>
      <c r="B12" s="29" t="s">
        <v>1</v>
      </c>
      <c r="C12" s="29" t="s">
        <v>2</v>
      </c>
      <c r="D12" s="29" t="s">
        <v>1</v>
      </c>
      <c r="E12" s="29" t="s">
        <v>2</v>
      </c>
      <c r="F12" s="29" t="s">
        <v>3</v>
      </c>
      <c r="G12" s="7" t="s">
        <v>11</v>
      </c>
      <c r="H12" s="29" t="s">
        <v>1</v>
      </c>
      <c r="I12" s="29" t="s">
        <v>2</v>
      </c>
      <c r="J12" s="55"/>
    </row>
    <row r="13" spans="1:10" s="6" customFormat="1" ht="18" customHeight="1" x14ac:dyDescent="0.2">
      <c r="A13" s="61" t="s">
        <v>16</v>
      </c>
      <c r="B13" s="62"/>
      <c r="C13" s="62"/>
      <c r="D13" s="62"/>
      <c r="E13" s="62"/>
      <c r="F13" s="62"/>
      <c r="G13" s="62"/>
      <c r="H13" s="62"/>
      <c r="I13" s="62"/>
      <c r="J13" s="63"/>
    </row>
    <row r="14" spans="1:10" s="6" customFormat="1" ht="18" customHeight="1" x14ac:dyDescent="0.2">
      <c r="A14" s="8" t="s">
        <v>17</v>
      </c>
      <c r="B14" s="8">
        <v>0.70799999999999996</v>
      </c>
      <c r="C14" s="8">
        <v>0.70799999999999996</v>
      </c>
      <c r="D14" s="8"/>
      <c r="E14" s="8"/>
      <c r="F14" s="8"/>
      <c r="G14" s="9"/>
      <c r="H14" s="8">
        <f>B14</f>
        <v>0.70799999999999996</v>
      </c>
      <c r="I14" s="8">
        <f>C14</f>
        <v>0.70799999999999996</v>
      </c>
      <c r="J14" s="9">
        <f t="shared" ref="J14:J15" si="0">H14+I14</f>
        <v>1.4159999999999999</v>
      </c>
    </row>
    <row r="15" spans="1:10" s="5" customFormat="1" ht="18" customHeight="1" x14ac:dyDescent="0.2">
      <c r="A15" s="8" t="s">
        <v>19</v>
      </c>
      <c r="B15" s="8">
        <v>6.25</v>
      </c>
      <c r="C15" s="8">
        <v>6.25</v>
      </c>
      <c r="D15" s="8"/>
      <c r="E15" s="8"/>
      <c r="F15" s="8"/>
      <c r="G15" s="9"/>
      <c r="H15" s="8">
        <f>H14-F15-D15+B15</f>
        <v>6.9580000000000002</v>
      </c>
      <c r="I15" s="8">
        <f>I14-E15+C15</f>
        <v>6.9580000000000002</v>
      </c>
      <c r="J15" s="9">
        <f t="shared" si="0"/>
        <v>13.916</v>
      </c>
    </row>
    <row r="16" spans="1:10" s="5" customFormat="1" ht="18" customHeight="1" x14ac:dyDescent="0.2">
      <c r="A16" s="8" t="s">
        <v>18</v>
      </c>
      <c r="B16" s="8"/>
      <c r="C16" s="8"/>
      <c r="D16" s="8"/>
      <c r="E16" s="8"/>
      <c r="F16" s="8"/>
      <c r="G16" s="9">
        <v>1</v>
      </c>
      <c r="H16" s="8">
        <f t="shared" ref="H16:H23" si="1">H15-F16-D16+B16</f>
        <v>6.9580000000000002</v>
      </c>
      <c r="I16" s="8">
        <f t="shared" ref="I16:I23" si="2">I15-E16+C16</f>
        <v>6.9580000000000002</v>
      </c>
      <c r="J16" s="9">
        <f t="shared" ref="J16:J23" si="3">H16+I16</f>
        <v>13.916</v>
      </c>
    </row>
    <row r="17" spans="1:10" s="5" customFormat="1" ht="18" customHeight="1" x14ac:dyDescent="0.2">
      <c r="A17" s="8" t="s">
        <v>20</v>
      </c>
      <c r="B17" s="8">
        <v>1.25</v>
      </c>
      <c r="C17" s="8">
        <v>1.25</v>
      </c>
      <c r="D17" s="8"/>
      <c r="E17" s="8"/>
      <c r="F17" s="8"/>
      <c r="G17" s="9"/>
      <c r="H17" s="8">
        <f t="shared" si="1"/>
        <v>8.2080000000000002</v>
      </c>
      <c r="I17" s="8">
        <f t="shared" si="2"/>
        <v>8.2080000000000002</v>
      </c>
      <c r="J17" s="9">
        <f t="shared" si="3"/>
        <v>16.416</v>
      </c>
    </row>
    <row r="18" spans="1:10" s="5" customFormat="1" ht="18" customHeight="1" x14ac:dyDescent="0.2">
      <c r="A18" s="8" t="s">
        <v>21</v>
      </c>
      <c r="B18" s="8"/>
      <c r="C18" s="8"/>
      <c r="D18" s="8"/>
      <c r="E18" s="8"/>
      <c r="F18" s="8"/>
      <c r="G18" s="9">
        <v>1</v>
      </c>
      <c r="H18" s="8">
        <f t="shared" si="1"/>
        <v>8.2080000000000002</v>
      </c>
      <c r="I18" s="8">
        <f t="shared" si="2"/>
        <v>8.2080000000000002</v>
      </c>
      <c r="J18" s="9">
        <f t="shared" si="3"/>
        <v>16.416</v>
      </c>
    </row>
    <row r="19" spans="1:10" s="5" customFormat="1" ht="18" customHeight="1" x14ac:dyDescent="0.2">
      <c r="A19" s="8" t="s">
        <v>22</v>
      </c>
      <c r="B19" s="38">
        <v>2.5</v>
      </c>
      <c r="C19" s="8">
        <v>2.5</v>
      </c>
      <c r="D19" s="8"/>
      <c r="E19" s="8"/>
      <c r="F19" s="8"/>
      <c r="G19" s="9"/>
      <c r="H19" s="8">
        <f t="shared" si="1"/>
        <v>10.708</v>
      </c>
      <c r="I19" s="8">
        <f t="shared" si="2"/>
        <v>10.708</v>
      </c>
      <c r="J19" s="9">
        <f t="shared" si="3"/>
        <v>21.416</v>
      </c>
    </row>
    <row r="20" spans="1:10" s="5" customFormat="1" ht="18" customHeight="1" x14ac:dyDescent="0.2">
      <c r="A20" s="9" t="s">
        <v>23</v>
      </c>
      <c r="B20" s="8"/>
      <c r="C20" s="8"/>
      <c r="D20" s="8"/>
      <c r="E20" s="8"/>
      <c r="F20" s="8">
        <v>1</v>
      </c>
      <c r="G20" s="9"/>
      <c r="H20" s="8">
        <f t="shared" si="1"/>
        <v>9.7080000000000002</v>
      </c>
      <c r="I20" s="8">
        <f t="shared" si="2"/>
        <v>10.708</v>
      </c>
      <c r="J20" s="9">
        <f t="shared" si="3"/>
        <v>20.416</v>
      </c>
    </row>
    <row r="21" spans="1:10" s="5" customFormat="1" ht="18" customHeight="1" x14ac:dyDescent="0.2">
      <c r="A21" s="8" t="s">
        <v>24</v>
      </c>
      <c r="B21" s="8">
        <v>1.25</v>
      </c>
      <c r="C21" s="8">
        <v>1.25</v>
      </c>
      <c r="D21" s="8"/>
      <c r="E21" s="8"/>
      <c r="F21" s="8"/>
      <c r="G21" s="9"/>
      <c r="H21" s="8">
        <f t="shared" si="1"/>
        <v>10.958</v>
      </c>
      <c r="I21" s="8">
        <f t="shared" si="2"/>
        <v>11.958</v>
      </c>
      <c r="J21" s="9">
        <f t="shared" si="3"/>
        <v>22.916</v>
      </c>
    </row>
    <row r="22" spans="1:10" s="5" customFormat="1" ht="18" customHeight="1" x14ac:dyDescent="0.2">
      <c r="A22" s="9" t="s">
        <v>25</v>
      </c>
      <c r="B22" s="8"/>
      <c r="C22" s="8"/>
      <c r="D22" s="8"/>
      <c r="E22" s="8"/>
      <c r="F22" s="8"/>
      <c r="G22" s="9">
        <v>1</v>
      </c>
      <c r="H22" s="8">
        <f t="shared" si="1"/>
        <v>10.958</v>
      </c>
      <c r="I22" s="8">
        <f t="shared" si="2"/>
        <v>11.958</v>
      </c>
      <c r="J22" s="9">
        <f t="shared" si="3"/>
        <v>22.916</v>
      </c>
    </row>
    <row r="23" spans="1:10" s="5" customFormat="1" ht="18" customHeight="1" x14ac:dyDescent="0.2">
      <c r="A23" s="9" t="s">
        <v>26</v>
      </c>
      <c r="B23" s="8"/>
      <c r="C23" s="8"/>
      <c r="D23" s="8"/>
      <c r="E23" s="8"/>
      <c r="F23" s="8">
        <v>2</v>
      </c>
      <c r="G23" s="9"/>
      <c r="H23" s="8">
        <f t="shared" si="1"/>
        <v>8.9580000000000002</v>
      </c>
      <c r="I23" s="8">
        <f t="shared" si="2"/>
        <v>11.958</v>
      </c>
      <c r="J23" s="9">
        <f t="shared" si="3"/>
        <v>20.916</v>
      </c>
    </row>
    <row r="24" spans="1:10" s="5" customFormat="1" ht="18" customHeight="1" x14ac:dyDescent="0.2">
      <c r="A24" s="8" t="s">
        <v>31</v>
      </c>
      <c r="B24" s="8">
        <v>2.5</v>
      </c>
      <c r="C24" s="8">
        <v>2.5</v>
      </c>
      <c r="D24" s="8"/>
      <c r="E24" s="8"/>
      <c r="F24" s="8"/>
      <c r="G24" s="9"/>
      <c r="H24" s="8">
        <f t="shared" ref="H24:H25" si="4">H23-F24-D24+B24</f>
        <v>11.458</v>
      </c>
      <c r="I24" s="8">
        <f t="shared" ref="I24:I25" si="5">I23-E24+C24</f>
        <v>14.458</v>
      </c>
      <c r="J24" s="9">
        <f t="shared" ref="J24:J25" si="6">H24+I24</f>
        <v>25.916</v>
      </c>
    </row>
    <row r="25" spans="1:10" s="5" customFormat="1" ht="18" customHeight="1" x14ac:dyDescent="0.2">
      <c r="A25" s="9" t="s">
        <v>32</v>
      </c>
      <c r="B25" s="8"/>
      <c r="C25" s="8"/>
      <c r="D25" s="8"/>
      <c r="E25" s="8"/>
      <c r="F25" s="8">
        <v>2</v>
      </c>
      <c r="G25" s="9"/>
      <c r="H25" s="8">
        <f t="shared" si="4"/>
        <v>9.4580000000000002</v>
      </c>
      <c r="I25" s="8">
        <f t="shared" si="5"/>
        <v>14.458</v>
      </c>
      <c r="J25" s="9">
        <f t="shared" si="6"/>
        <v>23.916</v>
      </c>
    </row>
    <row r="26" spans="1:10" s="5" customFormat="1" ht="18" customHeight="1" x14ac:dyDescent="0.2">
      <c r="A26" s="8" t="s">
        <v>33</v>
      </c>
      <c r="B26" s="8">
        <v>1.25</v>
      </c>
      <c r="C26" s="8">
        <v>1.25</v>
      </c>
      <c r="D26" s="8"/>
      <c r="E26" s="8"/>
      <c r="F26" s="8"/>
      <c r="G26" s="9"/>
      <c r="H26" s="8">
        <f t="shared" ref="H26" si="7">H25-F26-D26+B26</f>
        <v>10.708</v>
      </c>
      <c r="I26" s="8">
        <f t="shared" ref="I26" si="8">I25-E26+C26</f>
        <v>15.708</v>
      </c>
      <c r="J26" s="9">
        <f t="shared" ref="J26" si="9">H26+I26</f>
        <v>26.416</v>
      </c>
    </row>
    <row r="27" spans="1:10" s="5" customFormat="1" ht="18" customHeight="1" x14ac:dyDescent="0.2">
      <c r="A27" s="8" t="s">
        <v>34</v>
      </c>
      <c r="B27" s="38">
        <v>2.5</v>
      </c>
      <c r="C27" s="38">
        <v>2.5</v>
      </c>
      <c r="D27" s="8"/>
      <c r="E27" s="8"/>
      <c r="F27" s="8"/>
      <c r="G27" s="9"/>
      <c r="H27" s="8">
        <f t="shared" ref="H27" si="10">H26-F27-D27+B27</f>
        <v>13.208</v>
      </c>
      <c r="I27" s="8">
        <f t="shared" ref="I27" si="11">I26-E27+C27</f>
        <v>18.207999999999998</v>
      </c>
      <c r="J27" s="9">
        <f t="shared" ref="J27" si="12">H27+I27</f>
        <v>31.415999999999997</v>
      </c>
    </row>
    <row r="28" spans="1:10" s="5" customFormat="1" ht="18" customHeight="1" x14ac:dyDescent="0.2">
      <c r="A28" s="9" t="s">
        <v>49</v>
      </c>
      <c r="B28" s="8"/>
      <c r="C28" s="8"/>
      <c r="D28" s="8"/>
      <c r="E28" s="8"/>
      <c r="F28" s="8"/>
      <c r="G28" s="9">
        <v>2</v>
      </c>
      <c r="H28" s="8">
        <f t="shared" ref="H28" si="13">H27-F28-D28+B28</f>
        <v>13.208</v>
      </c>
      <c r="I28" s="8">
        <f t="shared" ref="I28" si="14">I27-E28+C28</f>
        <v>18.207999999999998</v>
      </c>
      <c r="J28" s="9">
        <f t="shared" ref="J28" si="15">H28+I28</f>
        <v>31.415999999999997</v>
      </c>
    </row>
    <row r="29" spans="1:10" s="5" customFormat="1" ht="18" customHeight="1" x14ac:dyDescent="0.2">
      <c r="A29" s="8" t="s">
        <v>50</v>
      </c>
      <c r="B29" s="8">
        <v>5</v>
      </c>
      <c r="C29" s="8">
        <v>5</v>
      </c>
      <c r="D29" s="8"/>
      <c r="E29" s="8"/>
      <c r="F29" s="8"/>
      <c r="G29" s="9"/>
      <c r="H29" s="8">
        <f t="shared" ref="H29" si="16">H28-F29-D29+B29</f>
        <v>18.207999999999998</v>
      </c>
      <c r="I29" s="8">
        <f t="shared" ref="I29" si="17">I28-E29+C29</f>
        <v>23.207999999999998</v>
      </c>
      <c r="J29" s="9">
        <f t="shared" ref="J29" si="18">H29+I29</f>
        <v>41.415999999999997</v>
      </c>
    </row>
    <row r="30" spans="1:10" s="5" customFormat="1" ht="18" customHeight="1" x14ac:dyDescent="0.2">
      <c r="A30" s="9" t="s">
        <v>51</v>
      </c>
      <c r="B30" s="8"/>
      <c r="C30" s="8"/>
      <c r="D30" s="8"/>
      <c r="E30" s="8"/>
      <c r="F30" s="8">
        <v>1</v>
      </c>
      <c r="G30" s="9"/>
      <c r="H30" s="8">
        <f t="shared" ref="H30:H32" si="19">H29-F30-D30+B30</f>
        <v>17.207999999999998</v>
      </c>
      <c r="I30" s="8">
        <f t="shared" ref="I30:I32" si="20">I29-E30+C30</f>
        <v>23.207999999999998</v>
      </c>
      <c r="J30" s="9">
        <f t="shared" ref="J30:J32" si="21">H30+I30</f>
        <v>40.415999999999997</v>
      </c>
    </row>
    <row r="31" spans="1:10" s="5" customFormat="1" ht="18" customHeight="1" x14ac:dyDescent="0.2">
      <c r="A31" s="9" t="s">
        <v>52</v>
      </c>
      <c r="B31" s="8"/>
      <c r="C31" s="8"/>
      <c r="D31" s="8"/>
      <c r="E31" s="8"/>
      <c r="F31" s="8">
        <v>1</v>
      </c>
      <c r="G31" s="9"/>
      <c r="H31" s="8">
        <f t="shared" si="19"/>
        <v>16.207999999999998</v>
      </c>
      <c r="I31" s="8">
        <f t="shared" si="20"/>
        <v>23.207999999999998</v>
      </c>
      <c r="J31" s="9">
        <f t="shared" si="21"/>
        <v>39.415999999999997</v>
      </c>
    </row>
    <row r="32" spans="1:10" s="5" customFormat="1" ht="18" customHeight="1" x14ac:dyDescent="0.2">
      <c r="A32" s="9" t="s">
        <v>56</v>
      </c>
      <c r="B32" s="8">
        <f>1.25*3</f>
        <v>3.75</v>
      </c>
      <c r="C32" s="8">
        <v>3.75</v>
      </c>
      <c r="D32" s="8"/>
      <c r="E32" s="8"/>
      <c r="F32" s="8"/>
      <c r="G32" s="9"/>
      <c r="H32" s="8">
        <f t="shared" si="19"/>
        <v>19.957999999999998</v>
      </c>
      <c r="I32" s="8">
        <f t="shared" si="20"/>
        <v>26.957999999999998</v>
      </c>
      <c r="J32" s="9">
        <f t="shared" si="21"/>
        <v>46.915999999999997</v>
      </c>
    </row>
    <row r="33" spans="1:10" s="5" customFormat="1" ht="18" customHeight="1" x14ac:dyDescent="0.2">
      <c r="A33" s="9" t="s">
        <v>57</v>
      </c>
      <c r="B33" s="8"/>
      <c r="C33" s="8"/>
      <c r="D33" s="8"/>
      <c r="E33" s="8"/>
      <c r="F33" s="8">
        <v>1</v>
      </c>
      <c r="G33" s="9"/>
      <c r="H33" s="8">
        <f t="shared" ref="H33" si="22">H32-F33-D33+B33</f>
        <v>18.957999999999998</v>
      </c>
      <c r="I33" s="8">
        <f t="shared" ref="I33" si="23">I32-E33+C33</f>
        <v>26.957999999999998</v>
      </c>
      <c r="J33" s="9">
        <f t="shared" ref="J33" si="24">H33+I33</f>
        <v>45.915999999999997</v>
      </c>
    </row>
    <row r="34" spans="1:10" s="5" customFormat="1" ht="18" customHeight="1" x14ac:dyDescent="0.2">
      <c r="A34" s="9" t="s">
        <v>58</v>
      </c>
      <c r="B34" s="8"/>
      <c r="C34" s="8"/>
      <c r="D34" s="8"/>
      <c r="E34" s="8"/>
      <c r="F34" s="8">
        <v>1</v>
      </c>
      <c r="G34" s="9"/>
      <c r="H34" s="8">
        <f t="shared" ref="H34" si="25">H33-F34-D34+B34</f>
        <v>17.957999999999998</v>
      </c>
      <c r="I34" s="8">
        <f t="shared" ref="I34" si="26">I33-E34+C34</f>
        <v>26.957999999999998</v>
      </c>
      <c r="J34" s="9">
        <f t="shared" ref="J34" si="27">H34+I34</f>
        <v>44.915999999999997</v>
      </c>
    </row>
    <row r="35" spans="1:10" s="5" customFormat="1" ht="18" customHeight="1" x14ac:dyDescent="0.2">
      <c r="A35" s="9" t="s">
        <v>59</v>
      </c>
      <c r="B35" s="8">
        <v>1.25</v>
      </c>
      <c r="C35" s="8">
        <v>1.25</v>
      </c>
      <c r="D35" s="8"/>
      <c r="E35" s="8"/>
      <c r="F35" s="8"/>
      <c r="G35" s="9"/>
      <c r="H35" s="8">
        <f t="shared" ref="H35:H36" si="28">H34-F35-D35+B35</f>
        <v>19.207999999999998</v>
      </c>
      <c r="I35" s="8">
        <f t="shared" ref="I35:I36" si="29">I34-E35+C35</f>
        <v>28.207999999999998</v>
      </c>
      <c r="J35" s="9">
        <f t="shared" ref="J35:J36" si="30">H35+I35</f>
        <v>47.415999999999997</v>
      </c>
    </row>
    <row r="36" spans="1:10" s="5" customFormat="1" ht="18" customHeight="1" x14ac:dyDescent="0.2">
      <c r="A36" s="9" t="s">
        <v>60</v>
      </c>
      <c r="B36" s="8"/>
      <c r="C36" s="8"/>
      <c r="D36" s="8">
        <v>13</v>
      </c>
      <c r="E36" s="8">
        <v>16</v>
      </c>
      <c r="F36" s="8"/>
      <c r="G36" s="9"/>
      <c r="H36" s="8">
        <f t="shared" si="28"/>
        <v>6.2079999999999984</v>
      </c>
      <c r="I36" s="8">
        <f t="shared" si="29"/>
        <v>12.207999999999998</v>
      </c>
      <c r="J36" s="9">
        <f t="shared" si="30"/>
        <v>18.415999999999997</v>
      </c>
    </row>
    <row r="37" spans="1:10" s="5" customFormat="1" ht="18" customHeight="1" x14ac:dyDescent="0.2">
      <c r="A37" s="9" t="s">
        <v>61</v>
      </c>
      <c r="B37" s="8"/>
      <c r="C37" s="8"/>
      <c r="D37" s="8"/>
      <c r="E37" s="8"/>
      <c r="F37" s="8"/>
      <c r="G37" s="9">
        <v>1</v>
      </c>
      <c r="H37" s="8">
        <f t="shared" ref="H37" si="31">H36-F37-D37+B37</f>
        <v>6.2079999999999984</v>
      </c>
      <c r="I37" s="8">
        <f t="shared" ref="I37" si="32">I36-E37+C37</f>
        <v>12.207999999999998</v>
      </c>
      <c r="J37" s="9">
        <f t="shared" ref="J37" si="33">H37+I37</f>
        <v>18.415999999999997</v>
      </c>
    </row>
    <row r="38" spans="1:10" s="5" customFormat="1" ht="18" customHeight="1" x14ac:dyDescent="0.2">
      <c r="A38" s="9" t="s">
        <v>62</v>
      </c>
      <c r="B38" s="8"/>
      <c r="C38" s="8"/>
      <c r="D38" s="8"/>
      <c r="E38" s="8"/>
      <c r="F38" s="8">
        <v>1</v>
      </c>
      <c r="G38" s="9"/>
      <c r="H38" s="8">
        <f t="shared" ref="H38" si="34">H37-F38-D38+B38</f>
        <v>5.2079999999999984</v>
      </c>
      <c r="I38" s="8">
        <f t="shared" ref="I38" si="35">I37-E38+C38</f>
        <v>12.207999999999998</v>
      </c>
      <c r="J38" s="9">
        <f t="shared" ref="J38" si="36">H38+I38</f>
        <v>17.415999999999997</v>
      </c>
    </row>
    <row r="39" spans="1:10" s="5" customFormat="1" ht="18" customHeight="1" x14ac:dyDescent="0.2">
      <c r="A39" s="9" t="s">
        <v>63</v>
      </c>
      <c r="B39" s="8">
        <v>1.25</v>
      </c>
      <c r="C39" s="8">
        <v>1.25</v>
      </c>
      <c r="D39" s="8"/>
      <c r="E39" s="8"/>
      <c r="F39" s="8"/>
      <c r="G39" s="9"/>
      <c r="H39" s="8">
        <f t="shared" ref="H39" si="37">H38-F39-D39+B39</f>
        <v>6.4579999999999984</v>
      </c>
      <c r="I39" s="8">
        <f t="shared" ref="I39" si="38">I38-E39+C39</f>
        <v>13.457999999999998</v>
      </c>
      <c r="J39" s="9">
        <f t="shared" ref="J39" si="39">H39+I39</f>
        <v>19.915999999999997</v>
      </c>
    </row>
    <row r="40" spans="1:10" s="5" customFormat="1" ht="18" customHeight="1" x14ac:dyDescent="0.2">
      <c r="A40" s="9" t="s">
        <v>64</v>
      </c>
      <c r="B40" s="8">
        <v>1.25</v>
      </c>
      <c r="C40" s="8">
        <v>1.25</v>
      </c>
      <c r="D40" s="8"/>
      <c r="E40" s="8"/>
      <c r="F40" s="8"/>
      <c r="G40" s="9"/>
      <c r="H40" s="8">
        <f t="shared" ref="H40:H44" si="40">H39-F40-D40+B40</f>
        <v>7.7079999999999984</v>
      </c>
      <c r="I40" s="8">
        <f t="shared" ref="I40:I41" si="41">I39-E40+C40</f>
        <v>14.707999999999998</v>
      </c>
      <c r="J40" s="9">
        <f t="shared" ref="J40:J41" si="42">H40+I40</f>
        <v>22.415999999999997</v>
      </c>
    </row>
    <row r="41" spans="1:10" s="5" customFormat="1" ht="18" customHeight="1" x14ac:dyDescent="0.2">
      <c r="A41" s="9" t="s">
        <v>68</v>
      </c>
      <c r="B41" s="8">
        <v>1.25</v>
      </c>
      <c r="C41" s="8">
        <v>1.25</v>
      </c>
      <c r="D41" s="8"/>
      <c r="E41" s="8"/>
      <c r="F41" s="8"/>
      <c r="G41" s="9"/>
      <c r="H41" s="8">
        <f t="shared" si="40"/>
        <v>8.9579999999999984</v>
      </c>
      <c r="I41" s="8">
        <f t="shared" si="41"/>
        <v>15.957999999999998</v>
      </c>
      <c r="J41" s="9">
        <f t="shared" si="42"/>
        <v>24.915999999999997</v>
      </c>
    </row>
    <row r="42" spans="1:10" s="5" customFormat="1" ht="18" customHeight="1" x14ac:dyDescent="0.2">
      <c r="A42" s="9" t="s">
        <v>69</v>
      </c>
      <c r="B42" s="8">
        <v>1</v>
      </c>
      <c r="C42" s="8"/>
      <c r="D42" s="8"/>
      <c r="E42" s="8"/>
      <c r="F42" s="8"/>
      <c r="G42" s="9"/>
      <c r="H42" s="8">
        <f t="shared" si="40"/>
        <v>9.9579999999999984</v>
      </c>
      <c r="I42" s="8">
        <f>I41-E42+C42</f>
        <v>15.957999999999998</v>
      </c>
      <c r="J42" s="9">
        <f>H42+I42</f>
        <v>25.915999999999997</v>
      </c>
    </row>
    <row r="43" spans="1:10" s="5" customFormat="1" ht="18" customHeight="1" x14ac:dyDescent="0.2">
      <c r="A43" s="8" t="s">
        <v>70</v>
      </c>
      <c r="B43" s="8">
        <v>1.25</v>
      </c>
      <c r="C43" s="8">
        <v>1.25</v>
      </c>
      <c r="D43" s="8"/>
      <c r="E43" s="8"/>
      <c r="F43" s="8"/>
      <c r="G43" s="9"/>
      <c r="H43" s="8">
        <f t="shared" si="40"/>
        <v>11.207999999999998</v>
      </c>
      <c r="I43" s="8">
        <f>I42-E43+C43</f>
        <v>17.207999999999998</v>
      </c>
      <c r="J43" s="28">
        <f>H43+I43</f>
        <v>28.415999999999997</v>
      </c>
    </row>
    <row r="44" spans="1:10" s="5" customFormat="1" ht="18" customHeight="1" x14ac:dyDescent="0.2">
      <c r="A44" s="8" t="s">
        <v>71</v>
      </c>
      <c r="B44" s="8"/>
      <c r="C44" s="8"/>
      <c r="D44" s="8"/>
      <c r="E44" s="8"/>
      <c r="F44" s="8">
        <v>1</v>
      </c>
      <c r="G44" s="28"/>
      <c r="H44" s="8">
        <f t="shared" si="40"/>
        <v>10.207999999999998</v>
      </c>
      <c r="I44" s="8">
        <f>I43-E44+C44</f>
        <v>17.207999999999998</v>
      </c>
      <c r="J44" s="9">
        <f>H44+I44</f>
        <v>27.415999999999997</v>
      </c>
    </row>
    <row r="45" spans="1:10" s="5" customFormat="1" ht="18" customHeight="1" x14ac:dyDescent="0.2">
      <c r="A45" s="8" t="s">
        <v>73</v>
      </c>
      <c r="B45" s="8">
        <v>1.25</v>
      </c>
      <c r="C45" s="8">
        <v>1.25</v>
      </c>
      <c r="D45" s="8"/>
      <c r="E45" s="8"/>
      <c r="F45" s="8"/>
      <c r="G45" s="28"/>
      <c r="H45" s="8">
        <f t="shared" ref="H45:H46" si="43">H44-F45-D45+B45</f>
        <v>11.457999999999998</v>
      </c>
      <c r="I45" s="8">
        <f t="shared" ref="I45:I46" si="44">I44-E45+C45</f>
        <v>18.457999999999998</v>
      </c>
      <c r="J45" s="9">
        <f t="shared" ref="J45:J46" si="45">H45+I45</f>
        <v>29.915999999999997</v>
      </c>
    </row>
    <row r="46" spans="1:10" s="5" customFormat="1" ht="18" customHeight="1" x14ac:dyDescent="0.2">
      <c r="A46" s="8" t="s">
        <v>72</v>
      </c>
      <c r="B46" s="8"/>
      <c r="C46" s="8"/>
      <c r="D46" s="8"/>
      <c r="E46" s="8"/>
      <c r="F46" s="8"/>
      <c r="G46" s="28">
        <v>1</v>
      </c>
      <c r="H46" s="8">
        <f t="shared" si="43"/>
        <v>11.457999999999998</v>
      </c>
      <c r="I46" s="8">
        <f t="shared" si="44"/>
        <v>18.457999999999998</v>
      </c>
      <c r="J46" s="9">
        <f t="shared" si="45"/>
        <v>29.915999999999997</v>
      </c>
    </row>
    <row r="47" spans="1:10" s="5" customFormat="1" ht="18" customHeight="1" x14ac:dyDescent="0.2">
      <c r="A47" s="8" t="s">
        <v>74</v>
      </c>
      <c r="B47" s="8"/>
      <c r="C47" s="8"/>
      <c r="D47" s="8"/>
      <c r="E47" s="8"/>
      <c r="F47" s="8">
        <v>1</v>
      </c>
      <c r="G47" s="28"/>
      <c r="H47" s="8">
        <f t="shared" ref="H47" si="46">H46-F47-D47+B47</f>
        <v>10.457999999999998</v>
      </c>
      <c r="I47" s="8">
        <f t="shared" ref="I47" si="47">I46-E47+C47</f>
        <v>18.457999999999998</v>
      </c>
      <c r="J47" s="9">
        <f t="shared" ref="J47" si="48">H47+I47</f>
        <v>28.915999999999997</v>
      </c>
    </row>
    <row r="48" spans="1:10" ht="18" customHeight="1" x14ac:dyDescent="0.25">
      <c r="A48" s="8" t="s">
        <v>75</v>
      </c>
      <c r="B48" s="8">
        <v>2.5</v>
      </c>
      <c r="C48" s="8">
        <v>2.5</v>
      </c>
      <c r="D48" s="30"/>
      <c r="E48" s="30"/>
      <c r="F48" s="30"/>
      <c r="G48" s="8"/>
      <c r="H48" s="8">
        <f t="shared" ref="H48:H49" si="49">H47-F48-D48+B48</f>
        <v>12.957999999999998</v>
      </c>
      <c r="I48" s="8">
        <f t="shared" ref="I48:I49" si="50">I47-E48+C48</f>
        <v>20.957999999999998</v>
      </c>
      <c r="J48" s="9">
        <f t="shared" ref="J48:J49" si="51">H48+I48</f>
        <v>33.915999999999997</v>
      </c>
    </row>
    <row r="49" spans="1:10" ht="18" customHeight="1" x14ac:dyDescent="0.25">
      <c r="A49" s="8" t="s">
        <v>76</v>
      </c>
      <c r="B49" s="8"/>
      <c r="C49" s="8"/>
      <c r="D49" s="30"/>
      <c r="E49" s="8">
        <v>2</v>
      </c>
      <c r="F49" s="8"/>
      <c r="G49" s="8"/>
      <c r="H49" s="8">
        <f t="shared" si="49"/>
        <v>12.957999999999998</v>
      </c>
      <c r="I49" s="8">
        <f t="shared" si="50"/>
        <v>18.957999999999998</v>
      </c>
      <c r="J49" s="9">
        <f t="shared" si="51"/>
        <v>31.915999999999997</v>
      </c>
    </row>
    <row r="50" spans="1:10" ht="18" customHeight="1" x14ac:dyDescent="0.25">
      <c r="A50" s="8" t="s">
        <v>86</v>
      </c>
      <c r="B50" s="8">
        <v>6.25</v>
      </c>
      <c r="C50" s="8">
        <v>6.25</v>
      </c>
      <c r="D50" s="30"/>
      <c r="E50" s="8"/>
      <c r="F50" s="8"/>
      <c r="G50" s="8"/>
      <c r="H50" s="8">
        <f t="shared" ref="H50" si="52">H49-F50-D50+B50</f>
        <v>19.207999999999998</v>
      </c>
      <c r="I50" s="8">
        <f t="shared" ref="I50" si="53">I49-E50+C50</f>
        <v>25.207999999999998</v>
      </c>
      <c r="J50" s="9">
        <f t="shared" ref="J50" si="54">H50+I50</f>
        <v>44.415999999999997</v>
      </c>
    </row>
    <row r="51" spans="1:10" ht="18" customHeight="1" x14ac:dyDescent="0.25">
      <c r="A51" s="8" t="s">
        <v>87</v>
      </c>
      <c r="B51" s="8"/>
      <c r="C51" s="8"/>
      <c r="D51" s="30"/>
      <c r="E51" s="8"/>
      <c r="F51" s="8"/>
      <c r="G51" s="28">
        <v>2</v>
      </c>
      <c r="H51" s="8">
        <f t="shared" ref="H51:H52" si="55">H50-F51-D51+B51</f>
        <v>19.207999999999998</v>
      </c>
      <c r="I51" s="8">
        <f t="shared" ref="I51:I52" si="56">I50-E51+C51</f>
        <v>25.207999999999998</v>
      </c>
      <c r="J51" s="9">
        <f t="shared" ref="J51:J52" si="57">H51+I51</f>
        <v>44.415999999999997</v>
      </c>
    </row>
    <row r="52" spans="1:10" ht="18" customHeight="1" x14ac:dyDescent="0.25">
      <c r="A52" s="8" t="s">
        <v>88</v>
      </c>
      <c r="B52" s="8"/>
      <c r="C52" s="8"/>
      <c r="D52" s="30"/>
      <c r="E52" s="8"/>
      <c r="F52" s="8">
        <v>1</v>
      </c>
      <c r="G52" s="8"/>
      <c r="H52" s="8">
        <f t="shared" si="55"/>
        <v>18.207999999999998</v>
      </c>
      <c r="I52" s="8">
        <f t="shared" si="56"/>
        <v>25.207999999999998</v>
      </c>
      <c r="J52" s="9">
        <f t="shared" si="57"/>
        <v>43.415999999999997</v>
      </c>
    </row>
    <row r="53" spans="1:10" ht="18" customHeight="1" x14ac:dyDescent="0.25">
      <c r="A53" s="8" t="s">
        <v>90</v>
      </c>
      <c r="B53" s="8">
        <v>1.25</v>
      </c>
      <c r="C53" s="8">
        <v>1.25</v>
      </c>
      <c r="D53" s="30"/>
      <c r="E53" s="8"/>
      <c r="F53" s="8"/>
      <c r="G53" s="8"/>
      <c r="H53" s="8">
        <f t="shared" ref="H53:H54" si="58">H52-F53-D53+B53</f>
        <v>19.457999999999998</v>
      </c>
      <c r="I53" s="8">
        <f t="shared" ref="I53:I54" si="59">I52-E53+C53</f>
        <v>26.457999999999998</v>
      </c>
      <c r="J53" s="9">
        <f t="shared" ref="J53:J54" si="60">H53+I53</f>
        <v>45.915999999999997</v>
      </c>
    </row>
    <row r="54" spans="1:10" ht="18" customHeight="1" x14ac:dyDescent="0.25">
      <c r="A54" s="8" t="s">
        <v>91</v>
      </c>
      <c r="B54" s="8"/>
      <c r="C54" s="8"/>
      <c r="D54" s="30"/>
      <c r="E54" s="8"/>
      <c r="F54" s="8">
        <v>2</v>
      </c>
      <c r="G54" s="8"/>
      <c r="H54" s="8">
        <f t="shared" si="58"/>
        <v>17.457999999999998</v>
      </c>
      <c r="I54" s="8">
        <f t="shared" si="59"/>
        <v>26.457999999999998</v>
      </c>
      <c r="J54" s="9">
        <f t="shared" si="60"/>
        <v>43.915999999999997</v>
      </c>
    </row>
    <row r="55" spans="1:10" ht="18" customHeight="1" x14ac:dyDescent="0.25">
      <c r="A55" s="8" t="s">
        <v>96</v>
      </c>
      <c r="B55" s="8">
        <v>1.25</v>
      </c>
      <c r="C55" s="8">
        <v>1.25</v>
      </c>
      <c r="D55" s="30"/>
      <c r="E55" s="8"/>
      <c r="F55" s="8"/>
      <c r="G55" s="8"/>
      <c r="H55" s="8">
        <f t="shared" ref="H55:H56" si="61">H54-F55-D55+B55</f>
        <v>18.707999999999998</v>
      </c>
      <c r="I55" s="8">
        <f t="shared" ref="I55:I56" si="62">I54-E55+C55</f>
        <v>27.707999999999998</v>
      </c>
      <c r="J55" s="9">
        <f t="shared" ref="J55:J56" si="63">H55+I55</f>
        <v>46.415999999999997</v>
      </c>
    </row>
    <row r="56" spans="1:10" ht="18" customHeight="1" x14ac:dyDescent="0.25">
      <c r="A56" s="8" t="s">
        <v>97</v>
      </c>
      <c r="B56" s="8"/>
      <c r="C56" s="8"/>
      <c r="D56" s="30"/>
      <c r="E56" s="8"/>
      <c r="F56" s="31">
        <v>1</v>
      </c>
      <c r="G56" s="8"/>
      <c r="H56" s="8">
        <f t="shared" si="61"/>
        <v>17.707999999999998</v>
      </c>
      <c r="I56" s="8">
        <f t="shared" si="62"/>
        <v>27.707999999999998</v>
      </c>
      <c r="J56" s="9">
        <f t="shared" si="63"/>
        <v>45.415999999999997</v>
      </c>
    </row>
    <row r="57" spans="1:10" ht="18" customHeight="1" x14ac:dyDescent="0.25">
      <c r="A57" s="8" t="s">
        <v>98</v>
      </c>
      <c r="B57" s="8"/>
      <c r="C57" s="8"/>
      <c r="D57" s="30"/>
      <c r="E57" s="8"/>
      <c r="F57" s="31">
        <v>1</v>
      </c>
      <c r="G57" s="8"/>
      <c r="H57" s="8">
        <f t="shared" ref="H57" si="64">H56-F57-D57+B57</f>
        <v>16.707999999999998</v>
      </c>
      <c r="I57" s="8">
        <f t="shared" ref="I57" si="65">I56-E57+C57</f>
        <v>27.707999999999998</v>
      </c>
      <c r="J57" s="9">
        <f t="shared" ref="J57" si="66">H57+I57</f>
        <v>44.415999999999997</v>
      </c>
    </row>
    <row r="58" spans="1:10" ht="18" customHeight="1" x14ac:dyDescent="0.25">
      <c r="A58" s="8" t="s">
        <v>99</v>
      </c>
      <c r="B58" s="8">
        <v>1.25</v>
      </c>
      <c r="C58" s="8">
        <v>1.25</v>
      </c>
      <c r="D58" s="30"/>
      <c r="E58" s="8"/>
      <c r="F58" s="8"/>
      <c r="G58" s="8"/>
      <c r="H58" s="8">
        <f t="shared" ref="H58:H59" si="67">H57-F58-D58+B58</f>
        <v>17.957999999999998</v>
      </c>
      <c r="I58" s="8">
        <f t="shared" ref="I58:I59" si="68">I57-E58+C58</f>
        <v>28.957999999999998</v>
      </c>
      <c r="J58" s="9">
        <f t="shared" ref="J58:J59" si="69">H58+I58</f>
        <v>46.915999999999997</v>
      </c>
    </row>
    <row r="59" spans="1:10" ht="18" customHeight="1" x14ac:dyDescent="0.25">
      <c r="A59" s="8" t="s">
        <v>100</v>
      </c>
      <c r="B59" s="8"/>
      <c r="C59" s="8"/>
      <c r="D59" s="30"/>
      <c r="E59" s="8"/>
      <c r="F59" s="8"/>
      <c r="G59" s="45">
        <v>1</v>
      </c>
      <c r="H59" s="8">
        <f t="shared" si="67"/>
        <v>17.957999999999998</v>
      </c>
      <c r="I59" s="8">
        <f t="shared" si="68"/>
        <v>28.957999999999998</v>
      </c>
      <c r="J59" s="9">
        <f t="shared" si="69"/>
        <v>46.915999999999997</v>
      </c>
    </row>
    <row r="60" spans="1:10" ht="18" customHeight="1" x14ac:dyDescent="0.25">
      <c r="A60" s="8" t="s">
        <v>104</v>
      </c>
      <c r="B60" s="8"/>
      <c r="C60" s="8"/>
      <c r="D60" s="30"/>
      <c r="E60" s="8"/>
      <c r="F60" s="31">
        <v>1</v>
      </c>
      <c r="G60" s="8"/>
      <c r="H60" s="8">
        <f t="shared" ref="H60" si="70">H59-F60-D60+B60</f>
        <v>16.957999999999998</v>
      </c>
      <c r="I60" s="8">
        <f t="shared" ref="I60" si="71">I59-E60+C60</f>
        <v>28.957999999999998</v>
      </c>
      <c r="J60" s="9">
        <f t="shared" ref="J60" si="72">H60+I60</f>
        <v>45.915999999999997</v>
      </c>
    </row>
    <row r="61" spans="1:10" ht="18" customHeight="1" x14ac:dyDescent="0.25">
      <c r="A61" s="8" t="s">
        <v>105</v>
      </c>
      <c r="B61" s="8">
        <v>1.25</v>
      </c>
      <c r="C61" s="8">
        <v>1.25</v>
      </c>
      <c r="D61" s="30"/>
      <c r="E61" s="8"/>
      <c r="F61" s="8"/>
      <c r="G61" s="8"/>
      <c r="H61" s="8">
        <f t="shared" ref="H61:H63" si="73">H60-F61-D61+B61</f>
        <v>18.207999999999998</v>
      </c>
      <c r="I61" s="8">
        <f t="shared" ref="I61:I63" si="74">I60-E61+C61</f>
        <v>30.207999999999998</v>
      </c>
      <c r="J61" s="9">
        <f t="shared" ref="J61:J63" si="75">H61+I61</f>
        <v>48.415999999999997</v>
      </c>
    </row>
    <row r="62" spans="1:10" ht="18" customHeight="1" x14ac:dyDescent="0.25">
      <c r="A62" s="8" t="s">
        <v>106</v>
      </c>
      <c r="B62" s="8"/>
      <c r="C62" s="8"/>
      <c r="D62" s="30"/>
      <c r="E62" s="8">
        <v>2</v>
      </c>
      <c r="F62" s="8"/>
      <c r="G62" s="8"/>
      <c r="H62" s="8">
        <f t="shared" si="73"/>
        <v>18.207999999999998</v>
      </c>
      <c r="I62" s="8">
        <f t="shared" si="74"/>
        <v>28.207999999999998</v>
      </c>
      <c r="J62" s="9">
        <f t="shared" si="75"/>
        <v>46.415999999999997</v>
      </c>
    </row>
    <row r="63" spans="1:10" ht="18" customHeight="1" x14ac:dyDescent="0.25">
      <c r="A63" s="8" t="s">
        <v>107</v>
      </c>
      <c r="B63" s="8"/>
      <c r="C63" s="8"/>
      <c r="D63" s="30"/>
      <c r="E63" s="8"/>
      <c r="F63" s="31">
        <v>1</v>
      </c>
      <c r="G63" s="8"/>
      <c r="H63" s="8">
        <f t="shared" si="73"/>
        <v>17.207999999999998</v>
      </c>
      <c r="I63" s="8">
        <f t="shared" si="74"/>
        <v>28.207999999999998</v>
      </c>
      <c r="J63" s="9">
        <f t="shared" si="75"/>
        <v>45.415999999999997</v>
      </c>
    </row>
    <row r="64" spans="1:10" ht="18" customHeight="1" x14ac:dyDescent="0.25">
      <c r="A64" s="8" t="s">
        <v>108</v>
      </c>
      <c r="B64" s="8">
        <v>1.25</v>
      </c>
      <c r="C64" s="8">
        <v>1.25</v>
      </c>
      <c r="D64" s="30"/>
      <c r="E64" s="8"/>
      <c r="F64" s="8"/>
      <c r="G64" s="8"/>
      <c r="H64" s="8">
        <f t="shared" ref="H64" si="76">H63-F64-D64+B64</f>
        <v>18.457999999999998</v>
      </c>
      <c r="I64" s="8">
        <f t="shared" ref="I64" si="77">I63-E64+C64</f>
        <v>29.457999999999998</v>
      </c>
      <c r="J64" s="9">
        <f t="shared" ref="J64" si="78">H64+I64</f>
        <v>47.915999999999997</v>
      </c>
    </row>
    <row r="65" spans="1:10" ht="18" customHeight="1" x14ac:dyDescent="0.25">
      <c r="A65" s="8" t="s">
        <v>111</v>
      </c>
      <c r="B65" s="8"/>
      <c r="C65" s="8"/>
      <c r="D65" s="8">
        <v>13.458</v>
      </c>
      <c r="E65" s="8">
        <v>16.542000000000002</v>
      </c>
      <c r="F65" s="8"/>
      <c r="G65" s="8"/>
      <c r="H65" s="8">
        <f t="shared" ref="H65" si="79">H64-F65-D65+B65</f>
        <v>4.9999999999999982</v>
      </c>
      <c r="I65" s="8">
        <f t="shared" ref="I65" si="80">I64-E65+C65</f>
        <v>12.915999999999997</v>
      </c>
      <c r="J65" s="9">
        <f t="shared" ref="J65" si="81">H65+I65</f>
        <v>17.915999999999997</v>
      </c>
    </row>
    <row r="66" spans="1:10" ht="18" customHeight="1" x14ac:dyDescent="0.25">
      <c r="A66" s="8" t="s">
        <v>109</v>
      </c>
      <c r="B66" s="8"/>
      <c r="C66" s="8"/>
      <c r="D66" s="8"/>
      <c r="E66" s="8"/>
      <c r="F66" s="8"/>
      <c r="G66" s="45">
        <v>1</v>
      </c>
      <c r="H66" s="8">
        <f t="shared" ref="H66" si="82">H65-F66-D66+B66</f>
        <v>4.9999999999999982</v>
      </c>
      <c r="I66" s="8">
        <f t="shared" ref="I66" si="83">I65-E66+C66</f>
        <v>12.915999999999997</v>
      </c>
      <c r="J66" s="9">
        <f t="shared" ref="J66" si="84">H66+I66</f>
        <v>17.915999999999997</v>
      </c>
    </row>
    <row r="67" spans="1:10" ht="18" customHeight="1" x14ac:dyDescent="0.25">
      <c r="A67" s="8" t="s">
        <v>110</v>
      </c>
      <c r="B67" s="8">
        <v>2.5</v>
      </c>
      <c r="C67" s="8">
        <v>2.5</v>
      </c>
      <c r="D67" s="8"/>
      <c r="E67" s="8"/>
      <c r="F67" s="8"/>
      <c r="G67" s="8"/>
      <c r="H67" s="8">
        <f t="shared" ref="H67:H68" si="85">H66-F67-D67+B67</f>
        <v>7.4999999999999982</v>
      </c>
      <c r="I67" s="8">
        <f t="shared" ref="I67:I68" si="86">I66-E67+C67</f>
        <v>15.415999999999997</v>
      </c>
      <c r="J67" s="9">
        <f t="shared" ref="J67:J68" si="87">H67+I67</f>
        <v>22.915999999999997</v>
      </c>
    </row>
    <row r="68" spans="1:10" ht="18" customHeight="1" x14ac:dyDescent="0.25">
      <c r="A68" s="8" t="s">
        <v>112</v>
      </c>
      <c r="B68" s="8"/>
      <c r="C68" s="8"/>
      <c r="D68" s="8"/>
      <c r="E68" s="8"/>
      <c r="F68" s="31">
        <v>1</v>
      </c>
      <c r="G68" s="8"/>
      <c r="H68" s="8">
        <f t="shared" si="85"/>
        <v>6.4999999999999982</v>
      </c>
      <c r="I68" s="8">
        <f t="shared" si="86"/>
        <v>15.415999999999997</v>
      </c>
      <c r="J68" s="9">
        <f t="shared" si="87"/>
        <v>21.915999999999997</v>
      </c>
    </row>
    <row r="69" spans="1:10" ht="18" customHeight="1" x14ac:dyDescent="0.25">
      <c r="A69" s="8" t="s">
        <v>116</v>
      </c>
      <c r="B69" s="8">
        <v>3.75</v>
      </c>
      <c r="C69" s="8">
        <v>3.75</v>
      </c>
      <c r="D69" s="8"/>
      <c r="E69" s="8"/>
      <c r="F69" s="8"/>
      <c r="G69" s="8"/>
      <c r="H69" s="8">
        <f t="shared" ref="H69" si="88">H68-F69-D69+B69</f>
        <v>10.249999999999998</v>
      </c>
      <c r="I69" s="8">
        <f t="shared" ref="I69" si="89">I68-E69+C69</f>
        <v>19.165999999999997</v>
      </c>
      <c r="J69" s="9">
        <f t="shared" ref="J69" si="90">H69+I69</f>
        <v>29.415999999999997</v>
      </c>
    </row>
    <row r="70" spans="1:10" ht="18" customHeight="1" x14ac:dyDescent="0.25">
      <c r="A70" s="8" t="s">
        <v>117</v>
      </c>
      <c r="B70" s="8"/>
      <c r="C70" s="8"/>
      <c r="D70" s="8"/>
      <c r="E70" s="8"/>
      <c r="F70" s="8"/>
      <c r="G70" s="45">
        <v>1</v>
      </c>
      <c r="H70" s="8">
        <f t="shared" ref="H70" si="91">H69-F70-D70+B70</f>
        <v>10.249999999999998</v>
      </c>
      <c r="I70" s="8">
        <f t="shared" ref="I70" si="92">I69-E70+C70</f>
        <v>19.165999999999997</v>
      </c>
      <c r="J70" s="9">
        <f t="shared" ref="J70" si="93">H70+I70</f>
        <v>29.415999999999997</v>
      </c>
    </row>
    <row r="71" spans="1:10" ht="75.75" customHeight="1" x14ac:dyDescent="0.25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s="1" customFormat="1" x14ac:dyDescent="0.25">
      <c r="A72" s="26"/>
      <c r="B72" s="27"/>
      <c r="C72"/>
      <c r="D72"/>
      <c r="E72"/>
      <c r="F72"/>
      <c r="H72"/>
      <c r="I72"/>
    </row>
    <row r="73" spans="1:10" s="1" customFormat="1" x14ac:dyDescent="0.25">
      <c r="A73" s="26"/>
      <c r="B73" s="27"/>
      <c r="C73"/>
      <c r="D73"/>
      <c r="E73"/>
      <c r="F73"/>
      <c r="H73"/>
      <c r="I73"/>
    </row>
  </sheetData>
  <mergeCells count="13">
    <mergeCell ref="A2:I2"/>
    <mergeCell ref="A3:I3"/>
    <mergeCell ref="A4:I4"/>
    <mergeCell ref="A5:I5"/>
    <mergeCell ref="A71:J71"/>
    <mergeCell ref="A11:A12"/>
    <mergeCell ref="J11:J12"/>
    <mergeCell ref="B11:C11"/>
    <mergeCell ref="D11:G11"/>
    <mergeCell ref="H11:I11"/>
    <mergeCell ref="A10:J10"/>
    <mergeCell ref="A13:J13"/>
    <mergeCell ref="B9:C9"/>
  </mergeCells>
  <phoneticPr fontId="5" type="noConversion"/>
  <printOptions horizontalCentered="1"/>
  <pageMargins left="0.51181102362204722" right="0.51181102362204722" top="0.11811023622047245" bottom="0.31496062992125984" header="0.31496062992125984" footer="0.31496062992125984"/>
  <pageSetup paperSize="9" scale="6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4"/>
  <sheetViews>
    <sheetView view="pageBreakPreview" topLeftCell="A3" zoomScaleNormal="100" zoomScaleSheetLayoutView="100" workbookViewId="0">
      <selection activeCell="B20" sqref="B20:E20"/>
    </sheetView>
  </sheetViews>
  <sheetFormatPr defaultRowHeight="15" x14ac:dyDescent="0.25"/>
  <cols>
    <col min="1" max="1" width="26.85546875" style="23" customWidth="1"/>
    <col min="2" max="2" width="11.42578125" style="23" customWidth="1"/>
    <col min="3" max="4" width="8.7109375" style="23"/>
    <col min="5" max="5" width="13" style="23" customWidth="1"/>
    <col min="6" max="12" width="8.7109375" style="23"/>
  </cols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3.2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80" t="s">
        <v>12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 x14ac:dyDescent="0.25">
      <c r="A5" s="80" t="s">
        <v>13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x14ac:dyDescent="0.25">
      <c r="A6" s="80" t="s">
        <v>14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1:12" x14ac:dyDescent="0.25">
      <c r="A7" s="80" t="s">
        <v>15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 t="s">
        <v>27</v>
      </c>
      <c r="B9" s="10"/>
      <c r="C9" s="11" t="s">
        <v>35</v>
      </c>
      <c r="D9" s="11"/>
      <c r="E9" s="10"/>
      <c r="F9" s="10"/>
      <c r="G9" s="11" t="s">
        <v>9</v>
      </c>
      <c r="H9" s="12"/>
      <c r="I9" s="10"/>
      <c r="J9" s="10"/>
      <c r="K9" s="10"/>
      <c r="L9" s="10"/>
    </row>
    <row r="10" spans="1:12" x14ac:dyDescent="0.25">
      <c r="A10" s="10"/>
      <c r="B10" s="10"/>
      <c r="C10" s="13"/>
      <c r="D10" s="10"/>
      <c r="E10" s="10"/>
      <c r="F10" s="10"/>
      <c r="G10" s="13"/>
      <c r="H10" s="13"/>
      <c r="I10" s="10"/>
      <c r="J10" s="10"/>
      <c r="K10" s="10"/>
      <c r="L10" s="10"/>
    </row>
    <row r="11" spans="1:12" x14ac:dyDescent="0.25">
      <c r="A11" s="10" t="s">
        <v>28</v>
      </c>
      <c r="B11" s="10"/>
      <c r="C11" s="11" t="s">
        <v>29</v>
      </c>
      <c r="D11" s="11"/>
      <c r="E11" s="10"/>
      <c r="F11" s="10"/>
      <c r="G11" s="11" t="s">
        <v>10</v>
      </c>
      <c r="H11" s="14"/>
      <c r="I11" s="10"/>
      <c r="J11" s="10"/>
      <c r="K11" s="10"/>
      <c r="L11" s="10"/>
    </row>
    <row r="12" spans="1:12" ht="21.75" thickBot="1" x14ac:dyDescent="0.3">
      <c r="A12" s="81" t="s">
        <v>36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</row>
    <row r="13" spans="1:12" x14ac:dyDescent="0.25">
      <c r="A13" s="71" t="s">
        <v>4</v>
      </c>
      <c r="B13" s="73" t="s">
        <v>5</v>
      </c>
      <c r="C13" s="74"/>
      <c r="D13" s="74"/>
      <c r="E13" s="74"/>
      <c r="F13" s="74"/>
      <c r="G13" s="74"/>
      <c r="H13" s="74"/>
      <c r="I13" s="74"/>
      <c r="J13" s="74"/>
      <c r="K13" s="74"/>
      <c r="L13" s="75" t="s">
        <v>8</v>
      </c>
    </row>
    <row r="14" spans="1:12" x14ac:dyDescent="0.25">
      <c r="A14" s="72"/>
      <c r="B14" s="77" t="s">
        <v>37</v>
      </c>
      <c r="C14" s="78"/>
      <c r="D14" s="78"/>
      <c r="E14" s="79"/>
      <c r="F14" s="77" t="s">
        <v>38</v>
      </c>
      <c r="G14" s="79"/>
      <c r="H14" s="77" t="s">
        <v>39</v>
      </c>
      <c r="I14" s="79"/>
      <c r="J14" s="77" t="s">
        <v>40</v>
      </c>
      <c r="K14" s="79"/>
      <c r="L14" s="76"/>
    </row>
    <row r="15" spans="1:12" ht="26.1" hidden="1" customHeight="1" x14ac:dyDescent="0.25">
      <c r="A15" s="15" t="s">
        <v>41</v>
      </c>
      <c r="B15" s="65" t="s">
        <v>42</v>
      </c>
      <c r="C15" s="66"/>
      <c r="D15" s="66"/>
      <c r="E15" s="67"/>
      <c r="F15" s="16">
        <v>1</v>
      </c>
      <c r="G15" s="17"/>
      <c r="H15" s="65">
        <v>0</v>
      </c>
      <c r="I15" s="67"/>
      <c r="J15" s="65">
        <v>1</v>
      </c>
      <c r="K15" s="67"/>
      <c r="L15" s="18">
        <v>1</v>
      </c>
    </row>
    <row r="16" spans="1:12" ht="26.1" hidden="1" customHeight="1" x14ac:dyDescent="0.25">
      <c r="A16" s="15" t="s">
        <v>47</v>
      </c>
      <c r="B16" s="65" t="s">
        <v>42</v>
      </c>
      <c r="C16" s="66"/>
      <c r="D16" s="66"/>
      <c r="E16" s="67"/>
      <c r="F16" s="65"/>
      <c r="G16" s="67"/>
      <c r="H16" s="65">
        <v>0.5</v>
      </c>
      <c r="I16" s="67"/>
      <c r="J16" s="65">
        <v>0.5</v>
      </c>
      <c r="K16" s="67"/>
      <c r="L16" s="18">
        <v>0.5</v>
      </c>
    </row>
    <row r="17" spans="1:12" ht="26.1" hidden="1" customHeight="1" x14ac:dyDescent="0.25">
      <c r="A17" s="15" t="s">
        <v>48</v>
      </c>
      <c r="B17" s="65" t="s">
        <v>42</v>
      </c>
      <c r="C17" s="66"/>
      <c r="D17" s="66"/>
      <c r="E17" s="67"/>
      <c r="F17" s="65"/>
      <c r="G17" s="67"/>
      <c r="H17" s="65">
        <v>0.5</v>
      </c>
      <c r="I17" s="67"/>
      <c r="J17" s="65">
        <v>0.5</v>
      </c>
      <c r="K17" s="67"/>
      <c r="L17" s="43">
        <v>0</v>
      </c>
    </row>
    <row r="18" spans="1:12" ht="30" hidden="1" customHeight="1" x14ac:dyDescent="0.25">
      <c r="A18" s="24" t="s">
        <v>53</v>
      </c>
      <c r="B18" s="84" t="s">
        <v>54</v>
      </c>
      <c r="C18" s="85"/>
      <c r="D18" s="85"/>
      <c r="E18" s="86"/>
      <c r="F18" s="65">
        <v>1</v>
      </c>
      <c r="G18" s="67"/>
      <c r="H18" s="65">
        <v>0</v>
      </c>
      <c r="I18" s="67"/>
      <c r="J18" s="65">
        <v>1</v>
      </c>
      <c r="K18" s="67"/>
      <c r="L18" s="24">
        <v>1</v>
      </c>
    </row>
    <row r="19" spans="1:12" ht="37.5" hidden="1" customHeight="1" x14ac:dyDescent="0.25">
      <c r="A19" s="24" t="s">
        <v>55</v>
      </c>
      <c r="B19" s="84" t="s">
        <v>54</v>
      </c>
      <c r="C19" s="85"/>
      <c r="D19" s="85"/>
      <c r="E19" s="86"/>
      <c r="F19" s="65"/>
      <c r="G19" s="67"/>
      <c r="H19" s="65">
        <v>1</v>
      </c>
      <c r="I19" s="67"/>
      <c r="J19" s="65">
        <v>0</v>
      </c>
      <c r="K19" s="67"/>
      <c r="L19" s="42">
        <v>0</v>
      </c>
    </row>
    <row r="20" spans="1:12" ht="30" customHeight="1" x14ac:dyDescent="0.25">
      <c r="A20" s="25" t="s">
        <v>66</v>
      </c>
      <c r="B20" s="65" t="s">
        <v>67</v>
      </c>
      <c r="C20" s="66"/>
      <c r="D20" s="66"/>
      <c r="E20" s="67"/>
      <c r="F20" s="65">
        <v>1</v>
      </c>
      <c r="G20" s="67"/>
      <c r="H20" s="65">
        <v>0</v>
      </c>
      <c r="I20" s="67"/>
      <c r="J20" s="65">
        <v>1</v>
      </c>
      <c r="K20" s="67"/>
      <c r="L20" s="24">
        <v>1</v>
      </c>
    </row>
    <row r="21" spans="1:12" ht="30" customHeight="1" x14ac:dyDescent="0.25">
      <c r="A21" s="25" t="s">
        <v>65</v>
      </c>
      <c r="B21" s="65" t="s">
        <v>67</v>
      </c>
      <c r="C21" s="66"/>
      <c r="D21" s="66"/>
      <c r="E21" s="67"/>
      <c r="F21" s="65"/>
      <c r="G21" s="67"/>
      <c r="H21" s="65">
        <v>1</v>
      </c>
      <c r="I21" s="67"/>
      <c r="J21" s="65">
        <v>0</v>
      </c>
      <c r="K21" s="67"/>
      <c r="L21" s="42">
        <v>0</v>
      </c>
    </row>
    <row r="22" spans="1:12" ht="30" customHeight="1" x14ac:dyDescent="0.25">
      <c r="A22" s="25" t="s">
        <v>92</v>
      </c>
      <c r="B22" s="65" t="s">
        <v>93</v>
      </c>
      <c r="C22" s="66"/>
      <c r="D22" s="66"/>
      <c r="E22" s="67"/>
      <c r="F22" s="65">
        <v>1</v>
      </c>
      <c r="G22" s="67"/>
      <c r="H22" s="65">
        <v>0</v>
      </c>
      <c r="I22" s="67"/>
      <c r="J22" s="65">
        <v>1</v>
      </c>
      <c r="K22" s="67"/>
      <c r="L22" s="24">
        <v>1</v>
      </c>
    </row>
    <row r="23" spans="1:12" ht="30" customHeight="1" x14ac:dyDescent="0.25">
      <c r="A23" s="25" t="s">
        <v>94</v>
      </c>
      <c r="B23" s="65" t="s">
        <v>93</v>
      </c>
      <c r="C23" s="66"/>
      <c r="D23" s="66"/>
      <c r="E23" s="67"/>
      <c r="F23" s="65"/>
      <c r="G23" s="67"/>
      <c r="H23" s="65">
        <v>1</v>
      </c>
      <c r="I23" s="67"/>
      <c r="J23" s="65">
        <v>0</v>
      </c>
      <c r="K23" s="67"/>
      <c r="L23" s="42">
        <v>0</v>
      </c>
    </row>
    <row r="24" spans="1:12" s="46" customFormat="1" ht="24.95" customHeight="1" x14ac:dyDescent="0.2">
      <c r="A24" s="15" t="s">
        <v>101</v>
      </c>
      <c r="B24" s="65" t="s">
        <v>102</v>
      </c>
      <c r="C24" s="66"/>
      <c r="D24" s="66"/>
      <c r="E24" s="67"/>
      <c r="F24" s="65">
        <v>1</v>
      </c>
      <c r="G24" s="67"/>
      <c r="H24" s="65">
        <v>0</v>
      </c>
      <c r="I24" s="67"/>
      <c r="J24" s="65">
        <v>1</v>
      </c>
      <c r="K24" s="67"/>
      <c r="L24" s="49">
        <v>1</v>
      </c>
    </row>
    <row r="25" spans="1:12" s="47" customFormat="1" ht="25.5" customHeight="1" x14ac:dyDescent="0.2">
      <c r="A25" s="48" t="s">
        <v>103</v>
      </c>
      <c r="B25" s="65" t="s">
        <v>102</v>
      </c>
      <c r="C25" s="66"/>
      <c r="D25" s="66"/>
      <c r="E25" s="67"/>
      <c r="F25" s="65"/>
      <c r="G25" s="67"/>
      <c r="H25" s="65">
        <v>1</v>
      </c>
      <c r="I25" s="67"/>
      <c r="J25" s="65">
        <v>0</v>
      </c>
      <c r="K25" s="67"/>
      <c r="L25" s="42">
        <v>0</v>
      </c>
    </row>
    <row r="26" spans="1:12" ht="30" customHeight="1" x14ac:dyDescent="0.25">
      <c r="A26" s="25" t="s">
        <v>113</v>
      </c>
      <c r="B26" s="65" t="s">
        <v>114</v>
      </c>
      <c r="C26" s="66"/>
      <c r="D26" s="66"/>
      <c r="E26" s="67"/>
      <c r="F26" s="65">
        <v>1</v>
      </c>
      <c r="G26" s="67"/>
      <c r="H26" s="65">
        <v>0</v>
      </c>
      <c r="I26" s="67"/>
      <c r="J26" s="65">
        <v>1</v>
      </c>
      <c r="K26" s="67"/>
      <c r="L26" s="24">
        <v>1</v>
      </c>
    </row>
    <row r="27" spans="1:12" ht="30" customHeight="1" x14ac:dyDescent="0.25">
      <c r="A27" s="25" t="s">
        <v>115</v>
      </c>
      <c r="B27" s="65" t="s">
        <v>114</v>
      </c>
      <c r="C27" s="66"/>
      <c r="D27" s="66"/>
      <c r="E27" s="67"/>
      <c r="F27" s="65"/>
      <c r="G27" s="67"/>
      <c r="H27" s="65">
        <v>1</v>
      </c>
      <c r="I27" s="67"/>
      <c r="J27" s="65">
        <v>0</v>
      </c>
      <c r="K27" s="67"/>
      <c r="L27" s="42">
        <v>0</v>
      </c>
    </row>
    <row r="28" spans="1:12" x14ac:dyDescent="0.25">
      <c r="A28" s="19" t="s">
        <v>43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4.5" customHeight="1" x14ac:dyDescent="0.25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</row>
    <row r="30" spans="1:12" x14ac:dyDescent="0.25">
      <c r="C30" s="22"/>
      <c r="D30" s="10"/>
      <c r="E30" s="10"/>
      <c r="F30" s="10"/>
      <c r="G30" s="10"/>
      <c r="H30" s="10" t="s">
        <v>44</v>
      </c>
      <c r="I30" s="10"/>
      <c r="J30" s="10"/>
      <c r="K30" s="10"/>
      <c r="L30" s="10"/>
    </row>
    <row r="31" spans="1:12" ht="12.75" customHeight="1" x14ac:dyDescent="0.25">
      <c r="C31" s="22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H32" s="68" t="s">
        <v>45</v>
      </c>
      <c r="I32" s="68"/>
      <c r="J32" s="68"/>
    </row>
    <row r="33" spans="8:10" x14ac:dyDescent="0.25">
      <c r="H33" s="69" t="s">
        <v>46</v>
      </c>
      <c r="I33" s="69"/>
      <c r="J33" s="69"/>
    </row>
    <row r="34" spans="8:10" x14ac:dyDescent="0.25">
      <c r="H34" s="82" t="s">
        <v>95</v>
      </c>
      <c r="I34" s="83"/>
    </row>
  </sheetData>
  <mergeCells count="67">
    <mergeCell ref="F25:G25"/>
    <mergeCell ref="H25:I25"/>
    <mergeCell ref="J25:K25"/>
    <mergeCell ref="J20:K20"/>
    <mergeCell ref="B21:E21"/>
    <mergeCell ref="F21:G21"/>
    <mergeCell ref="H21:I21"/>
    <mergeCell ref="J21:K21"/>
    <mergeCell ref="H34:I34"/>
    <mergeCell ref="F17:G17"/>
    <mergeCell ref="B17:E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L13:L14"/>
    <mergeCell ref="B14:E14"/>
    <mergeCell ref="F14:G14"/>
    <mergeCell ref="A4:L4"/>
    <mergeCell ref="A5:L5"/>
    <mergeCell ref="A6:L6"/>
    <mergeCell ref="A7:L7"/>
    <mergeCell ref="A12:L12"/>
    <mergeCell ref="H14:I14"/>
    <mergeCell ref="J14:K14"/>
    <mergeCell ref="B16:E16"/>
    <mergeCell ref="F16:G16"/>
    <mergeCell ref="H16:I16"/>
    <mergeCell ref="J16:K16"/>
    <mergeCell ref="A13:A14"/>
    <mergeCell ref="B13:K13"/>
    <mergeCell ref="B15:E15"/>
    <mergeCell ref="H15:I15"/>
    <mergeCell ref="J15:K15"/>
    <mergeCell ref="H32:J32"/>
    <mergeCell ref="H33:J33"/>
    <mergeCell ref="B22:E22"/>
    <mergeCell ref="F22:G22"/>
    <mergeCell ref="H22:I22"/>
    <mergeCell ref="J22:K22"/>
    <mergeCell ref="B23:E23"/>
    <mergeCell ref="F23:G23"/>
    <mergeCell ref="H23:I23"/>
    <mergeCell ref="J23:K23"/>
    <mergeCell ref="A29:L29"/>
    <mergeCell ref="B24:E24"/>
    <mergeCell ref="B25:E25"/>
    <mergeCell ref="F24:G24"/>
    <mergeCell ref="H24:I24"/>
    <mergeCell ref="J24:K24"/>
    <mergeCell ref="B26:E26"/>
    <mergeCell ref="F26:G26"/>
    <mergeCell ref="H26:I26"/>
    <mergeCell ref="J26:K26"/>
    <mergeCell ref="B27:E27"/>
    <mergeCell ref="F27:G27"/>
    <mergeCell ref="H27:I27"/>
    <mergeCell ref="J27:K27"/>
  </mergeCells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C45-C352-4597-BED2-044EFFA2F101}">
  <sheetPr>
    <pageSetUpPr fitToPage="1"/>
  </sheetPr>
  <dimension ref="A1:M20"/>
  <sheetViews>
    <sheetView view="pageBreakPreview" topLeftCell="A4" zoomScaleNormal="100" zoomScaleSheetLayoutView="100" workbookViewId="0">
      <selection activeCell="B17" sqref="B17"/>
    </sheetView>
  </sheetViews>
  <sheetFormatPr defaultRowHeight="15" x14ac:dyDescent="0.25"/>
  <cols>
    <col min="1" max="1" width="28.85546875" customWidth="1"/>
    <col min="2" max="2" width="19.5703125" customWidth="1"/>
    <col min="3" max="4" width="18.85546875" customWidth="1"/>
    <col min="5" max="5" width="8.7109375" customWidth="1"/>
    <col min="6" max="6" width="7.28515625" customWidth="1"/>
    <col min="8" max="9" width="7.5703125" customWidth="1"/>
    <col min="10" max="10" width="5.140625" customWidth="1"/>
    <col min="11" max="11" width="7.140625" customWidth="1"/>
    <col min="12" max="12" width="3.85546875" customWidth="1"/>
    <col min="13" max="13" width="8" customWidth="1"/>
  </cols>
  <sheetData>
    <row r="1" spans="1:13" s="1" customFormat="1" ht="52.5" customHeight="1" x14ac:dyDescent="0.25"/>
    <row r="2" spans="1:13" s="1" customFormat="1" ht="10.5" customHeight="1" x14ac:dyDescent="0.25">
      <c r="A2" s="50" t="s">
        <v>12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3" s="1" customFormat="1" ht="15.95" customHeight="1" x14ac:dyDescent="0.25">
      <c r="A3" s="50" t="s">
        <v>13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3" s="1" customFormat="1" ht="15.95" customHeight="1" x14ac:dyDescent="0.25">
      <c r="A4" s="50" t="s">
        <v>14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 spans="1:13" s="1" customFormat="1" ht="15.95" customHeight="1" x14ac:dyDescent="0.25">
      <c r="A5" s="50" t="s">
        <v>15</v>
      </c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3" s="1" customFormat="1" ht="8.25" customHeight="1" x14ac:dyDescent="0.25"/>
    <row r="7" spans="1:13" s="1" customFormat="1" ht="12" customHeight="1" x14ac:dyDescent="0.25">
      <c r="A7" s="1" t="s">
        <v>27</v>
      </c>
      <c r="B7" s="92" t="s">
        <v>35</v>
      </c>
      <c r="C7" s="92"/>
      <c r="D7" s="92"/>
      <c r="H7" s="2" t="s">
        <v>9</v>
      </c>
      <c r="I7" s="108"/>
      <c r="J7" s="108"/>
      <c r="K7" s="2"/>
    </row>
    <row r="8" spans="1:13" s="1" customFormat="1" ht="12" customHeight="1" x14ac:dyDescent="0.25">
      <c r="B8" s="3"/>
      <c r="C8" s="3"/>
      <c r="H8" s="3"/>
      <c r="I8" s="3"/>
      <c r="J8" s="3"/>
      <c r="K8" s="3"/>
    </row>
    <row r="9" spans="1:13" s="1" customFormat="1" ht="12" customHeight="1" x14ac:dyDescent="0.25">
      <c r="A9" s="1" t="s">
        <v>28</v>
      </c>
      <c r="B9" s="92" t="s">
        <v>29</v>
      </c>
      <c r="C9" s="92"/>
      <c r="D9" s="92"/>
      <c r="H9" s="2" t="s">
        <v>10</v>
      </c>
      <c r="I9" s="4"/>
      <c r="J9" s="4"/>
      <c r="K9" s="2"/>
    </row>
    <row r="10" spans="1:13" ht="16.5" customHeight="1" thickBot="1" x14ac:dyDescent="0.3">
      <c r="A10" s="60" t="s">
        <v>77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s="6" customFormat="1" ht="18.75" customHeight="1" x14ac:dyDescent="0.2">
      <c r="A11" s="93" t="s">
        <v>78</v>
      </c>
      <c r="B11" s="96" t="s">
        <v>4</v>
      </c>
      <c r="C11" s="99" t="s">
        <v>79</v>
      </c>
      <c r="D11" s="100"/>
      <c r="E11" s="99" t="s">
        <v>80</v>
      </c>
      <c r="F11" s="100"/>
      <c r="G11" s="99" t="s">
        <v>38</v>
      </c>
      <c r="H11" s="100"/>
      <c r="I11" s="99" t="s">
        <v>39</v>
      </c>
      <c r="J11" s="100"/>
      <c r="K11" s="99" t="s">
        <v>40</v>
      </c>
      <c r="L11" s="100"/>
      <c r="M11" s="105" t="s">
        <v>8</v>
      </c>
    </row>
    <row r="12" spans="1:13" s="6" customFormat="1" ht="18.75" customHeight="1" x14ac:dyDescent="0.2">
      <c r="A12" s="94"/>
      <c r="B12" s="97"/>
      <c r="C12" s="101"/>
      <c r="D12" s="102"/>
      <c r="E12" s="101"/>
      <c r="F12" s="102"/>
      <c r="G12" s="101"/>
      <c r="H12" s="102"/>
      <c r="I12" s="101"/>
      <c r="J12" s="102"/>
      <c r="K12" s="101"/>
      <c r="L12" s="102"/>
      <c r="M12" s="106"/>
    </row>
    <row r="13" spans="1:13" s="6" customFormat="1" ht="24" customHeight="1" x14ac:dyDescent="0.2">
      <c r="A13" s="95"/>
      <c r="B13" s="98"/>
      <c r="C13" s="103"/>
      <c r="D13" s="104"/>
      <c r="E13" s="103"/>
      <c r="F13" s="104"/>
      <c r="G13" s="103"/>
      <c r="H13" s="104"/>
      <c r="I13" s="103"/>
      <c r="J13" s="104"/>
      <c r="K13" s="103"/>
      <c r="L13" s="104"/>
      <c r="M13" s="107"/>
    </row>
    <row r="14" spans="1:13" s="5" customFormat="1" ht="39" customHeight="1" x14ac:dyDescent="0.2">
      <c r="A14" s="39" t="s">
        <v>81</v>
      </c>
      <c r="B14" s="39" t="s">
        <v>82</v>
      </c>
      <c r="C14" s="87"/>
      <c r="D14" s="89"/>
      <c r="E14" s="87" t="s">
        <v>83</v>
      </c>
      <c r="F14" s="89"/>
      <c r="G14" s="90">
        <v>5</v>
      </c>
      <c r="H14" s="91"/>
      <c r="I14" s="90">
        <v>0</v>
      </c>
      <c r="J14" s="91"/>
      <c r="K14" s="90">
        <v>5</v>
      </c>
      <c r="L14" s="91"/>
      <c r="M14" s="40">
        <v>5</v>
      </c>
    </row>
    <row r="15" spans="1:13" s="5" customFormat="1" ht="39" customHeight="1" x14ac:dyDescent="0.2">
      <c r="A15" s="39"/>
      <c r="B15" s="39" t="s">
        <v>84</v>
      </c>
      <c r="C15" s="87"/>
      <c r="D15" s="88"/>
      <c r="E15" s="87" t="s">
        <v>83</v>
      </c>
      <c r="F15" s="89"/>
      <c r="G15" s="90"/>
      <c r="H15" s="91"/>
      <c r="I15" s="90">
        <v>2</v>
      </c>
      <c r="J15" s="91"/>
      <c r="K15" s="90">
        <v>3</v>
      </c>
      <c r="L15" s="91"/>
      <c r="M15" s="40">
        <v>3</v>
      </c>
    </row>
    <row r="16" spans="1:13" s="5" customFormat="1" ht="39" customHeight="1" x14ac:dyDescent="0.2">
      <c r="A16" s="39"/>
      <c r="B16" s="39" t="s">
        <v>85</v>
      </c>
      <c r="C16" s="87"/>
      <c r="D16" s="88"/>
      <c r="E16" s="87" t="s">
        <v>83</v>
      </c>
      <c r="F16" s="89"/>
      <c r="G16" s="90"/>
      <c r="H16" s="91"/>
      <c r="I16" s="90">
        <v>1</v>
      </c>
      <c r="J16" s="91"/>
      <c r="K16" s="90">
        <v>2</v>
      </c>
      <c r="L16" s="91"/>
      <c r="M16" s="40">
        <v>2</v>
      </c>
    </row>
    <row r="17" spans="1:13" s="5" customFormat="1" ht="39" customHeight="1" x14ac:dyDescent="0.2">
      <c r="A17" s="39"/>
      <c r="B17" s="39" t="s">
        <v>89</v>
      </c>
      <c r="C17" s="87"/>
      <c r="D17" s="88"/>
      <c r="E17" s="87" t="s">
        <v>83</v>
      </c>
      <c r="F17" s="89"/>
      <c r="G17" s="90"/>
      <c r="H17" s="91"/>
      <c r="I17" s="90">
        <v>2</v>
      </c>
      <c r="J17" s="91"/>
      <c r="K17" s="90">
        <v>0</v>
      </c>
      <c r="L17" s="91"/>
      <c r="M17" s="44">
        <v>0</v>
      </c>
    </row>
    <row r="18" spans="1:13" s="1" customFormat="1" ht="75.75" customHeight="1" x14ac:dyDescent="0.25">
      <c r="A18" s="41"/>
      <c r="B18" s="41"/>
      <c r="D18" s="26"/>
      <c r="M18" s="41"/>
    </row>
    <row r="19" spans="1:13" s="1" customFormat="1" x14ac:dyDescent="0.25">
      <c r="D19" s="26"/>
    </row>
    <row r="20" spans="1:13" s="1" customFormat="1" x14ac:dyDescent="0.25">
      <c r="D20" s="26"/>
    </row>
  </sheetData>
  <mergeCells count="36">
    <mergeCell ref="C17:D17"/>
    <mergeCell ref="E17:F17"/>
    <mergeCell ref="G17:H17"/>
    <mergeCell ref="I17:J17"/>
    <mergeCell ref="K17:L17"/>
    <mergeCell ref="A2:K2"/>
    <mergeCell ref="A3:K3"/>
    <mergeCell ref="A4:K4"/>
    <mergeCell ref="A5:K5"/>
    <mergeCell ref="B7:D7"/>
    <mergeCell ref="I7:J7"/>
    <mergeCell ref="B9:D9"/>
    <mergeCell ref="A10:M10"/>
    <mergeCell ref="A11:A13"/>
    <mergeCell ref="B11:B13"/>
    <mergeCell ref="C11:D13"/>
    <mergeCell ref="E11:F13"/>
    <mergeCell ref="G11:H13"/>
    <mergeCell ref="I11:J13"/>
    <mergeCell ref="K11:L13"/>
    <mergeCell ref="M11:M13"/>
    <mergeCell ref="C15:D15"/>
    <mergeCell ref="E15:F15"/>
    <mergeCell ref="G15:H15"/>
    <mergeCell ref="I15:J15"/>
    <mergeCell ref="K15:L15"/>
    <mergeCell ref="C14:D14"/>
    <mergeCell ref="E14:F14"/>
    <mergeCell ref="G14:H14"/>
    <mergeCell ref="I14:J14"/>
    <mergeCell ref="K14:L14"/>
    <mergeCell ref="C16:D16"/>
    <mergeCell ref="E16:F16"/>
    <mergeCell ref="G16:H16"/>
    <mergeCell ref="I16:J16"/>
    <mergeCell ref="K16:L16"/>
  </mergeCells>
  <phoneticPr fontId="5" type="noConversion"/>
  <pageMargins left="0.25" right="0.25" top="0.75" bottom="0.75" header="0.3" footer="0.3"/>
  <pageSetup paperSize="9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ELECTION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2025-10-08T07:07:20Z</cp:lastPrinted>
  <dcterms:created xsi:type="dcterms:W3CDTF">2021-10-07T06:10:16Z</dcterms:created>
  <dcterms:modified xsi:type="dcterms:W3CDTF">2025-10-08T07:08:05Z</dcterms:modified>
</cp:coreProperties>
</file>