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A20DE5FF-B067-457E-AD0C-6D2496C36F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" sheetId="8" r:id="rId1"/>
    <sheet name="other types of leave" sheetId="10" r:id="rId2"/>
    <sheet name="CTO" sheetId="9" r:id="rId3"/>
  </sheets>
  <definedNames>
    <definedName name="_xlnm.Print_Area" localSheetId="0">'Leave Card'!$A$1:$J$74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8" l="1"/>
  <c r="I14" i="8" l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H14" i="8"/>
  <c r="H15" i="8" l="1"/>
  <c r="J14" i="8"/>
  <c r="H16" i="8" l="1"/>
  <c r="J15" i="8"/>
  <c r="H17" i="8" l="1"/>
  <c r="J16" i="8"/>
  <c r="H18" i="8" l="1"/>
  <c r="J17" i="8"/>
  <c r="H19" i="8" l="1"/>
  <c r="J18" i="8"/>
  <c r="H20" i="8" l="1"/>
  <c r="J19" i="8"/>
  <c r="H21" i="8" l="1"/>
  <c r="J20" i="8"/>
  <c r="H22" i="8" l="1"/>
  <c r="J21" i="8"/>
  <c r="H23" i="8" l="1"/>
  <c r="J22" i="8"/>
  <c r="H24" i="8" l="1"/>
  <c r="J23" i="8"/>
  <c r="H25" i="8" l="1"/>
  <c r="J24" i="8"/>
  <c r="H26" i="8" l="1"/>
  <c r="J25" i="8"/>
  <c r="H27" i="8" l="1"/>
  <c r="J26" i="8"/>
  <c r="H28" i="8" l="1"/>
  <c r="J27" i="8"/>
  <c r="H29" i="8" l="1"/>
  <c r="J28" i="8"/>
  <c r="H30" i="8" l="1"/>
  <c r="J29" i="8"/>
  <c r="H31" i="8" l="1"/>
  <c r="J30" i="8"/>
  <c r="H32" i="8" l="1"/>
  <c r="J31" i="8"/>
  <c r="H33" i="8" l="1"/>
  <c r="J32" i="8"/>
  <c r="H34" i="8" l="1"/>
  <c r="J33" i="8"/>
  <c r="H35" i="8" l="1"/>
  <c r="J34" i="8"/>
  <c r="H36" i="8" l="1"/>
  <c r="J35" i="8"/>
  <c r="H37" i="8" l="1"/>
  <c r="J36" i="8"/>
  <c r="H38" i="8" l="1"/>
  <c r="J37" i="8"/>
  <c r="H39" i="8" l="1"/>
  <c r="J38" i="8"/>
  <c r="H40" i="8" l="1"/>
  <c r="J39" i="8"/>
  <c r="H41" i="8" l="1"/>
  <c r="J40" i="8"/>
  <c r="H42" i="8" l="1"/>
  <c r="J41" i="8"/>
  <c r="H43" i="8" l="1"/>
  <c r="J42" i="8"/>
  <c r="J43" i="8" l="1"/>
  <c r="H44" i="8"/>
  <c r="H45" i="8" s="1"/>
  <c r="H46" i="8" s="1"/>
  <c r="H47" i="8" l="1"/>
  <c r="J46" i="8"/>
  <c r="J45" i="8"/>
  <c r="J44" i="8"/>
  <c r="J47" i="8" l="1"/>
  <c r="H48" i="8"/>
  <c r="J48" i="8" l="1"/>
  <c r="H49" i="8"/>
  <c r="H50" i="8" l="1"/>
  <c r="J49" i="8"/>
  <c r="J50" i="8" l="1"/>
  <c r="H51" i="8"/>
  <c r="H52" i="8" s="1"/>
  <c r="J52" i="8" l="1"/>
  <c r="H53" i="8"/>
  <c r="J51" i="8"/>
  <c r="J53" i="8" l="1"/>
  <c r="H54" i="8"/>
  <c r="H55" i="8" l="1"/>
  <c r="J54" i="8"/>
  <c r="J55" i="8" l="1"/>
  <c r="H56" i="8"/>
  <c r="H57" i="8" l="1"/>
  <c r="J56" i="8"/>
  <c r="H58" i="8" l="1"/>
  <c r="J57" i="8"/>
  <c r="J58" i="8" l="1"/>
  <c r="H59" i="8"/>
  <c r="H60" i="8" l="1"/>
  <c r="J59" i="8"/>
  <c r="J60" i="8" l="1"/>
  <c r="H61" i="8"/>
  <c r="J61" i="8" l="1"/>
  <c r="H62" i="8"/>
  <c r="H63" i="8" l="1"/>
  <c r="J62" i="8"/>
  <c r="J63" i="8" l="1"/>
  <c r="H64" i="8"/>
  <c r="J64" i="8" l="1"/>
  <c r="H65" i="8"/>
  <c r="J65" i="8" l="1"/>
  <c r="H66" i="8"/>
  <c r="J66" i="8" s="1"/>
</calcChain>
</file>

<file path=xl/sharedStrings.xml><?xml version="1.0" encoding="utf-8"?>
<sst xmlns="http://schemas.openxmlformats.org/spreadsheetml/2006/main" count="165" uniqueCount="133">
  <si>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</si>
  <si>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</si>
  <si>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</si>
  <si>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</si>
  <si>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</si>
  <si>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</si>
  <si>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</si>
  <si>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</si>
  <si>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</si>
  <si>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</si>
  <si>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</si>
  <si>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ADD: 05/01/22 - 05/31/22</t>
  </si>
  <si>
    <t>Republic of the Philippines</t>
  </si>
  <si>
    <t>Department of Education</t>
  </si>
  <si>
    <t>REGION VI-WESTERN VISAYAS</t>
  </si>
  <si>
    <t>SCHOOLS DIVISION OF SIPALAY CITY</t>
  </si>
  <si>
    <t>LESS: 06/27/22</t>
  </si>
  <si>
    <t>ADD: 06/01/22 - 06/30/22</t>
  </si>
  <si>
    <t>LESS: 01/19, 20 &amp; 21/22</t>
  </si>
  <si>
    <t>ADD: 01/01/22 - 01/31/22</t>
  </si>
  <si>
    <t>ADD: 02/01/22 - 03/31/22</t>
  </si>
  <si>
    <t>LESS: 04/01/22</t>
  </si>
  <si>
    <t>ADD: 04/01/22 - 04/30/22</t>
  </si>
  <si>
    <t>LESS: 05/24/22</t>
  </si>
  <si>
    <t>ADD: 12/16-31/2019</t>
  </si>
  <si>
    <t>LESS: 05/27 &amp; 28/21</t>
  </si>
  <si>
    <t>ADD: 01/01/2021 - 09/30/2021</t>
  </si>
  <si>
    <t>LESS: 10/13/21</t>
  </si>
  <si>
    <t>LESS: MONETIZATION 2021</t>
  </si>
  <si>
    <t>ADD: 10/01/2021 - 11/30/2021</t>
  </si>
  <si>
    <t>LESS: 12/23/2021</t>
  </si>
  <si>
    <t>ADD: 12/01/2021 - 12/31/2021</t>
  </si>
  <si>
    <t>LESS: 03/07/22</t>
  </si>
  <si>
    <t>ADD: 07/01/22 - 07/31/22</t>
  </si>
  <si>
    <t>LESS: 08/30 &amp; 31/22</t>
  </si>
  <si>
    <t>LESS: 09/1/22</t>
  </si>
  <si>
    <t>LESS: MONETIZATION 2022</t>
  </si>
  <si>
    <t>ADD: 08/01/22 - 08/31/22</t>
  </si>
  <si>
    <t>LESS: 09/16/22</t>
  </si>
  <si>
    <t>Name: _____________________________</t>
  </si>
  <si>
    <t>DISTRICT: ___________________________</t>
  </si>
  <si>
    <t>POSITION: __________________________</t>
  </si>
  <si>
    <t>SCHOOL/OFFICE:_____________________</t>
  </si>
  <si>
    <t>SPECIAL PRIVILEGE LEAVE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</si>
  <si>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</si>
  <si>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</si>
  <si>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</si>
  <si>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</si>
  <si>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</si>
  <si>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</si>
  <si>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</si>
  <si>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</si>
  <si>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</si>
  <si>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</si>
  <si>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</si>
  <si>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</si>
  <si>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</si>
  <si>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S.O. #052, s. 2022,124TH PHILIPPINE INDEPENDENCE DAY CELEBRATION</t>
  </si>
  <si>
    <t>ADD: JULY 13, 2022</t>
  </si>
  <si>
    <t>LESS: AUGUST 01, 2022</t>
  </si>
  <si>
    <t>LESS: 02/20/21</t>
  </si>
  <si>
    <t>ADD: 01/01/2020 - 12/31/2020</t>
  </si>
  <si>
    <t>LESS: FL 2020</t>
  </si>
  <si>
    <t>ADD: 09/01/22 - 11/30/22</t>
  </si>
  <si>
    <t>NAME         :</t>
  </si>
  <si>
    <t xml:space="preserve">POSITION   : </t>
  </si>
  <si>
    <t xml:space="preserve">SCHOOL/OFFICE : </t>
  </si>
  <si>
    <t>ADD: 12/01/22 - 12/31/22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</si>
  <si>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</si>
  <si>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</si>
  <si>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</si>
  <si>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</si>
  <si>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</si>
  <si>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</si>
  <si>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</si>
  <si>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</si>
  <si>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</si>
  <si>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</si>
  <si>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</si>
  <si>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</si>
  <si>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</si>
  <si>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</si>
  <si>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</si>
  <si>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</si>
  <si>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</si>
  <si>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12/12-25/2022</t>
  </si>
  <si>
    <t>LESS: 01/09 - 12/ 22</t>
  </si>
  <si>
    <t>LESS: 01/03/23</t>
  </si>
  <si>
    <t>ADD: OCTOBER 04, 2022</t>
  </si>
  <si>
    <t>S.O. #017, S. 2022 ADMINISTRATION OF 2021 NQESH</t>
  </si>
  <si>
    <t>ADD: 01/01/23 - 03/31/23</t>
  </si>
  <si>
    <t>LESS: OCTOBER 04, 2022</t>
  </si>
  <si>
    <t>LESS: APRIL 13, 2023</t>
  </si>
  <si>
    <t>LESS: APRIL 19 &amp; 20, 2023</t>
  </si>
  <si>
    <t>LESS: APRIL 28, 2023</t>
  </si>
  <si>
    <t>ADD: 04/01/23 - 08/31/23</t>
  </si>
  <si>
    <t>LESS: AUGUST 7, 8 &amp; 14, 2023</t>
  </si>
  <si>
    <t>LESS: MONETIZATION 2023</t>
  </si>
  <si>
    <t>ADD:04/17/2023</t>
  </si>
  <si>
    <t>S.O. #048, S. 2023 DISTRICT &amp; CITY SPORTS MEET</t>
  </si>
  <si>
    <t>LESS: 10/19-20/2023</t>
  </si>
  <si>
    <t>ADD: 04/17/2023</t>
  </si>
  <si>
    <t>S.O. #050, S. 2023. 2023 PALARONG PANLALAWIGAN</t>
  </si>
  <si>
    <t>LESS: 10/26-27/2023</t>
  </si>
  <si>
    <t>ADD: 09/01/2023-10/31/2023</t>
  </si>
  <si>
    <t>LESS: 01/13/23</t>
  </si>
  <si>
    <t>ADD: 11/01/2023-11/30/2023</t>
  </si>
  <si>
    <t>LESS: 12/22.27.28.29/2023</t>
  </si>
  <si>
    <t>ADD: 01/01-31/2024</t>
  </si>
  <si>
    <t>ADD: 03/12/2024</t>
  </si>
  <si>
    <t>SO# 006 S.2024 DIVISION SPORTS MEET</t>
  </si>
  <si>
    <t>LESS: 04/29-30/2024</t>
  </si>
  <si>
    <t>ADD: 02/1/2024-07/31/2024</t>
  </si>
  <si>
    <t>LESS: MONETIZATION 2024</t>
  </si>
  <si>
    <t>ADD: 12/1-31/2023</t>
  </si>
  <si>
    <t>ADD: 08/1/2024-09/30/2024</t>
  </si>
  <si>
    <t>LESS: 09/9-10/2024</t>
  </si>
  <si>
    <t>LESS: 09/30/2024</t>
  </si>
  <si>
    <t>ADD: 10/01/2024-11/30/2024</t>
  </si>
  <si>
    <t>LESS: 12/19,23, 26, 27/2024</t>
  </si>
  <si>
    <t>ADD: 12/1-31/2024</t>
  </si>
  <si>
    <t>ADD: 01/1/2025-02/28/2025</t>
  </si>
  <si>
    <t>LESS: 03/14 &amp; 17/2025</t>
  </si>
  <si>
    <t>ADD: 05/20/2024</t>
  </si>
  <si>
    <t>SO# 15, S.2024 PALARONG PANLALAWIGAN 2024</t>
  </si>
  <si>
    <t>LESS: 03/6-7/2025</t>
  </si>
  <si>
    <t>DIVISION WORKSHOP ON CAMPUS JOURNALISM</t>
  </si>
  <si>
    <t>LESS: 05/2/2025</t>
  </si>
  <si>
    <t>ADD: 03/21/2025</t>
  </si>
  <si>
    <t>ADD: 03/1/2025-08/31/2025</t>
  </si>
  <si>
    <t>LESS: MONETIZATION 2025 (25 DAYS)</t>
  </si>
  <si>
    <t>LESS:  FL 2024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</si>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</sst>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8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2" xfId="0" applyFont="1" applyFill="1" applyBorder="1" applyAlignment="1">
      <alignment vertical="center"/>
    </xf>
    <xf numFmtId="0" fontId="6" fillId="0" borderId="0" xfId="0" applyFont="1"/>
    <xf numFmtId="0" fontId="3" fillId="7" borderId="1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0" xfId="0" applyFill="1"/>
    <xf numFmtId="0" fontId="0" fillId="2" borderId="0" xfId="0" applyFill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0" fillId="0" borderId="0" xfId="0" applyFont="1"/>
    <xf numFmtId="0" fontId="0" fillId="2" borderId="11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2" fillId="0" borderId="0" xfId="0" applyFont="1"/>
    <xf numFmtId="1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13" borderId="11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12" fillId="2" borderId="0" xfId="0" applyFont="1" applyFill="1"/>
    <xf numFmtId="0" fontId="0" fillId="1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880F405-E9F3-4B62-9EF0-931F85142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67</xdr:row>
      <xdr:rowOff>114300</xdr:rowOff>
    </xdr:from>
    <xdr:to>
      <xdr:col>9</xdr:col>
      <xdr:colOff>685800</xdr:colOff>
      <xdr:row>71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941289-E8EA-4E8B-9F20-690B5EBC5854}"/>
            </a:ext>
          </a:extLst>
        </xdr:cNvPr>
        <xdr:cNvSpPr txBox="1"/>
      </xdr:nvSpPr>
      <xdr:spPr>
        <a:xfrm>
          <a:off x="5486400" y="13687425"/>
          <a:ext cx="348615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123825</xdr:colOff>
      <xdr:row>0</xdr:row>
      <xdr:rowOff>19051</xdr:rowOff>
    </xdr:from>
    <xdr:to>
      <xdr:col>4</xdr:col>
      <xdr:colOff>82550</xdr:colOff>
      <xdr:row>0</xdr:row>
      <xdr:rowOff>692151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40075-1435-4C61-B885-B8BD1A548AA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9051"/>
          <a:ext cx="730250" cy="6731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423DED-1DE8-446E-AFE7-6A438AB39778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ALLABA,</a:t>
          </a:r>
          <a:r>
            <a:rPr lang="en-US" sz="1100" baseline="0"/>
            <a:t> JENNEFER S.</a:t>
          </a:r>
          <a:endParaRPr lang="en-US" sz="1100"/>
        </a:p>
      </xdr:txBody>
    </xdr:sp>
    <xdr:clientData/>
  </xdr:twoCellAnchor>
  <xdr:twoCellAnchor>
    <xdr:from>
      <xdr:col>0</xdr:col>
      <xdr:colOff>768351</xdr:colOff>
      <xdr:row>7</xdr:row>
      <xdr:rowOff>19051</xdr:rowOff>
    </xdr:from>
    <xdr:to>
      <xdr:col>2</xdr:col>
      <xdr:colOff>2933</xdr:colOff>
      <xdr:row>8</xdr:row>
      <xdr:rowOff>107951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2AE3F0-CA93-436D-BBD9-5508952DA7E9}"/>
            </a:ext>
          </a:extLst>
        </xdr:cNvPr>
        <xdr:cNvSpPr txBox="1"/>
      </xdr:nvSpPr>
      <xdr:spPr>
        <a:xfrm>
          <a:off x="768351" y="1720851"/>
          <a:ext cx="2060332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SEPS</a:t>
          </a:r>
        </a:p>
      </xdr:txBody>
    </xdr:sp>
    <xdr:clientData/>
  </xdr:twoCellAnchor>
  <xdr:twoCellAnchor>
    <xdr:from>
      <xdr:col>3</xdr:col>
      <xdr:colOff>320675</xdr:colOff>
      <xdr:row>7</xdr:row>
      <xdr:rowOff>107951</xdr:rowOff>
    </xdr:from>
    <xdr:to>
      <xdr:col>5</xdr:col>
      <xdr:colOff>530225</xdr:colOff>
      <xdr:row>10</xdr:row>
      <xdr:rowOff>64235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0BBD52-E048-4F15-BD39-010832BD8BDA}"/>
            </a:ext>
          </a:extLst>
        </xdr:cNvPr>
        <xdr:cNvSpPr txBox="1"/>
      </xdr:nvSpPr>
      <xdr:spPr>
        <a:xfrm>
          <a:off x="3978275" y="1803401"/>
          <a:ext cx="1752600" cy="261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62463</xdr:colOff>
      <xdr:row>0</xdr:row>
      <xdr:rowOff>22419</xdr:rowOff>
    </xdr:from>
    <xdr:to>
      <xdr:col>5</xdr:col>
      <xdr:colOff>101601</xdr:colOff>
      <xdr:row>0</xdr:row>
      <xdr:rowOff>654050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51720B-BF42-4666-9E52-43028862AF1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63" y="22419"/>
          <a:ext cx="648738" cy="63163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E476A4-F3FF-4C7A-98A6-54F6CA3DEDEC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0954D2-F31B-4D83-9479-B21B2B3908CA}"/>
            </a:ext>
          </a:extLst>
        </xdr:cNvPr>
        <xdr:cNvSpPr txBox="1"/>
      </xdr:nvSpPr>
      <xdr:spPr>
        <a:xfrm>
          <a:off x="777551" y="1487455"/>
          <a:ext cx="1535793" cy="242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Allaba, Jennefer.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A3D9CE-2A93-4E58-9BCC-BDE9BCE51827}"/>
            </a:ext>
          </a:extLst>
        </xdr:cNvPr>
        <xdr:cNvSpPr txBox="1"/>
      </xdr:nvSpPr>
      <xdr:spPr>
        <a:xfrm>
          <a:off x="751632" y="1804177"/>
          <a:ext cx="1360845" cy="230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  <a:r>
            <a:rPr lang="en-US" sz="1100" baseline="0"/>
            <a:t> 2</a:t>
          </a:r>
          <a:endParaRPr lang="en-US" sz="1100"/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8443F53-2BDB-450F-84DA-C54B388C5606}"/>
            </a:ext>
          </a:extLst>
        </xdr:cNvPr>
        <xdr:cNvSpPr txBox="1"/>
      </xdr:nvSpPr>
      <xdr:spPr>
        <a:xfrm>
          <a:off x="3743778" y="1710094"/>
          <a:ext cx="1530215" cy="24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1</xdr:row>
      <xdr:rowOff>28574</xdr:rowOff>
    </xdr:from>
    <xdr:to>
      <xdr:col>3</xdr:col>
      <xdr:colOff>333375</xdr:colOff>
      <xdr:row>4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DF0529-3C8B-4425-8D48-3296F0E5F2E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4150" y="276224"/>
          <a:ext cx="571500" cy="5905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BC0FD03-5047-4159-B7C8-8A6857F99BBE}"/>
            </a:ext>
          </a:extLst>
        </xdr:cNvPr>
        <xdr:cNvCxnSpPr/>
      </xdr:nvCxnSpPr>
      <xdr:spPr>
        <a:xfrm>
          <a:off x="752475" y="1647825"/>
          <a:ext cx="1047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755650</xdr:colOff>
      <xdr:row>6</xdr:row>
      <xdr:rowOff>63500</xdr:rowOff>
    </xdr:from>
    <xdr:to>
      <xdr:col>2</xdr:col>
      <xdr:colOff>72049</xdr:colOff>
      <xdr:row>8</xdr:row>
      <xdr:rowOff>59349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BD0B61-4387-4E71-825F-861942EC0714}"/>
            </a:ext>
          </a:extLst>
        </xdr:cNvPr>
        <xdr:cNvSpPr txBox="1"/>
      </xdr:nvSpPr>
      <xdr:spPr>
        <a:xfrm>
          <a:off x="755650" y="1162050"/>
          <a:ext cx="16404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ALLABA,</a:t>
          </a:r>
          <a:r>
            <a:rPr lang="en-US" sz="1100" baseline="0"/>
            <a:t> JENNEFER</a:t>
          </a:r>
          <a:endParaRPr lang="en-US" sz="1100"/>
        </a:p>
      </xdr:txBody>
    </xdr:sp>
    <xdr:clientData/>
  </xdr:twoCellAnchor>
  <xdr:twoCellAnchor>
    <xdr:from>
      <xdr:col>0</xdr:col>
      <xdr:colOff>755650</xdr:colOff>
      <xdr:row>8</xdr:row>
      <xdr:rowOff>69850</xdr:rowOff>
    </xdr:from>
    <xdr:to>
      <xdr:col>1</xdr:col>
      <xdr:colOff>425450</xdr:colOff>
      <xdr:row>9</xdr:row>
      <xdr:rowOff>127000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2A4FE9-D369-4E59-B158-E65009855B7D}"/>
            </a:ext>
          </a:extLst>
        </xdr:cNvPr>
        <xdr:cNvSpPr txBox="1"/>
      </xdr:nvSpPr>
      <xdr:spPr>
        <a:xfrm>
          <a:off x="755650" y="1422400"/>
          <a:ext cx="11430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</a:p>
      </xdr:txBody>
    </xdr:sp>
    <xdr:clientData/>
  </xdr:twoCellAnchor>
  <xdr:twoCellAnchor>
    <xdr:from>
      <xdr:col>3</xdr:col>
      <xdr:colOff>476250</xdr:colOff>
      <xdr:row>7</xdr:row>
      <xdr:rowOff>133350</xdr:rowOff>
    </xdr:from>
    <xdr:to>
      <xdr:col>6</xdr:col>
      <xdr:colOff>184150</xdr:colOff>
      <xdr:row>9</xdr:row>
      <xdr:rowOff>89634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EC559D-EE9B-47B0-A77E-F59FB01EAA29}"/>
            </a:ext>
          </a:extLst>
        </xdr:cNvPr>
        <xdr:cNvSpPr txBox="1"/>
      </xdr:nvSpPr>
      <xdr:spPr>
        <a:xfrm>
          <a:off x="3409950" y="1333500"/>
          <a:ext cx="1835150" cy="261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view="pageBreakPreview" topLeftCell="A52" zoomScaleNormal="100" zoomScaleSheetLayoutView="100" workbookViewId="0">
      <selection activeCell="A65" sqref="A65:XFD65"/>
    </sheetView>
  </sheetViews>
  <sheetFormatPr defaultRowHeight="15" x14ac:dyDescent="0.25"/>
  <cols>
    <col min="1" max="1" width="33.42578125" customWidth="1"/>
    <col min="2" max="2" width="11.5703125" style="7" customWidth="1"/>
    <col min="3" max="3" width="11.5703125" style="8" customWidth="1"/>
    <col min="4" max="4" width="11.5703125" style="7" customWidth="1"/>
    <col min="5" max="5" width="11.5703125" style="8" customWidth="1"/>
    <col min="6" max="6" width="11.5703125" style="11" customWidth="1"/>
    <col min="7" max="7" width="11.5703125" style="21" customWidth="1"/>
    <col min="8" max="8" width="11.5703125" style="8" customWidth="1"/>
    <col min="9" max="9" width="11.5703125" style="11" customWidth="1"/>
    <col min="10" max="10" width="11.5703125" customWidth="1"/>
  </cols>
  <sheetData>
    <row r="1" spans="1:13" s="1" customFormat="1" ht="55.5" customHeight="1" x14ac:dyDescent="0.25">
      <c r="G1" s="18"/>
    </row>
    <row r="2" spans="1:13" s="1" customFormat="1" ht="10.5" customHeight="1" x14ac:dyDescent="0.25">
      <c r="A2" s="49" t="s">
        <v>12</v>
      </c>
      <c r="B2" s="49"/>
      <c r="C2" s="49"/>
      <c r="D2" s="49"/>
      <c r="E2" s="49"/>
      <c r="F2" s="49"/>
      <c r="G2" s="49"/>
      <c r="H2" s="49"/>
      <c r="I2" s="49"/>
    </row>
    <row r="3" spans="1:13" s="1" customFormat="1" ht="15.95" customHeight="1" x14ac:dyDescent="0.25">
      <c r="A3" s="49" t="s">
        <v>13</v>
      </c>
      <c r="B3" s="49"/>
      <c r="C3" s="49"/>
      <c r="D3" s="49"/>
      <c r="E3" s="49"/>
      <c r="F3" s="49"/>
      <c r="G3" s="49"/>
      <c r="H3" s="49"/>
      <c r="I3" s="49"/>
      <c r="M3" s="12"/>
    </row>
    <row r="4" spans="1:13" s="1" customFormat="1" ht="15.95" customHeight="1" x14ac:dyDescent="0.25">
      <c r="A4" s="49" t="s">
        <v>132</v>
      </c>
      <c r="B4" s="49"/>
      <c r="C4" s="49"/>
      <c r="D4" s="49"/>
      <c r="E4" s="49"/>
      <c r="F4" s="49"/>
      <c r="G4" s="49"/>
      <c r="H4" s="49"/>
      <c r="I4" s="49"/>
    </row>
    <row r="5" spans="1:13" s="1" customFormat="1" ht="15.95" customHeight="1" x14ac:dyDescent="0.25">
      <c r="A5" s="49" t="s">
        <v>15</v>
      </c>
      <c r="B5" s="49"/>
      <c r="C5" s="49"/>
      <c r="D5" s="49"/>
      <c r="E5" s="49"/>
      <c r="F5" s="49"/>
      <c r="G5" s="49"/>
      <c r="H5" s="49"/>
      <c r="I5" s="49"/>
    </row>
    <row r="6" spans="1:13" s="1" customFormat="1" ht="8.25" customHeight="1" x14ac:dyDescent="0.25">
      <c r="G6" s="18"/>
    </row>
    <row r="7" spans="1:13" s="1" customFormat="1" ht="12" customHeight="1" x14ac:dyDescent="0.25">
      <c r="A7" s="1" t="s">
        <v>39</v>
      </c>
      <c r="C7" s="2" t="s">
        <v>40</v>
      </c>
      <c r="D7" s="2"/>
      <c r="G7" s="20" t="s">
        <v>9</v>
      </c>
      <c r="H7" s="50"/>
      <c r="I7" s="50"/>
    </row>
    <row r="8" spans="1:13" s="1" customFormat="1" ht="12" customHeight="1" x14ac:dyDescent="0.25">
      <c r="B8" s="3"/>
      <c r="C8" s="3"/>
      <c r="G8" s="20"/>
      <c r="H8" s="3"/>
      <c r="I8" s="3"/>
    </row>
    <row r="9" spans="1:13" s="1" customFormat="1" ht="12" customHeight="1" x14ac:dyDescent="0.25">
      <c r="A9" s="1" t="s">
        <v>41</v>
      </c>
      <c r="C9" s="2" t="s">
        <v>42</v>
      </c>
      <c r="D9" s="2"/>
      <c r="G9" s="20" t="s">
        <v>10</v>
      </c>
      <c r="H9" s="4"/>
      <c r="I9" s="4"/>
    </row>
    <row r="10" spans="1:13" s="1" customFormat="1" ht="12" customHeight="1" x14ac:dyDescent="0.25">
      <c r="C10" s="2"/>
      <c r="D10" s="2"/>
      <c r="G10" s="20"/>
      <c r="H10" s="2"/>
      <c r="I10" s="2"/>
    </row>
    <row r="11" spans="1:13" ht="16.5" customHeight="1" x14ac:dyDescent="0.25">
      <c r="A11" s="51" t="s">
        <v>0</v>
      </c>
      <c r="B11" s="51"/>
      <c r="C11" s="51"/>
      <c r="D11" s="51"/>
      <c r="E11" s="51"/>
      <c r="F11" s="51"/>
      <c r="G11" s="51"/>
      <c r="H11" s="51"/>
      <c r="I11" s="51"/>
    </row>
    <row r="12" spans="1:13" s="5" customFormat="1" ht="18.75" customHeight="1" x14ac:dyDescent="0.2">
      <c r="A12" s="52" t="s">
        <v>4</v>
      </c>
      <c r="B12" s="53" t="s">
        <v>5</v>
      </c>
      <c r="C12" s="53"/>
      <c r="D12" s="54" t="s">
        <v>6</v>
      </c>
      <c r="E12" s="54"/>
      <c r="F12" s="54"/>
      <c r="G12" s="55" t="s">
        <v>7</v>
      </c>
      <c r="H12" s="56"/>
      <c r="I12" s="56"/>
      <c r="J12" s="52" t="s">
        <v>8</v>
      </c>
    </row>
    <row r="13" spans="1:13" s="5" customFormat="1" ht="36.6" customHeight="1" x14ac:dyDescent="0.2">
      <c r="A13" s="52"/>
      <c r="B13" s="6" t="s">
        <v>1</v>
      </c>
      <c r="C13" s="9" t="s">
        <v>2</v>
      </c>
      <c r="D13" s="6" t="s">
        <v>1</v>
      </c>
      <c r="E13" s="9" t="s">
        <v>2</v>
      </c>
      <c r="F13" s="10" t="s">
        <v>3</v>
      </c>
      <c r="G13" s="19" t="s">
        <v>43</v>
      </c>
      <c r="H13" s="6" t="s">
        <v>1</v>
      </c>
      <c r="I13" s="9" t="s">
        <v>2</v>
      </c>
      <c r="J13" s="52"/>
    </row>
    <row r="14" spans="1:13" s="13" customFormat="1" ht="18" customHeight="1" x14ac:dyDescent="0.2">
      <c r="A14" s="15" t="s">
        <v>24</v>
      </c>
      <c r="B14" s="16">
        <v>0.66700000000000004</v>
      </c>
      <c r="C14" s="16">
        <v>0.66700000000000004</v>
      </c>
      <c r="D14" s="17"/>
      <c r="E14" s="17"/>
      <c r="F14" s="17"/>
      <c r="G14" s="17"/>
      <c r="H14" s="16">
        <f>B14</f>
        <v>0.66700000000000004</v>
      </c>
      <c r="I14" s="16">
        <f>C14</f>
        <v>0.66700000000000004</v>
      </c>
      <c r="J14" s="16">
        <f>H14+I14</f>
        <v>1.3340000000000001</v>
      </c>
    </row>
    <row r="15" spans="1:13" s="13" customFormat="1" ht="18" customHeight="1" x14ac:dyDescent="0.2">
      <c r="A15" s="15" t="s">
        <v>61</v>
      </c>
      <c r="B15" s="17">
        <v>15</v>
      </c>
      <c r="C15" s="31">
        <v>15</v>
      </c>
      <c r="D15" s="17"/>
      <c r="E15" s="17"/>
      <c r="F15" s="17"/>
      <c r="G15" s="17"/>
      <c r="H15" s="16">
        <f>H14-F15-D15+B15</f>
        <v>15.667</v>
      </c>
      <c r="I15" s="16">
        <f>I14-E15+C15</f>
        <v>15.667</v>
      </c>
      <c r="J15" s="16">
        <f t="shared" ref="J15" si="0">H15+I15</f>
        <v>31.334</v>
      </c>
    </row>
    <row r="16" spans="1:13" s="13" customFormat="1" ht="18" customHeight="1" x14ac:dyDescent="0.2">
      <c r="A16" s="15" t="s">
        <v>62</v>
      </c>
      <c r="B16" s="17"/>
      <c r="C16" s="31"/>
      <c r="D16" s="17"/>
      <c r="E16" s="17"/>
      <c r="F16" s="17">
        <v>5</v>
      </c>
      <c r="G16" s="17"/>
      <c r="H16" s="16">
        <f t="shared" ref="H16:H41" si="1">H15-F16-D16+B16</f>
        <v>10.667</v>
      </c>
      <c r="I16" s="16">
        <f t="shared" ref="I16:I41" si="2">I15-E16+C16</f>
        <v>15.667</v>
      </c>
      <c r="J16" s="16">
        <f t="shared" ref="J16:J41" si="3">H16+I16</f>
        <v>26.334</v>
      </c>
    </row>
    <row r="17" spans="1:10" s="13" customFormat="1" ht="18" customHeight="1" x14ac:dyDescent="0.2">
      <c r="A17" s="15" t="s">
        <v>60</v>
      </c>
      <c r="B17" s="17"/>
      <c r="C17" s="17"/>
      <c r="D17" s="17"/>
      <c r="E17" s="17"/>
      <c r="F17" s="17">
        <v>1</v>
      </c>
      <c r="G17" s="17"/>
      <c r="H17" s="16">
        <f t="shared" si="1"/>
        <v>9.6669999999999998</v>
      </c>
      <c r="I17" s="16">
        <f t="shared" si="2"/>
        <v>15.667</v>
      </c>
      <c r="J17" s="16">
        <f t="shared" si="3"/>
        <v>25.334</v>
      </c>
    </row>
    <row r="18" spans="1:10" s="13" customFormat="1" ht="18" customHeight="1" x14ac:dyDescent="0.2">
      <c r="A18" s="15" t="s">
        <v>25</v>
      </c>
      <c r="B18" s="17"/>
      <c r="C18" s="17"/>
      <c r="D18" s="17"/>
      <c r="E18" s="17"/>
      <c r="F18" s="17">
        <v>2</v>
      </c>
      <c r="G18" s="17"/>
      <c r="H18" s="16">
        <f t="shared" si="1"/>
        <v>7.6669999999999998</v>
      </c>
      <c r="I18" s="16">
        <f t="shared" si="2"/>
        <v>15.667</v>
      </c>
      <c r="J18" s="16">
        <f t="shared" si="3"/>
        <v>23.334</v>
      </c>
    </row>
    <row r="19" spans="1:10" s="13" customFormat="1" ht="18" customHeight="1" x14ac:dyDescent="0.2">
      <c r="A19" s="15" t="s">
        <v>26</v>
      </c>
      <c r="B19" s="17">
        <v>11.25</v>
      </c>
      <c r="C19" s="17">
        <v>11.25</v>
      </c>
      <c r="D19" s="17"/>
      <c r="E19" s="17"/>
      <c r="F19" s="17"/>
      <c r="G19" s="17"/>
      <c r="H19" s="16">
        <f t="shared" si="1"/>
        <v>18.917000000000002</v>
      </c>
      <c r="I19" s="16">
        <f t="shared" si="2"/>
        <v>26.917000000000002</v>
      </c>
      <c r="J19" s="16">
        <f t="shared" si="3"/>
        <v>45.834000000000003</v>
      </c>
    </row>
    <row r="20" spans="1:10" s="13" customFormat="1" ht="18" customHeight="1" x14ac:dyDescent="0.2">
      <c r="A20" s="15" t="s">
        <v>27</v>
      </c>
      <c r="B20" s="17"/>
      <c r="C20" s="17"/>
      <c r="D20" s="17"/>
      <c r="E20" s="17"/>
      <c r="F20" s="17">
        <v>1</v>
      </c>
      <c r="G20" s="17"/>
      <c r="H20" s="16">
        <f t="shared" si="1"/>
        <v>17.917000000000002</v>
      </c>
      <c r="I20" s="16">
        <f t="shared" si="2"/>
        <v>26.917000000000002</v>
      </c>
      <c r="J20" s="16">
        <f t="shared" si="3"/>
        <v>44.834000000000003</v>
      </c>
    </row>
    <row r="21" spans="1:10" s="13" customFormat="1" ht="18" customHeight="1" x14ac:dyDescent="0.2">
      <c r="A21" s="15" t="s">
        <v>28</v>
      </c>
      <c r="B21" s="17"/>
      <c r="C21" s="17"/>
      <c r="D21" s="17">
        <v>15</v>
      </c>
      <c r="E21" s="17">
        <v>14</v>
      </c>
      <c r="F21" s="17"/>
      <c r="G21" s="17"/>
      <c r="H21" s="16">
        <f t="shared" si="1"/>
        <v>2.9170000000000016</v>
      </c>
      <c r="I21" s="16">
        <f t="shared" si="2"/>
        <v>12.917000000000002</v>
      </c>
      <c r="J21" s="16">
        <f t="shared" si="3"/>
        <v>15.834000000000003</v>
      </c>
    </row>
    <row r="22" spans="1:10" s="13" customFormat="1" ht="18" customHeight="1" x14ac:dyDescent="0.2">
      <c r="A22" s="15" t="s">
        <v>29</v>
      </c>
      <c r="B22" s="17">
        <v>2.5</v>
      </c>
      <c r="C22" s="17">
        <v>2.5</v>
      </c>
      <c r="D22" s="17"/>
      <c r="E22" s="17"/>
      <c r="F22" s="17"/>
      <c r="G22" s="17"/>
      <c r="H22" s="16">
        <f t="shared" si="1"/>
        <v>5.4170000000000016</v>
      </c>
      <c r="I22" s="16">
        <f t="shared" si="2"/>
        <v>15.417000000000002</v>
      </c>
      <c r="J22" s="16">
        <f t="shared" si="3"/>
        <v>20.834000000000003</v>
      </c>
    </row>
    <row r="23" spans="1:10" s="13" customFormat="1" ht="18" customHeight="1" x14ac:dyDescent="0.2">
      <c r="A23" s="15" t="s">
        <v>30</v>
      </c>
      <c r="B23" s="17"/>
      <c r="C23" s="17"/>
      <c r="D23" s="17"/>
      <c r="E23" s="17"/>
      <c r="F23" s="17">
        <v>1</v>
      </c>
      <c r="G23" s="17"/>
      <c r="H23" s="16">
        <f t="shared" si="1"/>
        <v>4.4170000000000016</v>
      </c>
      <c r="I23" s="16">
        <f t="shared" si="2"/>
        <v>15.417000000000002</v>
      </c>
      <c r="J23" s="16">
        <f t="shared" si="3"/>
        <v>19.834000000000003</v>
      </c>
    </row>
    <row r="24" spans="1:10" s="13" customFormat="1" ht="18" customHeight="1" x14ac:dyDescent="0.2">
      <c r="A24" s="15" t="s">
        <v>31</v>
      </c>
      <c r="B24" s="17">
        <v>1.25</v>
      </c>
      <c r="C24" s="17">
        <v>1.25</v>
      </c>
      <c r="D24" s="17"/>
      <c r="E24" s="17"/>
      <c r="F24" s="17"/>
      <c r="G24" s="17"/>
      <c r="H24" s="16">
        <f t="shared" si="1"/>
        <v>5.6670000000000016</v>
      </c>
      <c r="I24" s="16">
        <f t="shared" si="2"/>
        <v>16.667000000000002</v>
      </c>
      <c r="J24" s="16">
        <f t="shared" si="3"/>
        <v>22.334000000000003</v>
      </c>
    </row>
    <row r="25" spans="1:10" s="13" customFormat="1" ht="18" customHeight="1" x14ac:dyDescent="0.2">
      <c r="A25" s="15" t="s">
        <v>18</v>
      </c>
      <c r="B25" s="17"/>
      <c r="C25" s="17"/>
      <c r="D25" s="17"/>
      <c r="E25" s="17">
        <v>3</v>
      </c>
      <c r="F25" s="17"/>
      <c r="G25" s="17"/>
      <c r="H25" s="16">
        <f t="shared" si="1"/>
        <v>5.6670000000000016</v>
      </c>
      <c r="I25" s="16">
        <f t="shared" si="2"/>
        <v>13.667000000000002</v>
      </c>
      <c r="J25" s="16">
        <f t="shared" si="3"/>
        <v>19.334000000000003</v>
      </c>
    </row>
    <row r="26" spans="1:10" s="14" customFormat="1" ht="18" customHeight="1" x14ac:dyDescent="0.2">
      <c r="A26" s="15" t="s">
        <v>19</v>
      </c>
      <c r="B26" s="17">
        <v>1.25</v>
      </c>
      <c r="C26" s="17">
        <v>1.25</v>
      </c>
      <c r="D26" s="17"/>
      <c r="E26" s="17"/>
      <c r="F26" s="17"/>
      <c r="G26" s="17"/>
      <c r="H26" s="16">
        <f t="shared" si="1"/>
        <v>6.9170000000000016</v>
      </c>
      <c r="I26" s="16">
        <f t="shared" si="2"/>
        <v>14.917000000000002</v>
      </c>
      <c r="J26" s="16">
        <f t="shared" si="3"/>
        <v>21.834000000000003</v>
      </c>
    </row>
    <row r="27" spans="1:10" s="14" customFormat="1" ht="18" customHeight="1" x14ac:dyDescent="0.2">
      <c r="A27" s="15" t="s">
        <v>32</v>
      </c>
      <c r="B27" s="17"/>
      <c r="C27" s="17"/>
      <c r="D27" s="17"/>
      <c r="E27" s="17"/>
      <c r="F27" s="17">
        <v>1</v>
      </c>
      <c r="G27" s="17"/>
      <c r="H27" s="16">
        <f t="shared" si="1"/>
        <v>5.9170000000000016</v>
      </c>
      <c r="I27" s="16">
        <f t="shared" si="2"/>
        <v>14.917000000000002</v>
      </c>
      <c r="J27" s="16">
        <f t="shared" si="3"/>
        <v>20.834000000000003</v>
      </c>
    </row>
    <row r="28" spans="1:10" s="14" customFormat="1" ht="18" customHeight="1" x14ac:dyDescent="0.2">
      <c r="A28" s="15" t="s">
        <v>20</v>
      </c>
      <c r="B28" s="17">
        <v>2.5</v>
      </c>
      <c r="C28" s="17">
        <v>2.5</v>
      </c>
      <c r="D28" s="17"/>
      <c r="E28" s="17"/>
      <c r="F28" s="17"/>
      <c r="G28" s="17"/>
      <c r="H28" s="16">
        <f t="shared" si="1"/>
        <v>8.4170000000000016</v>
      </c>
      <c r="I28" s="16">
        <f t="shared" si="2"/>
        <v>17.417000000000002</v>
      </c>
      <c r="J28" s="16">
        <f t="shared" si="3"/>
        <v>25.834000000000003</v>
      </c>
    </row>
    <row r="29" spans="1:10" s="14" customFormat="1" ht="18" customHeight="1" x14ac:dyDescent="0.2">
      <c r="A29" s="15" t="s">
        <v>21</v>
      </c>
      <c r="B29" s="17"/>
      <c r="C29" s="17"/>
      <c r="D29" s="17"/>
      <c r="E29" s="17"/>
      <c r="F29" s="17">
        <v>1</v>
      </c>
      <c r="G29" s="17"/>
      <c r="H29" s="16">
        <f t="shared" si="1"/>
        <v>7.4170000000000016</v>
      </c>
      <c r="I29" s="16">
        <f t="shared" si="2"/>
        <v>17.417000000000002</v>
      </c>
      <c r="J29" s="16">
        <f t="shared" si="3"/>
        <v>24.834000000000003</v>
      </c>
    </row>
    <row r="30" spans="1:10" s="14" customFormat="1" ht="18" customHeight="1" x14ac:dyDescent="0.2">
      <c r="A30" s="15" t="s">
        <v>22</v>
      </c>
      <c r="B30" s="17">
        <v>1.25</v>
      </c>
      <c r="C30" s="17">
        <v>1.25</v>
      </c>
      <c r="D30" s="17"/>
      <c r="E30" s="17"/>
      <c r="F30" s="17"/>
      <c r="G30" s="17"/>
      <c r="H30" s="16">
        <f t="shared" si="1"/>
        <v>8.6670000000000016</v>
      </c>
      <c r="I30" s="16">
        <f t="shared" si="2"/>
        <v>18.667000000000002</v>
      </c>
      <c r="J30" s="16">
        <f t="shared" si="3"/>
        <v>27.334000000000003</v>
      </c>
    </row>
    <row r="31" spans="1:10" s="14" customFormat="1" ht="18" customHeight="1" x14ac:dyDescent="0.2">
      <c r="A31" s="15" t="s">
        <v>23</v>
      </c>
      <c r="B31" s="32"/>
      <c r="C31" s="17"/>
      <c r="D31" s="17"/>
      <c r="E31" s="17"/>
      <c r="F31" s="17">
        <v>1</v>
      </c>
      <c r="G31" s="17"/>
      <c r="H31" s="16">
        <f t="shared" si="1"/>
        <v>7.6670000000000016</v>
      </c>
      <c r="I31" s="16">
        <f t="shared" si="2"/>
        <v>18.667000000000002</v>
      </c>
      <c r="J31" s="16">
        <f t="shared" si="3"/>
        <v>26.334000000000003</v>
      </c>
    </row>
    <row r="32" spans="1:10" s="14" customFormat="1" ht="18" customHeight="1" x14ac:dyDescent="0.2">
      <c r="A32" s="15" t="s">
        <v>11</v>
      </c>
      <c r="B32" s="17">
        <v>1.25</v>
      </c>
      <c r="C32" s="17">
        <v>1.25</v>
      </c>
      <c r="D32" s="17"/>
      <c r="E32" s="17"/>
      <c r="F32" s="17"/>
      <c r="G32" s="17"/>
      <c r="H32" s="16">
        <f t="shared" si="1"/>
        <v>8.9170000000000016</v>
      </c>
      <c r="I32" s="16">
        <f t="shared" si="2"/>
        <v>19.917000000000002</v>
      </c>
      <c r="J32" s="16">
        <f t="shared" si="3"/>
        <v>28.834000000000003</v>
      </c>
    </row>
    <row r="33" spans="1:10" s="14" customFormat="1" ht="18" customHeight="1" x14ac:dyDescent="0.2">
      <c r="A33" s="15" t="s">
        <v>16</v>
      </c>
      <c r="B33" s="17"/>
      <c r="C33" s="17"/>
      <c r="D33" s="17"/>
      <c r="E33" s="17">
        <v>1</v>
      </c>
      <c r="F33" s="17"/>
      <c r="G33" s="17"/>
      <c r="H33" s="16">
        <f t="shared" si="1"/>
        <v>8.9170000000000016</v>
      </c>
      <c r="I33" s="16">
        <f t="shared" si="2"/>
        <v>18.917000000000002</v>
      </c>
      <c r="J33" s="16">
        <f t="shared" si="3"/>
        <v>27.834000000000003</v>
      </c>
    </row>
    <row r="34" spans="1:10" s="14" customFormat="1" ht="18" customHeight="1" x14ac:dyDescent="0.2">
      <c r="A34" s="15" t="s">
        <v>17</v>
      </c>
      <c r="B34" s="17">
        <v>1.25</v>
      </c>
      <c r="C34" s="17">
        <v>1.25</v>
      </c>
      <c r="D34" s="17"/>
      <c r="E34" s="17"/>
      <c r="F34" s="17"/>
      <c r="G34" s="17"/>
      <c r="H34" s="16">
        <f t="shared" si="1"/>
        <v>10.167000000000002</v>
      </c>
      <c r="I34" s="16">
        <f t="shared" si="2"/>
        <v>20.167000000000002</v>
      </c>
      <c r="J34" s="16">
        <f t="shared" si="3"/>
        <v>30.334000000000003</v>
      </c>
    </row>
    <row r="35" spans="1:10" s="14" customFormat="1" ht="18" customHeight="1" x14ac:dyDescent="0.2">
      <c r="A35" s="15" t="s">
        <v>33</v>
      </c>
      <c r="B35" s="17">
        <v>1.25</v>
      </c>
      <c r="C35" s="17">
        <v>1.25</v>
      </c>
      <c r="D35" s="17"/>
      <c r="E35" s="17"/>
      <c r="F35" s="17"/>
      <c r="G35" s="17"/>
      <c r="H35" s="16">
        <f t="shared" si="1"/>
        <v>11.417000000000002</v>
      </c>
      <c r="I35" s="16">
        <f t="shared" si="2"/>
        <v>21.417000000000002</v>
      </c>
      <c r="J35" s="16">
        <f t="shared" si="3"/>
        <v>32.834000000000003</v>
      </c>
    </row>
    <row r="36" spans="1:10" s="14" customFormat="1" ht="18" customHeight="1" x14ac:dyDescent="0.2">
      <c r="A36" s="15" t="s">
        <v>34</v>
      </c>
      <c r="B36" s="17"/>
      <c r="C36" s="17"/>
      <c r="D36" s="17"/>
      <c r="E36" s="17"/>
      <c r="F36" s="17">
        <v>2</v>
      </c>
      <c r="G36" s="17"/>
      <c r="H36" s="16">
        <f t="shared" si="1"/>
        <v>9.4170000000000016</v>
      </c>
      <c r="I36" s="16">
        <f t="shared" si="2"/>
        <v>21.417000000000002</v>
      </c>
      <c r="J36" s="16">
        <f t="shared" si="3"/>
        <v>30.834000000000003</v>
      </c>
    </row>
    <row r="37" spans="1:10" s="14" customFormat="1" ht="18" customHeight="1" x14ac:dyDescent="0.2">
      <c r="A37" s="15" t="s">
        <v>35</v>
      </c>
      <c r="B37" s="17"/>
      <c r="C37" s="17"/>
      <c r="D37" s="17"/>
      <c r="E37" s="17"/>
      <c r="F37" s="17"/>
      <c r="G37" s="17"/>
      <c r="H37" s="16">
        <f t="shared" si="1"/>
        <v>9.4170000000000016</v>
      </c>
      <c r="I37" s="16">
        <f t="shared" si="2"/>
        <v>21.417000000000002</v>
      </c>
      <c r="J37" s="16">
        <f t="shared" si="3"/>
        <v>30.834000000000003</v>
      </c>
    </row>
    <row r="38" spans="1:10" s="14" customFormat="1" ht="18" customHeight="1" x14ac:dyDescent="0.2">
      <c r="A38" s="15" t="s">
        <v>37</v>
      </c>
      <c r="B38" s="17">
        <v>1.25</v>
      </c>
      <c r="C38" s="17">
        <v>1.25</v>
      </c>
      <c r="D38" s="17"/>
      <c r="E38" s="17"/>
      <c r="F38" s="17"/>
      <c r="G38" s="17"/>
      <c r="H38" s="16">
        <f t="shared" si="1"/>
        <v>10.667000000000002</v>
      </c>
      <c r="I38" s="16">
        <f t="shared" si="2"/>
        <v>22.667000000000002</v>
      </c>
      <c r="J38" s="16">
        <f t="shared" si="3"/>
        <v>33.334000000000003</v>
      </c>
    </row>
    <row r="39" spans="1:10" s="14" customFormat="1" ht="18" customHeight="1" x14ac:dyDescent="0.2">
      <c r="A39" s="15" t="s">
        <v>38</v>
      </c>
      <c r="B39" s="17"/>
      <c r="C39" s="17"/>
      <c r="D39" s="17"/>
      <c r="E39" s="17"/>
      <c r="F39" s="17"/>
      <c r="G39" s="17">
        <v>1</v>
      </c>
      <c r="H39" s="16">
        <f t="shared" si="1"/>
        <v>10.667000000000002</v>
      </c>
      <c r="I39" s="16">
        <f t="shared" si="2"/>
        <v>22.667000000000002</v>
      </c>
      <c r="J39" s="16">
        <f t="shared" si="3"/>
        <v>33.334000000000003</v>
      </c>
    </row>
    <row r="40" spans="1:10" s="14" customFormat="1" ht="18" customHeight="1" x14ac:dyDescent="0.2">
      <c r="A40" s="15" t="s">
        <v>36</v>
      </c>
      <c r="B40" s="17"/>
      <c r="C40" s="17"/>
      <c r="D40" s="17">
        <v>9</v>
      </c>
      <c r="E40" s="17">
        <v>16</v>
      </c>
      <c r="F40" s="17"/>
      <c r="G40" s="17"/>
      <c r="H40" s="16">
        <f t="shared" si="1"/>
        <v>1.6670000000000016</v>
      </c>
      <c r="I40" s="16">
        <f t="shared" si="2"/>
        <v>6.6670000000000016</v>
      </c>
      <c r="J40" s="16">
        <f t="shared" si="3"/>
        <v>8.3340000000000032</v>
      </c>
    </row>
    <row r="41" spans="1:10" s="14" customFormat="1" ht="18" customHeight="1" x14ac:dyDescent="0.2">
      <c r="A41" s="15" t="s">
        <v>63</v>
      </c>
      <c r="B41" s="17">
        <v>3.75</v>
      </c>
      <c r="C41" s="17">
        <v>3.75</v>
      </c>
      <c r="D41" s="17"/>
      <c r="E41" s="17"/>
      <c r="F41" s="17"/>
      <c r="G41" s="17"/>
      <c r="H41" s="16">
        <f t="shared" si="1"/>
        <v>5.4170000000000016</v>
      </c>
      <c r="I41" s="16">
        <f t="shared" si="2"/>
        <v>10.417000000000002</v>
      </c>
      <c r="J41" s="16">
        <f t="shared" si="3"/>
        <v>15.834000000000003</v>
      </c>
    </row>
    <row r="42" spans="1:10" s="14" customFormat="1" ht="18" customHeight="1" x14ac:dyDescent="0.2">
      <c r="A42" s="15" t="s">
        <v>67</v>
      </c>
      <c r="B42" s="17">
        <v>1.25</v>
      </c>
      <c r="C42" s="17">
        <v>1.25</v>
      </c>
      <c r="D42" s="17"/>
      <c r="E42" s="17"/>
      <c r="F42" s="17"/>
      <c r="G42" s="16"/>
      <c r="H42" s="16">
        <f t="shared" ref="H42" si="4">H41-F42-D42+B42</f>
        <v>6.6670000000000016</v>
      </c>
      <c r="I42" s="16">
        <f t="shared" ref="I42" si="5">I41-E42+C42</f>
        <v>11.667000000000002</v>
      </c>
      <c r="J42" s="16">
        <f t="shared" ref="J42" si="6">H42+I42</f>
        <v>18.334000000000003</v>
      </c>
    </row>
    <row r="43" spans="1:10" s="14" customFormat="1" ht="18" customHeight="1" x14ac:dyDescent="0.2">
      <c r="A43" s="15" t="s">
        <v>86</v>
      </c>
      <c r="B43" s="17"/>
      <c r="C43" s="17"/>
      <c r="D43" s="17"/>
      <c r="E43" s="17">
        <v>4</v>
      </c>
      <c r="F43" s="17"/>
      <c r="G43" s="16"/>
      <c r="H43" s="16">
        <f t="shared" ref="H43:H44" si="7">H42-F43-D43+B43</f>
        <v>6.6670000000000016</v>
      </c>
      <c r="I43" s="16">
        <f t="shared" ref="I43:I44" si="8">I42-E43+C43</f>
        <v>7.6670000000000016</v>
      </c>
      <c r="J43" s="16">
        <f t="shared" ref="J43:J44" si="9">H43+I43</f>
        <v>14.334000000000003</v>
      </c>
    </row>
    <row r="44" spans="1:10" s="14" customFormat="1" ht="18" customHeight="1" x14ac:dyDescent="0.2">
      <c r="A44" s="15" t="s">
        <v>105</v>
      </c>
      <c r="B44" s="17"/>
      <c r="C44" s="17"/>
      <c r="D44" s="17"/>
      <c r="E44" s="17"/>
      <c r="F44" s="17">
        <v>1</v>
      </c>
      <c r="G44" s="16"/>
      <c r="H44" s="16">
        <f t="shared" si="7"/>
        <v>5.6670000000000016</v>
      </c>
      <c r="I44" s="16">
        <f t="shared" si="8"/>
        <v>7.6670000000000016</v>
      </c>
      <c r="J44" s="16">
        <f t="shared" si="9"/>
        <v>13.334000000000003</v>
      </c>
    </row>
    <row r="45" spans="1:10" s="14" customFormat="1" ht="18" customHeight="1" x14ac:dyDescent="0.2">
      <c r="A45" s="15" t="s">
        <v>87</v>
      </c>
      <c r="B45" s="17"/>
      <c r="C45" s="17"/>
      <c r="D45" s="17">
        <v>1</v>
      </c>
      <c r="E45" s="17"/>
      <c r="F45" s="17"/>
      <c r="G45" s="16"/>
      <c r="H45" s="16">
        <f t="shared" ref="H45" si="10">H44-F45-D45+B45</f>
        <v>4.6670000000000016</v>
      </c>
      <c r="I45" s="16">
        <f t="shared" ref="I45" si="11">I44-E45+C45</f>
        <v>7.6670000000000016</v>
      </c>
      <c r="J45" s="16">
        <f t="shared" ref="J45" si="12">H45+I45</f>
        <v>12.334000000000003</v>
      </c>
    </row>
    <row r="46" spans="1:10" s="14" customFormat="1" ht="18" customHeight="1" x14ac:dyDescent="0.2">
      <c r="A46" s="15" t="s">
        <v>90</v>
      </c>
      <c r="B46" s="17">
        <v>3.75</v>
      </c>
      <c r="C46" s="17">
        <v>3.75</v>
      </c>
      <c r="D46" s="17"/>
      <c r="E46" s="17"/>
      <c r="F46" s="17"/>
      <c r="G46" s="16"/>
      <c r="H46" s="16">
        <f t="shared" ref="H46:H48" si="13">H45-F46-D46+B46</f>
        <v>8.4170000000000016</v>
      </c>
      <c r="I46" s="16">
        <f t="shared" ref="I46:I48" si="14">I45-E46+C46</f>
        <v>11.417000000000002</v>
      </c>
      <c r="J46" s="16">
        <f t="shared" ref="J46:J48" si="15">H46+I46</f>
        <v>19.834000000000003</v>
      </c>
    </row>
    <row r="47" spans="1:10" s="14" customFormat="1" ht="18" customHeight="1" x14ac:dyDescent="0.2">
      <c r="A47" s="15" t="s">
        <v>95</v>
      </c>
      <c r="B47" s="17">
        <f>5 *1.25</f>
        <v>6.25</v>
      </c>
      <c r="C47" s="17">
        <v>6.25</v>
      </c>
      <c r="D47" s="17"/>
      <c r="E47" s="17"/>
      <c r="F47" s="17"/>
      <c r="G47" s="16"/>
      <c r="H47" s="16">
        <f t="shared" si="13"/>
        <v>14.667000000000002</v>
      </c>
      <c r="I47" s="16">
        <f t="shared" si="14"/>
        <v>17.667000000000002</v>
      </c>
      <c r="J47" s="16">
        <f t="shared" si="15"/>
        <v>32.334000000000003</v>
      </c>
    </row>
    <row r="48" spans="1:10" s="14" customFormat="1" ht="18" customHeight="1" x14ac:dyDescent="0.2">
      <c r="A48" s="15" t="s">
        <v>97</v>
      </c>
      <c r="B48" s="17"/>
      <c r="C48" s="17"/>
      <c r="D48" s="17">
        <v>9</v>
      </c>
      <c r="E48" s="17">
        <v>9</v>
      </c>
      <c r="F48" s="17"/>
      <c r="G48" s="16"/>
      <c r="H48" s="16">
        <f t="shared" si="13"/>
        <v>5.6670000000000016</v>
      </c>
      <c r="I48" s="16">
        <f t="shared" si="14"/>
        <v>8.6670000000000016</v>
      </c>
      <c r="J48" s="16">
        <f t="shared" si="15"/>
        <v>14.334000000000003</v>
      </c>
    </row>
    <row r="49" spans="1:10" s="14" customFormat="1" ht="18" customHeight="1" x14ac:dyDescent="0.2">
      <c r="A49" s="15" t="s">
        <v>104</v>
      </c>
      <c r="B49" s="17">
        <v>2.5</v>
      </c>
      <c r="C49" s="17">
        <v>2.5</v>
      </c>
      <c r="D49" s="17"/>
      <c r="E49" s="17"/>
      <c r="F49" s="17"/>
      <c r="G49" s="16"/>
      <c r="H49" s="16">
        <f t="shared" ref="H49" si="16">H48-F49-D49+B49</f>
        <v>8.1670000000000016</v>
      </c>
      <c r="I49" s="16">
        <f t="shared" ref="I49" si="17">I48-E49+C49</f>
        <v>11.167000000000002</v>
      </c>
      <c r="J49" s="16">
        <f t="shared" ref="J49" si="18">H49+I49</f>
        <v>19.334000000000003</v>
      </c>
    </row>
    <row r="50" spans="1:10" s="14" customFormat="1" ht="18" customHeight="1" x14ac:dyDescent="0.2">
      <c r="A50" s="15" t="s">
        <v>106</v>
      </c>
      <c r="B50" s="17">
        <v>1.25</v>
      </c>
      <c r="C50" s="17">
        <v>1.25</v>
      </c>
      <c r="D50" s="17"/>
      <c r="E50" s="17"/>
      <c r="F50" s="17"/>
      <c r="G50" s="16"/>
      <c r="H50" s="16">
        <f t="shared" ref="H50:H51" si="19">H49-F50-D50+B50</f>
        <v>9.4170000000000016</v>
      </c>
      <c r="I50" s="16">
        <f t="shared" ref="I50:I51" si="20">I49-E50+C50</f>
        <v>12.417000000000002</v>
      </c>
      <c r="J50" s="16">
        <f t="shared" ref="J50:J51" si="21">H50+I50</f>
        <v>21.834000000000003</v>
      </c>
    </row>
    <row r="51" spans="1:10" s="14" customFormat="1" ht="18" customHeight="1" x14ac:dyDescent="0.2">
      <c r="A51" s="15" t="s">
        <v>107</v>
      </c>
      <c r="B51" s="17"/>
      <c r="C51" s="17"/>
      <c r="D51" s="17"/>
      <c r="E51" s="17"/>
      <c r="F51" s="17">
        <v>4</v>
      </c>
      <c r="G51" s="16"/>
      <c r="H51" s="16">
        <f t="shared" si="19"/>
        <v>5.4170000000000016</v>
      </c>
      <c r="I51" s="16">
        <f t="shared" si="20"/>
        <v>12.417000000000002</v>
      </c>
      <c r="J51" s="16">
        <f t="shared" si="21"/>
        <v>17.834000000000003</v>
      </c>
    </row>
    <row r="52" spans="1:10" s="14" customFormat="1" ht="18" customHeight="1" x14ac:dyDescent="0.2">
      <c r="A52" s="15" t="s">
        <v>114</v>
      </c>
      <c r="B52" s="17">
        <v>1.25</v>
      </c>
      <c r="C52" s="17">
        <v>1.25</v>
      </c>
      <c r="D52" s="17"/>
      <c r="E52" s="17"/>
      <c r="F52" s="17"/>
      <c r="G52" s="16"/>
      <c r="H52" s="16">
        <f t="shared" ref="H52:H55" si="22">H51-F52-D52+B52</f>
        <v>6.6670000000000016</v>
      </c>
      <c r="I52" s="16">
        <f t="shared" ref="I52:I55" si="23">I51-E52+C52</f>
        <v>13.667000000000002</v>
      </c>
      <c r="J52" s="16">
        <f t="shared" ref="J52:J55" si="24">H52+I52</f>
        <v>20.334000000000003</v>
      </c>
    </row>
    <row r="53" spans="1:10" s="14" customFormat="1" ht="18" customHeight="1" x14ac:dyDescent="0.2">
      <c r="A53" s="15" t="s">
        <v>108</v>
      </c>
      <c r="B53" s="17">
        <v>1.25</v>
      </c>
      <c r="C53" s="17">
        <v>1.25</v>
      </c>
      <c r="D53" s="17"/>
      <c r="E53" s="17"/>
      <c r="F53" s="17"/>
      <c r="G53" s="16"/>
      <c r="H53" s="16">
        <f t="shared" si="22"/>
        <v>7.9170000000000016</v>
      </c>
      <c r="I53" s="16">
        <f t="shared" si="23"/>
        <v>14.917000000000002</v>
      </c>
      <c r="J53" s="16">
        <f t="shared" si="24"/>
        <v>22.834000000000003</v>
      </c>
    </row>
    <row r="54" spans="1:10" s="14" customFormat="1" ht="18" customHeight="1" x14ac:dyDescent="0.2">
      <c r="A54" s="15" t="s">
        <v>112</v>
      </c>
      <c r="B54" s="17">
        <v>7.5</v>
      </c>
      <c r="C54" s="17">
        <v>7.5</v>
      </c>
      <c r="D54" s="17"/>
      <c r="E54" s="17"/>
      <c r="F54" s="17"/>
      <c r="G54" s="16"/>
      <c r="H54" s="16">
        <f t="shared" si="22"/>
        <v>15.417000000000002</v>
      </c>
      <c r="I54" s="16">
        <f t="shared" si="23"/>
        <v>22.417000000000002</v>
      </c>
      <c r="J54" s="16">
        <f t="shared" si="24"/>
        <v>37.834000000000003</v>
      </c>
    </row>
    <row r="55" spans="1:10" s="14" customFormat="1" ht="18" customHeight="1" x14ac:dyDescent="0.2">
      <c r="A55" s="15" t="s">
        <v>113</v>
      </c>
      <c r="B55" s="15"/>
      <c r="C55" s="15"/>
      <c r="D55" s="15">
        <v>10</v>
      </c>
      <c r="E55" s="15"/>
      <c r="F55" s="15"/>
      <c r="G55" s="45"/>
      <c r="H55" s="45">
        <f t="shared" si="22"/>
        <v>5.4170000000000016</v>
      </c>
      <c r="I55" s="45">
        <f t="shared" si="23"/>
        <v>22.417000000000002</v>
      </c>
      <c r="J55" s="45">
        <f t="shared" si="24"/>
        <v>27.834000000000003</v>
      </c>
    </row>
    <row r="56" spans="1:10" s="14" customFormat="1" ht="18" customHeight="1" x14ac:dyDescent="0.2">
      <c r="A56" s="15" t="s">
        <v>115</v>
      </c>
      <c r="B56" s="15">
        <v>2.5</v>
      </c>
      <c r="C56" s="15">
        <v>2.5</v>
      </c>
      <c r="D56" s="15"/>
      <c r="E56" s="15"/>
      <c r="F56" s="15"/>
      <c r="G56" s="45"/>
      <c r="H56" s="45">
        <f t="shared" ref="H56:H57" si="25">H55-F56-D56+B56</f>
        <v>7.9170000000000016</v>
      </c>
      <c r="I56" s="45">
        <f t="shared" ref="I56:I57" si="26">I55-E56+C56</f>
        <v>24.917000000000002</v>
      </c>
      <c r="J56" s="45">
        <f t="shared" ref="J56:J57" si="27">H56+I56</f>
        <v>32.834000000000003</v>
      </c>
    </row>
    <row r="57" spans="1:10" s="14" customFormat="1" ht="18" customHeight="1" x14ac:dyDescent="0.2">
      <c r="A57" s="15" t="s">
        <v>116</v>
      </c>
      <c r="B57" s="15"/>
      <c r="C57" s="15"/>
      <c r="D57" s="15"/>
      <c r="E57" s="15">
        <v>2</v>
      </c>
      <c r="F57" s="15"/>
      <c r="G57" s="45"/>
      <c r="H57" s="45">
        <f t="shared" si="25"/>
        <v>7.9170000000000016</v>
      </c>
      <c r="I57" s="45">
        <f t="shared" si="26"/>
        <v>22.917000000000002</v>
      </c>
      <c r="J57" s="45">
        <f t="shared" si="27"/>
        <v>30.834000000000003</v>
      </c>
    </row>
    <row r="58" spans="1:10" s="14" customFormat="1" ht="18" customHeight="1" x14ac:dyDescent="0.2">
      <c r="A58" s="15" t="s">
        <v>117</v>
      </c>
      <c r="B58" s="15"/>
      <c r="C58" s="15"/>
      <c r="D58" s="15"/>
      <c r="E58" s="15">
        <v>1</v>
      </c>
      <c r="F58" s="15"/>
      <c r="G58" s="45"/>
      <c r="H58" s="45">
        <f t="shared" ref="H58" si="28">H57-F58-D58+B58</f>
        <v>7.9170000000000016</v>
      </c>
      <c r="I58" s="45">
        <f t="shared" ref="I58" si="29">I57-E58+C58</f>
        <v>21.917000000000002</v>
      </c>
      <c r="J58" s="45">
        <f t="shared" ref="J58" si="30">H58+I58</f>
        <v>29.834000000000003</v>
      </c>
    </row>
    <row r="59" spans="1:10" s="14" customFormat="1" ht="18" customHeight="1" x14ac:dyDescent="0.2">
      <c r="A59" s="15" t="s">
        <v>118</v>
      </c>
      <c r="B59" s="15">
        <v>2.5</v>
      </c>
      <c r="C59" s="15">
        <v>2.5</v>
      </c>
      <c r="D59" s="15"/>
      <c r="E59" s="15"/>
      <c r="F59" s="15"/>
      <c r="G59" s="45"/>
      <c r="H59" s="45">
        <f t="shared" ref="H59:H60" si="31">H58-F59-D59+B59</f>
        <v>10.417000000000002</v>
      </c>
      <c r="I59" s="45">
        <f t="shared" ref="I59:I60" si="32">I58-E59+C59</f>
        <v>24.417000000000002</v>
      </c>
      <c r="J59" s="45">
        <f t="shared" ref="J59:J60" si="33">H59+I59</f>
        <v>34.834000000000003</v>
      </c>
    </row>
    <row r="60" spans="1:10" s="14" customFormat="1" ht="18" customHeight="1" x14ac:dyDescent="0.2">
      <c r="A60" s="15" t="s">
        <v>119</v>
      </c>
      <c r="B60" s="15"/>
      <c r="C60" s="15"/>
      <c r="D60" s="15"/>
      <c r="E60" s="15"/>
      <c r="F60" s="15">
        <v>4</v>
      </c>
      <c r="G60" s="45"/>
      <c r="H60" s="45">
        <f t="shared" si="31"/>
        <v>6.4170000000000016</v>
      </c>
      <c r="I60" s="45">
        <f t="shared" si="32"/>
        <v>24.417000000000002</v>
      </c>
      <c r="J60" s="45">
        <f t="shared" si="33"/>
        <v>30.834000000000003</v>
      </c>
    </row>
    <row r="61" spans="1:10" s="14" customFormat="1" ht="18" customHeight="1" x14ac:dyDescent="0.2">
      <c r="A61" s="15" t="s">
        <v>120</v>
      </c>
      <c r="B61" s="15">
        <v>1.25</v>
      </c>
      <c r="C61" s="15">
        <v>1.25</v>
      </c>
      <c r="D61" s="15"/>
      <c r="E61" s="15"/>
      <c r="F61" s="15"/>
      <c r="G61" s="45"/>
      <c r="H61" s="45">
        <f t="shared" ref="H61:H63" si="34">H60-F61-D61+B61</f>
        <v>7.6670000000000016</v>
      </c>
      <c r="I61" s="45">
        <f t="shared" ref="I61:I63" si="35">I60-E61+C61</f>
        <v>25.667000000000002</v>
      </c>
      <c r="J61" s="45">
        <f t="shared" ref="J61:J63" si="36">H61+I61</f>
        <v>33.334000000000003</v>
      </c>
    </row>
    <row r="62" spans="1:10" s="14" customFormat="1" ht="18" customHeight="1" x14ac:dyDescent="0.2">
      <c r="A62" s="15" t="s">
        <v>131</v>
      </c>
      <c r="B62" s="15"/>
      <c r="C62" s="15"/>
      <c r="D62" s="15"/>
      <c r="E62" s="15"/>
      <c r="F62" s="15">
        <v>1</v>
      </c>
      <c r="G62" s="45"/>
      <c r="H62" s="45">
        <f t="shared" si="34"/>
        <v>6.6670000000000016</v>
      </c>
      <c r="I62" s="45">
        <f t="shared" si="35"/>
        <v>25.667000000000002</v>
      </c>
      <c r="J62" s="45">
        <f t="shared" si="36"/>
        <v>32.334000000000003</v>
      </c>
    </row>
    <row r="63" spans="1:10" s="14" customFormat="1" ht="18" customHeight="1" x14ac:dyDescent="0.2">
      <c r="A63" s="15" t="s">
        <v>121</v>
      </c>
      <c r="B63" s="15">
        <v>2.5</v>
      </c>
      <c r="C63" s="15">
        <v>2.5</v>
      </c>
      <c r="D63" s="15"/>
      <c r="E63" s="15"/>
      <c r="F63" s="15"/>
      <c r="G63" s="45"/>
      <c r="H63" s="45">
        <f t="shared" si="34"/>
        <v>9.1670000000000016</v>
      </c>
      <c r="I63" s="45">
        <f t="shared" si="35"/>
        <v>28.167000000000002</v>
      </c>
      <c r="J63" s="45">
        <f t="shared" si="36"/>
        <v>37.334000000000003</v>
      </c>
    </row>
    <row r="64" spans="1:10" s="14" customFormat="1" ht="18" customHeight="1" x14ac:dyDescent="0.2">
      <c r="A64" s="15" t="s">
        <v>125</v>
      </c>
      <c r="B64" s="15"/>
      <c r="C64" s="15"/>
      <c r="D64" s="15"/>
      <c r="E64" s="15">
        <v>2</v>
      </c>
      <c r="F64" s="15"/>
      <c r="G64" s="45"/>
      <c r="H64" s="45">
        <f t="shared" ref="H64" si="37">H63-F64-D64+B64</f>
        <v>9.1670000000000016</v>
      </c>
      <c r="I64" s="45">
        <f t="shared" ref="I64" si="38">I63-E64+C64</f>
        <v>26.167000000000002</v>
      </c>
      <c r="J64" s="45">
        <f t="shared" ref="J64" si="39">H64+I64</f>
        <v>35.334000000000003</v>
      </c>
    </row>
    <row r="65" spans="1:10" s="14" customFormat="1" ht="18" customHeight="1" x14ac:dyDescent="0.2">
      <c r="A65" s="15" t="s">
        <v>129</v>
      </c>
      <c r="B65" s="15">
        <v>7.5</v>
      </c>
      <c r="C65" s="15">
        <v>7.5</v>
      </c>
      <c r="D65" s="15"/>
      <c r="E65" s="15"/>
      <c r="F65" s="15"/>
      <c r="G65" s="45"/>
      <c r="H65" s="45">
        <f t="shared" ref="H65" si="40">H64-F65-D65+B65</f>
        <v>16.667000000000002</v>
      </c>
      <c r="I65" s="45">
        <f t="shared" ref="I65" si="41">I64-E65+C65</f>
        <v>33.667000000000002</v>
      </c>
      <c r="J65" s="45">
        <f t="shared" ref="J65" si="42">H65+I65</f>
        <v>50.334000000000003</v>
      </c>
    </row>
    <row r="66" spans="1:10" s="14" customFormat="1" ht="18" customHeight="1" x14ac:dyDescent="0.2">
      <c r="A66" s="15" t="s">
        <v>130</v>
      </c>
      <c r="B66" s="15"/>
      <c r="C66" s="15"/>
      <c r="D66" s="15">
        <v>11.667</v>
      </c>
      <c r="E66" s="15">
        <v>13.333</v>
      </c>
      <c r="F66" s="15"/>
      <c r="G66" s="45"/>
      <c r="H66" s="45">
        <f t="shared" ref="H66" si="43">H65-F66-D66+B66</f>
        <v>5.0000000000000018</v>
      </c>
      <c r="I66" s="45">
        <f t="shared" ref="I66" si="44">I65-E66+C66</f>
        <v>20.334000000000003</v>
      </c>
      <c r="J66" s="45">
        <f t="shared" ref="J66" si="45">H66+I66</f>
        <v>25.334000000000003</v>
      </c>
    </row>
    <row r="67" spans="1:10" s="14" customFormat="1" ht="18" customHeight="1" x14ac:dyDescent="0.2">
      <c r="A67" s="84"/>
      <c r="B67" s="84"/>
      <c r="C67" s="84"/>
      <c r="D67" s="84"/>
      <c r="E67" s="84"/>
      <c r="F67" s="84"/>
      <c r="G67" s="85"/>
      <c r="H67" s="85"/>
      <c r="I67" s="85"/>
      <c r="J67" s="85"/>
    </row>
    <row r="68" spans="1:10" s="14" customFormat="1" ht="18" customHeight="1" x14ac:dyDescent="0.2">
      <c r="A68" s="43"/>
      <c r="B68" s="18"/>
      <c r="C68" s="18"/>
      <c r="D68" s="18"/>
      <c r="E68" s="18"/>
      <c r="F68" s="18"/>
      <c r="G68" s="44"/>
      <c r="H68" s="44"/>
      <c r="I68" s="44"/>
      <c r="J68" s="44"/>
    </row>
    <row r="69" spans="1:10" s="14" customFormat="1" ht="18" customHeight="1" x14ac:dyDescent="0.2">
      <c r="A69" s="43"/>
      <c r="B69" s="18"/>
      <c r="C69" s="18"/>
      <c r="D69" s="18"/>
      <c r="E69" s="18"/>
      <c r="F69" s="18"/>
      <c r="G69" s="44"/>
      <c r="H69" s="44"/>
      <c r="I69" s="44"/>
      <c r="J69" s="44"/>
    </row>
    <row r="70" spans="1:10" s="14" customFormat="1" ht="18" customHeight="1" x14ac:dyDescent="0.2">
      <c r="A70" s="43"/>
      <c r="B70" s="18"/>
      <c r="C70" s="18"/>
      <c r="D70" s="18"/>
      <c r="E70" s="18"/>
      <c r="F70" s="18"/>
      <c r="G70" s="44"/>
      <c r="H70" s="44"/>
      <c r="I70" s="44"/>
      <c r="J70" s="44"/>
    </row>
    <row r="71" spans="1:10" s="49" customFormat="1" ht="18.75" customHeight="1" x14ac:dyDescent="0.25"/>
    <row r="72" spans="1:10" s="49" customFormat="1" ht="18.75" customHeight="1" x14ac:dyDescent="0.25"/>
    <row r="73" spans="1:10" s="49" customFormat="1" ht="42.75" customHeight="1" x14ac:dyDescent="0.25"/>
    <row r="74" spans="1:10" s="49" customFormat="1" ht="18.75" customHeight="1" x14ac:dyDescent="0.25"/>
  </sheetData>
  <mergeCells count="12">
    <mergeCell ref="A71:XFD74"/>
    <mergeCell ref="A11:I11"/>
    <mergeCell ref="A12:A13"/>
    <mergeCell ref="B12:C12"/>
    <mergeCell ref="D12:F12"/>
    <mergeCell ref="J12:J13"/>
    <mergeCell ref="G12:I12"/>
    <mergeCell ref="A2:I2"/>
    <mergeCell ref="A3:I3"/>
    <mergeCell ref="A4:I4"/>
    <mergeCell ref="A5:I5"/>
    <mergeCell ref="H7:I7"/>
  </mergeCells>
  <printOptions horizontalCentered="1"/>
  <pageMargins left="0.51181102362204722" right="0.51181102362204722" top="0.51181102362204722" bottom="0.31496062992125984" header="0.31496062992125984" footer="0.31496062992125984"/>
  <pageSetup paperSize="9" scale="6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B4ED-22B9-47A6-9667-2C9966CBDB66}">
  <dimension ref="A1:L24"/>
  <sheetViews>
    <sheetView workbookViewId="0">
      <selection activeCell="E20" sqref="E20"/>
    </sheetView>
  </sheetViews>
  <sheetFormatPr defaultRowHeight="15" x14ac:dyDescent="0.25"/>
  <cols>
    <col min="1" max="1" width="30.85546875" customWidth="1"/>
  </cols>
  <sheetData>
    <row r="1" spans="1:12" s="1" customFormat="1" ht="52.5" customHeight="1" x14ac:dyDescent="0.25">
      <c r="C1" s="22"/>
      <c r="D1" s="23"/>
      <c r="H1" s="12"/>
    </row>
    <row r="2" spans="1:12" s="1" customFormat="1" ht="10.5" customHeight="1" x14ac:dyDescent="0.25">
      <c r="A2" s="49" t="s">
        <v>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 x14ac:dyDescent="0.25">
      <c r="A3" s="49" t="s">
        <v>13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 x14ac:dyDescent="0.25">
      <c r="A4" s="49" t="s">
        <v>14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 x14ac:dyDescent="0.25">
      <c r="A5" s="49" t="s">
        <v>15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 x14ac:dyDescent="0.25">
      <c r="C6" s="12"/>
      <c r="H6" s="12"/>
    </row>
    <row r="7" spans="1:12" s="1" customFormat="1" ht="8.25" customHeight="1" x14ac:dyDescent="0.25">
      <c r="C7" s="12"/>
      <c r="H7" s="12"/>
    </row>
    <row r="8" spans="1:12" s="1" customFormat="1" ht="12" customHeight="1" x14ac:dyDescent="0.25">
      <c r="A8" s="24" t="s">
        <v>68</v>
      </c>
      <c r="B8" s="24"/>
      <c r="C8" s="57" t="s">
        <v>69</v>
      </c>
      <c r="D8" s="57"/>
      <c r="E8" s="57"/>
      <c r="F8" s="57"/>
      <c r="G8" s="57"/>
      <c r="I8" s="57" t="s">
        <v>70</v>
      </c>
      <c r="J8" s="57"/>
      <c r="K8" s="57"/>
      <c r="L8" s="24"/>
    </row>
    <row r="9" spans="1:12" s="1" customFormat="1" ht="12" customHeight="1" x14ac:dyDescent="0.25">
      <c r="B9" s="25"/>
      <c r="C9" s="57" t="s">
        <v>71</v>
      </c>
      <c r="D9" s="57"/>
      <c r="E9" s="57"/>
      <c r="F9" s="57"/>
      <c r="G9" s="57"/>
      <c r="I9" s="58" t="s">
        <v>72</v>
      </c>
      <c r="J9" s="58"/>
      <c r="K9" s="58"/>
      <c r="L9" s="25"/>
    </row>
    <row r="10" spans="1:12" s="1" customFormat="1" ht="12" customHeight="1" x14ac:dyDescent="0.25">
      <c r="A10" s="24" t="s">
        <v>73</v>
      </c>
      <c r="B10" s="24"/>
      <c r="C10" s="26"/>
      <c r="D10" s="25"/>
      <c r="E10" s="25"/>
      <c r="I10" s="57" t="s">
        <v>47</v>
      </c>
      <c r="J10" s="57"/>
      <c r="K10" s="57"/>
      <c r="L10" s="24"/>
    </row>
    <row r="11" spans="1:12" ht="16.5" customHeight="1" thickBot="1" x14ac:dyDescent="0.3">
      <c r="A11" s="59" t="s">
        <v>74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</row>
    <row r="12" spans="1:12" s="27" customFormat="1" ht="48" x14ac:dyDescent="0.2">
      <c r="A12" s="34" t="s">
        <v>4</v>
      </c>
      <c r="B12" s="35" t="s">
        <v>75</v>
      </c>
      <c r="C12" s="35" t="s">
        <v>76</v>
      </c>
      <c r="D12" s="35" t="s">
        <v>77</v>
      </c>
      <c r="E12" s="35" t="s">
        <v>78</v>
      </c>
      <c r="F12" s="35" t="s">
        <v>79</v>
      </c>
      <c r="G12" s="35" t="s">
        <v>80</v>
      </c>
      <c r="H12" s="35" t="s">
        <v>81</v>
      </c>
      <c r="I12" s="35" t="s">
        <v>82</v>
      </c>
      <c r="J12" s="35" t="s">
        <v>83</v>
      </c>
      <c r="K12" s="35" t="s">
        <v>84</v>
      </c>
      <c r="L12" s="33" t="s">
        <v>8</v>
      </c>
    </row>
    <row r="13" spans="1:12" s="27" customFormat="1" x14ac:dyDescent="0.2">
      <c r="A13" s="28" t="s">
        <v>85</v>
      </c>
      <c r="B13" s="17"/>
      <c r="C13" s="36"/>
      <c r="D13" s="36"/>
      <c r="E13" s="17"/>
      <c r="F13" s="17"/>
      <c r="G13" s="17"/>
      <c r="H13" s="36"/>
      <c r="I13" s="17">
        <v>14</v>
      </c>
      <c r="J13" s="17"/>
      <c r="K13" s="17"/>
      <c r="L13" s="29">
        <v>14</v>
      </c>
    </row>
    <row r="14" spans="1:12" s="27" customFormat="1" x14ac:dyDescent="0.2">
      <c r="A14" s="28"/>
      <c r="B14" s="17"/>
      <c r="C14" s="36"/>
      <c r="D14" s="36"/>
      <c r="E14" s="17"/>
      <c r="F14" s="17"/>
      <c r="G14" s="17"/>
      <c r="H14" s="36"/>
      <c r="I14" s="17"/>
      <c r="J14" s="17"/>
      <c r="K14" s="17"/>
      <c r="L14" s="29"/>
    </row>
    <row r="15" spans="1:12" s="30" customFormat="1" x14ac:dyDescent="0.2">
      <c r="A15" s="37"/>
      <c r="B15" s="17"/>
      <c r="C15" s="36"/>
      <c r="D15" s="36"/>
      <c r="E15" s="17"/>
      <c r="F15" s="17"/>
      <c r="G15" s="17"/>
      <c r="H15" s="36"/>
      <c r="I15" s="17"/>
      <c r="J15" s="17"/>
      <c r="K15" s="17"/>
      <c r="L15" s="29"/>
    </row>
    <row r="16" spans="1:12" s="30" customFormat="1" x14ac:dyDescent="0.2">
      <c r="A16" s="15"/>
      <c r="B16" s="17"/>
      <c r="C16" s="36"/>
      <c r="D16" s="36"/>
      <c r="E16" s="17"/>
      <c r="F16" s="17"/>
      <c r="G16" s="17"/>
      <c r="H16" s="36"/>
      <c r="I16" s="17"/>
      <c r="J16" s="17"/>
      <c r="K16" s="17"/>
      <c r="L16" s="29"/>
    </row>
    <row r="17" spans="1:12" s="30" customFormat="1" x14ac:dyDescent="0.2">
      <c r="A17" s="36"/>
      <c r="B17" s="17"/>
      <c r="C17" s="36"/>
      <c r="D17" s="36"/>
      <c r="E17" s="17"/>
      <c r="F17" s="17"/>
      <c r="G17" s="17"/>
      <c r="H17" s="36"/>
      <c r="I17" s="17"/>
      <c r="J17" s="17"/>
      <c r="K17" s="17"/>
      <c r="L17" s="29"/>
    </row>
    <row r="18" spans="1:12" s="30" customFormat="1" x14ac:dyDescent="0.2">
      <c r="A18" s="28"/>
      <c r="B18" s="17"/>
      <c r="C18" s="36"/>
      <c r="D18" s="36"/>
      <c r="E18" s="17"/>
      <c r="F18" s="17"/>
      <c r="G18" s="17"/>
      <c r="H18" s="36"/>
      <c r="I18" s="17"/>
      <c r="J18" s="17"/>
      <c r="K18" s="17"/>
      <c r="L18" s="29"/>
    </row>
    <row r="19" spans="1:12" s="30" customFormat="1" x14ac:dyDescent="0.2">
      <c r="A19" s="28"/>
      <c r="B19" s="17"/>
      <c r="C19" s="36"/>
      <c r="D19" s="36"/>
      <c r="E19" s="17"/>
      <c r="F19" s="17"/>
      <c r="G19" s="17"/>
      <c r="H19" s="36"/>
      <c r="I19" s="17"/>
      <c r="J19" s="17"/>
      <c r="K19" s="17"/>
      <c r="L19" s="29"/>
    </row>
    <row r="20" spans="1:12" s="30" customFormat="1" x14ac:dyDescent="0.2">
      <c r="A20" s="28"/>
      <c r="B20" s="17"/>
      <c r="C20" s="36"/>
      <c r="D20" s="36"/>
      <c r="E20" s="17"/>
      <c r="F20" s="17"/>
      <c r="G20" s="17"/>
      <c r="H20" s="36"/>
      <c r="I20" s="17"/>
      <c r="J20" s="17"/>
      <c r="K20" s="17"/>
      <c r="L20" s="29"/>
    </row>
    <row r="21" spans="1:12" s="30" customFormat="1" x14ac:dyDescent="0.2">
      <c r="A21" s="38"/>
      <c r="B21" s="17"/>
      <c r="C21" s="36"/>
      <c r="D21" s="36"/>
      <c r="E21" s="17"/>
      <c r="F21" s="17"/>
      <c r="G21" s="17"/>
      <c r="H21" s="36"/>
      <c r="I21" s="17"/>
      <c r="J21" s="17"/>
      <c r="K21" s="16"/>
      <c r="L21" s="29"/>
    </row>
    <row r="22" spans="1:12" ht="75.75" customHeight="1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</row>
    <row r="23" spans="1:12" s="1" customFormat="1" x14ac:dyDescent="0.25">
      <c r="C23" s="12"/>
    </row>
    <row r="24" spans="1:12" s="1" customFormat="1" x14ac:dyDescent="0.25">
      <c r="C24" s="12"/>
    </row>
  </sheetData>
  <mergeCells count="11">
    <mergeCell ref="C9:G9"/>
    <mergeCell ref="I9:K9"/>
    <mergeCell ref="I10:K10"/>
    <mergeCell ref="A11:L11"/>
    <mergeCell ref="A22:L22"/>
    <mergeCell ref="A2:L2"/>
    <mergeCell ref="A3:L3"/>
    <mergeCell ref="A4:L4"/>
    <mergeCell ref="A5:L5"/>
    <mergeCell ref="C8:G8"/>
    <mergeCell ref="I8:K8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5D57-530B-4158-9447-B1D6366FEEEB}">
  <sheetPr>
    <pageSetUpPr fitToPage="1"/>
  </sheetPr>
  <dimension ref="A1:L41"/>
  <sheetViews>
    <sheetView workbookViewId="0">
      <selection activeCell="S30" sqref="S30"/>
    </sheetView>
  </sheetViews>
  <sheetFormatPr defaultRowHeight="15" x14ac:dyDescent="0.25"/>
  <cols>
    <col min="1" max="1" width="23.140625" customWidth="1"/>
    <col min="2" max="2" width="12.140625" customWidth="1"/>
    <col min="5" max="5" width="14.42578125" customWidth="1"/>
  </cols>
  <sheetData>
    <row r="1" spans="1:12" s="1" customFormat="1" ht="20.100000000000001" customHeight="1" x14ac:dyDescent="0.25">
      <c r="C1" s="22"/>
      <c r="D1" s="23"/>
      <c r="H1" s="12"/>
    </row>
    <row r="2" spans="1:12" s="1" customFormat="1" ht="10.5" customHeight="1" x14ac:dyDescent="0.25">
      <c r="A2" s="49" t="s">
        <v>12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 x14ac:dyDescent="0.25">
      <c r="A3" s="49" t="s">
        <v>13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 x14ac:dyDescent="0.25">
      <c r="A4" s="49" t="s">
        <v>14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 x14ac:dyDescent="0.25">
      <c r="A5" s="49" t="s">
        <v>15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 x14ac:dyDescent="0.25">
      <c r="C6" s="12"/>
      <c r="H6" s="12"/>
    </row>
    <row r="7" spans="1:12" s="1" customFormat="1" ht="8.25" customHeight="1" x14ac:dyDescent="0.25">
      <c r="C7" s="12"/>
      <c r="H7" s="12"/>
    </row>
    <row r="8" spans="1:12" s="1" customFormat="1" ht="12" customHeight="1" x14ac:dyDescent="0.25">
      <c r="A8" s="24" t="s">
        <v>64</v>
      </c>
      <c r="B8" s="24"/>
      <c r="C8" s="57" t="s">
        <v>44</v>
      </c>
      <c r="D8" s="57"/>
      <c r="E8" s="57"/>
      <c r="F8" s="57"/>
      <c r="G8" s="57"/>
      <c r="I8" s="57" t="s">
        <v>45</v>
      </c>
      <c r="J8" s="57"/>
      <c r="K8" s="57"/>
      <c r="L8" s="24"/>
    </row>
    <row r="9" spans="1:12" s="1" customFormat="1" ht="12" customHeight="1" x14ac:dyDescent="0.25">
      <c r="B9" s="25"/>
      <c r="C9" s="57" t="s">
        <v>66</v>
      </c>
      <c r="D9" s="57"/>
      <c r="E9" s="57"/>
      <c r="F9" s="57"/>
      <c r="G9" s="57"/>
      <c r="I9" s="58" t="s">
        <v>46</v>
      </c>
      <c r="J9" s="58"/>
      <c r="K9" s="58"/>
      <c r="L9" s="25"/>
    </row>
    <row r="10" spans="1:12" s="1" customFormat="1" ht="12" customHeight="1" x14ac:dyDescent="0.25">
      <c r="A10" s="24" t="s">
        <v>65</v>
      </c>
      <c r="B10" s="24"/>
      <c r="C10" s="26"/>
      <c r="D10" s="25"/>
      <c r="E10" s="25"/>
      <c r="I10" s="57" t="s">
        <v>47</v>
      </c>
      <c r="J10" s="57"/>
      <c r="K10" s="57"/>
      <c r="L10" s="24"/>
    </row>
    <row r="11" spans="1:12" s="1" customFormat="1" ht="12" customHeight="1" x14ac:dyDescent="0.25">
      <c r="A11" s="24"/>
      <c r="B11" s="24"/>
      <c r="C11" s="26"/>
      <c r="D11" s="25"/>
      <c r="E11" s="25"/>
      <c r="I11" s="46"/>
      <c r="J11" s="46"/>
      <c r="K11" s="46"/>
      <c r="L11" s="24"/>
    </row>
    <row r="12" spans="1:12" ht="16.5" customHeight="1" thickBot="1" x14ac:dyDescent="0.3">
      <c r="A12" s="59" t="s">
        <v>48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</row>
    <row r="13" spans="1:12" s="27" customFormat="1" ht="18.75" customHeight="1" x14ac:dyDescent="0.2">
      <c r="A13" s="71" t="s">
        <v>4</v>
      </c>
      <c r="B13" s="73" t="s">
        <v>5</v>
      </c>
      <c r="C13" s="74"/>
      <c r="D13" s="74"/>
      <c r="E13" s="74"/>
      <c r="F13" s="74"/>
      <c r="G13" s="74"/>
      <c r="H13" s="74"/>
      <c r="I13" s="74"/>
      <c r="J13" s="74"/>
      <c r="K13" s="74"/>
      <c r="L13" s="75" t="s">
        <v>8</v>
      </c>
    </row>
    <row r="14" spans="1:12" s="27" customFormat="1" ht="24" customHeight="1" x14ac:dyDescent="0.2">
      <c r="A14" s="72"/>
      <c r="B14" s="78" t="s">
        <v>49</v>
      </c>
      <c r="C14" s="80"/>
      <c r="D14" s="80"/>
      <c r="E14" s="79"/>
      <c r="F14" s="78" t="s">
        <v>50</v>
      </c>
      <c r="G14" s="79"/>
      <c r="H14" s="78" t="s">
        <v>51</v>
      </c>
      <c r="I14" s="79"/>
      <c r="J14" s="78" t="s">
        <v>52</v>
      </c>
      <c r="K14" s="79"/>
      <c r="L14" s="76"/>
    </row>
    <row r="15" spans="1:12" s="27" customFormat="1" ht="21.6" hidden="1" customHeight="1" x14ac:dyDescent="0.2">
      <c r="A15" s="28" t="s">
        <v>58</v>
      </c>
      <c r="B15" s="69" t="s">
        <v>57</v>
      </c>
      <c r="C15" s="77"/>
      <c r="D15" s="77"/>
      <c r="E15" s="70"/>
      <c r="F15" s="69">
        <v>1</v>
      </c>
      <c r="G15" s="70"/>
      <c r="H15" s="69">
        <v>0</v>
      </c>
      <c r="I15" s="70"/>
      <c r="J15" s="69">
        <v>1</v>
      </c>
      <c r="K15" s="70"/>
      <c r="L15" s="29">
        <v>1</v>
      </c>
    </row>
    <row r="16" spans="1:12" s="30" customFormat="1" ht="23.1" hidden="1" customHeight="1" x14ac:dyDescent="0.2">
      <c r="A16" s="28" t="s">
        <v>59</v>
      </c>
      <c r="B16" s="69" t="s">
        <v>57</v>
      </c>
      <c r="C16" s="77"/>
      <c r="D16" s="77"/>
      <c r="E16" s="70"/>
      <c r="F16" s="69"/>
      <c r="G16" s="70"/>
      <c r="H16" s="69">
        <v>1</v>
      </c>
      <c r="I16" s="70"/>
      <c r="J16" s="69">
        <v>0</v>
      </c>
      <c r="K16" s="70"/>
      <c r="L16" s="29">
        <v>0</v>
      </c>
    </row>
    <row r="17" spans="1:12" s="30" customFormat="1" ht="14.1" hidden="1" customHeight="1" x14ac:dyDescent="0.2">
      <c r="A17" s="28" t="s">
        <v>88</v>
      </c>
      <c r="B17" s="69" t="s">
        <v>89</v>
      </c>
      <c r="C17" s="77"/>
      <c r="D17" s="77"/>
      <c r="E17" s="70"/>
      <c r="F17" s="69">
        <v>9</v>
      </c>
      <c r="G17" s="70"/>
      <c r="H17" s="69">
        <v>0</v>
      </c>
      <c r="I17" s="70"/>
      <c r="J17" s="69">
        <v>9</v>
      </c>
      <c r="K17" s="70"/>
      <c r="L17" s="29">
        <v>9</v>
      </c>
    </row>
    <row r="18" spans="1:12" s="30" customFormat="1" ht="12.6" hidden="1" customHeight="1" x14ac:dyDescent="0.2">
      <c r="A18" s="28" t="s">
        <v>91</v>
      </c>
      <c r="B18" s="69" t="s">
        <v>89</v>
      </c>
      <c r="C18" s="77"/>
      <c r="D18" s="77"/>
      <c r="E18" s="70"/>
      <c r="F18" s="69"/>
      <c r="G18" s="70"/>
      <c r="H18" s="69">
        <v>1</v>
      </c>
      <c r="I18" s="70"/>
      <c r="J18" s="69">
        <v>8</v>
      </c>
      <c r="K18" s="70"/>
      <c r="L18" s="29">
        <v>8</v>
      </c>
    </row>
    <row r="19" spans="1:12" s="30" customFormat="1" hidden="1" x14ac:dyDescent="0.2">
      <c r="A19" s="28" t="s">
        <v>92</v>
      </c>
      <c r="B19" s="69" t="s">
        <v>89</v>
      </c>
      <c r="C19" s="77"/>
      <c r="D19" s="77"/>
      <c r="E19" s="70"/>
      <c r="F19" s="69"/>
      <c r="G19" s="70"/>
      <c r="H19" s="69">
        <v>1</v>
      </c>
      <c r="I19" s="70"/>
      <c r="J19" s="69">
        <v>7</v>
      </c>
      <c r="K19" s="70"/>
      <c r="L19" s="29">
        <v>7</v>
      </c>
    </row>
    <row r="20" spans="1:12" s="30" customFormat="1" ht="12.95" hidden="1" customHeight="1" x14ac:dyDescent="0.2">
      <c r="A20" s="28" t="s">
        <v>93</v>
      </c>
      <c r="B20" s="69" t="s">
        <v>89</v>
      </c>
      <c r="C20" s="77"/>
      <c r="D20" s="77"/>
      <c r="E20" s="70"/>
      <c r="F20" s="69"/>
      <c r="G20" s="70"/>
      <c r="H20" s="69">
        <v>2</v>
      </c>
      <c r="I20" s="70"/>
      <c r="J20" s="69">
        <v>5</v>
      </c>
      <c r="K20" s="70"/>
      <c r="L20" s="29">
        <v>5</v>
      </c>
    </row>
    <row r="21" spans="1:12" s="30" customFormat="1" hidden="1" x14ac:dyDescent="0.2">
      <c r="A21" s="28" t="s">
        <v>94</v>
      </c>
      <c r="B21" s="69" t="s">
        <v>89</v>
      </c>
      <c r="C21" s="77"/>
      <c r="D21" s="77"/>
      <c r="E21" s="70"/>
      <c r="F21" s="69"/>
      <c r="G21" s="70"/>
      <c r="H21" s="69">
        <v>1</v>
      </c>
      <c r="I21" s="70"/>
      <c r="J21" s="69">
        <v>4</v>
      </c>
      <c r="K21" s="70"/>
      <c r="L21" s="29">
        <v>4</v>
      </c>
    </row>
    <row r="22" spans="1:12" s="30" customFormat="1" ht="30" hidden="1" x14ac:dyDescent="0.2">
      <c r="A22" s="39" t="s">
        <v>96</v>
      </c>
      <c r="B22" s="66" t="s">
        <v>89</v>
      </c>
      <c r="C22" s="67"/>
      <c r="D22" s="67"/>
      <c r="E22" s="68"/>
      <c r="F22" s="66"/>
      <c r="G22" s="68"/>
      <c r="H22" s="66">
        <v>3</v>
      </c>
      <c r="I22" s="68"/>
      <c r="J22" s="66">
        <v>1</v>
      </c>
      <c r="K22" s="68"/>
      <c r="L22" s="40">
        <v>1</v>
      </c>
    </row>
    <row r="23" spans="1:12" s="41" customFormat="1" hidden="1" x14ac:dyDescent="0.2">
      <c r="A23" s="36" t="s">
        <v>98</v>
      </c>
      <c r="B23" s="69" t="s">
        <v>99</v>
      </c>
      <c r="C23" s="77"/>
      <c r="D23" s="77"/>
      <c r="E23" s="70"/>
      <c r="F23" s="69">
        <v>2</v>
      </c>
      <c r="G23" s="70"/>
      <c r="H23" s="69">
        <v>0</v>
      </c>
      <c r="I23" s="70"/>
      <c r="J23" s="69">
        <v>2</v>
      </c>
      <c r="K23" s="70"/>
      <c r="L23" s="36">
        <v>2</v>
      </c>
    </row>
    <row r="24" spans="1:12" s="41" customFormat="1" hidden="1" x14ac:dyDescent="0.2">
      <c r="A24" s="36" t="s">
        <v>100</v>
      </c>
      <c r="B24" s="69" t="s">
        <v>99</v>
      </c>
      <c r="C24" s="77"/>
      <c r="D24" s="77"/>
      <c r="E24" s="70"/>
      <c r="F24" s="69"/>
      <c r="G24" s="70"/>
      <c r="H24" s="69">
        <v>2</v>
      </c>
      <c r="I24" s="70"/>
      <c r="J24" s="69">
        <v>0</v>
      </c>
      <c r="K24" s="70"/>
      <c r="L24" s="36">
        <v>0</v>
      </c>
    </row>
    <row r="25" spans="1:12" s="41" customFormat="1" hidden="1" x14ac:dyDescent="0.2">
      <c r="A25" s="36" t="s">
        <v>101</v>
      </c>
      <c r="B25" s="69" t="s">
        <v>102</v>
      </c>
      <c r="C25" s="77"/>
      <c r="D25" s="77"/>
      <c r="E25" s="70"/>
      <c r="F25" s="69">
        <v>2</v>
      </c>
      <c r="G25" s="70"/>
      <c r="H25" s="69">
        <v>0</v>
      </c>
      <c r="I25" s="70"/>
      <c r="J25" s="69">
        <v>2</v>
      </c>
      <c r="K25" s="70"/>
      <c r="L25" s="36">
        <v>2</v>
      </c>
    </row>
    <row r="26" spans="1:12" s="41" customFormat="1" hidden="1" x14ac:dyDescent="0.2">
      <c r="A26" s="42" t="s">
        <v>103</v>
      </c>
      <c r="B26" s="66" t="s">
        <v>102</v>
      </c>
      <c r="C26" s="67"/>
      <c r="D26" s="67"/>
      <c r="E26" s="68"/>
      <c r="F26" s="66"/>
      <c r="G26" s="68"/>
      <c r="H26" s="66">
        <v>2</v>
      </c>
      <c r="I26" s="68"/>
      <c r="J26" s="66">
        <v>0</v>
      </c>
      <c r="K26" s="68"/>
      <c r="L26" s="42">
        <v>0</v>
      </c>
    </row>
    <row r="27" spans="1:12" ht="19.5" customHeight="1" x14ac:dyDescent="0.25">
      <c r="A27" s="47" t="s">
        <v>109</v>
      </c>
      <c r="B27" s="61" t="s">
        <v>110</v>
      </c>
      <c r="C27" s="62"/>
      <c r="D27" s="62"/>
      <c r="E27" s="63"/>
      <c r="F27" s="64">
        <v>3</v>
      </c>
      <c r="G27" s="65"/>
      <c r="H27" s="64">
        <v>0</v>
      </c>
      <c r="I27" s="65"/>
      <c r="J27" s="64">
        <v>3</v>
      </c>
      <c r="K27" s="65"/>
      <c r="L27" s="48">
        <v>3</v>
      </c>
    </row>
    <row r="28" spans="1:12" s="41" customFormat="1" ht="26.25" customHeight="1" x14ac:dyDescent="0.2">
      <c r="A28" s="47" t="s">
        <v>111</v>
      </c>
      <c r="B28" s="61" t="s">
        <v>110</v>
      </c>
      <c r="C28" s="62"/>
      <c r="D28" s="62"/>
      <c r="E28" s="63"/>
      <c r="F28" s="64"/>
      <c r="G28" s="65"/>
      <c r="H28" s="64">
        <v>2</v>
      </c>
      <c r="I28" s="65"/>
      <c r="J28" s="64">
        <v>1</v>
      </c>
      <c r="K28" s="65"/>
      <c r="L28" s="48">
        <v>1</v>
      </c>
    </row>
    <row r="29" spans="1:12" ht="30" customHeight="1" x14ac:dyDescent="0.25">
      <c r="A29" s="47" t="s">
        <v>123</v>
      </c>
      <c r="B29" s="61" t="s">
        <v>124</v>
      </c>
      <c r="C29" s="62"/>
      <c r="D29" s="62"/>
      <c r="E29" s="63"/>
      <c r="F29" s="64">
        <v>3</v>
      </c>
      <c r="G29" s="65"/>
      <c r="H29" s="64">
        <v>0</v>
      </c>
      <c r="I29" s="65"/>
      <c r="J29" s="64">
        <v>3</v>
      </c>
      <c r="K29" s="65"/>
      <c r="L29" s="48">
        <v>3</v>
      </c>
    </row>
    <row r="30" spans="1:12" s="41" customFormat="1" ht="29.25" customHeight="1" x14ac:dyDescent="0.2">
      <c r="A30" s="47" t="s">
        <v>122</v>
      </c>
      <c r="B30" s="61" t="s">
        <v>124</v>
      </c>
      <c r="C30" s="62"/>
      <c r="D30" s="62"/>
      <c r="E30" s="63"/>
      <c r="F30" s="64"/>
      <c r="G30" s="65"/>
      <c r="H30" s="64">
        <v>2</v>
      </c>
      <c r="I30" s="65"/>
      <c r="J30" s="64">
        <v>1</v>
      </c>
      <c r="K30" s="65"/>
      <c r="L30" s="48">
        <v>1</v>
      </c>
    </row>
    <row r="31" spans="1:12" ht="28.5" customHeight="1" x14ac:dyDescent="0.25">
      <c r="A31" s="47" t="s">
        <v>123</v>
      </c>
      <c r="B31" s="61" t="s">
        <v>124</v>
      </c>
      <c r="C31" s="62"/>
      <c r="D31" s="62"/>
      <c r="E31" s="63"/>
      <c r="F31" s="64">
        <v>3</v>
      </c>
      <c r="G31" s="65"/>
      <c r="H31" s="64">
        <v>0</v>
      </c>
      <c r="I31" s="65"/>
      <c r="J31" s="64">
        <v>3</v>
      </c>
      <c r="K31" s="65"/>
      <c r="L31" s="48">
        <v>3</v>
      </c>
    </row>
    <row r="32" spans="1:12" s="41" customFormat="1" ht="29.25" customHeight="1" x14ac:dyDescent="0.2">
      <c r="A32" s="47" t="s">
        <v>122</v>
      </c>
      <c r="B32" s="61" t="s">
        <v>124</v>
      </c>
      <c r="C32" s="62"/>
      <c r="D32" s="62"/>
      <c r="E32" s="63"/>
      <c r="F32" s="64"/>
      <c r="G32" s="65"/>
      <c r="H32" s="64">
        <v>2</v>
      </c>
      <c r="I32" s="65"/>
      <c r="J32" s="64">
        <v>1</v>
      </c>
      <c r="K32" s="65"/>
      <c r="L32" s="48">
        <v>1</v>
      </c>
    </row>
    <row r="33" spans="1:12" ht="28.5" customHeight="1" x14ac:dyDescent="0.25">
      <c r="A33" s="47" t="s">
        <v>128</v>
      </c>
      <c r="B33" s="61" t="s">
        <v>126</v>
      </c>
      <c r="C33" s="62"/>
      <c r="D33" s="62"/>
      <c r="E33" s="63"/>
      <c r="F33" s="64">
        <v>3</v>
      </c>
      <c r="G33" s="65"/>
      <c r="H33" s="64">
        <v>0</v>
      </c>
      <c r="I33" s="65"/>
      <c r="J33" s="64">
        <v>3</v>
      </c>
      <c r="K33" s="65"/>
      <c r="L33" s="48">
        <v>3</v>
      </c>
    </row>
    <row r="34" spans="1:12" s="41" customFormat="1" ht="29.25" customHeight="1" x14ac:dyDescent="0.2">
      <c r="A34" s="47" t="s">
        <v>127</v>
      </c>
      <c r="B34" s="61" t="s">
        <v>126</v>
      </c>
      <c r="C34" s="62"/>
      <c r="D34" s="62"/>
      <c r="E34" s="63"/>
      <c r="F34" s="64"/>
      <c r="G34" s="65"/>
      <c r="H34" s="64">
        <v>1</v>
      </c>
      <c r="I34" s="65"/>
      <c r="J34" s="64">
        <v>2</v>
      </c>
      <c r="K34" s="65"/>
      <c r="L34" s="48">
        <v>2</v>
      </c>
    </row>
    <row r="35" spans="1:12" s="1" customFormat="1" x14ac:dyDescent="0.25">
      <c r="C35" s="12"/>
    </row>
    <row r="36" spans="1:12" s="1" customFormat="1" x14ac:dyDescent="0.25">
      <c r="C36" s="12"/>
    </row>
    <row r="37" spans="1:12" x14ac:dyDescent="0.25">
      <c r="I37" s="1" t="s">
        <v>53</v>
      </c>
      <c r="J37" s="1"/>
      <c r="K37" s="1"/>
    </row>
    <row r="38" spans="1:12" x14ac:dyDescent="0.25">
      <c r="I38" s="1"/>
      <c r="J38" s="1"/>
      <c r="K38" s="1"/>
    </row>
    <row r="39" spans="1:12" x14ac:dyDescent="0.25">
      <c r="I39" s="83" t="s">
        <v>54</v>
      </c>
      <c r="J39" s="83"/>
      <c r="K39" s="83"/>
    </row>
    <row r="40" spans="1:12" x14ac:dyDescent="0.25">
      <c r="I40" s="82" t="s">
        <v>55</v>
      </c>
      <c r="J40" s="82"/>
      <c r="K40" s="82"/>
    </row>
    <row r="41" spans="1:12" x14ac:dyDescent="0.25">
      <c r="I41" s="81" t="s">
        <v>56</v>
      </c>
      <c r="J41" s="81"/>
      <c r="K41" s="81"/>
    </row>
  </sheetData>
  <mergeCells count="100">
    <mergeCell ref="B33:E33"/>
    <mergeCell ref="F33:G33"/>
    <mergeCell ref="H33:I33"/>
    <mergeCell ref="J33:K33"/>
    <mergeCell ref="I41:K41"/>
    <mergeCell ref="B34:E34"/>
    <mergeCell ref="F34:G34"/>
    <mergeCell ref="H34:I34"/>
    <mergeCell ref="J34:K34"/>
    <mergeCell ref="I40:K40"/>
    <mergeCell ref="I39:K39"/>
    <mergeCell ref="B29:E29"/>
    <mergeCell ref="F29:G29"/>
    <mergeCell ref="H29:I29"/>
    <mergeCell ref="J29:K29"/>
    <mergeCell ref="B30:E30"/>
    <mergeCell ref="F30:G30"/>
    <mergeCell ref="H30:I30"/>
    <mergeCell ref="J30:K30"/>
    <mergeCell ref="B31:E31"/>
    <mergeCell ref="F31:G31"/>
    <mergeCell ref="H31:I31"/>
    <mergeCell ref="J31:K31"/>
    <mergeCell ref="B32:E32"/>
    <mergeCell ref="F32:G32"/>
    <mergeCell ref="H32:I32"/>
    <mergeCell ref="J32:K32"/>
    <mergeCell ref="B25:E25"/>
    <mergeCell ref="F25:G25"/>
    <mergeCell ref="H25:I25"/>
    <mergeCell ref="J25:K25"/>
    <mergeCell ref="B26:E26"/>
    <mergeCell ref="F26:G26"/>
    <mergeCell ref="H26:I26"/>
    <mergeCell ref="J26:K26"/>
    <mergeCell ref="B23:E23"/>
    <mergeCell ref="F23:G23"/>
    <mergeCell ref="H23:I23"/>
    <mergeCell ref="J23:K23"/>
    <mergeCell ref="B24:E24"/>
    <mergeCell ref="F24:G24"/>
    <mergeCell ref="H24:I24"/>
    <mergeCell ref="J24:K24"/>
    <mergeCell ref="B17:E17"/>
    <mergeCell ref="F17:G17"/>
    <mergeCell ref="H14:I14"/>
    <mergeCell ref="B21:E21"/>
    <mergeCell ref="F21:G21"/>
    <mergeCell ref="H21:I21"/>
    <mergeCell ref="H17:I17"/>
    <mergeCell ref="B19:E19"/>
    <mergeCell ref="F19:G19"/>
    <mergeCell ref="H19:I19"/>
    <mergeCell ref="F20:G20"/>
    <mergeCell ref="H20:I20"/>
    <mergeCell ref="B20:E20"/>
    <mergeCell ref="F15:G15"/>
    <mergeCell ref="J14:K14"/>
    <mergeCell ref="B15:E15"/>
    <mergeCell ref="H15:I15"/>
    <mergeCell ref="J15:K15"/>
    <mergeCell ref="B16:E16"/>
    <mergeCell ref="H16:I16"/>
    <mergeCell ref="J16:K16"/>
    <mergeCell ref="B14:E14"/>
    <mergeCell ref="F14:G14"/>
    <mergeCell ref="J19:K19"/>
    <mergeCell ref="B18:E18"/>
    <mergeCell ref="F18:G18"/>
    <mergeCell ref="H18:I18"/>
    <mergeCell ref="J18:K18"/>
    <mergeCell ref="J20:K20"/>
    <mergeCell ref="F16:G16"/>
    <mergeCell ref="J17:K17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2:L12"/>
    <mergeCell ref="A13:A14"/>
    <mergeCell ref="B13:K13"/>
    <mergeCell ref="L13:L14"/>
    <mergeCell ref="B22:E22"/>
    <mergeCell ref="F22:G22"/>
    <mergeCell ref="H22:I22"/>
    <mergeCell ref="J22:K22"/>
    <mergeCell ref="J21:K21"/>
    <mergeCell ref="B27:E27"/>
    <mergeCell ref="F27:G27"/>
    <mergeCell ref="H27:I27"/>
    <mergeCell ref="J27:K27"/>
    <mergeCell ref="B28:E28"/>
    <mergeCell ref="F28:G28"/>
    <mergeCell ref="H28:I28"/>
    <mergeCell ref="J28:K28"/>
  </mergeCells>
  <phoneticPr fontId="13" type="noConversion"/>
  <pageMargins left="0.7" right="0.7" top="0.75" bottom="0.75" header="0.3" footer="0.3"/>
  <pageSetup paperSize="9" scale="66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</vt:lpstr>
      <vt:lpstr>other types of leave</vt:lpstr>
      <vt:lpstr>CTO</vt:lpstr>
      <vt:lpstr>'Leave Card'!Print_Area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2025-09-02T03:15:24Z</cp:lastPrinted>
  <dcterms:created xsi:type="dcterms:W3CDTF">2021-10-07T06:10:16Z</dcterms:created>
  <dcterms:modified xsi:type="dcterms:W3CDTF">2025-09-02T03:42:43Z</dcterms:modified>
</cp:coreProperties>
</file>