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USARAN" sheetId="11" r:id="rId1"/>
    <sheet name="CTO" sheetId="12" r:id="rId2"/>
  </sheets>
  <definedNames>
    <definedName name="_xlnm.Print_Area" localSheetId="1">CTO!$A$1:$L$22</definedName>
    <definedName name="_xlnm.Print_Area" localSheetId="0">DUSARAN!$A$1:$J$40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<sst xmlns="http://schemas.openxmlformats.org/spreadsheetml/2006/main" count="76" uniqueCount="66">
  <si>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</si>
  <si>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</si>
  <si>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</si>
  <si>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</si>
  <si>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</si>
  <si>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 xml:space="preserve">DISTRICT: </t>
  </si>
  <si>
    <t>EMP. NO  :</t>
  </si>
  <si>
    <t>POSITION: __________________________</t>
  </si>
  <si>
    <t>SCHOOL/OFFICE:_____________________</t>
  </si>
  <si>
    <t>STATION   :</t>
  </si>
  <si>
    <t>047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</si>
  <si>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</si>
  <si>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</si>
  <si>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</si>
  <si>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</si>
  <si>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</si>
  <si>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</si>
  <si>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</si>
  <si>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</si>
  <si>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</si>
  <si>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</si>
  <si>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 LEAVE</t>
  </si>
  <si>
    <t>ADD: 07/04/22 - 07/31/22</t>
  </si>
  <si>
    <t>ADD: 08/01/22 - 12/31/22</t>
  </si>
  <si>
    <t>ADD: 01/01/23 - 08/31/23</t>
  </si>
  <si>
    <t>LESS: MONETIZATION 2023</t>
  </si>
  <si>
    <t>LESS: 08/30/2023</t>
  </si>
  <si>
    <t>ADD: 09/01/2023-11/30/2023</t>
  </si>
  <si>
    <t>LESS: 12/27-29/2023</t>
  </si>
  <si>
    <t>ADD: 12/1-31/2023</t>
  </si>
  <si>
    <t>LESS:  FL 2023</t>
  </si>
  <si>
    <t>ADD: JANUARY-APRIL 30, 2024</t>
  </si>
  <si>
    <t>LESS: 06/3/2024</t>
  </si>
  <si>
    <t>ADD: 05/1/2024-06/30/2024</t>
  </si>
  <si>
    <t>LESS: 06/21 &amp; 24/2024</t>
  </si>
  <si>
    <t>ADD: JULY 1-31, 2024</t>
  </si>
  <si>
    <t>LESS: MONETIZATION 2024</t>
  </si>
  <si>
    <t>ADD: 08/1/2024-12/31/2024</t>
  </si>
  <si>
    <t>LESS:  FL 2024</t>
  </si>
  <si>
    <t>ADD: 01/1/2025-08/31/2025</t>
  </si>
  <si>
    <t>LESS: MONETIZATION 2025</t>
  </si>
  <si>
    <t>ADD: 09/1/2025-11/30/2025</t>
  </si>
  <si>
    <t>LESS: 12/22,23, 26/2025</t>
  </si>
  <si>
    <t>DATE FILED: 12/22,23,26, 29/2025</t>
  </si>
  <si>
    <t>Certified Correct:</t>
  </si>
  <si>
    <t>MA. LUISA B. CATIGAN</t>
  </si>
  <si>
    <t>Administrative Officer IV</t>
  </si>
  <si>
    <t xml:space="preserve">               HRMO</t>
  </si>
  <si>
    <t>REGION VI-WESTERN VISAYAS</t>
  </si>
  <si>
    <t>NAME         : DUSARAN, GRECELYN</t>
  </si>
  <si>
    <t>DISTRICT             : _______________________</t>
  </si>
  <si>
    <t>EMPLOYEE NO   : __________</t>
  </si>
  <si>
    <t>SCHOOL/OFFICE : BARASBARASAN ES</t>
  </si>
  <si>
    <t>STATION CODE   : __________</t>
  </si>
  <si>
    <t>POSITION   : HT 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</si>
  <si>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</si>
  <si>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</si>
  <si>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</si>
  <si>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</si>
  <si>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</si>
  <si>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</si>
  <si>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10/11/2023</t>
  </si>
  <si>
    <t>SO. # 100 S. 2023, BRIGADA ESKWELA &amp; OBE 2023</t>
  </si>
  <si>
    <t>LESS:  06/14/2024</t>
  </si>
  <si>
    <t>NOTE:  Valid for one (1) year only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</si>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</sst>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1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22" applyNumberFormat="0" applyAlignment="0" applyProtection="0">
      <alignment vertical="center"/>
    </xf>
    <xf numFmtId="0" fontId="22" fillId="15" borderId="23" applyNumberFormat="0" applyAlignment="0" applyProtection="0">
      <alignment vertical="center"/>
    </xf>
    <xf numFmtId="0" fontId="23" fillId="15" borderId="22" applyNumberFormat="0" applyAlignment="0" applyProtection="0">
      <alignment vertical="center"/>
    </xf>
    <xf numFmtId="0" fontId="24" fillId="16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7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0" borderId="0" xfId="0" applyFont="1"/>
    <xf numFmtId="0" fontId="3" fillId="6" borderId="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76" fontId="9" fillId="2" borderId="16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7" fillId="0" borderId="16" xfId="0" applyFont="1" applyBorder="1" applyAlignment="1">
      <alignment horizontal="center"/>
    </xf>
    <xf numFmtId="176" fontId="9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0" fontId="10" fillId="2" borderId="0" xfId="0" applyFont="1" applyFill="1"/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3" fillId="6" borderId="9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12" fillId="0" borderId="0" xfId="0" applyFont="1"/>
    <xf numFmtId="0" fontId="3" fillId="2" borderId="17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225915</xdr:colOff>
      <xdr:row>0</xdr:row>
      <xdr:rowOff>63499</xdr:rowOff>
    </xdr:from>
    <xdr:to>
      <xdr:col>4</xdr:col>
      <xdr:colOff>152401</xdr:colOff>
      <xdr:row>0</xdr:row>
      <xdr:rowOff>622300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5905" y="62865"/>
          <a:ext cx="720725" cy="5594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67957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DUSARAN, GRECELYN V.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63639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HEAD TEACHER II</a:t>
          </a:r>
          <a:endParaRPr lang="en-US" sz="1100"/>
        </a:p>
      </xdr:txBody>
    </xdr:sp>
    <xdr:clientData/>
  </xdr:twoCellAnchor>
  <xdr:twoCellAnchor>
    <xdr:from>
      <xdr:col>1</xdr:col>
      <xdr:colOff>567593</xdr:colOff>
      <xdr:row>5</xdr:row>
      <xdr:rowOff>42741</xdr:rowOff>
    </xdr:from>
    <xdr:to>
      <xdr:col>3</xdr:col>
      <xdr:colOff>756871</xdr:colOff>
      <xdr:row>7</xdr:row>
      <xdr:rowOff>35659</xdr:rowOff>
    </xdr:to>
    <xdr:sp>
      <xdr:nvSpPr>
        <xdr:cNvPr id="5" name="TextBox 4"/>
        <xdr:cNvSpPr txBox="1"/>
      </xdr:nvSpPr>
      <xdr:spPr>
        <a:xfrm>
          <a:off x="2820035" y="1450340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SIPALAY II</a:t>
          </a:r>
          <a:endParaRPr lang="en-US" sz="1100"/>
        </a:p>
      </xdr:txBody>
    </xdr:sp>
    <xdr:clientData/>
  </xdr:twoCellAnchor>
  <xdr:twoCellAnchor>
    <xdr:from>
      <xdr:col>2</xdr:col>
      <xdr:colOff>224693</xdr:colOff>
      <xdr:row>7</xdr:row>
      <xdr:rowOff>61791</xdr:rowOff>
    </xdr:from>
    <xdr:to>
      <xdr:col>4</xdr:col>
      <xdr:colOff>413971</xdr:colOff>
      <xdr:row>9</xdr:row>
      <xdr:rowOff>7084</xdr:rowOff>
    </xdr:to>
    <xdr:sp>
      <xdr:nvSpPr>
        <xdr:cNvPr id="6" name="TextBox 5"/>
        <xdr:cNvSpPr txBox="1"/>
      </xdr:nvSpPr>
      <xdr:spPr>
        <a:xfrm>
          <a:off x="3270885" y="172656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BARASBARASAN ES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>
      <xdr:nvSpPr>
        <xdr:cNvPr id="3" name="TextBox 2"/>
        <xdr:cNvSpPr txBox="1"/>
      </xdr:nvSpPr>
      <xdr:spPr>
        <a:xfrm>
          <a:off x="76200" y="415671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view="pageBreakPreview" zoomScaleNormal="100" topLeftCell="A19" workbookViewId="0">
      <selection activeCell="A32" sqref="$A32:$XFD32"/>
    </sheetView>
  </sheetViews>
  <sheetFormatPr defaultColWidth="9" defaultRowHeight="14.4"/>
  <cols>
    <col min="1" max="1" width="32.8518518518519" customWidth="1"/>
    <col min="2" max="10" width="11.5740740740741" customWidth="1"/>
    <col min="11" max="11" width="26.4259259259259" style="39" customWidth="1"/>
  </cols>
  <sheetData>
    <row r="1" s="1" customFormat="1" ht="52.5" customHeight="1"/>
    <row r="2" s="1" customFormat="1" ht="10.5" customHeight="1" spans="1:10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="1" customFormat="1" ht="15.95" customHeight="1" spans="1:10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4" s="1" customFormat="1" ht="15.95" customHeight="1" spans="1:10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="1" customFormat="1" ht="15.95" customHeight="1" spans="1:10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="1" customFormat="1" ht="8.25" customHeight="1"/>
    <row r="7" s="1" customFormat="1" ht="12" customHeight="1" spans="1:10">
      <c r="A7" s="1" t="s">
        <v>4</v>
      </c>
      <c r="B7" s="13" t="s">
        <v>5</v>
      </c>
      <c r="C7" s="13"/>
      <c r="D7" s="13"/>
      <c r="H7" s="12" t="s">
        <v>6</v>
      </c>
      <c r="I7" s="67">
        <v>4124405</v>
      </c>
      <c r="J7" s="12"/>
    </row>
    <row r="8" s="1" customFormat="1" ht="12" customHeight="1" spans="2:10">
      <c r="B8" s="14"/>
      <c r="C8" s="14"/>
      <c r="H8" s="14"/>
      <c r="I8" s="14"/>
      <c r="J8" s="14"/>
    </row>
    <row r="9" s="1" customFormat="1" ht="12" customHeight="1" spans="1:10">
      <c r="A9" s="1" t="s">
        <v>7</v>
      </c>
      <c r="B9" s="13" t="s">
        <v>8</v>
      </c>
      <c r="C9" s="13"/>
      <c r="D9" s="13"/>
      <c r="H9" s="12" t="s">
        <v>9</v>
      </c>
      <c r="I9" s="73" t="s">
        <v>10</v>
      </c>
      <c r="J9" s="12"/>
    </row>
    <row r="10" ht="16.5" customHeight="1" spans="1:11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/>
    </row>
    <row r="11" ht="18.75" customHeight="1" spans="1:11">
      <c r="A11" s="40" t="s">
        <v>12</v>
      </c>
      <c r="B11" s="41" t="s">
        <v>13</v>
      </c>
      <c r="C11" s="41"/>
      <c r="D11" s="42" t="s">
        <v>14</v>
      </c>
      <c r="E11" s="43"/>
      <c r="F11" s="43"/>
      <c r="G11" s="44"/>
      <c r="H11" s="45" t="s">
        <v>15</v>
      </c>
      <c r="I11" s="45"/>
      <c r="J11" s="69" t="s">
        <v>16</v>
      </c>
      <c r="K11" s="70" t="s">
        <v>17</v>
      </c>
    </row>
    <row r="12" ht="37.5" customHeight="1" spans="1:11">
      <c r="A12" s="46"/>
      <c r="B12" s="47" t="s">
        <v>18</v>
      </c>
      <c r="C12" s="47" t="s">
        <v>19</v>
      </c>
      <c r="D12" s="47" t="s">
        <v>18</v>
      </c>
      <c r="E12" s="47" t="s">
        <v>19</v>
      </c>
      <c r="F12" s="47" t="s">
        <v>20</v>
      </c>
      <c r="G12" s="48" t="s">
        <v>21</v>
      </c>
      <c r="H12" s="47" t="s">
        <v>18</v>
      </c>
      <c r="I12" s="47" t="s">
        <v>19</v>
      </c>
      <c r="J12" s="71"/>
      <c r="K12" s="70"/>
    </row>
    <row r="13" ht="18.75" customHeight="1" spans="1:10">
      <c r="A13" s="49" t="s">
        <v>22</v>
      </c>
      <c r="B13" s="50">
        <v>1.167</v>
      </c>
      <c r="C13" s="50">
        <v>1.167</v>
      </c>
      <c r="D13" s="51"/>
      <c r="E13" s="51"/>
      <c r="F13" s="51"/>
      <c r="G13" s="51"/>
      <c r="H13" s="50">
        <f>B13</f>
        <v>1.167</v>
      </c>
      <c r="I13" s="50">
        <f>C13</f>
        <v>1.167</v>
      </c>
      <c r="J13" s="50">
        <f>SUM(H13+I13)</f>
        <v>2.334</v>
      </c>
    </row>
    <row r="14" ht="18.75" customHeight="1" spans="1:10">
      <c r="A14" s="49" t="s">
        <v>23</v>
      </c>
      <c r="B14" s="50">
        <v>6.25</v>
      </c>
      <c r="C14" s="50">
        <v>6.25</v>
      </c>
      <c r="D14" s="51"/>
      <c r="E14" s="51"/>
      <c r="F14" s="51"/>
      <c r="G14" s="51"/>
      <c r="H14" s="50">
        <f>H13-F14-D14+B14</f>
        <v>7.417</v>
      </c>
      <c r="I14" s="50">
        <f>I13-E14+C14</f>
        <v>7.417</v>
      </c>
      <c r="J14" s="50">
        <f>SUM(H14+I14)</f>
        <v>14.834</v>
      </c>
    </row>
    <row r="15" ht="18.75" customHeight="1" spans="1:10">
      <c r="A15" s="49" t="s">
        <v>24</v>
      </c>
      <c r="B15" s="52">
        <v>10</v>
      </c>
      <c r="C15" s="51">
        <v>10</v>
      </c>
      <c r="D15" s="51"/>
      <c r="E15" s="51"/>
      <c r="F15" s="51"/>
      <c r="G15" s="51"/>
      <c r="H15" s="50">
        <f t="shared" ref="H15:H19" si="0">H14-F15-D15+B15</f>
        <v>17.417</v>
      </c>
      <c r="I15" s="50">
        <f t="shared" ref="I15:I19" si="1">I14-E15+C15</f>
        <v>17.417</v>
      </c>
      <c r="J15" s="50">
        <f t="shared" ref="J15:J19" si="2">SUM(H15+I15)</f>
        <v>34.834</v>
      </c>
    </row>
    <row r="16" ht="18.75" customHeight="1" spans="1:10">
      <c r="A16" s="49" t="s">
        <v>25</v>
      </c>
      <c r="B16" s="53"/>
      <c r="C16" s="51"/>
      <c r="D16" s="50">
        <v>7</v>
      </c>
      <c r="E16" s="50">
        <v>11</v>
      </c>
      <c r="F16" s="51"/>
      <c r="G16" s="51"/>
      <c r="H16" s="50">
        <f t="shared" si="0"/>
        <v>10.417</v>
      </c>
      <c r="I16" s="50">
        <f t="shared" si="1"/>
        <v>6.417</v>
      </c>
      <c r="J16" s="50">
        <f t="shared" si="2"/>
        <v>16.834</v>
      </c>
    </row>
    <row r="17" ht="18.75" customHeight="1" spans="1:10">
      <c r="A17" s="49" t="s">
        <v>26</v>
      </c>
      <c r="B17" s="51"/>
      <c r="C17" s="51"/>
      <c r="D17" s="51"/>
      <c r="E17" s="51"/>
      <c r="F17" s="51">
        <v>1</v>
      </c>
      <c r="G17" s="51"/>
      <c r="H17" s="50">
        <f t="shared" si="0"/>
        <v>9.417</v>
      </c>
      <c r="I17" s="50">
        <f t="shared" si="1"/>
        <v>6.417</v>
      </c>
      <c r="J17" s="50">
        <f t="shared" si="2"/>
        <v>15.834</v>
      </c>
    </row>
    <row r="18" ht="18.75" customHeight="1" spans="1:10">
      <c r="A18" s="49" t="s">
        <v>27</v>
      </c>
      <c r="B18" s="51">
        <f>3*1.25</f>
        <v>3.75</v>
      </c>
      <c r="C18" s="51">
        <v>3.75</v>
      </c>
      <c r="D18" s="51"/>
      <c r="E18" s="51"/>
      <c r="F18" s="51"/>
      <c r="G18" s="51"/>
      <c r="H18" s="50">
        <f t="shared" si="0"/>
        <v>13.167</v>
      </c>
      <c r="I18" s="50">
        <f t="shared" si="1"/>
        <v>10.167</v>
      </c>
      <c r="J18" s="50">
        <f t="shared" si="2"/>
        <v>23.334</v>
      </c>
    </row>
    <row r="19" ht="18.75" customHeight="1" spans="1:10">
      <c r="A19" s="49" t="s">
        <v>28</v>
      </c>
      <c r="B19" s="51"/>
      <c r="C19" s="51"/>
      <c r="D19" s="51"/>
      <c r="E19" s="51"/>
      <c r="F19" s="51">
        <v>3</v>
      </c>
      <c r="G19" s="51"/>
      <c r="H19" s="50">
        <f t="shared" si="0"/>
        <v>10.167</v>
      </c>
      <c r="I19" s="50">
        <f t="shared" si="1"/>
        <v>10.167</v>
      </c>
      <c r="J19" s="50">
        <f t="shared" si="2"/>
        <v>20.334</v>
      </c>
    </row>
    <row r="20" ht="18.75" customHeight="1" spans="1:10">
      <c r="A20" s="49" t="s">
        <v>29</v>
      </c>
      <c r="B20" s="51">
        <v>1.25</v>
      </c>
      <c r="C20" s="51">
        <v>1.25</v>
      </c>
      <c r="D20" s="51"/>
      <c r="E20" s="51"/>
      <c r="F20" s="51"/>
      <c r="G20" s="51"/>
      <c r="H20" s="50">
        <f t="shared" ref="H20" si="3">H19-F20-D20+B20</f>
        <v>11.417</v>
      </c>
      <c r="I20" s="50">
        <f t="shared" ref="I20" si="4">I19-E20+C20</f>
        <v>11.417</v>
      </c>
      <c r="J20" s="50">
        <f t="shared" ref="J20" si="5">SUM(H20+I20)</f>
        <v>22.834</v>
      </c>
    </row>
    <row r="21" ht="18.75" customHeight="1" spans="1:10">
      <c r="A21" s="54" t="s">
        <v>30</v>
      </c>
      <c r="B21" s="55"/>
      <c r="C21" s="55"/>
      <c r="D21" s="55"/>
      <c r="E21" s="55"/>
      <c r="F21" s="55">
        <v>1</v>
      </c>
      <c r="G21" s="55"/>
      <c r="H21" s="50">
        <f t="shared" ref="H21:H25" si="6">H20-F21-D21+B21</f>
        <v>10.417</v>
      </c>
      <c r="I21" s="50">
        <f t="shared" ref="I21:I25" si="7">I20-E21+C21</f>
        <v>11.417</v>
      </c>
      <c r="J21" s="50">
        <f t="shared" ref="J21:J25" si="8">SUM(H21+I21)</f>
        <v>21.834</v>
      </c>
    </row>
    <row r="22" ht="18.75" customHeight="1" spans="1:10">
      <c r="A22" s="56" t="s">
        <v>31</v>
      </c>
      <c r="B22" s="51">
        <v>5</v>
      </c>
      <c r="C22" s="51">
        <v>5</v>
      </c>
      <c r="D22" s="51"/>
      <c r="E22" s="51"/>
      <c r="F22" s="51"/>
      <c r="G22" s="51"/>
      <c r="H22" s="50">
        <f t="shared" si="6"/>
        <v>15.417</v>
      </c>
      <c r="I22" s="50">
        <f t="shared" si="7"/>
        <v>16.417</v>
      </c>
      <c r="J22" s="50">
        <f t="shared" si="8"/>
        <v>31.834</v>
      </c>
    </row>
    <row r="23" ht="18.75" customHeight="1" spans="1:10">
      <c r="A23" s="56" t="s">
        <v>32</v>
      </c>
      <c r="B23" s="51"/>
      <c r="C23" s="51"/>
      <c r="D23" s="51"/>
      <c r="E23" s="51"/>
      <c r="F23" s="55">
        <v>1</v>
      </c>
      <c r="G23" s="51"/>
      <c r="H23" s="50">
        <f t="shared" si="6"/>
        <v>14.417</v>
      </c>
      <c r="I23" s="50">
        <f t="shared" si="7"/>
        <v>16.417</v>
      </c>
      <c r="J23" s="50">
        <f t="shared" si="8"/>
        <v>30.834</v>
      </c>
    </row>
    <row r="24" ht="18.75" customHeight="1" spans="1:10">
      <c r="A24" s="57" t="s">
        <v>33</v>
      </c>
      <c r="B24" s="51">
        <v>2.5</v>
      </c>
      <c r="C24" s="51">
        <v>2.5</v>
      </c>
      <c r="D24" s="51"/>
      <c r="E24" s="51"/>
      <c r="F24" s="55"/>
      <c r="G24" s="51"/>
      <c r="H24" s="50">
        <f t="shared" si="6"/>
        <v>16.917</v>
      </c>
      <c r="I24" s="50">
        <f t="shared" si="7"/>
        <v>18.917</v>
      </c>
      <c r="J24" s="50">
        <f t="shared" si="8"/>
        <v>35.834</v>
      </c>
    </row>
    <row r="25" ht="18.75" customHeight="1" spans="1:10">
      <c r="A25" s="57" t="s">
        <v>34</v>
      </c>
      <c r="B25" s="51"/>
      <c r="C25" s="51"/>
      <c r="D25" s="51"/>
      <c r="E25" s="51">
        <v>2</v>
      </c>
      <c r="F25" s="55"/>
      <c r="G25" s="51"/>
      <c r="H25" s="50">
        <f t="shared" si="6"/>
        <v>16.917</v>
      </c>
      <c r="I25" s="50">
        <f t="shared" si="7"/>
        <v>16.917</v>
      </c>
      <c r="J25" s="50">
        <f t="shared" si="8"/>
        <v>33.834</v>
      </c>
    </row>
    <row r="26" ht="18.75" customHeight="1" spans="1:10">
      <c r="A26" s="57" t="s">
        <v>35</v>
      </c>
      <c r="B26" s="51">
        <v>1.25</v>
      </c>
      <c r="C26" s="51">
        <v>1.25</v>
      </c>
      <c r="D26" s="51"/>
      <c r="E26" s="51"/>
      <c r="F26" s="55"/>
      <c r="G26" s="51"/>
      <c r="H26" s="50">
        <f t="shared" ref="H26" si="9">H25-F26-D26+B26</f>
        <v>18.167</v>
      </c>
      <c r="I26" s="50">
        <f t="shared" ref="I26" si="10">I25-E26+C26</f>
        <v>18.167</v>
      </c>
      <c r="J26" s="50">
        <f t="shared" ref="J26" si="11">SUM(H26+I26)</f>
        <v>36.334</v>
      </c>
    </row>
    <row r="27" ht="18.75" customHeight="1" spans="1:10">
      <c r="A27" s="57" t="s">
        <v>36</v>
      </c>
      <c r="B27" s="55"/>
      <c r="C27" s="55"/>
      <c r="D27" s="55">
        <v>13</v>
      </c>
      <c r="E27" s="55"/>
      <c r="F27" s="55"/>
      <c r="G27" s="55"/>
      <c r="H27" s="58">
        <f t="shared" ref="H27" si="12">H26-F27-D27+B27</f>
        <v>5.167</v>
      </c>
      <c r="I27" s="58">
        <f t="shared" ref="I27" si="13">I26-E27+C27</f>
        <v>18.167</v>
      </c>
      <c r="J27" s="58">
        <f t="shared" ref="J27" si="14">SUM(H27+I27)</f>
        <v>23.334</v>
      </c>
    </row>
    <row r="28" ht="18.75" customHeight="1" spans="1:10">
      <c r="A28" s="57" t="s">
        <v>37</v>
      </c>
      <c r="B28" s="55">
        <v>6.25</v>
      </c>
      <c r="C28" s="55">
        <v>6.25</v>
      </c>
      <c r="D28" s="55"/>
      <c r="E28" s="55"/>
      <c r="F28" s="55"/>
      <c r="G28" s="55"/>
      <c r="H28" s="58">
        <f t="shared" ref="H28:H30" si="15">H27-F28-D28+B28</f>
        <v>11.417</v>
      </c>
      <c r="I28" s="58">
        <f t="shared" ref="I28:I30" si="16">I27-E28+C28</f>
        <v>24.417</v>
      </c>
      <c r="J28" s="58">
        <f t="shared" ref="J28:J30" si="17">SUM(H28+I28)</f>
        <v>35.834</v>
      </c>
    </row>
    <row r="29" ht="18.75" customHeight="1" spans="1:10">
      <c r="A29" s="57" t="s">
        <v>38</v>
      </c>
      <c r="B29" s="55"/>
      <c r="C29" s="55"/>
      <c r="D29" s="55"/>
      <c r="E29" s="55"/>
      <c r="F29" s="55">
        <v>4</v>
      </c>
      <c r="G29" s="55"/>
      <c r="H29" s="58">
        <f t="shared" si="15"/>
        <v>7.417</v>
      </c>
      <c r="I29" s="58">
        <f t="shared" si="16"/>
        <v>24.417</v>
      </c>
      <c r="J29" s="58">
        <f t="shared" si="17"/>
        <v>31.834</v>
      </c>
    </row>
    <row r="30" ht="18.75" customHeight="1" spans="1:10">
      <c r="A30" s="57" t="s">
        <v>39</v>
      </c>
      <c r="B30" s="55">
        <v>10</v>
      </c>
      <c r="C30" s="55">
        <v>10</v>
      </c>
      <c r="D30" s="55"/>
      <c r="E30" s="55"/>
      <c r="F30" s="55"/>
      <c r="G30" s="55"/>
      <c r="H30" s="58">
        <f t="shared" si="15"/>
        <v>17.417</v>
      </c>
      <c r="I30" s="58">
        <f t="shared" si="16"/>
        <v>34.417</v>
      </c>
      <c r="J30" s="58">
        <f t="shared" si="17"/>
        <v>51.834</v>
      </c>
    </row>
    <row r="31" ht="18.75" customHeight="1" spans="1:10">
      <c r="A31" s="57" t="s">
        <v>40</v>
      </c>
      <c r="B31" s="55"/>
      <c r="C31" s="55"/>
      <c r="D31" s="55">
        <v>10</v>
      </c>
      <c r="E31" s="55"/>
      <c r="F31" s="55"/>
      <c r="G31" s="55"/>
      <c r="H31" s="58">
        <f t="shared" ref="H31" si="18">H30-F31-D31+B31</f>
        <v>7.417</v>
      </c>
      <c r="I31" s="58">
        <f t="shared" ref="I31" si="19">I30-E31+C31</f>
        <v>34.417</v>
      </c>
      <c r="J31" s="58">
        <f t="shared" ref="J31" si="20">SUM(H31+I31)</f>
        <v>41.834</v>
      </c>
    </row>
    <row r="32" ht="18.75" customHeight="1" spans="1:10">
      <c r="A32" s="59" t="s">
        <v>41</v>
      </c>
      <c r="B32" s="60">
        <v>3.75</v>
      </c>
      <c r="C32" s="60">
        <v>3.75</v>
      </c>
      <c r="D32" s="60"/>
      <c r="E32" s="60"/>
      <c r="F32" s="60"/>
      <c r="G32" s="60"/>
      <c r="H32" s="58">
        <f>H31-F32-D32+B32</f>
        <v>11.167</v>
      </c>
      <c r="I32" s="58">
        <f>I31-E32+C32</f>
        <v>38.167</v>
      </c>
      <c r="J32" s="58">
        <f>SUM(H32+I32)</f>
        <v>49.334</v>
      </c>
    </row>
    <row r="33" ht="18.75" customHeight="1" spans="1:11">
      <c r="A33" s="59" t="s">
        <v>42</v>
      </c>
      <c r="B33" s="60"/>
      <c r="C33" s="60"/>
      <c r="D33" s="60"/>
      <c r="E33" s="60"/>
      <c r="F33" s="61">
        <v>3</v>
      </c>
      <c r="G33" s="60"/>
      <c r="H33" s="58">
        <f>H32-F33-D33+B33</f>
        <v>8.167</v>
      </c>
      <c r="I33" s="58">
        <f>I32-E33+C33</f>
        <v>38.167</v>
      </c>
      <c r="J33" s="58">
        <f>SUM(H33+I33)</f>
        <v>46.334</v>
      </c>
      <c r="K33" s="72" t="s">
        <v>43</v>
      </c>
    </row>
    <row r="34" ht="18.75" customHeight="1" spans="1:10">
      <c r="A34" s="62"/>
      <c r="B34" s="63"/>
      <c r="C34" s="63"/>
      <c r="D34" s="63"/>
      <c r="E34" s="63"/>
      <c r="F34" s="64"/>
      <c r="G34" s="63"/>
      <c r="H34" s="65"/>
      <c r="I34" s="65"/>
      <c r="J34" s="65"/>
    </row>
    <row r="35" ht="18.75" customHeight="1" spans="1:10">
      <c r="A35" s="5"/>
      <c r="B35" s="63"/>
      <c r="C35" s="63"/>
      <c r="D35" s="63"/>
      <c r="E35" s="63"/>
      <c r="F35" s="64"/>
      <c r="G35" s="63"/>
      <c r="H35" s="65"/>
      <c r="I35" s="65"/>
      <c r="J35" s="65"/>
    </row>
    <row r="36" s="1" customFormat="1" ht="15.95" customHeight="1" spans="7:7">
      <c r="G36" s="1" t="s">
        <v>44</v>
      </c>
    </row>
    <row r="37" s="1" customFormat="1" ht="15.95" customHeight="1"/>
    <row r="38" s="1" customFormat="1" ht="15.95" customHeight="1" spans="7:7">
      <c r="G38" s="66" t="s">
        <v>45</v>
      </c>
    </row>
    <row r="39" s="1" customFormat="1" ht="15.95" customHeight="1" spans="7:7">
      <c r="G39" s="1" t="s">
        <v>46</v>
      </c>
    </row>
    <row r="40" s="1" customFormat="1" ht="15.95" customHeight="1" spans="7:7">
      <c r="G40" s="1" t="s">
        <v>47</v>
      </c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36220472440945" right="0.236220472440945" top="0.236220472440945" bottom="0.236220472440945" header="0.31496062992126" footer="0.31496062992126"/>
  <pageSetup paperSize="9" scale="6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view="pageBreakPreview" zoomScale="112" zoomScaleNormal="100" workbookViewId="0">
      <selection activeCell="L18" sqref="L18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0"/>
    </row>
    <row r="2" s="1" customFormat="1" ht="10.5" customHeight="1" spans="1:1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ht="15.95" customHeight="1" spans="1:12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="1" customFormat="1" ht="15.95" customHeight="1" spans="1:12">
      <c r="A4" s="11" t="s">
        <v>48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="1" customFormat="1" ht="15.95" customHeight="1" spans="1:1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="1" customFormat="1" ht="8.25" customHeight="1" spans="3:8">
      <c r="C6" s="10"/>
      <c r="H6" s="10"/>
    </row>
    <row r="7" s="1" customFormat="1" ht="8.25" customHeight="1" spans="3:8">
      <c r="C7" s="10"/>
      <c r="H7" s="10"/>
    </row>
    <row r="8" s="1" customFormat="1" ht="12" customHeight="1" spans="1:12">
      <c r="A8" s="12" t="s">
        <v>49</v>
      </c>
      <c r="B8" s="12"/>
      <c r="C8" s="13" t="s">
        <v>50</v>
      </c>
      <c r="D8" s="13"/>
      <c r="E8" s="13"/>
      <c r="F8" s="13"/>
      <c r="G8" s="13"/>
      <c r="I8" s="13" t="s">
        <v>51</v>
      </c>
      <c r="J8" s="13"/>
      <c r="K8" s="13"/>
      <c r="L8" s="12"/>
    </row>
    <row r="9" s="1" customFormat="1" ht="12" customHeight="1" spans="2:12">
      <c r="B9" s="14"/>
      <c r="C9" s="13" t="s">
        <v>52</v>
      </c>
      <c r="D9" s="13"/>
      <c r="E9" s="13"/>
      <c r="F9" s="13"/>
      <c r="G9" s="13"/>
      <c r="I9" s="33" t="s">
        <v>53</v>
      </c>
      <c r="J9" s="33"/>
      <c r="K9" s="33"/>
      <c r="L9" s="14"/>
    </row>
    <row r="10" s="1" customFormat="1" ht="12" customHeight="1" spans="1:12">
      <c r="A10" s="12" t="s">
        <v>54</v>
      </c>
      <c r="B10" s="12"/>
      <c r="C10" s="15"/>
      <c r="D10" s="14"/>
      <c r="E10" s="14"/>
      <c r="I10" s="13" t="s">
        <v>55</v>
      </c>
      <c r="J10" s="13"/>
      <c r="K10" s="13"/>
      <c r="L10" s="12"/>
    </row>
    <row r="11" ht="16.5" customHeight="1" spans="1:12">
      <c r="A11" s="16" t="s">
        <v>56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7" t="s">
        <v>12</v>
      </c>
      <c r="B12" s="18" t="s">
        <v>13</v>
      </c>
      <c r="C12" s="19"/>
      <c r="D12" s="19"/>
      <c r="E12" s="19"/>
      <c r="F12" s="19"/>
      <c r="G12" s="19"/>
      <c r="H12" s="19"/>
      <c r="I12" s="19"/>
      <c r="J12" s="19"/>
      <c r="K12" s="19"/>
      <c r="L12" s="34" t="s">
        <v>16</v>
      </c>
    </row>
    <row r="13" s="2" customFormat="1" ht="24" customHeight="1" spans="1:12">
      <c r="A13" s="20"/>
      <c r="B13" s="21" t="s">
        <v>57</v>
      </c>
      <c r="C13" s="22"/>
      <c r="D13" s="22"/>
      <c r="E13" s="23"/>
      <c r="F13" s="21" t="s">
        <v>58</v>
      </c>
      <c r="G13" s="23"/>
      <c r="H13" s="21" t="s">
        <v>59</v>
      </c>
      <c r="I13" s="23"/>
      <c r="J13" s="21" t="s">
        <v>60</v>
      </c>
      <c r="K13" s="23"/>
      <c r="L13" s="35"/>
    </row>
    <row r="14" s="2" customFormat="1" spans="1:12">
      <c r="A14" s="24" t="s">
        <v>61</v>
      </c>
      <c r="B14" s="25" t="s">
        <v>62</v>
      </c>
      <c r="C14" s="26"/>
      <c r="D14" s="26"/>
      <c r="E14" s="27"/>
      <c r="F14" s="25">
        <v>11</v>
      </c>
      <c r="G14" s="27"/>
      <c r="H14" s="25">
        <v>0</v>
      </c>
      <c r="I14" s="27"/>
      <c r="J14" s="25">
        <v>11</v>
      </c>
      <c r="K14" s="27"/>
      <c r="L14" s="36">
        <v>11</v>
      </c>
    </row>
    <row r="15" s="3" customFormat="1" ht="15" customHeight="1" spans="1:12">
      <c r="A15" s="28" t="s">
        <v>63</v>
      </c>
      <c r="B15" s="25"/>
      <c r="C15" s="26"/>
      <c r="D15" s="26"/>
      <c r="E15" s="27"/>
      <c r="F15" s="25"/>
      <c r="G15" s="27"/>
      <c r="H15" s="25">
        <v>1</v>
      </c>
      <c r="I15" s="27"/>
      <c r="J15" s="25">
        <v>10</v>
      </c>
      <c r="K15" s="27"/>
      <c r="L15" s="36">
        <v>10</v>
      </c>
    </row>
    <row r="16" s="3" customFormat="1" ht="15" customHeight="1" spans="1:12">
      <c r="A16" s="29"/>
      <c r="B16" s="25"/>
      <c r="C16" s="26"/>
      <c r="D16" s="26"/>
      <c r="E16" s="27"/>
      <c r="F16" s="25"/>
      <c r="G16" s="27"/>
      <c r="H16" s="25"/>
      <c r="I16" s="27"/>
      <c r="J16" s="25"/>
      <c r="K16" s="27"/>
      <c r="L16" s="36"/>
    </row>
    <row r="17" s="3" customFormat="1" ht="15" customHeight="1" spans="1:12">
      <c r="A17" s="29"/>
      <c r="B17" s="25"/>
      <c r="C17" s="26"/>
      <c r="D17" s="26"/>
      <c r="E17" s="27"/>
      <c r="F17" s="25"/>
      <c r="G17" s="27"/>
      <c r="H17" s="25"/>
      <c r="I17" s="27"/>
      <c r="J17" s="25"/>
      <c r="K17" s="27"/>
      <c r="L17" s="36"/>
    </row>
    <row r="18" s="3" customFormat="1" spans="1:12">
      <c r="A18" s="29"/>
      <c r="B18" s="25"/>
      <c r="C18" s="26"/>
      <c r="D18" s="26"/>
      <c r="E18" s="27"/>
      <c r="F18" s="25"/>
      <c r="G18" s="27"/>
      <c r="H18" s="25"/>
      <c r="I18" s="27"/>
      <c r="J18" s="25"/>
      <c r="K18" s="27"/>
      <c r="L18" s="37"/>
    </row>
    <row r="19" s="3" customFormat="1" spans="1:12">
      <c r="A19" s="30" t="s">
        <v>64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8"/>
    </row>
    <row r="20" ht="75.75" customHeight="1" spans="1:1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="1" customFormat="1" spans="3:3">
      <c r="C21" s="10"/>
    </row>
    <row r="22" s="1" customFormat="1" spans="3:3">
      <c r="C22" s="10"/>
    </row>
    <row r="24" spans="7:7">
      <c r="G24" s="7" t="s">
        <v>65</v>
      </c>
    </row>
  </sheetData>
  <mergeCells count="3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H17:I17"/>
    <mergeCell ref="J17:K17"/>
    <mergeCell ref="B18:E18"/>
    <mergeCell ref="F18:G18"/>
    <mergeCell ref="H18:I18"/>
    <mergeCell ref="J18:K18"/>
    <mergeCell ref="A20:L20"/>
    <mergeCell ref="A12:A13"/>
    <mergeCell ref="L12:L13"/>
  </mergeCells>
  <pageMargins left="0.25" right="0.25" top="0.75" bottom="0.75" header="0.3" footer="0.3"/>
  <pageSetup paperSize="9" scale="74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DUSARAN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2025-09-02T04:01:00Z</cp:lastPrinted>
  <dcterms:modified xsi:type="dcterms:W3CDTF">2026-01-02T07:49:22Z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88E46C33950C4799A077C81F6A3A46CA_12</vt:lpwstr>
  </property>
  <property fmtid="{D5CDD505-2E9C-101B-9397-08002B2CF9AE}" pid="3" name="KSOProductBuildVer">
    <vt:lpwstr>1033-12.2.0.23196</vt:lpwstr>
  </property>
</Properties>
</file>