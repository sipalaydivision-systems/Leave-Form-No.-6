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46908FA-DAC3-4986-8E69-1616475AF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CTO" sheetId="12" r:id="rId2"/>
    <sheet name="Election &amp; NLC" sheetId="4" r:id="rId3"/>
  </sheets>
  <definedNames>
    <definedName name="_xlnm.Print_Area" localSheetId="1">CTO!$A$1:$L$23</definedName>
    <definedName name="_xlnm.Print_Area" localSheetId="2">'Election &amp; NLC'!$A$1:$G$34</definedName>
    <definedName name="_xlnm.Print_Area" localSheetId="0">'Leave Card as TIC'!$A$1:$J$71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3" l="1"/>
  <c r="J64" i="3" s="1"/>
  <c r="I64" i="3"/>
  <c r="H62" i="3"/>
  <c r="H63" i="3" s="1"/>
  <c r="I62" i="3"/>
  <c r="I63" i="3" s="1"/>
  <c r="J62" i="3"/>
  <c r="J63" i="3" l="1"/>
  <c r="G31" i="4"/>
  <c r="I14" i="3" l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H14" i="3"/>
  <c r="I56" i="3" l="1"/>
  <c r="I57" i="3" s="1"/>
  <c r="H15" i="3"/>
  <c r="H16" i="3" s="1"/>
  <c r="J16" i="3" s="1"/>
  <c r="J14" i="3"/>
  <c r="I58" i="3" l="1"/>
  <c r="I59" i="3" s="1"/>
  <c r="I60" i="3" s="1"/>
  <c r="I61" i="3" s="1"/>
  <c r="H17" i="3"/>
  <c r="H18" i="3" s="1"/>
  <c r="J15" i="3"/>
  <c r="J18" i="3" l="1"/>
  <c r="H19" i="3"/>
  <c r="J17" i="3"/>
  <c r="J19" i="3" l="1"/>
  <c r="H20" i="3"/>
  <c r="J20" i="3" l="1"/>
  <c r="H21" i="3"/>
  <c r="H22" i="3" l="1"/>
  <c r="J21" i="3"/>
  <c r="H23" i="3" l="1"/>
  <c r="J22" i="3"/>
  <c r="J23" i="3" l="1"/>
  <c r="H24" i="3"/>
  <c r="J24" i="3" l="1"/>
  <c r="H25" i="3"/>
  <c r="H26" i="3" l="1"/>
  <c r="J25" i="3"/>
  <c r="H27" i="3" l="1"/>
  <c r="J26" i="3"/>
  <c r="H28" i="3" l="1"/>
  <c r="J27" i="3"/>
  <c r="J28" i="3" l="1"/>
  <c r="H29" i="3"/>
  <c r="H30" i="3" l="1"/>
  <c r="J29" i="3"/>
  <c r="H31" i="3" l="1"/>
  <c r="J30" i="3"/>
  <c r="J31" i="3" l="1"/>
  <c r="H32" i="3"/>
  <c r="J32" i="3" l="1"/>
  <c r="H33" i="3"/>
  <c r="J33" i="3" l="1"/>
  <c r="H34" i="3"/>
  <c r="H35" i="3" l="1"/>
  <c r="J34" i="3"/>
  <c r="H36" i="3" l="1"/>
  <c r="J35" i="3"/>
  <c r="H37" i="3" l="1"/>
  <c r="J36" i="3"/>
  <c r="J37" i="3" l="1"/>
  <c r="H38" i="3"/>
  <c r="H39" i="3" l="1"/>
  <c r="J38" i="3"/>
  <c r="J39" i="3" l="1"/>
  <c r="H40" i="3"/>
  <c r="J40" i="3" l="1"/>
  <c r="H41" i="3"/>
  <c r="H42" i="3" l="1"/>
  <c r="J41" i="3"/>
  <c r="H43" i="3" l="1"/>
  <c r="J42" i="3"/>
  <c r="H44" i="3" l="1"/>
  <c r="J43" i="3"/>
  <c r="J44" i="3" l="1"/>
  <c r="H45" i="3"/>
  <c r="H46" i="3" l="1"/>
  <c r="J45" i="3"/>
  <c r="H47" i="3" l="1"/>
  <c r="H48" i="3" s="1"/>
  <c r="J46" i="3"/>
  <c r="J48" i="3" l="1"/>
  <c r="H49" i="3"/>
  <c r="J47" i="3"/>
  <c r="H50" i="3" l="1"/>
  <c r="J49" i="3"/>
  <c r="J50" i="3" l="1"/>
  <c r="H51" i="3"/>
  <c r="H52" i="3" l="1"/>
  <c r="J51" i="3"/>
  <c r="J52" i="3" l="1"/>
  <c r="H53" i="3"/>
  <c r="H54" i="3" l="1"/>
  <c r="J53" i="3"/>
  <c r="J54" i="3" l="1"/>
  <c r="H55" i="3"/>
  <c r="J55" i="3" l="1"/>
  <c r="H56" i="3"/>
  <c r="H57" i="3" s="1"/>
  <c r="H58" i="3" l="1"/>
  <c r="H59" i="3" s="1"/>
  <c r="J57" i="3"/>
  <c r="J56" i="3"/>
  <c r="H60" i="3" l="1"/>
  <c r="H61" i="3" s="1"/>
  <c r="J61" i="3" s="1"/>
  <c r="J59" i="3"/>
  <c r="J58" i="3"/>
  <c r="J60" i="3" l="1"/>
</calcChain>
</file>

<file path=xl/sharedStrings.xml><?xml version="1.0" encoding="utf-8"?>
<sst xmlns="http://schemas.openxmlformats.org/spreadsheetml/2006/main" count="138" uniqueCount="118">
  <si>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</si>
  <si>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</si>
  <si>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</si>
  <si>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</si>
  <si>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</si>
  <si>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</si>
  <si>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</si>
  <si>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</si>
  <si>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</si>
  <si>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</si>
  <si>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</si>
  <si>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</si>
  <si>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</si>
  <si>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</si>
  <si>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</si>
  <si>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</si>
  <si>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</si>
  <si>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</si>
  <si>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</si>
  <si>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</si>
  <si>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</si>
  <si>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</si>
  <si>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</si>
  <si>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</si>
  <si>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</si>
  <si>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</si>
  <si>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</si>
  <si>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</si>
  <si>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</si>
  <si>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</si>
  <si>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</si>
  <si>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</si>
  <si>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</si>
  <si>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</si>
  <si>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</si>
  <si>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</si>
  <si>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</si>
  <si>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</si>
  <si>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</si>
  <si>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</si>
  <si>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</si>
  <si>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</si>
  <si>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</si>
  <si>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 xml:space="preserve">  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</si>
  <si>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</si>
  <si>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BRIGADA ESKWELA 2023</t>
  </si>
  <si>
    <r>
      <t>NAME          :</t>
    </r>
    <r>
      <rPr>
        <b/>
        <u/>
        <sz val="12"/>
        <color theme="1"/>
        <rFont val="Calibri"/>
        <family val="2"/>
        <scheme val="minor"/>
      </rPr>
      <t>LONTES, MARIA IDA</t>
    </r>
  </si>
  <si>
    <t>NAME         : LONTES, MARIA IDA</t>
  </si>
  <si>
    <t>SCHOOL/OFFICE : BANAG PS</t>
  </si>
  <si>
    <t>POSITION   : TEACHER II</t>
  </si>
  <si>
    <t>ADD: SEPTEMBER 02, 2022</t>
  </si>
  <si>
    <t>S.O. # 065, S. 2022. LIS AND BEIS COORDINATOR</t>
  </si>
  <si>
    <t>LESS: DECEMBER 16, 2022</t>
  </si>
  <si>
    <t>LESS: MARCH 17, 2023</t>
  </si>
  <si>
    <t>LESS: JUNE 14, 2023</t>
  </si>
  <si>
    <t>S.O. # 082, S. 2023</t>
  </si>
  <si>
    <t>SO # 010, S. 2024</t>
  </si>
  <si>
    <t>04/30/2024</t>
  </si>
  <si>
    <t>OCT. 30, 2023 ELECTION</t>
  </si>
  <si>
    <t>DEPED ACTIVITIES &amp; TRAININGS SY 2024-2025</t>
  </si>
  <si>
    <t>039,S 2024</t>
  </si>
  <si>
    <t>10/16/2024</t>
  </si>
  <si>
    <t>S.O. # 051, S. 2022</t>
  </si>
  <si>
    <t>MAY 9, 2022 ELECTION</t>
  </si>
  <si>
    <t>040, S. 2013</t>
  </si>
  <si>
    <t>SCHOOL/DISTRICT PROPERTY CUSTODIAN SY 2011-2012</t>
  </si>
  <si>
    <t>048, S. 2013</t>
  </si>
  <si>
    <t>5/31/2013</t>
  </si>
  <si>
    <t>SCHOOL/DISTRICT PROPERTY CUSTODIAN SY 2012-2013</t>
  </si>
  <si>
    <t>754, S. 2015</t>
  </si>
  <si>
    <t>SCHOOL/DISTRICT PROPERTY CUSTODIAN SY 2013-2014</t>
  </si>
  <si>
    <t>5/25/2017</t>
  </si>
  <si>
    <t>SCHOOL/DISTRICT PROPERTY CUSTODIAN 2016</t>
  </si>
  <si>
    <t>321, S. 2018</t>
  </si>
  <si>
    <t>SCHOOL/DISTRICT PROPERTY CUSTODIAN 2018</t>
  </si>
  <si>
    <t>059, s. 2019</t>
  </si>
  <si>
    <t>6/18/2019</t>
  </si>
  <si>
    <t>SCHOOL/DISTRICT PROPERTY CUSTODIAN 2019</t>
  </si>
  <si>
    <t>038, s. 2021</t>
  </si>
  <si>
    <t>04/20/2021</t>
  </si>
  <si>
    <t>SCHOOL/DISTRICT PROPERTY CUSTODIAN 2020</t>
  </si>
  <si>
    <t>050, s. 2022</t>
  </si>
  <si>
    <t>06/29/2022</t>
  </si>
  <si>
    <t>SCHOOL/DISTRICT PROPERTY CUSTODIAN 2021</t>
  </si>
  <si>
    <t>057, s. 2023</t>
  </si>
  <si>
    <t>SCHOOL/DISTRICT PROPERTY CUSTODIAN 2022</t>
  </si>
  <si>
    <t>CONVERTED:TOTAL</t>
  </si>
  <si>
    <t>214, S. 2018</t>
  </si>
  <si>
    <t>SPORTS CLINIC (SEPT. 20-22, 2018)</t>
  </si>
  <si>
    <t>215, S. 2018</t>
  </si>
  <si>
    <t>BSP BASIC TRAINING COURSE  FOR KAWAN, TROOP LEADERS &amp; OUTFIT ADVISERS (OCT. 12-14, 2018)</t>
  </si>
  <si>
    <t>216, S. 2018</t>
  </si>
  <si>
    <t>MTAP-ACTION RESEARCH SEMINAR (SEPT 14-16, 2018)</t>
  </si>
  <si>
    <t>ADD: 08/1/2024-09/30/2024</t>
  </si>
  <si>
    <t>LESS: 10/28/2024</t>
  </si>
  <si>
    <t>ADD: 10/1/2024-12/31/2024</t>
  </si>
  <si>
    <t>ADD: 01/1/2025-02/28/2025</t>
  </si>
  <si>
    <t>LESS: 03/24/2025</t>
  </si>
  <si>
    <t>LESS: 04/04/2025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</si>
  <si>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59 DAYS</t>
    </r>
    <r>
      <rPr>
        <sz val="11"/>
        <color theme="1"/>
        <rFont val="Calibri"/>
        <family val="2"/>
        <scheme val="minor"/>
      </rPr>
      <t xml:space="preserve">:                           FORMULA: 30Y/69/2 </t>
    </r>
  </si>
  <si>
    <t>ADD: 03/1-31/2025</t>
  </si>
  <si>
    <t>LESS: MONETIZATION 2025</t>
  </si>
  <si>
    <t>ADD: 06/26/2024</t>
  </si>
  <si>
    <t>S.O. # 024, S. 2024. 126TH PHILIPPINE INDEPENDENCE DAY CELEBRATION</t>
  </si>
  <si>
    <t>LESS: 04/28/2025</t>
  </si>
  <si>
    <t>ADD: 04/1-30/2025</t>
  </si>
  <si>
    <t>LESS: 05/16/2025</t>
  </si>
  <si>
    <t>ADD: 05/1/2025-09/30/2025</t>
  </si>
  <si>
    <t>LESS: 10/29/2025</t>
  </si>
  <si>
    <t>ADD: SO # 322, S. 2018 School Property Custodian CY 2017 (2 days)</t>
  </si>
  <si>
    <t>ADD: SO # 054, S. 2016 School Property Custodian CY 2015 (2 days)</t>
  </si>
  <si>
    <t>ADD: SO # 2135, S. 2004 - May 10, 2004 National &amp; Local Election (5 days)</t>
  </si>
  <si>
    <t>291, S. 2017</t>
  </si>
  <si>
    <t>ADD: SO # 067, S. 2019 INSET 2019                  (5 days)</t>
  </si>
  <si>
    <t>ADD: SO # 073, S. 2019 BRIGADA ESKWELA 2019 (3 DAYS)</t>
  </si>
  <si>
    <t>ADD: 10/1/2025-11/30/2025</t>
  </si>
  <si>
    <t>LESS: 12/22,23, 26 &amp; 29/2025</t>
  </si>
  <si>
    <t>LESS: 12/19/2025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</si>
</sst>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11" fillId="0" borderId="0"/>
    <xf numFmtId="0" fontId="8" fillId="0" borderId="0"/>
  </cellStyleXfs>
  <cellXfs count="1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0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1" fillId="2" borderId="0" xfId="2" applyFill="1"/>
    <xf numFmtId="0" fontId="11" fillId="2" borderId="0" xfId="2" applyFill="1" applyAlignment="1">
      <alignment horizontal="center"/>
    </xf>
    <xf numFmtId="0" fontId="12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4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1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5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1" fillId="6" borderId="0" xfId="2" applyFill="1"/>
    <xf numFmtId="0" fontId="11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/>
    </xf>
    <xf numFmtId="0" fontId="15" fillId="2" borderId="6" xfId="3" applyFont="1" applyFill="1" applyBorder="1" applyAlignment="1">
      <alignment horizontal="center" vertical="center" wrapText="1"/>
    </xf>
    <xf numFmtId="0" fontId="12" fillId="2" borderId="15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14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7" fillId="2" borderId="16" xfId="2" applyFont="1" applyFill="1" applyBorder="1" applyAlignment="1">
      <alignment horizontal="center" vertical="center" wrapText="1"/>
    </xf>
    <xf numFmtId="0" fontId="0" fillId="2" borderId="14" xfId="3" applyFont="1" applyFill="1" applyBorder="1" applyAlignment="1">
      <alignment horizontal="center" vertical="center" wrapText="1"/>
    </xf>
    <xf numFmtId="0" fontId="8" fillId="2" borderId="16" xfId="3" applyFill="1" applyBorder="1" applyAlignment="1">
      <alignment horizontal="center" vertical="center" wrapText="1"/>
    </xf>
    <xf numFmtId="0" fontId="8" fillId="9" borderId="16" xfId="3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15" borderId="4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" fillId="10" borderId="21" xfId="0" applyFont="1" applyFill="1" applyBorder="1" applyAlignment="1">
      <alignment horizontal="left" vertical="center"/>
    </xf>
    <xf numFmtId="0" fontId="1" fillId="10" borderId="23" xfId="0" applyFont="1" applyFill="1" applyBorder="1" applyAlignment="1">
      <alignment horizontal="left" vertical="center"/>
    </xf>
    <xf numFmtId="0" fontId="1" fillId="10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2" fillId="2" borderId="26" xfId="2" applyFont="1" applyFill="1" applyBorder="1" applyAlignment="1">
      <alignment horizontal="right" vertical="center" wrapText="1"/>
    </xf>
    <xf numFmtId="0" fontId="12" fillId="2" borderId="2" xfId="2" applyFont="1" applyFill="1" applyBorder="1" applyAlignment="1">
      <alignment horizontal="right" vertical="center" wrapText="1"/>
    </xf>
    <xf numFmtId="0" fontId="12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LONTES,</a:t>
          </a:r>
          <a:r>
            <a:rPr lang="en-US" sz="1100" baseline="0"/>
            <a:t> ,MARIA IDA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(TIC)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BANAG PS</a:t>
          </a:r>
        </a:p>
      </xdr:txBody>
    </xdr:sp>
    <xdr:clientData/>
  </xdr:twoCellAnchor>
  <xdr:twoCellAnchor>
    <xdr:from>
      <xdr:col>5</xdr:col>
      <xdr:colOff>347452</xdr:colOff>
      <xdr:row>65</xdr:row>
      <xdr:rowOff>53914</xdr:rowOff>
    </xdr:from>
    <xdr:to>
      <xdr:col>9</xdr:col>
      <xdr:colOff>672043</xdr:colOff>
      <xdr:row>70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108396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83042-A514-48E4-B3FC-8E5A450512F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78750" y="28770"/>
          <a:ext cx="592096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42182</xdr:colOff>
      <xdr:row>20</xdr:row>
      <xdr:rowOff>167027</xdr:rowOff>
    </xdr:from>
    <xdr:to>
      <xdr:col>11</xdr:col>
      <xdr:colOff>295275</xdr:colOff>
      <xdr:row>22</xdr:row>
      <xdr:rowOff>81302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468E1A-C0BD-4D13-8E1D-96EBBE4C6719}"/>
            </a:ext>
          </a:extLst>
        </xdr:cNvPr>
        <xdr:cNvSpPr txBox="1"/>
      </xdr:nvSpPr>
      <xdr:spPr>
        <a:xfrm>
          <a:off x="5776232" y="4739027"/>
          <a:ext cx="2872468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CA911B1-B991-4104-B829-B92633173833}"/>
            </a:ext>
          </a:extLst>
        </xdr:cNvPr>
        <xdr:cNvCxnSpPr/>
      </xdr:nvCxnSpPr>
      <xdr:spPr>
        <a:xfrm>
          <a:off x="752475" y="2057400"/>
          <a:ext cx="1057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1600200</xdr:colOff>
      <xdr:row>0</xdr:row>
      <xdr:rowOff>47820</xdr:rowOff>
    </xdr:from>
    <xdr:to>
      <xdr:col>2</xdr:col>
      <xdr:colOff>2190935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1475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31</xdr:row>
      <xdr:rowOff>209550</xdr:rowOff>
    </xdr:from>
    <xdr:to>
      <xdr:col>2</xdr:col>
      <xdr:colOff>962025</xdr:colOff>
      <xdr:row>33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31</xdr:row>
      <xdr:rowOff>236220</xdr:rowOff>
    </xdr:from>
    <xdr:to>
      <xdr:col>6</xdr:col>
      <xdr:colOff>476250</xdr:colOff>
      <xdr:row>33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69"/>
  <sheetViews>
    <sheetView tabSelected="1" view="pageBreakPreview" topLeftCell="A48" zoomScale="106" zoomScaleNormal="100" zoomScaleSheetLayoutView="106" workbookViewId="0">
      <selection activeCell="H63" sqref="H63:J64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0" customWidth="1"/>
    <col min="8" max="10" width="11.5703125" customWidth="1"/>
    <col min="11" max="11" width="26.42578125" style="26" customWidth="1"/>
  </cols>
  <sheetData>
    <row r="1" spans="1:11" s="1" customFormat="1" ht="52.5" customHeight="1" x14ac:dyDescent="0.25"/>
    <row r="2" spans="1:11" s="1" customFormat="1" ht="10.5" customHeight="1" x14ac:dyDescent="0.25">
      <c r="A2" s="96" t="s">
        <v>0</v>
      </c>
      <c r="B2" s="96"/>
      <c r="C2" s="96"/>
      <c r="D2" s="96"/>
      <c r="E2" s="96"/>
      <c r="F2" s="96"/>
      <c r="G2" s="96"/>
      <c r="H2" s="96"/>
      <c r="I2" s="96"/>
      <c r="J2" s="96"/>
    </row>
    <row r="3" spans="1:11" s="1" customFormat="1" ht="15.95" customHeight="1" x14ac:dyDescent="0.25">
      <c r="A3" s="96" t="s">
        <v>1</v>
      </c>
      <c r="B3" s="96"/>
      <c r="C3" s="96"/>
      <c r="D3" s="96"/>
      <c r="E3" s="96"/>
      <c r="F3" s="96"/>
      <c r="G3" s="96"/>
      <c r="H3" s="96"/>
      <c r="I3" s="96"/>
      <c r="J3" s="96"/>
    </row>
    <row r="4" spans="1:11" s="1" customFormat="1" ht="15.95" customHeight="1" x14ac:dyDescent="0.25">
      <c r="A4" s="96" t="s">
        <v>2</v>
      </c>
      <c r="B4" s="96"/>
      <c r="C4" s="96"/>
      <c r="D4" s="96"/>
      <c r="E4" s="96"/>
      <c r="F4" s="96"/>
      <c r="G4" s="96"/>
      <c r="H4" s="96"/>
      <c r="I4" s="96"/>
      <c r="J4" s="96"/>
    </row>
    <row r="5" spans="1:11" s="1" customFormat="1" ht="15.9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</row>
    <row r="6" spans="1:11" s="1" customFormat="1" ht="8.25" customHeight="1" x14ac:dyDescent="0.25"/>
    <row r="7" spans="1:11" s="1" customFormat="1" ht="12" customHeight="1" x14ac:dyDescent="0.25">
      <c r="A7" s="1" t="s">
        <v>17</v>
      </c>
      <c r="B7" s="95" t="s">
        <v>18</v>
      </c>
      <c r="C7" s="95"/>
      <c r="D7" s="95"/>
      <c r="H7" s="5" t="s">
        <v>19</v>
      </c>
      <c r="I7" s="18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20</v>
      </c>
      <c r="B9" s="95" t="s">
        <v>21</v>
      </c>
      <c r="C9" s="95"/>
      <c r="D9" s="95"/>
      <c r="H9" s="5" t="s">
        <v>22</v>
      </c>
      <c r="I9" s="19"/>
      <c r="J9" s="5"/>
    </row>
    <row r="10" spans="1:11" ht="23.25" customHeight="1" thickBot="1" x14ac:dyDescent="0.3">
      <c r="A10" s="83" t="s">
        <v>23</v>
      </c>
      <c r="B10" s="83"/>
      <c r="C10" s="83"/>
      <c r="D10" s="83"/>
      <c r="E10" s="83"/>
      <c r="F10" s="83"/>
      <c r="G10" s="83"/>
      <c r="H10" s="83"/>
      <c r="I10" s="83"/>
      <c r="J10" s="83"/>
      <c r="K10"/>
    </row>
    <row r="11" spans="1:11" ht="18.75" customHeight="1" x14ac:dyDescent="0.25">
      <c r="A11" s="84" t="s">
        <v>9</v>
      </c>
      <c r="B11" s="86" t="s">
        <v>10</v>
      </c>
      <c r="C11" s="87"/>
      <c r="D11" s="88" t="s">
        <v>24</v>
      </c>
      <c r="E11" s="89"/>
      <c r="F11" s="89"/>
      <c r="G11" s="90"/>
      <c r="H11" s="91" t="s">
        <v>25</v>
      </c>
      <c r="I11" s="92"/>
      <c r="J11" s="93" t="s">
        <v>11</v>
      </c>
      <c r="K11" s="79" t="s">
        <v>26</v>
      </c>
    </row>
    <row r="12" spans="1:11" ht="15.75" thickBot="1" x14ac:dyDescent="0.3">
      <c r="A12" s="85"/>
      <c r="B12" s="20" t="s">
        <v>27</v>
      </c>
      <c r="C12" s="20" t="s">
        <v>28</v>
      </c>
      <c r="D12" s="20" t="s">
        <v>27</v>
      </c>
      <c r="E12" s="20" t="s">
        <v>28</v>
      </c>
      <c r="F12" s="20" t="s">
        <v>29</v>
      </c>
      <c r="G12" s="20" t="s">
        <v>30</v>
      </c>
      <c r="H12" s="20" t="s">
        <v>27</v>
      </c>
      <c r="I12" s="20" t="s">
        <v>28</v>
      </c>
      <c r="J12" s="94"/>
      <c r="K12" s="79"/>
    </row>
    <row r="13" spans="1:11" ht="15.75" thickBot="1" x14ac:dyDescent="0.3">
      <c r="A13" s="80" t="s">
        <v>42</v>
      </c>
      <c r="B13" s="81"/>
      <c r="C13" s="81"/>
      <c r="D13" s="81"/>
      <c r="E13" s="81"/>
      <c r="F13" s="81"/>
      <c r="G13" s="81"/>
      <c r="H13" s="81"/>
      <c r="I13" s="81"/>
      <c r="J13" s="82"/>
      <c r="K13" s="21"/>
    </row>
    <row r="14" spans="1:11" ht="35.25" customHeight="1" x14ac:dyDescent="0.25">
      <c r="A14" s="22" t="s">
        <v>99</v>
      </c>
      <c r="B14" s="32">
        <v>12.826000000000001</v>
      </c>
      <c r="C14" s="33">
        <v>12.826000000000001</v>
      </c>
      <c r="D14" s="33"/>
      <c r="E14" s="32"/>
      <c r="F14" s="32"/>
      <c r="G14" s="32"/>
      <c r="H14" s="24">
        <f>B14</f>
        <v>12.826000000000001</v>
      </c>
      <c r="I14" s="24">
        <f>C14</f>
        <v>12.826000000000001</v>
      </c>
      <c r="J14" s="25">
        <f>SUM(H14:I14)</f>
        <v>25.652000000000001</v>
      </c>
    </row>
    <row r="15" spans="1:11" ht="17.25" customHeight="1" x14ac:dyDescent="0.25">
      <c r="A15" s="22" t="s">
        <v>32</v>
      </c>
      <c r="B15" s="32">
        <v>0.125</v>
      </c>
      <c r="C15" s="33">
        <v>0.125</v>
      </c>
      <c r="D15" s="23"/>
      <c r="E15" s="17"/>
      <c r="F15" s="17"/>
      <c r="G15" s="17"/>
      <c r="H15" s="27">
        <f>H14-F15-D15+B15</f>
        <v>12.951000000000001</v>
      </c>
      <c r="I15" s="27">
        <f>I14-E15+C15</f>
        <v>12.951000000000001</v>
      </c>
      <c r="J15" s="28">
        <f>SUM(H15:I15)</f>
        <v>25.902000000000001</v>
      </c>
    </row>
    <row r="16" spans="1:11" ht="17.25" customHeight="1" x14ac:dyDescent="0.25">
      <c r="A16" s="22" t="s">
        <v>93</v>
      </c>
      <c r="B16" s="32">
        <v>2.5</v>
      </c>
      <c r="C16" s="33">
        <v>2.5</v>
      </c>
      <c r="D16" s="23"/>
      <c r="E16" s="17"/>
      <c r="F16" s="17"/>
      <c r="G16" s="17"/>
      <c r="H16" s="27">
        <f t="shared" ref="H16:H17" si="0">H15-F16-D16+B16</f>
        <v>15.451000000000001</v>
      </c>
      <c r="I16" s="27">
        <f t="shared" ref="I16:I17" si="1">I15-E16+C16</f>
        <v>15.451000000000001</v>
      </c>
      <c r="J16" s="28">
        <f t="shared" ref="J16:J17" si="2">SUM(H16:I16)</f>
        <v>30.902000000000001</v>
      </c>
    </row>
    <row r="17" spans="1:10" ht="15.75" customHeight="1" x14ac:dyDescent="0.25">
      <c r="A17" s="22" t="s">
        <v>94</v>
      </c>
      <c r="B17" s="17"/>
      <c r="C17" s="23"/>
      <c r="D17" s="23"/>
      <c r="E17" s="17"/>
      <c r="F17" s="68">
        <v>1</v>
      </c>
      <c r="G17" s="17"/>
      <c r="H17" s="27">
        <f t="shared" si="0"/>
        <v>14.451000000000001</v>
      </c>
      <c r="I17" s="27">
        <f t="shared" si="1"/>
        <v>15.451000000000001</v>
      </c>
      <c r="J17" s="28">
        <f t="shared" si="2"/>
        <v>29.902000000000001</v>
      </c>
    </row>
    <row r="18" spans="1:10" ht="15.75" hidden="1" customHeight="1" x14ac:dyDescent="0.25">
      <c r="A18" s="22"/>
      <c r="B18" s="17"/>
      <c r="C18" s="23"/>
      <c r="D18" s="23"/>
      <c r="E18" s="17"/>
      <c r="F18" s="68"/>
      <c r="G18" s="17"/>
      <c r="H18" s="27">
        <f t="shared" ref="H18:H47" si="3">H17-F18-D18+B18</f>
        <v>14.451000000000001</v>
      </c>
      <c r="I18" s="27">
        <f t="shared" ref="I18:I47" si="4">I17-E18+C18</f>
        <v>15.451000000000001</v>
      </c>
      <c r="J18" s="28">
        <f t="shared" ref="J18:J47" si="5">SUM(H18:I18)</f>
        <v>29.902000000000001</v>
      </c>
    </row>
    <row r="19" spans="1:10" ht="17.25" hidden="1" customHeight="1" x14ac:dyDescent="0.25">
      <c r="A19" s="22"/>
      <c r="B19" s="17"/>
      <c r="C19" s="23"/>
      <c r="D19" s="23"/>
      <c r="E19" s="17"/>
      <c r="F19" s="68"/>
      <c r="G19" s="17"/>
      <c r="H19" s="27">
        <f t="shared" si="3"/>
        <v>14.451000000000001</v>
      </c>
      <c r="I19" s="27">
        <f t="shared" si="4"/>
        <v>15.451000000000001</v>
      </c>
      <c r="J19" s="28">
        <f t="shared" si="5"/>
        <v>29.902000000000001</v>
      </c>
    </row>
    <row r="20" spans="1:10" ht="17.25" hidden="1" customHeight="1" x14ac:dyDescent="0.25">
      <c r="A20" s="22"/>
      <c r="B20" s="17"/>
      <c r="C20" s="23"/>
      <c r="D20" s="23"/>
      <c r="E20" s="17"/>
      <c r="F20" s="68"/>
      <c r="G20" s="17"/>
      <c r="H20" s="27">
        <f t="shared" si="3"/>
        <v>14.451000000000001</v>
      </c>
      <c r="I20" s="27">
        <f t="shared" si="4"/>
        <v>15.451000000000001</v>
      </c>
      <c r="J20" s="28">
        <f t="shared" si="5"/>
        <v>29.902000000000001</v>
      </c>
    </row>
    <row r="21" spans="1:10" ht="13.5" hidden="1" customHeight="1" x14ac:dyDescent="0.25">
      <c r="A21" s="22"/>
      <c r="B21" s="17"/>
      <c r="C21" s="23"/>
      <c r="D21" s="23"/>
      <c r="E21" s="17"/>
      <c r="F21" s="68"/>
      <c r="G21" s="17"/>
      <c r="H21" s="27">
        <f t="shared" si="3"/>
        <v>14.451000000000001</v>
      </c>
      <c r="I21" s="27">
        <f t="shared" si="4"/>
        <v>15.451000000000001</v>
      </c>
      <c r="J21" s="28">
        <f t="shared" si="5"/>
        <v>29.902000000000001</v>
      </c>
    </row>
    <row r="22" spans="1:10" ht="12" hidden="1" customHeight="1" x14ac:dyDescent="0.25">
      <c r="A22" s="22"/>
      <c r="B22" s="17"/>
      <c r="C22" s="23"/>
      <c r="D22" s="23"/>
      <c r="E22" s="17"/>
      <c r="F22" s="68"/>
      <c r="G22" s="17"/>
      <c r="H22" s="27">
        <f t="shared" si="3"/>
        <v>14.451000000000001</v>
      </c>
      <c r="I22" s="27">
        <f t="shared" si="4"/>
        <v>15.451000000000001</v>
      </c>
      <c r="J22" s="28">
        <f t="shared" si="5"/>
        <v>29.902000000000001</v>
      </c>
    </row>
    <row r="23" spans="1:10" ht="12" hidden="1" customHeight="1" x14ac:dyDescent="0.25">
      <c r="A23" s="22"/>
      <c r="B23" s="17"/>
      <c r="C23" s="23"/>
      <c r="D23" s="23"/>
      <c r="E23" s="17"/>
      <c r="F23" s="68"/>
      <c r="G23" s="17"/>
      <c r="H23" s="27">
        <f t="shared" si="3"/>
        <v>14.451000000000001</v>
      </c>
      <c r="I23" s="27">
        <f t="shared" si="4"/>
        <v>15.451000000000001</v>
      </c>
      <c r="J23" s="28">
        <f t="shared" si="5"/>
        <v>29.902000000000001</v>
      </c>
    </row>
    <row r="24" spans="1:10" ht="12" hidden="1" customHeight="1" x14ac:dyDescent="0.25">
      <c r="A24" s="22"/>
      <c r="B24" s="17"/>
      <c r="C24" s="23"/>
      <c r="D24" s="23"/>
      <c r="E24" s="17"/>
      <c r="F24" s="68"/>
      <c r="G24" s="17"/>
      <c r="H24" s="27">
        <f t="shared" si="3"/>
        <v>14.451000000000001</v>
      </c>
      <c r="I24" s="27">
        <f t="shared" si="4"/>
        <v>15.451000000000001</v>
      </c>
      <c r="J24" s="28">
        <f t="shared" si="5"/>
        <v>29.902000000000001</v>
      </c>
    </row>
    <row r="25" spans="1:10" ht="12" hidden="1" customHeight="1" x14ac:dyDescent="0.25">
      <c r="A25" s="22"/>
      <c r="B25" s="17"/>
      <c r="C25" s="23"/>
      <c r="D25" s="23"/>
      <c r="E25" s="17"/>
      <c r="F25" s="68"/>
      <c r="G25" s="17"/>
      <c r="H25" s="27">
        <f t="shared" si="3"/>
        <v>14.451000000000001</v>
      </c>
      <c r="I25" s="27">
        <f t="shared" si="4"/>
        <v>15.451000000000001</v>
      </c>
      <c r="J25" s="28">
        <f t="shared" si="5"/>
        <v>29.902000000000001</v>
      </c>
    </row>
    <row r="26" spans="1:10" ht="12" hidden="1" customHeight="1" x14ac:dyDescent="0.25">
      <c r="A26" s="22"/>
      <c r="B26" s="17"/>
      <c r="C26" s="23"/>
      <c r="D26" s="23"/>
      <c r="E26" s="17"/>
      <c r="F26" s="68"/>
      <c r="G26" s="17"/>
      <c r="H26" s="27">
        <f t="shared" si="3"/>
        <v>14.451000000000001</v>
      </c>
      <c r="I26" s="27">
        <f t="shared" si="4"/>
        <v>15.451000000000001</v>
      </c>
      <c r="J26" s="28">
        <f t="shared" si="5"/>
        <v>29.902000000000001</v>
      </c>
    </row>
    <row r="27" spans="1:10" ht="12" hidden="1" customHeight="1" x14ac:dyDescent="0.25">
      <c r="A27" s="22"/>
      <c r="B27" s="17"/>
      <c r="C27" s="23"/>
      <c r="D27" s="23"/>
      <c r="E27" s="17"/>
      <c r="F27" s="68"/>
      <c r="G27" s="17"/>
      <c r="H27" s="27">
        <f t="shared" si="3"/>
        <v>14.451000000000001</v>
      </c>
      <c r="I27" s="27">
        <f t="shared" si="4"/>
        <v>15.451000000000001</v>
      </c>
      <c r="J27" s="28">
        <f t="shared" si="5"/>
        <v>29.902000000000001</v>
      </c>
    </row>
    <row r="28" spans="1:10" ht="16.5" hidden="1" customHeight="1" x14ac:dyDescent="0.25">
      <c r="A28" s="22"/>
      <c r="B28" s="17"/>
      <c r="C28" s="23"/>
      <c r="D28" s="23"/>
      <c r="E28" s="17"/>
      <c r="F28" s="68"/>
      <c r="G28" s="17"/>
      <c r="H28" s="27">
        <f t="shared" si="3"/>
        <v>14.451000000000001</v>
      </c>
      <c r="I28" s="27">
        <f t="shared" si="4"/>
        <v>15.451000000000001</v>
      </c>
      <c r="J28" s="28">
        <f t="shared" si="5"/>
        <v>29.902000000000001</v>
      </c>
    </row>
    <row r="29" spans="1:10" ht="12" hidden="1" customHeight="1" x14ac:dyDescent="0.25">
      <c r="A29" s="22"/>
      <c r="B29" s="17"/>
      <c r="C29" s="23"/>
      <c r="D29" s="23"/>
      <c r="E29" s="17"/>
      <c r="F29" s="68"/>
      <c r="G29" s="17"/>
      <c r="H29" s="27">
        <f t="shared" si="3"/>
        <v>14.451000000000001</v>
      </c>
      <c r="I29" s="27">
        <f t="shared" si="4"/>
        <v>15.451000000000001</v>
      </c>
      <c r="J29" s="28">
        <f t="shared" si="5"/>
        <v>29.902000000000001</v>
      </c>
    </row>
    <row r="30" spans="1:10" ht="12" hidden="1" customHeight="1" x14ac:dyDescent="0.25">
      <c r="A30" s="22"/>
      <c r="B30" s="17"/>
      <c r="C30" s="23"/>
      <c r="D30" s="23"/>
      <c r="E30" s="17"/>
      <c r="F30" s="68"/>
      <c r="G30" s="17"/>
      <c r="H30" s="27">
        <f t="shared" si="3"/>
        <v>14.451000000000001</v>
      </c>
      <c r="I30" s="27">
        <f t="shared" si="4"/>
        <v>15.451000000000001</v>
      </c>
      <c r="J30" s="28">
        <f t="shared" si="5"/>
        <v>29.902000000000001</v>
      </c>
    </row>
    <row r="31" spans="1:10" ht="12" hidden="1" customHeight="1" x14ac:dyDescent="0.25">
      <c r="A31" s="22"/>
      <c r="B31" s="17"/>
      <c r="C31" s="23"/>
      <c r="D31" s="23"/>
      <c r="E31" s="17"/>
      <c r="F31" s="68"/>
      <c r="G31" s="17"/>
      <c r="H31" s="27">
        <f t="shared" si="3"/>
        <v>14.451000000000001</v>
      </c>
      <c r="I31" s="27">
        <f t="shared" si="4"/>
        <v>15.451000000000001</v>
      </c>
      <c r="J31" s="28">
        <f t="shared" si="5"/>
        <v>29.902000000000001</v>
      </c>
    </row>
    <row r="32" spans="1:10" ht="12" hidden="1" customHeight="1" x14ac:dyDescent="0.25">
      <c r="A32" s="22"/>
      <c r="B32" s="17"/>
      <c r="C32" s="23"/>
      <c r="D32" s="23"/>
      <c r="E32" s="17"/>
      <c r="F32" s="68"/>
      <c r="G32" s="17"/>
      <c r="H32" s="27">
        <f t="shared" si="3"/>
        <v>14.451000000000001</v>
      </c>
      <c r="I32" s="27">
        <f t="shared" si="4"/>
        <v>15.451000000000001</v>
      </c>
      <c r="J32" s="28">
        <f t="shared" si="5"/>
        <v>29.902000000000001</v>
      </c>
    </row>
    <row r="33" spans="1:11" ht="12" hidden="1" customHeight="1" x14ac:dyDescent="0.25">
      <c r="A33" s="22"/>
      <c r="B33" s="17"/>
      <c r="C33" s="23"/>
      <c r="D33" s="23"/>
      <c r="E33" s="17"/>
      <c r="F33" s="68"/>
      <c r="G33" s="17"/>
      <c r="H33" s="27">
        <f t="shared" si="3"/>
        <v>14.451000000000001</v>
      </c>
      <c r="I33" s="27">
        <f t="shared" si="4"/>
        <v>15.451000000000001</v>
      </c>
      <c r="J33" s="28">
        <f t="shared" si="5"/>
        <v>29.902000000000001</v>
      </c>
    </row>
    <row r="34" spans="1:11" ht="12" hidden="1" customHeight="1" x14ac:dyDescent="0.25">
      <c r="A34" s="22"/>
      <c r="B34" s="17"/>
      <c r="C34" s="17"/>
      <c r="D34" s="23"/>
      <c r="E34" s="17"/>
      <c r="F34" s="68"/>
      <c r="G34" s="17"/>
      <c r="H34" s="27">
        <f t="shared" si="3"/>
        <v>14.451000000000001</v>
      </c>
      <c r="I34" s="27">
        <f t="shared" si="4"/>
        <v>15.451000000000001</v>
      </c>
      <c r="J34" s="28">
        <f t="shared" si="5"/>
        <v>29.902000000000001</v>
      </c>
    </row>
    <row r="35" spans="1:11" s="10" customFormat="1" ht="12" hidden="1" customHeight="1" x14ac:dyDescent="0.25">
      <c r="A35" s="22"/>
      <c r="B35" s="17"/>
      <c r="C35" s="23"/>
      <c r="D35" s="23"/>
      <c r="E35" s="17"/>
      <c r="F35" s="68"/>
      <c r="G35" s="17"/>
      <c r="H35" s="27">
        <f t="shared" si="3"/>
        <v>14.451000000000001</v>
      </c>
      <c r="I35" s="27">
        <f t="shared" si="4"/>
        <v>15.451000000000001</v>
      </c>
      <c r="J35" s="28">
        <f t="shared" si="5"/>
        <v>29.902000000000001</v>
      </c>
      <c r="K35" s="29"/>
    </row>
    <row r="36" spans="1:11" s="10" customFormat="1" ht="12" hidden="1" customHeight="1" x14ac:dyDescent="0.25">
      <c r="A36" s="22"/>
      <c r="B36" s="17"/>
      <c r="C36" s="17"/>
      <c r="D36" s="23"/>
      <c r="E36" s="17"/>
      <c r="F36" s="68"/>
      <c r="G36" s="17"/>
      <c r="H36" s="27">
        <f t="shared" si="3"/>
        <v>14.451000000000001</v>
      </c>
      <c r="I36" s="27">
        <f t="shared" si="4"/>
        <v>15.451000000000001</v>
      </c>
      <c r="J36" s="28">
        <f t="shared" si="5"/>
        <v>29.902000000000001</v>
      </c>
      <c r="K36" s="29"/>
    </row>
    <row r="37" spans="1:11" s="10" customFormat="1" ht="12" hidden="1" customHeight="1" x14ac:dyDescent="0.25">
      <c r="A37" s="22"/>
      <c r="B37" s="17"/>
      <c r="C37" s="23"/>
      <c r="D37" s="23"/>
      <c r="E37" s="17"/>
      <c r="F37" s="68"/>
      <c r="G37" s="17"/>
      <c r="H37" s="27">
        <f t="shared" si="3"/>
        <v>14.451000000000001</v>
      </c>
      <c r="I37" s="27">
        <f t="shared" si="4"/>
        <v>15.451000000000001</v>
      </c>
      <c r="J37" s="28">
        <f t="shared" si="5"/>
        <v>29.902000000000001</v>
      </c>
      <c r="K37" s="29"/>
    </row>
    <row r="38" spans="1:11" s="10" customFormat="1" ht="12.75" hidden="1" customHeight="1" x14ac:dyDescent="0.25">
      <c r="A38" s="22"/>
      <c r="B38" s="17"/>
      <c r="C38" s="23"/>
      <c r="D38" s="23"/>
      <c r="E38" s="17"/>
      <c r="F38" s="68"/>
      <c r="G38" s="17"/>
      <c r="H38" s="27">
        <f t="shared" si="3"/>
        <v>14.451000000000001</v>
      </c>
      <c r="I38" s="27">
        <f t="shared" si="4"/>
        <v>15.451000000000001</v>
      </c>
      <c r="J38" s="28">
        <f t="shared" si="5"/>
        <v>29.902000000000001</v>
      </c>
      <c r="K38" s="29"/>
    </row>
    <row r="39" spans="1:11" ht="12" hidden="1" customHeight="1" x14ac:dyDescent="0.25">
      <c r="A39" s="22"/>
      <c r="B39" s="17"/>
      <c r="C39" s="23"/>
      <c r="D39" s="23"/>
      <c r="E39" s="17"/>
      <c r="F39" s="68"/>
      <c r="G39" s="17"/>
      <c r="H39" s="27">
        <f t="shared" si="3"/>
        <v>14.451000000000001</v>
      </c>
      <c r="I39" s="27">
        <f t="shared" si="4"/>
        <v>15.451000000000001</v>
      </c>
      <c r="J39" s="28">
        <f t="shared" si="5"/>
        <v>29.902000000000001</v>
      </c>
    </row>
    <row r="40" spans="1:11" s="10" customFormat="1" ht="12" hidden="1" customHeight="1" x14ac:dyDescent="0.25">
      <c r="A40" s="22"/>
      <c r="B40" s="17"/>
      <c r="C40" s="23"/>
      <c r="D40" s="23"/>
      <c r="E40" s="17"/>
      <c r="F40" s="68"/>
      <c r="G40" s="17"/>
      <c r="H40" s="27">
        <f t="shared" si="3"/>
        <v>14.451000000000001</v>
      </c>
      <c r="I40" s="27">
        <f t="shared" si="4"/>
        <v>15.451000000000001</v>
      </c>
      <c r="J40" s="28">
        <f t="shared" si="5"/>
        <v>29.902000000000001</v>
      </c>
      <c r="K40" s="29"/>
    </row>
    <row r="41" spans="1:11" s="10" customFormat="1" ht="15" hidden="1" customHeight="1" x14ac:dyDescent="0.25">
      <c r="A41" s="22"/>
      <c r="B41" s="17"/>
      <c r="C41" s="23"/>
      <c r="D41" s="23"/>
      <c r="E41" s="17"/>
      <c r="F41" s="68"/>
      <c r="G41" s="17"/>
      <c r="H41" s="27">
        <f t="shared" si="3"/>
        <v>14.451000000000001</v>
      </c>
      <c r="I41" s="27">
        <f t="shared" si="4"/>
        <v>15.451000000000001</v>
      </c>
      <c r="J41" s="28">
        <f t="shared" si="5"/>
        <v>29.902000000000001</v>
      </c>
      <c r="K41" s="29"/>
    </row>
    <row r="42" spans="1:11" s="10" customFormat="1" ht="16.5" hidden="1" customHeight="1" x14ac:dyDescent="0.25">
      <c r="A42" s="22"/>
      <c r="B42" s="17"/>
      <c r="C42" s="23"/>
      <c r="D42" s="23"/>
      <c r="E42" s="17"/>
      <c r="F42" s="68"/>
      <c r="G42" s="17"/>
      <c r="H42" s="27">
        <f t="shared" si="3"/>
        <v>14.451000000000001</v>
      </c>
      <c r="I42" s="27">
        <f t="shared" si="4"/>
        <v>15.451000000000001</v>
      </c>
      <c r="J42" s="28">
        <f t="shared" si="5"/>
        <v>29.902000000000001</v>
      </c>
      <c r="K42" s="29"/>
    </row>
    <row r="43" spans="1:11" s="10" customFormat="1" ht="16.5" hidden="1" customHeight="1" x14ac:dyDescent="0.25">
      <c r="A43" s="22"/>
      <c r="B43" s="17"/>
      <c r="C43" s="23"/>
      <c r="D43" s="23"/>
      <c r="E43" s="17"/>
      <c r="F43" s="68"/>
      <c r="G43" s="17"/>
      <c r="H43" s="27">
        <f t="shared" si="3"/>
        <v>14.451000000000001</v>
      </c>
      <c r="I43" s="27">
        <f t="shared" si="4"/>
        <v>15.451000000000001</v>
      </c>
      <c r="J43" s="28">
        <f t="shared" si="5"/>
        <v>29.902000000000001</v>
      </c>
      <c r="K43" s="29"/>
    </row>
    <row r="44" spans="1:11" hidden="1" x14ac:dyDescent="0.25">
      <c r="A44" s="22"/>
      <c r="B44" s="17"/>
      <c r="C44" s="23"/>
      <c r="D44" s="23"/>
      <c r="E44" s="17"/>
      <c r="F44" s="68"/>
      <c r="G44" s="17"/>
      <c r="H44" s="27">
        <f t="shared" si="3"/>
        <v>14.451000000000001</v>
      </c>
      <c r="I44" s="27">
        <f t="shared" si="4"/>
        <v>15.451000000000001</v>
      </c>
      <c r="J44" s="28">
        <f t="shared" si="5"/>
        <v>29.902000000000001</v>
      </c>
    </row>
    <row r="45" spans="1:11" hidden="1" x14ac:dyDescent="0.25">
      <c r="A45" s="22"/>
      <c r="B45" s="17"/>
      <c r="C45" s="23"/>
      <c r="D45" s="23"/>
      <c r="E45" s="17"/>
      <c r="F45" s="68"/>
      <c r="G45" s="17"/>
      <c r="H45" s="27">
        <f t="shared" si="3"/>
        <v>14.451000000000001</v>
      </c>
      <c r="I45" s="27">
        <f t="shared" si="4"/>
        <v>15.451000000000001</v>
      </c>
      <c r="J45" s="28">
        <f t="shared" si="5"/>
        <v>29.902000000000001</v>
      </c>
    </row>
    <row r="46" spans="1:11" hidden="1" x14ac:dyDescent="0.25">
      <c r="A46" s="22"/>
      <c r="B46" s="17"/>
      <c r="C46" s="23"/>
      <c r="D46" s="23"/>
      <c r="E46" s="17"/>
      <c r="F46" s="68"/>
      <c r="G46" s="17"/>
      <c r="H46" s="27">
        <f t="shared" si="3"/>
        <v>14.451000000000001</v>
      </c>
      <c r="I46" s="27">
        <f t="shared" si="4"/>
        <v>15.451000000000001</v>
      </c>
      <c r="J46" s="28">
        <f t="shared" si="5"/>
        <v>29.902000000000001</v>
      </c>
    </row>
    <row r="47" spans="1:11" x14ac:dyDescent="0.25">
      <c r="A47" s="23" t="s">
        <v>95</v>
      </c>
      <c r="B47" s="17">
        <v>3.75</v>
      </c>
      <c r="C47" s="23">
        <v>3.75</v>
      </c>
      <c r="D47" s="23"/>
      <c r="E47" s="17"/>
      <c r="F47" s="68"/>
      <c r="G47" s="17"/>
      <c r="H47" s="27">
        <f t="shared" si="3"/>
        <v>18.201000000000001</v>
      </c>
      <c r="I47" s="27">
        <f t="shared" si="4"/>
        <v>19.201000000000001</v>
      </c>
      <c r="J47" s="28">
        <f t="shared" si="5"/>
        <v>37.402000000000001</v>
      </c>
    </row>
    <row r="48" spans="1:11" x14ac:dyDescent="0.25">
      <c r="A48" s="23" t="s">
        <v>96</v>
      </c>
      <c r="B48" s="17">
        <v>2.5</v>
      </c>
      <c r="C48" s="23">
        <v>2.5</v>
      </c>
      <c r="D48" s="23"/>
      <c r="E48" s="17"/>
      <c r="F48" s="17"/>
      <c r="G48" s="17"/>
      <c r="H48" s="27">
        <f t="shared" ref="H48:H54" si="6">H47-F48-D48+B48</f>
        <v>20.701000000000001</v>
      </c>
      <c r="I48" s="27">
        <f t="shared" ref="I48:I54" si="7">I47-E48+C48</f>
        <v>21.701000000000001</v>
      </c>
      <c r="J48" s="28">
        <f t="shared" ref="J48:J54" si="8">SUM(H48:I48)</f>
        <v>42.402000000000001</v>
      </c>
    </row>
    <row r="49" spans="1:10" x14ac:dyDescent="0.25">
      <c r="A49" s="23" t="s">
        <v>97</v>
      </c>
      <c r="B49" s="17"/>
      <c r="C49" s="23"/>
      <c r="D49" s="23"/>
      <c r="E49" s="17"/>
      <c r="F49" s="17"/>
      <c r="G49" s="70">
        <v>1</v>
      </c>
      <c r="H49" s="27">
        <f t="shared" si="6"/>
        <v>20.701000000000001</v>
      </c>
      <c r="I49" s="27">
        <f t="shared" si="7"/>
        <v>21.701000000000001</v>
      </c>
      <c r="J49" s="28">
        <f t="shared" si="8"/>
        <v>42.402000000000001</v>
      </c>
    </row>
    <row r="50" spans="1:10" x14ac:dyDescent="0.25">
      <c r="A50" s="71" t="s">
        <v>98</v>
      </c>
      <c r="B50" s="69"/>
      <c r="C50" s="69"/>
      <c r="D50" s="69"/>
      <c r="E50" s="69"/>
      <c r="F50" s="68"/>
      <c r="G50" s="70">
        <v>1</v>
      </c>
      <c r="H50" s="27">
        <f t="shared" si="6"/>
        <v>20.701000000000001</v>
      </c>
      <c r="I50" s="27">
        <f t="shared" si="7"/>
        <v>21.701000000000001</v>
      </c>
      <c r="J50" s="28">
        <f t="shared" si="8"/>
        <v>42.402000000000001</v>
      </c>
    </row>
    <row r="51" spans="1:10" x14ac:dyDescent="0.25">
      <c r="A51" s="71" t="s">
        <v>100</v>
      </c>
      <c r="B51" s="71">
        <v>1.25</v>
      </c>
      <c r="C51" s="71">
        <v>1.25</v>
      </c>
      <c r="D51" s="69"/>
      <c r="E51" s="69"/>
      <c r="F51" s="68"/>
      <c r="G51" s="68"/>
      <c r="H51" s="27">
        <f t="shared" si="6"/>
        <v>21.951000000000001</v>
      </c>
      <c r="I51" s="27">
        <f t="shared" si="7"/>
        <v>22.951000000000001</v>
      </c>
      <c r="J51" s="28">
        <f t="shared" si="8"/>
        <v>44.902000000000001</v>
      </c>
    </row>
    <row r="52" spans="1:10" x14ac:dyDescent="0.25">
      <c r="A52" s="71" t="s">
        <v>101</v>
      </c>
      <c r="B52" s="71"/>
      <c r="C52" s="71"/>
      <c r="D52" s="71">
        <v>12</v>
      </c>
      <c r="E52" s="69"/>
      <c r="F52" s="68"/>
      <c r="G52" s="68"/>
      <c r="H52" s="27">
        <f t="shared" si="6"/>
        <v>9.9510000000000005</v>
      </c>
      <c r="I52" s="27">
        <f t="shared" si="7"/>
        <v>22.951000000000001</v>
      </c>
      <c r="J52" s="28">
        <f t="shared" si="8"/>
        <v>32.902000000000001</v>
      </c>
    </row>
    <row r="53" spans="1:10" x14ac:dyDescent="0.25">
      <c r="A53" s="71" t="s">
        <v>105</v>
      </c>
      <c r="B53" s="71">
        <v>1.25</v>
      </c>
      <c r="C53" s="71">
        <v>1.25</v>
      </c>
      <c r="D53" s="71"/>
      <c r="E53" s="69"/>
      <c r="F53" s="68"/>
      <c r="G53" s="68"/>
      <c r="H53" s="27">
        <f t="shared" si="6"/>
        <v>11.201000000000001</v>
      </c>
      <c r="I53" s="27">
        <f t="shared" si="7"/>
        <v>24.201000000000001</v>
      </c>
      <c r="J53" s="28">
        <f t="shared" si="8"/>
        <v>35.402000000000001</v>
      </c>
    </row>
    <row r="54" spans="1:10" x14ac:dyDescent="0.25">
      <c r="A54" s="71" t="s">
        <v>106</v>
      </c>
      <c r="B54" s="71"/>
      <c r="C54" s="71"/>
      <c r="D54" s="71"/>
      <c r="E54" s="71">
        <v>1</v>
      </c>
      <c r="F54" s="68"/>
      <c r="G54" s="68"/>
      <c r="H54" s="27">
        <f t="shared" si="6"/>
        <v>11.201000000000001</v>
      </c>
      <c r="I54" s="27">
        <f t="shared" si="7"/>
        <v>23.201000000000001</v>
      </c>
      <c r="J54" s="28">
        <f t="shared" si="8"/>
        <v>34.402000000000001</v>
      </c>
    </row>
    <row r="55" spans="1:10" x14ac:dyDescent="0.25">
      <c r="A55" s="76" t="s">
        <v>107</v>
      </c>
      <c r="B55" s="71">
        <v>6.25</v>
      </c>
      <c r="C55" s="71">
        <v>6.25</v>
      </c>
      <c r="D55" s="71"/>
      <c r="E55" s="71"/>
      <c r="F55" s="68"/>
      <c r="G55" s="68"/>
      <c r="H55" s="27">
        <f t="shared" ref="H55:H56" si="9">H54-F55-D55+B55</f>
        <v>17.451000000000001</v>
      </c>
      <c r="I55" s="27">
        <f t="shared" ref="I55:I56" si="10">I54-E55+C55</f>
        <v>29.451000000000001</v>
      </c>
      <c r="J55" s="28">
        <f t="shared" ref="J55:J56" si="11">SUM(H55:I55)</f>
        <v>46.902000000000001</v>
      </c>
    </row>
    <row r="56" spans="1:10" x14ac:dyDescent="0.25">
      <c r="A56" s="71" t="s">
        <v>108</v>
      </c>
      <c r="B56" s="71"/>
      <c r="C56" s="71"/>
      <c r="D56" s="71"/>
      <c r="E56" s="71"/>
      <c r="F56" s="77">
        <v>1</v>
      </c>
      <c r="G56" s="68"/>
      <c r="H56" s="27">
        <f t="shared" si="9"/>
        <v>16.451000000000001</v>
      </c>
      <c r="I56" s="27">
        <f t="shared" si="10"/>
        <v>29.451000000000001</v>
      </c>
      <c r="J56" s="28">
        <f t="shared" si="11"/>
        <v>45.902000000000001</v>
      </c>
    </row>
    <row r="57" spans="1:10" ht="30" x14ac:dyDescent="0.25">
      <c r="A57" s="76" t="s">
        <v>111</v>
      </c>
      <c r="B57" s="71">
        <v>1.087</v>
      </c>
      <c r="C57" s="71">
        <v>1.087</v>
      </c>
      <c r="D57" s="71"/>
      <c r="E57" s="69"/>
      <c r="F57" s="68"/>
      <c r="G57" s="68"/>
      <c r="H57" s="27">
        <f t="shared" ref="H57:H58" si="12">H56-F57-D57+B57</f>
        <v>17.538</v>
      </c>
      <c r="I57" s="27">
        <f t="shared" ref="I57:I58" si="13">I56-E57+C57</f>
        <v>30.538</v>
      </c>
      <c r="J57" s="28">
        <f t="shared" ref="J57:J58" si="14">SUM(H57:I57)</f>
        <v>48.076000000000001</v>
      </c>
    </row>
    <row r="58" spans="1:10" ht="30" x14ac:dyDescent="0.25">
      <c r="A58" s="76" t="s">
        <v>110</v>
      </c>
      <c r="B58" s="71">
        <v>0.435</v>
      </c>
      <c r="C58" s="71">
        <v>0.435</v>
      </c>
      <c r="D58" s="71"/>
      <c r="E58" s="69"/>
      <c r="F58" s="68"/>
      <c r="G58" s="68"/>
      <c r="H58" s="27">
        <f t="shared" si="12"/>
        <v>17.972999999999999</v>
      </c>
      <c r="I58" s="27">
        <f t="shared" si="13"/>
        <v>30.972999999999999</v>
      </c>
      <c r="J58" s="28">
        <f t="shared" si="14"/>
        <v>48.945999999999998</v>
      </c>
    </row>
    <row r="59" spans="1:10" ht="30" x14ac:dyDescent="0.25">
      <c r="A59" s="76" t="s">
        <v>109</v>
      </c>
      <c r="B59" s="71">
        <v>0.435</v>
      </c>
      <c r="C59" s="71">
        <v>0.435</v>
      </c>
      <c r="D59" s="71"/>
      <c r="E59" s="69"/>
      <c r="F59" s="68"/>
      <c r="G59" s="68"/>
      <c r="H59" s="27">
        <f t="shared" ref="H59" si="15">H58-F59-D59+B59</f>
        <v>18.407999999999998</v>
      </c>
      <c r="I59" s="27">
        <f t="shared" ref="I59" si="16">I58-E59+C59</f>
        <v>31.407999999999998</v>
      </c>
      <c r="J59" s="28">
        <f t="shared" ref="J59" si="17">SUM(H59:I59)</f>
        <v>49.815999999999995</v>
      </c>
    </row>
    <row r="60" spans="1:10" ht="30" x14ac:dyDescent="0.25">
      <c r="A60" s="76" t="s">
        <v>113</v>
      </c>
      <c r="B60" s="71">
        <v>1.087</v>
      </c>
      <c r="C60" s="71">
        <v>1.087</v>
      </c>
      <c r="D60" s="71"/>
      <c r="E60" s="69"/>
      <c r="F60" s="68"/>
      <c r="G60" s="68"/>
      <c r="H60" s="27">
        <f t="shared" ref="H60" si="18">H59-F60-D60+B60</f>
        <v>19.494999999999997</v>
      </c>
      <c r="I60" s="27">
        <f t="shared" ref="I60" si="19">I59-E60+C60</f>
        <v>32.494999999999997</v>
      </c>
      <c r="J60" s="28">
        <f t="shared" ref="J60" si="20">SUM(H60:I60)</f>
        <v>51.989999999999995</v>
      </c>
    </row>
    <row r="61" spans="1:10" ht="30" x14ac:dyDescent="0.25">
      <c r="A61" s="76" t="s">
        <v>114</v>
      </c>
      <c r="B61" s="71">
        <v>0.65200000000000002</v>
      </c>
      <c r="C61" s="71">
        <v>0.65200000000000002</v>
      </c>
      <c r="D61" s="71"/>
      <c r="E61" s="69"/>
      <c r="F61" s="68"/>
      <c r="G61" s="68"/>
      <c r="H61" s="27">
        <f t="shared" ref="H61" si="21">H60-F61-D61+B61</f>
        <v>20.146999999999998</v>
      </c>
      <c r="I61" s="27">
        <f t="shared" ref="I61" si="22">I60-E61+C61</f>
        <v>33.146999999999998</v>
      </c>
      <c r="J61" s="28">
        <f t="shared" ref="J61" si="23">SUM(H61:I61)</f>
        <v>53.293999999999997</v>
      </c>
    </row>
    <row r="62" spans="1:10" x14ac:dyDescent="0.25">
      <c r="A62" s="76" t="s">
        <v>115</v>
      </c>
      <c r="B62" s="78">
        <v>2.5</v>
      </c>
      <c r="C62" s="78">
        <v>2.5</v>
      </c>
      <c r="D62" s="71"/>
      <c r="E62" s="69"/>
      <c r="F62" s="68"/>
      <c r="G62" s="68"/>
      <c r="H62" s="27">
        <f t="shared" ref="H62:H63" si="24">H61-F62-D62+B62</f>
        <v>22.646999999999998</v>
      </c>
      <c r="I62" s="27">
        <f t="shared" ref="I62:I63" si="25">I61-E62+C62</f>
        <v>35.646999999999998</v>
      </c>
      <c r="J62" s="28">
        <f t="shared" ref="J62:J63" si="26">SUM(H62:I62)</f>
        <v>58.293999999999997</v>
      </c>
    </row>
    <row r="63" spans="1:10" x14ac:dyDescent="0.25">
      <c r="A63" s="76" t="s">
        <v>116</v>
      </c>
      <c r="B63" s="71"/>
      <c r="C63" s="71"/>
      <c r="D63" s="71"/>
      <c r="E63" s="69"/>
      <c r="F63" s="77">
        <v>4</v>
      </c>
      <c r="G63" s="68"/>
      <c r="H63" s="27">
        <f t="shared" si="24"/>
        <v>18.646999999999998</v>
      </c>
      <c r="I63" s="27">
        <f t="shared" si="25"/>
        <v>35.646999999999998</v>
      </c>
      <c r="J63" s="28">
        <f t="shared" si="26"/>
        <v>54.293999999999997</v>
      </c>
    </row>
    <row r="64" spans="1:10" x14ac:dyDescent="0.25">
      <c r="A64" s="76" t="s">
        <v>117</v>
      </c>
      <c r="B64" s="71"/>
      <c r="C64" s="71"/>
      <c r="D64" s="71"/>
      <c r="E64" s="69"/>
      <c r="F64" s="68"/>
      <c r="G64" s="70">
        <v>1</v>
      </c>
      <c r="H64" s="27">
        <f t="shared" ref="H64" si="27">H63-F64-D64+B64</f>
        <v>18.646999999999998</v>
      </c>
      <c r="I64" s="27">
        <f t="shared" ref="I64" si="28">I63-E64+C64</f>
        <v>35.646999999999998</v>
      </c>
      <c r="J64" s="28">
        <f t="shared" ref="J64" si="29">SUM(H64:I64)</f>
        <v>54.293999999999997</v>
      </c>
    </row>
    <row r="65" spans="6:10" x14ac:dyDescent="0.25">
      <c r="H65" s="31"/>
      <c r="I65" s="31"/>
      <c r="J65" s="31"/>
    </row>
    <row r="69" spans="6:10" x14ac:dyDescent="0.25">
      <c r="F69" s="30" t="s">
        <v>31</v>
      </c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E247-680C-442C-A394-4CC058040EC9}">
  <sheetPr>
    <pageSetUpPr fitToPage="1"/>
  </sheetPr>
  <dimension ref="A1:L25"/>
  <sheetViews>
    <sheetView view="pageBreakPreview" zoomScale="112" zoomScaleNormal="100" workbookViewId="0">
      <selection activeCell="F19" sqref="F19:G19"/>
    </sheetView>
  </sheetViews>
  <sheetFormatPr defaultColWidth="9" defaultRowHeight="15" x14ac:dyDescent="0.25"/>
  <cols>
    <col min="1" max="1" width="26.7109375" customWidth="1"/>
    <col min="2" max="2" width="9.42578125" style="13" customWidth="1"/>
    <col min="3" max="3" width="9.28515625" style="14" customWidth="1"/>
    <col min="5" max="5" width="11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2" s="1" customFormat="1" ht="52.5" customHeight="1" x14ac:dyDescent="0.25">
      <c r="C1" s="2"/>
      <c r="D1" s="3"/>
      <c r="H1" s="4"/>
    </row>
    <row r="2" spans="1:12" s="1" customFormat="1" ht="10.5" customHeight="1" x14ac:dyDescent="0.25">
      <c r="A2" s="96" t="s">
        <v>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s="1" customFormat="1" ht="15.95" customHeight="1" x14ac:dyDescent="0.25">
      <c r="A3" s="96" t="s">
        <v>1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s="1" customFormat="1" ht="15.95" customHeight="1" x14ac:dyDescent="0.25">
      <c r="A4" s="96" t="s">
        <v>2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s="1" customFormat="1" ht="15.95" customHeight="1" x14ac:dyDescent="0.25">
      <c r="A5" s="96" t="s">
        <v>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s="1" customFormat="1" ht="8.25" customHeight="1" x14ac:dyDescent="0.25">
      <c r="C6" s="4"/>
      <c r="H6" s="4"/>
    </row>
    <row r="7" spans="1:12" s="1" customFormat="1" ht="8.25" customHeight="1" x14ac:dyDescent="0.25">
      <c r="C7" s="4"/>
      <c r="H7" s="4"/>
    </row>
    <row r="8" spans="1:12" s="1" customFormat="1" ht="12" customHeight="1" x14ac:dyDescent="0.25">
      <c r="A8" s="5" t="s">
        <v>47</v>
      </c>
      <c r="B8" s="5"/>
      <c r="C8" s="95" t="s">
        <v>4</v>
      </c>
      <c r="D8" s="95"/>
      <c r="E8" s="95"/>
      <c r="F8" s="95"/>
      <c r="G8" s="95"/>
      <c r="I8" s="95" t="s">
        <v>5</v>
      </c>
      <c r="J8" s="95"/>
      <c r="K8" s="95"/>
      <c r="L8" s="5"/>
    </row>
    <row r="9" spans="1:12" s="1" customFormat="1" ht="12" customHeight="1" x14ac:dyDescent="0.25">
      <c r="B9" s="6"/>
      <c r="C9" s="95" t="s">
        <v>48</v>
      </c>
      <c r="D9" s="95"/>
      <c r="E9" s="95"/>
      <c r="F9" s="95"/>
      <c r="G9" s="95"/>
      <c r="I9" s="97" t="s">
        <v>6</v>
      </c>
      <c r="J9" s="97"/>
      <c r="K9" s="97"/>
      <c r="L9" s="6"/>
    </row>
    <row r="10" spans="1:12" s="1" customFormat="1" ht="12" customHeight="1" x14ac:dyDescent="0.25">
      <c r="A10" s="5" t="s">
        <v>49</v>
      </c>
      <c r="B10" s="5"/>
      <c r="C10" s="7"/>
      <c r="D10" s="6"/>
      <c r="E10" s="6"/>
      <c r="I10" s="95" t="s">
        <v>7</v>
      </c>
      <c r="J10" s="95"/>
      <c r="K10" s="95"/>
      <c r="L10" s="5"/>
    </row>
    <row r="11" spans="1:12" ht="16.5" customHeight="1" thickBot="1" x14ac:dyDescent="0.3">
      <c r="A11" s="83" t="s">
        <v>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</row>
    <row r="12" spans="1:12" s="8" customFormat="1" ht="18.75" customHeight="1" x14ac:dyDescent="0.2">
      <c r="A12" s="98" t="s">
        <v>9</v>
      </c>
      <c r="B12" s="100" t="s">
        <v>10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2" t="s">
        <v>11</v>
      </c>
    </row>
    <row r="13" spans="1:12" s="8" customFormat="1" ht="24" customHeight="1" x14ac:dyDescent="0.2">
      <c r="A13" s="99"/>
      <c r="B13" s="104" t="s">
        <v>12</v>
      </c>
      <c r="C13" s="105"/>
      <c r="D13" s="105"/>
      <c r="E13" s="106"/>
      <c r="F13" s="104" t="s">
        <v>13</v>
      </c>
      <c r="G13" s="106"/>
      <c r="H13" s="104" t="s">
        <v>14</v>
      </c>
      <c r="I13" s="106"/>
      <c r="J13" s="104" t="s">
        <v>15</v>
      </c>
      <c r="K13" s="106"/>
      <c r="L13" s="103"/>
    </row>
    <row r="14" spans="1:12" s="8" customFormat="1" hidden="1" x14ac:dyDescent="0.2">
      <c r="A14" s="59" t="s">
        <v>50</v>
      </c>
      <c r="B14" s="107" t="s">
        <v>51</v>
      </c>
      <c r="C14" s="109"/>
      <c r="D14" s="109"/>
      <c r="E14" s="108"/>
      <c r="F14" s="107">
        <v>10</v>
      </c>
      <c r="G14" s="108"/>
      <c r="H14" s="107">
        <v>0</v>
      </c>
      <c r="I14" s="108"/>
      <c r="J14" s="107">
        <v>10</v>
      </c>
      <c r="K14" s="108"/>
      <c r="L14" s="60">
        <v>10</v>
      </c>
    </row>
    <row r="15" spans="1:12" s="9" customFormat="1" hidden="1" x14ac:dyDescent="0.2">
      <c r="A15" s="22" t="s">
        <v>52</v>
      </c>
      <c r="B15" s="107"/>
      <c r="C15" s="109"/>
      <c r="D15" s="109"/>
      <c r="E15" s="108"/>
      <c r="F15" s="107"/>
      <c r="G15" s="108"/>
      <c r="H15" s="107">
        <v>1</v>
      </c>
      <c r="I15" s="108"/>
      <c r="J15" s="107">
        <v>9</v>
      </c>
      <c r="K15" s="108"/>
      <c r="L15" s="60">
        <v>9</v>
      </c>
    </row>
    <row r="16" spans="1:12" s="9" customFormat="1" hidden="1" x14ac:dyDescent="0.2">
      <c r="A16" s="22" t="s">
        <v>53</v>
      </c>
      <c r="B16" s="107"/>
      <c r="C16" s="109"/>
      <c r="D16" s="109"/>
      <c r="E16" s="108"/>
      <c r="F16" s="107"/>
      <c r="G16" s="108"/>
      <c r="H16" s="107">
        <v>1</v>
      </c>
      <c r="I16" s="108"/>
      <c r="J16" s="107">
        <v>8</v>
      </c>
      <c r="K16" s="108"/>
      <c r="L16" s="60">
        <v>8</v>
      </c>
    </row>
    <row r="17" spans="1:12" s="9" customFormat="1" hidden="1" x14ac:dyDescent="0.2">
      <c r="A17" s="63" t="s">
        <v>54</v>
      </c>
      <c r="B17" s="110"/>
      <c r="C17" s="111"/>
      <c r="D17" s="111"/>
      <c r="E17" s="112"/>
      <c r="F17" s="110"/>
      <c r="G17" s="112"/>
      <c r="H17" s="110">
        <v>1</v>
      </c>
      <c r="I17" s="112"/>
      <c r="J17" s="110">
        <v>7</v>
      </c>
      <c r="K17" s="112"/>
      <c r="L17" s="64">
        <v>7</v>
      </c>
    </row>
    <row r="18" spans="1:12" s="9" customFormat="1" ht="22.5" customHeight="1" x14ac:dyDescent="0.2">
      <c r="A18" s="73" t="s">
        <v>102</v>
      </c>
      <c r="B18" s="113" t="s">
        <v>103</v>
      </c>
      <c r="C18" s="114"/>
      <c r="D18" s="114"/>
      <c r="E18" s="115"/>
      <c r="F18" s="113">
        <v>1</v>
      </c>
      <c r="G18" s="115"/>
      <c r="H18" s="113">
        <v>0</v>
      </c>
      <c r="I18" s="115"/>
      <c r="J18" s="113">
        <v>1</v>
      </c>
      <c r="K18" s="115"/>
      <c r="L18" s="74">
        <v>1</v>
      </c>
    </row>
    <row r="19" spans="1:12" s="9" customFormat="1" ht="23.25" customHeight="1" x14ac:dyDescent="0.2">
      <c r="A19" s="73" t="s">
        <v>104</v>
      </c>
      <c r="B19" s="113" t="s">
        <v>103</v>
      </c>
      <c r="C19" s="114"/>
      <c r="D19" s="114"/>
      <c r="E19" s="115"/>
      <c r="F19" s="113"/>
      <c r="G19" s="115"/>
      <c r="H19" s="113">
        <v>1</v>
      </c>
      <c r="I19" s="115"/>
      <c r="J19" s="113">
        <v>0</v>
      </c>
      <c r="K19" s="115"/>
      <c r="L19" s="75">
        <v>0</v>
      </c>
    </row>
    <row r="20" spans="1:12" s="9" customFormat="1" x14ac:dyDescent="0.2">
      <c r="A20" s="10" t="s">
        <v>16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2"/>
    </row>
    <row r="21" spans="1:12" ht="75.75" customHeight="1" x14ac:dyDescent="0.2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</row>
    <row r="22" spans="1:12" s="1" customFormat="1" x14ac:dyDescent="0.25">
      <c r="C22" s="4"/>
    </row>
    <row r="23" spans="1:12" s="1" customFormat="1" x14ac:dyDescent="0.25">
      <c r="C23" s="4"/>
    </row>
    <row r="25" spans="1:12" x14ac:dyDescent="0.25">
      <c r="G25" s="16" t="s">
        <v>43</v>
      </c>
    </row>
  </sheetData>
  <mergeCells count="42">
    <mergeCell ref="A21:L21"/>
    <mergeCell ref="B19:E19"/>
    <mergeCell ref="F19:G19"/>
    <mergeCell ref="H19:I19"/>
    <mergeCell ref="J19:K19"/>
    <mergeCell ref="B17:E17"/>
    <mergeCell ref="F17:G17"/>
    <mergeCell ref="H17:I17"/>
    <mergeCell ref="J17:K17"/>
    <mergeCell ref="B18:E18"/>
    <mergeCell ref="F18:G18"/>
    <mergeCell ref="H18:I18"/>
    <mergeCell ref="J18:K18"/>
    <mergeCell ref="F14:G14"/>
    <mergeCell ref="H14:I14"/>
    <mergeCell ref="J14:K14"/>
    <mergeCell ref="B16:E16"/>
    <mergeCell ref="F16:G16"/>
    <mergeCell ref="H16:I16"/>
    <mergeCell ref="J16:K16"/>
    <mergeCell ref="B15:E15"/>
    <mergeCell ref="F15:G15"/>
    <mergeCell ref="H15:I15"/>
    <mergeCell ref="J15:K15"/>
    <mergeCell ref="B14:E14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7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34"/>
  <sheetViews>
    <sheetView view="pageBreakPreview" topLeftCell="A8" zoomScale="95" zoomScaleNormal="100" zoomScaleSheetLayoutView="95" workbookViewId="0">
      <selection activeCell="A25" sqref="A25"/>
    </sheetView>
  </sheetViews>
  <sheetFormatPr defaultColWidth="9" defaultRowHeight="15" x14ac:dyDescent="0.25"/>
  <cols>
    <col min="1" max="1" width="23.5703125" style="43" customWidth="1"/>
    <col min="2" max="2" width="15.140625" style="43" customWidth="1"/>
    <col min="3" max="3" width="42.140625" style="53" customWidth="1"/>
    <col min="4" max="4" width="11.7109375" style="54" customWidth="1"/>
    <col min="5" max="5" width="11" style="43" customWidth="1"/>
    <col min="6" max="6" width="11.85546875" style="54" customWidth="1"/>
    <col min="7" max="7" width="22" style="43" customWidth="1"/>
    <col min="8" max="16384" width="9" style="43"/>
  </cols>
  <sheetData>
    <row r="1" spans="1:7" s="35" customFormat="1" ht="52.5" customHeight="1" x14ac:dyDescent="0.25">
      <c r="E1" s="36"/>
    </row>
    <row r="2" spans="1:7" s="35" customFormat="1" ht="10.5" customHeight="1" x14ac:dyDescent="0.25">
      <c r="A2" s="120" t="s">
        <v>0</v>
      </c>
      <c r="B2" s="120"/>
      <c r="C2" s="120"/>
      <c r="D2" s="120"/>
      <c r="E2" s="120"/>
      <c r="F2" s="120"/>
      <c r="G2" s="120"/>
    </row>
    <row r="3" spans="1:7" s="35" customFormat="1" ht="15.95" customHeight="1" x14ac:dyDescent="0.25">
      <c r="A3" s="120" t="s">
        <v>1</v>
      </c>
      <c r="B3" s="120"/>
      <c r="C3" s="120"/>
      <c r="D3" s="120"/>
      <c r="E3" s="120"/>
      <c r="F3" s="120"/>
      <c r="G3" s="120"/>
    </row>
    <row r="4" spans="1:7" s="35" customFormat="1" ht="15.95" customHeight="1" x14ac:dyDescent="0.25">
      <c r="A4" s="120" t="s">
        <v>2</v>
      </c>
      <c r="B4" s="120"/>
      <c r="C4" s="120"/>
      <c r="D4" s="120"/>
      <c r="E4" s="120"/>
      <c r="F4" s="120"/>
      <c r="G4" s="120"/>
    </row>
    <row r="5" spans="1:7" s="35" customFormat="1" ht="15.95" customHeight="1" x14ac:dyDescent="0.25">
      <c r="A5" s="120" t="s">
        <v>3</v>
      </c>
      <c r="B5" s="120"/>
      <c r="C5" s="120"/>
      <c r="D5" s="120"/>
      <c r="E5" s="120"/>
      <c r="F5" s="120"/>
      <c r="G5" s="120"/>
    </row>
    <row r="6" spans="1:7" s="35" customFormat="1" ht="8.25" customHeight="1" x14ac:dyDescent="0.25">
      <c r="E6" s="36"/>
    </row>
    <row r="7" spans="1:7" s="35" customFormat="1" ht="8.25" customHeight="1" x14ac:dyDescent="0.25">
      <c r="E7" s="36"/>
    </row>
    <row r="8" spans="1:7" s="35" customFormat="1" ht="17.25" customHeight="1" x14ac:dyDescent="0.25">
      <c r="A8" s="37" t="s">
        <v>46</v>
      </c>
      <c r="B8" s="37"/>
      <c r="C8" s="37" t="s">
        <v>33</v>
      </c>
      <c r="D8" s="38"/>
      <c r="E8" s="37" t="s">
        <v>34</v>
      </c>
      <c r="F8" s="38"/>
      <c r="G8" s="39"/>
    </row>
    <row r="9" spans="1:7" s="35" customFormat="1" ht="12" customHeight="1" x14ac:dyDescent="0.25">
      <c r="A9" s="40"/>
      <c r="B9" s="40"/>
      <c r="C9" s="41"/>
      <c r="E9" s="37" t="s">
        <v>35</v>
      </c>
      <c r="F9" s="42"/>
      <c r="G9" s="41"/>
    </row>
    <row r="10" spans="1:7" s="35" customFormat="1" ht="14.25" customHeight="1" x14ac:dyDescent="0.25">
      <c r="A10" s="37" t="s">
        <v>44</v>
      </c>
      <c r="B10" s="37"/>
      <c r="C10" s="37" t="s">
        <v>36</v>
      </c>
      <c r="D10" s="38"/>
      <c r="E10" s="37" t="s">
        <v>37</v>
      </c>
      <c r="F10" s="38"/>
      <c r="G10" s="39"/>
    </row>
    <row r="11" spans="1:7" s="35" customFormat="1" ht="12" customHeight="1" thickBot="1" x14ac:dyDescent="0.3">
      <c r="A11" s="39"/>
      <c r="B11" s="39"/>
      <c r="C11" s="39"/>
      <c r="F11" s="38"/>
      <c r="G11" s="39"/>
    </row>
    <row r="12" spans="1:7" ht="23.25" customHeight="1" thickBot="1" x14ac:dyDescent="0.3">
      <c r="A12" s="121" t="s">
        <v>38</v>
      </c>
      <c r="B12" s="122"/>
      <c r="C12" s="122"/>
      <c r="D12" s="122"/>
      <c r="E12" s="122"/>
      <c r="F12" s="122"/>
      <c r="G12" s="123"/>
    </row>
    <row r="13" spans="1:7" s="48" customFormat="1" ht="37.5" customHeight="1" thickBot="1" x14ac:dyDescent="0.25">
      <c r="A13" s="44" t="s">
        <v>39</v>
      </c>
      <c r="B13" s="45" t="s">
        <v>40</v>
      </c>
      <c r="C13" s="55" t="s">
        <v>41</v>
      </c>
      <c r="D13" s="55" t="s">
        <v>13</v>
      </c>
      <c r="E13" s="46" t="s">
        <v>14</v>
      </c>
      <c r="F13" s="46" t="s">
        <v>15</v>
      </c>
      <c r="G13" s="47" t="s">
        <v>11</v>
      </c>
    </row>
    <row r="14" spans="1:7" s="48" customFormat="1" ht="15.75" customHeight="1" x14ac:dyDescent="0.2">
      <c r="A14" s="57" t="s">
        <v>64</v>
      </c>
      <c r="B14" s="65"/>
      <c r="C14" s="56" t="s">
        <v>65</v>
      </c>
      <c r="D14" s="34">
        <v>2</v>
      </c>
      <c r="E14" s="49">
        <v>0</v>
      </c>
      <c r="F14" s="49">
        <v>2</v>
      </c>
      <c r="G14" s="50">
        <v>2</v>
      </c>
    </row>
    <row r="15" spans="1:7" s="48" customFormat="1" ht="15.75" customHeight="1" x14ac:dyDescent="0.2">
      <c r="A15" s="57" t="s">
        <v>66</v>
      </c>
      <c r="B15" s="65" t="s">
        <v>67</v>
      </c>
      <c r="C15" s="56" t="s">
        <v>68</v>
      </c>
      <c r="D15" s="34">
        <v>2</v>
      </c>
      <c r="E15" s="49">
        <v>0</v>
      </c>
      <c r="F15" s="49">
        <v>2</v>
      </c>
      <c r="G15" s="50">
        <v>2</v>
      </c>
    </row>
    <row r="16" spans="1:7" s="48" customFormat="1" ht="15.75" customHeight="1" x14ac:dyDescent="0.2">
      <c r="A16" s="57" t="s">
        <v>69</v>
      </c>
      <c r="B16" s="65"/>
      <c r="C16" s="56" t="s">
        <v>70</v>
      </c>
      <c r="D16" s="34">
        <v>2</v>
      </c>
      <c r="E16" s="49">
        <v>0</v>
      </c>
      <c r="F16" s="49">
        <v>2</v>
      </c>
      <c r="G16" s="50">
        <v>2</v>
      </c>
    </row>
    <row r="17" spans="1:7" s="48" customFormat="1" ht="15.75" customHeight="1" x14ac:dyDescent="0.2">
      <c r="A17" s="57" t="s">
        <v>112</v>
      </c>
      <c r="B17" s="65" t="s">
        <v>71</v>
      </c>
      <c r="C17" s="56" t="s">
        <v>72</v>
      </c>
      <c r="D17" s="34">
        <v>2</v>
      </c>
      <c r="E17" s="49">
        <v>0</v>
      </c>
      <c r="F17" s="49">
        <v>2</v>
      </c>
      <c r="G17" s="50">
        <v>2</v>
      </c>
    </row>
    <row r="18" spans="1:7" s="48" customFormat="1" ht="15.75" customHeight="1" x14ac:dyDescent="0.2">
      <c r="A18" s="57" t="s">
        <v>87</v>
      </c>
      <c r="B18" s="65"/>
      <c r="C18" s="56" t="s">
        <v>88</v>
      </c>
      <c r="D18" s="34">
        <v>3</v>
      </c>
      <c r="E18" s="49">
        <v>0</v>
      </c>
      <c r="F18" s="49">
        <v>3</v>
      </c>
      <c r="G18" s="50">
        <v>3</v>
      </c>
    </row>
    <row r="19" spans="1:7" s="48" customFormat="1" ht="26.25" customHeight="1" x14ac:dyDescent="0.2">
      <c r="A19" s="57" t="s">
        <v>89</v>
      </c>
      <c r="B19" s="65"/>
      <c r="C19" s="56" t="s">
        <v>90</v>
      </c>
      <c r="D19" s="34">
        <v>3</v>
      </c>
      <c r="E19" s="49">
        <v>0</v>
      </c>
      <c r="F19" s="49">
        <v>3</v>
      </c>
      <c r="G19" s="50">
        <v>3</v>
      </c>
    </row>
    <row r="20" spans="1:7" s="48" customFormat="1" ht="15.75" customHeight="1" x14ac:dyDescent="0.2">
      <c r="A20" s="57" t="s">
        <v>91</v>
      </c>
      <c r="B20" s="65"/>
      <c r="C20" s="56" t="s">
        <v>92</v>
      </c>
      <c r="D20" s="34">
        <v>3</v>
      </c>
      <c r="E20" s="49">
        <v>0</v>
      </c>
      <c r="F20" s="49">
        <v>3</v>
      </c>
      <c r="G20" s="50">
        <v>3</v>
      </c>
    </row>
    <row r="21" spans="1:7" s="48" customFormat="1" ht="15.75" customHeight="1" x14ac:dyDescent="0.2">
      <c r="A21" s="57" t="s">
        <v>73</v>
      </c>
      <c r="B21" s="65"/>
      <c r="C21" s="56" t="s">
        <v>74</v>
      </c>
      <c r="D21" s="34">
        <v>2</v>
      </c>
      <c r="E21" s="49">
        <v>0</v>
      </c>
      <c r="F21" s="49">
        <v>2</v>
      </c>
      <c r="G21" s="50">
        <v>2</v>
      </c>
    </row>
    <row r="22" spans="1:7" s="48" customFormat="1" ht="15.75" customHeight="1" x14ac:dyDescent="0.2">
      <c r="A22" s="57" t="s">
        <v>75</v>
      </c>
      <c r="B22" s="65" t="s">
        <v>76</v>
      </c>
      <c r="C22" s="56" t="s">
        <v>77</v>
      </c>
      <c r="D22" s="34">
        <v>2</v>
      </c>
      <c r="E22" s="49">
        <v>0</v>
      </c>
      <c r="F22" s="49">
        <v>2</v>
      </c>
      <c r="G22" s="50">
        <v>2</v>
      </c>
    </row>
    <row r="23" spans="1:7" s="48" customFormat="1" ht="15.75" customHeight="1" x14ac:dyDescent="0.2">
      <c r="A23" s="57" t="s">
        <v>78</v>
      </c>
      <c r="B23" s="65" t="s">
        <v>79</v>
      </c>
      <c r="C23" s="56" t="s">
        <v>80</v>
      </c>
      <c r="D23" s="34">
        <v>2</v>
      </c>
      <c r="E23" s="49">
        <v>0</v>
      </c>
      <c r="F23" s="49">
        <v>2</v>
      </c>
      <c r="G23" s="50">
        <v>2</v>
      </c>
    </row>
    <row r="24" spans="1:7" s="48" customFormat="1" ht="15.75" customHeight="1" x14ac:dyDescent="0.2">
      <c r="A24" s="57" t="s">
        <v>81</v>
      </c>
      <c r="B24" s="65" t="s">
        <v>82</v>
      </c>
      <c r="C24" s="56" t="s">
        <v>83</v>
      </c>
      <c r="D24" s="34">
        <v>2</v>
      </c>
      <c r="E24" s="49">
        <v>0</v>
      </c>
      <c r="F24" s="49">
        <v>2</v>
      </c>
      <c r="G24" s="50">
        <v>2</v>
      </c>
    </row>
    <row r="25" spans="1:7" s="48" customFormat="1" ht="15.75" customHeight="1" x14ac:dyDescent="0.2">
      <c r="A25" s="57" t="s">
        <v>84</v>
      </c>
      <c r="B25" s="65">
        <v>45206</v>
      </c>
      <c r="C25" s="56" t="s">
        <v>85</v>
      </c>
      <c r="D25" s="34">
        <v>2</v>
      </c>
      <c r="E25" s="49">
        <v>0</v>
      </c>
      <c r="F25" s="49">
        <v>2</v>
      </c>
      <c r="G25" s="50">
        <v>2</v>
      </c>
    </row>
    <row r="26" spans="1:7" s="48" customFormat="1" ht="15.75" customHeight="1" x14ac:dyDescent="0.2">
      <c r="A26" s="57" t="s">
        <v>62</v>
      </c>
      <c r="B26" s="65">
        <v>44568</v>
      </c>
      <c r="C26" s="56" t="s">
        <v>63</v>
      </c>
      <c r="D26" s="34">
        <v>5</v>
      </c>
      <c r="E26" s="49">
        <v>0</v>
      </c>
      <c r="F26" s="49">
        <v>5</v>
      </c>
      <c r="G26" s="50">
        <v>5</v>
      </c>
    </row>
    <row r="27" spans="1:7" s="48" customFormat="1" ht="15.75" customHeight="1" x14ac:dyDescent="0.2">
      <c r="A27" s="57" t="s">
        <v>55</v>
      </c>
      <c r="B27" s="65">
        <v>45240</v>
      </c>
      <c r="C27" s="56" t="s">
        <v>45</v>
      </c>
      <c r="D27" s="34">
        <v>11</v>
      </c>
      <c r="E27" s="49">
        <v>4</v>
      </c>
      <c r="F27" s="49">
        <v>7</v>
      </c>
      <c r="G27" s="50">
        <v>7</v>
      </c>
    </row>
    <row r="28" spans="1:7" s="48" customFormat="1" ht="15.75" customHeight="1" x14ac:dyDescent="0.2">
      <c r="A28" s="57" t="s">
        <v>56</v>
      </c>
      <c r="B28" s="65" t="s">
        <v>57</v>
      </c>
      <c r="C28" s="61" t="s">
        <v>58</v>
      </c>
      <c r="D28" s="62">
        <v>5</v>
      </c>
      <c r="E28" s="66">
        <v>0</v>
      </c>
      <c r="F28" s="66">
        <v>5</v>
      </c>
      <c r="G28" s="67">
        <v>5</v>
      </c>
    </row>
    <row r="29" spans="1:7" s="48" customFormat="1" ht="15.75" customHeight="1" x14ac:dyDescent="0.2">
      <c r="A29" s="57" t="s">
        <v>60</v>
      </c>
      <c r="B29" s="58" t="s">
        <v>61</v>
      </c>
      <c r="C29" s="56" t="s">
        <v>59</v>
      </c>
      <c r="D29" s="34">
        <v>15</v>
      </c>
      <c r="E29" s="49">
        <v>0</v>
      </c>
      <c r="F29" s="49">
        <v>15</v>
      </c>
      <c r="G29" s="50">
        <v>15</v>
      </c>
    </row>
    <row r="30" spans="1:7" s="48" customFormat="1" ht="15.75" customHeight="1" x14ac:dyDescent="0.2">
      <c r="A30" s="57"/>
      <c r="B30" s="58"/>
      <c r="C30" s="61"/>
      <c r="D30" s="62"/>
      <c r="E30" s="49"/>
      <c r="F30" s="49"/>
      <c r="G30" s="50"/>
    </row>
    <row r="31" spans="1:7" s="51" customFormat="1" ht="18.75" x14ac:dyDescent="0.2">
      <c r="A31" s="117" t="s">
        <v>86</v>
      </c>
      <c r="B31" s="118"/>
      <c r="C31" s="118"/>
      <c r="D31" s="118"/>
      <c r="E31" s="118"/>
      <c r="F31" s="119"/>
      <c r="G31" s="72">
        <f>SUM(G14:G29)</f>
        <v>59</v>
      </c>
    </row>
    <row r="32" spans="1:7" s="35" customFormat="1" ht="75.75" customHeight="1" x14ac:dyDescent="0.25">
      <c r="A32" s="52"/>
      <c r="B32" s="52"/>
      <c r="G32" s="52"/>
    </row>
    <row r="33" s="35" customFormat="1" x14ac:dyDescent="0.25"/>
    <row r="34" s="35" customFormat="1" x14ac:dyDescent="0.25"/>
  </sheetData>
  <mergeCells count="6">
    <mergeCell ref="A31:F31"/>
    <mergeCell ref="A2:G2"/>
    <mergeCell ref="A3:G3"/>
    <mergeCell ref="A4:G4"/>
    <mergeCell ref="A5:G5"/>
    <mergeCell ref="A12:G12"/>
  </mergeCells>
  <phoneticPr fontId="7" type="noConversion"/>
  <pageMargins left="0.25" right="0.25" top="0.75" bottom="0.75" header="0.3" footer="0.3"/>
  <pageSetup paperSize="9" scale="78" orientation="landscape" r:id="rId1"/>
  <rowBreaks count="1" manualBreakCount="1">
    <brk id="3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CTO</vt:lpstr>
      <vt:lpstr>Election &amp; NLC</vt:lpstr>
      <vt:lpstr>CTO!Print_Area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2025-12-05T01:43:55Z</cp:lastPrinted>
  <dcterms:created xsi:type="dcterms:W3CDTF">2022-11-24T07:01:13Z</dcterms:created>
  <dcterms:modified xsi:type="dcterms:W3CDTF">2025-12-05T01:44:49Z</dcterms:modified>
</cp:coreProperties>
</file>