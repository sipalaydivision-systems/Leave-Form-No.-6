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D6F23F9-A05F-4F47-B0C5-0B307317C4F4}" xr6:coauthVersionLast="47" xr6:coauthVersionMax="47" xr10:uidLastSave="{00000000-0000-0000-0000-000000000000}"/>
  <bookViews>
    <workbookView xWindow="-120" yWindow="-120" windowWidth="29040" windowHeight="15720" xr2:uid="{9895453C-2EC9-439E-8BBC-44037EDBEAB4}"/>
  </bookViews>
  <sheets>
    <sheet name="Leave Card CORRECTED" sheetId="2" r:id="rId1"/>
  </sheets>
  <definedNames>
    <definedName name="_xlnm.Print_Area" localSheetId="0">'Leave Card CORRECTED'!$A$1:$J$58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I48" i="2"/>
  <c r="I49" i="2" s="1"/>
  <c r="J48" i="2"/>
  <c r="H49" i="2"/>
  <c r="I14" i="2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H14" i="2"/>
  <c r="H15" i="2" s="1"/>
  <c r="J49" i="2" l="1"/>
  <c r="H16" i="2"/>
  <c r="J16" i="2" s="1"/>
  <c r="J15" i="2"/>
  <c r="H17" i="2"/>
  <c r="J14" i="2"/>
  <c r="J17" i="2" l="1"/>
  <c r="H18" i="2"/>
  <c r="I33" i="2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J18" i="2" l="1"/>
  <c r="H19" i="2"/>
  <c r="J19" i="2" l="1"/>
  <c r="H20" i="2"/>
  <c r="J20" i="2" s="1"/>
  <c r="H21" i="2" l="1"/>
  <c r="J21" i="2" l="1"/>
  <c r="H22" i="2"/>
  <c r="J22" i="2" l="1"/>
  <c r="H23" i="2"/>
  <c r="J23" i="2" l="1"/>
  <c r="H24" i="2"/>
  <c r="J24" i="2" l="1"/>
  <c r="H25" i="2"/>
  <c r="J25" i="2" l="1"/>
  <c r="H26" i="2"/>
  <c r="J26" i="2" l="1"/>
  <c r="H27" i="2"/>
  <c r="J27" i="2" l="1"/>
  <c r="H28" i="2"/>
  <c r="J28" i="2" l="1"/>
  <c r="H29" i="2"/>
  <c r="J29" i="2" l="1"/>
  <c r="H30" i="2"/>
  <c r="J30" i="2" l="1"/>
  <c r="H31" i="2"/>
  <c r="J31" i="2" l="1"/>
  <c r="H32" i="2"/>
  <c r="J32" i="2" l="1"/>
  <c r="H33" i="2"/>
  <c r="J33" i="2" l="1"/>
  <c r="H34" i="2"/>
  <c r="J34" i="2" l="1"/>
  <c r="H35" i="2"/>
  <c r="H36" i="2" l="1"/>
  <c r="J35" i="2"/>
  <c r="J36" i="2" l="1"/>
  <c r="H37" i="2"/>
  <c r="H38" i="2" l="1"/>
  <c r="J37" i="2"/>
  <c r="H39" i="2" l="1"/>
  <c r="J38" i="2"/>
  <c r="J39" i="2" l="1"/>
  <c r="H40" i="2"/>
  <c r="H41" i="2" l="1"/>
  <c r="J40" i="2"/>
  <c r="H42" i="2" l="1"/>
  <c r="J41" i="2"/>
  <c r="H43" i="2" l="1"/>
  <c r="H44" i="2" s="1"/>
  <c r="J42" i="2"/>
  <c r="J44" i="2" l="1"/>
  <c r="H45" i="2"/>
  <c r="J43" i="2"/>
  <c r="H46" i="2" l="1"/>
  <c r="J45" i="2"/>
  <c r="J46" i="2" l="1"/>
  <c r="H47" i="2"/>
  <c r="J47" i="2" s="1"/>
</calcChain>
</file>

<file path=xl/sharedStrings.xml><?xml version="1.0" encoding="utf-8"?>
<sst xmlns="http://schemas.openxmlformats.org/spreadsheetml/2006/main" count="63" uniqueCount="59">
  <si>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</si>
  <si>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</si>
  <si>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</si>
  <si>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</si>
  <si>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</si>
  <si>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</si>
  <si>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</si>
  <si>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</si>
  <si>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</si>
  <si>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</si>
  <si>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</si>
  <si>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</si>
  <si>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 01/01/2019-12/31/2019</t>
  </si>
  <si>
    <t>ADD: 01/01/2020-12/31/2020</t>
  </si>
  <si>
    <t>ADD: 01/01/2021-09/30/2021</t>
  </si>
  <si>
    <t>LESS 29 DAYS MONETIZATION 2021</t>
  </si>
  <si>
    <t>ADD: 10/01/21-12/31/2021</t>
  </si>
  <si>
    <t>ADD:01/01/2022-08/31/2022</t>
  </si>
  <si>
    <t>LESS 29 DAYS MONETIZATION 2022</t>
  </si>
  <si>
    <t>ADD:09/01/2022-12/31/2022</t>
  </si>
  <si>
    <t>ADD:01/01/2023-08/31/2023</t>
  </si>
  <si>
    <t>LESS 29 DAYS MONETIZATION 2023</t>
  </si>
  <si>
    <t>ADD: SEPT. - DEC. 31, 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</si>
  <si>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</si>
  <si>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</si>
  <si>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</si>
  <si>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</si>
  <si>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</si>
  <si>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</si>
  <si>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</si>
  <si>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</si>
  <si>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</si>
  <si>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>BALANCE FORWARDED (NEG.OCC)</t>
  </si>
  <si>
    <t xml:space="preserve">  </t>
  </si>
  <si>
    <t>ADD: JAN. - JULY 31, 2024</t>
  </si>
  <si>
    <t>ADD: 05/15-31/2013</t>
  </si>
  <si>
    <t>ADD: 06/1/2013-12/31/2013</t>
  </si>
  <si>
    <t>ADD: 01/1/2014-12/31/2014</t>
  </si>
  <si>
    <t>LESS: FL 2014</t>
  </si>
  <si>
    <t>ADD: 01/1/2015-12/31/2015</t>
  </si>
  <si>
    <t>LESS: FL 2015</t>
  </si>
  <si>
    <t>ADD: 01/1/2016-12/31/2016</t>
  </si>
  <si>
    <t>LESS: FL 2016</t>
  </si>
  <si>
    <t>ADD: 01/1/2017-12/31/2017</t>
  </si>
  <si>
    <t>LESS: FL 2017</t>
  </si>
  <si>
    <t>ADD: 01/1/2018-12/31/2018</t>
  </si>
  <si>
    <t>LESS: FL 2018</t>
  </si>
  <si>
    <t>LESS: MONETIZATION 2024</t>
  </si>
  <si>
    <t>LESS:  FORCED LEAVE 2019</t>
  </si>
  <si>
    <t>LESS:  FORCED LEAVE 2020</t>
  </si>
  <si>
    <t>LESS: FORCED LEAVE 2021</t>
  </si>
  <si>
    <t>LESS: FORCED LEAVE 2022</t>
  </si>
  <si>
    <t>LESS: FORCED LEAVE 2023</t>
  </si>
  <si>
    <t>ADD: 08/1/2024-12/31/2024</t>
  </si>
  <si>
    <t>LESS: FL 2024</t>
  </si>
  <si>
    <t>ADD: 01/1/2025-06/30/2025</t>
  </si>
  <si>
    <t>LESS: MONETIZATION 2025</t>
  </si>
  <si>
    <t>ADD: 07/1/2025-09/30/2025</t>
  </si>
  <si>
    <t>LESS: 10/13-14/2025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</si>
</sst>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30980-E2EC-4F97-94F7-9DCF8C755D0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CD8B67-026A-471E-A3C7-6D1D4182FDEC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JAVELINA,</a:t>
          </a:r>
          <a:r>
            <a:rPr lang="en-US" sz="1100" baseline="0"/>
            <a:t> DANNY F.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9BD760-64E5-4768-9E88-E035739F477B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ALS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809A00-4A42-425F-96EB-F709FDA87A21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GIL</a:t>
          </a:r>
          <a:r>
            <a:rPr lang="en-US" sz="1100" baseline="0"/>
            <a:t> MONTILLA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52</xdr:row>
      <xdr:rowOff>53914</xdr:rowOff>
    </xdr:from>
    <xdr:to>
      <xdr:col>9</xdr:col>
      <xdr:colOff>672043</xdr:colOff>
      <xdr:row>57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5010B3-3AEA-422F-B4F6-05E11D3AAD21}"/>
            </a:ext>
          </a:extLst>
        </xdr:cNvPr>
        <xdr:cNvSpPr txBox="1"/>
      </xdr:nvSpPr>
      <xdr:spPr>
        <a:xfrm>
          <a:off x="5871952" y="72452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2B45-E686-4140-87DE-1514B689C375}">
  <sheetPr>
    <pageSetUpPr fitToPage="1"/>
  </sheetPr>
  <dimension ref="A1:K56"/>
  <sheetViews>
    <sheetView tabSelected="1" view="pageBreakPreview" topLeftCell="A32" zoomScale="106" zoomScaleNormal="100" zoomScaleSheetLayoutView="106" workbookViewId="0">
      <selection activeCell="A48" sqref="A48:XFD48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20" customWidth="1"/>
    <col min="8" max="10" width="11.5703125" customWidth="1"/>
    <col min="11" max="11" width="26.42578125" style="17" customWidth="1"/>
  </cols>
  <sheetData>
    <row r="1" spans="1:11" s="1" customFormat="1" ht="52.5" customHeight="1" x14ac:dyDescent="0.25"/>
    <row r="2" spans="1:11" s="1" customFormat="1" ht="10.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</row>
    <row r="3" spans="1:11" s="1" customFormat="1" ht="15.9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 s="1" customFormat="1" ht="15.95" customHeight="1" x14ac:dyDescent="0.25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</row>
    <row r="5" spans="1:11" s="1" customFormat="1" ht="15.95" customHeight="1" x14ac:dyDescent="0.25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s="1" customFormat="1" ht="8.25" customHeight="1" x14ac:dyDescent="0.25"/>
    <row r="7" spans="1:11" s="1" customFormat="1" ht="12" customHeight="1" x14ac:dyDescent="0.25">
      <c r="A7" s="1" t="s">
        <v>23</v>
      </c>
      <c r="B7" s="28" t="s">
        <v>24</v>
      </c>
      <c r="C7" s="28"/>
      <c r="D7" s="28"/>
      <c r="H7" s="2" t="s">
        <v>25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26</v>
      </c>
      <c r="B9" s="28" t="s">
        <v>27</v>
      </c>
      <c r="C9" s="28"/>
      <c r="D9" s="28"/>
      <c r="H9" s="2" t="s">
        <v>28</v>
      </c>
      <c r="I9" s="8"/>
      <c r="J9" s="2"/>
    </row>
    <row r="10" spans="1:11" ht="23.25" customHeight="1" thickBot="1" x14ac:dyDescent="0.3">
      <c r="A10" s="31" t="s">
        <v>29</v>
      </c>
      <c r="B10" s="31"/>
      <c r="C10" s="31"/>
      <c r="D10" s="31"/>
      <c r="E10" s="31"/>
      <c r="F10" s="31"/>
      <c r="G10" s="31"/>
      <c r="H10" s="31"/>
      <c r="I10" s="31"/>
      <c r="J10" s="31"/>
      <c r="K10"/>
    </row>
    <row r="11" spans="1:11" ht="18.75" customHeight="1" x14ac:dyDescent="0.25">
      <c r="A11" s="32" t="s">
        <v>4</v>
      </c>
      <c r="B11" s="34" t="s">
        <v>5</v>
      </c>
      <c r="C11" s="35"/>
      <c r="D11" s="36" t="s">
        <v>6</v>
      </c>
      <c r="E11" s="37"/>
      <c r="F11" s="37"/>
      <c r="G11" s="38"/>
      <c r="H11" s="39" t="s">
        <v>7</v>
      </c>
      <c r="I11" s="40"/>
      <c r="J11" s="41" t="s">
        <v>8</v>
      </c>
      <c r="K11" s="30" t="s">
        <v>30</v>
      </c>
    </row>
    <row r="12" spans="1:11" ht="15.75" thickBot="1" x14ac:dyDescent="0.3">
      <c r="A12" s="33"/>
      <c r="B12" s="9" t="s">
        <v>9</v>
      </c>
      <c r="C12" s="9" t="s">
        <v>10</v>
      </c>
      <c r="D12" s="9" t="s">
        <v>9</v>
      </c>
      <c r="E12" s="9" t="s">
        <v>10</v>
      </c>
      <c r="F12" s="9" t="s">
        <v>11</v>
      </c>
      <c r="G12" s="10" t="s">
        <v>31</v>
      </c>
      <c r="H12" s="10" t="s">
        <v>9</v>
      </c>
      <c r="I12" s="10" t="s">
        <v>10</v>
      </c>
      <c r="J12" s="42"/>
      <c r="K12" s="30"/>
    </row>
    <row r="13" spans="1:11" x14ac:dyDescent="0.25">
      <c r="A13" s="11" t="s">
        <v>32</v>
      </c>
      <c r="B13" s="10"/>
      <c r="C13" s="10"/>
      <c r="D13" s="10"/>
      <c r="E13" s="10"/>
      <c r="F13" s="10"/>
      <c r="G13" s="12"/>
      <c r="H13" s="12"/>
      <c r="I13" s="12"/>
      <c r="J13" s="11"/>
      <c r="K13" s="13"/>
    </row>
    <row r="14" spans="1:11" ht="16.5" customHeight="1" x14ac:dyDescent="0.25">
      <c r="A14" s="4" t="s">
        <v>35</v>
      </c>
      <c r="B14" s="5">
        <v>0.70799999999999996</v>
      </c>
      <c r="C14" s="6">
        <v>0.70799999999999996</v>
      </c>
      <c r="D14" s="6"/>
      <c r="E14" s="5"/>
      <c r="F14" s="5"/>
      <c r="G14" s="14"/>
      <c r="H14" s="15">
        <f>B14</f>
        <v>0.70799999999999996</v>
      </c>
      <c r="I14" s="15">
        <f>C14</f>
        <v>0.70799999999999996</v>
      </c>
      <c r="J14" s="16">
        <f>SUM(H14:I14)</f>
        <v>1.4159999999999999</v>
      </c>
    </row>
    <row r="15" spans="1:11" ht="18" customHeight="1" x14ac:dyDescent="0.25">
      <c r="A15" s="4" t="s">
        <v>36</v>
      </c>
      <c r="B15" s="5">
        <v>8.75</v>
      </c>
      <c r="C15" s="6">
        <v>8.75</v>
      </c>
      <c r="D15" s="6"/>
      <c r="E15" s="5"/>
      <c r="F15" s="5"/>
      <c r="G15" s="5"/>
      <c r="H15" s="18">
        <f t="shared" ref="H15:H30" si="0">H14-F15-D15+B15</f>
        <v>9.4580000000000002</v>
      </c>
      <c r="I15" s="18">
        <f t="shared" ref="I15:I30" si="1">I14-E15+C15</f>
        <v>9.4580000000000002</v>
      </c>
      <c r="J15" s="19">
        <f>SUM(H15:I15)</f>
        <v>18.916</v>
      </c>
    </row>
    <row r="16" spans="1:11" ht="16.5" customHeight="1" x14ac:dyDescent="0.25">
      <c r="A16" s="4" t="s">
        <v>37</v>
      </c>
      <c r="B16" s="5">
        <v>15</v>
      </c>
      <c r="C16" s="6">
        <v>15</v>
      </c>
      <c r="D16" s="6"/>
      <c r="E16" s="5"/>
      <c r="F16" s="5"/>
      <c r="G16" s="5"/>
      <c r="H16" s="18">
        <f t="shared" si="0"/>
        <v>24.457999999999998</v>
      </c>
      <c r="I16" s="18">
        <f t="shared" si="1"/>
        <v>24.457999999999998</v>
      </c>
      <c r="J16" s="19">
        <f t="shared" ref="J16:J30" si="2">SUM(H16:I16)</f>
        <v>48.915999999999997</v>
      </c>
    </row>
    <row r="17" spans="1:10" ht="13.5" customHeight="1" x14ac:dyDescent="0.25">
      <c r="A17" s="4" t="s">
        <v>38</v>
      </c>
      <c r="B17" s="5"/>
      <c r="C17" s="6"/>
      <c r="D17" s="6"/>
      <c r="E17" s="5"/>
      <c r="F17" s="5">
        <v>5</v>
      </c>
      <c r="G17" s="5"/>
      <c r="H17" s="18">
        <f t="shared" si="0"/>
        <v>19.457999999999998</v>
      </c>
      <c r="I17" s="18">
        <f t="shared" si="1"/>
        <v>24.457999999999998</v>
      </c>
      <c r="J17" s="19">
        <f t="shared" si="2"/>
        <v>43.915999999999997</v>
      </c>
    </row>
    <row r="18" spans="1:10" ht="12" customHeight="1" x14ac:dyDescent="0.25">
      <c r="A18" s="4" t="s">
        <v>39</v>
      </c>
      <c r="B18" s="5">
        <v>15</v>
      </c>
      <c r="C18" s="5">
        <v>15</v>
      </c>
      <c r="D18" s="6"/>
      <c r="E18" s="5"/>
      <c r="F18" s="5"/>
      <c r="G18" s="5"/>
      <c r="H18" s="18">
        <f t="shared" si="0"/>
        <v>34.457999999999998</v>
      </c>
      <c r="I18" s="18">
        <f t="shared" si="1"/>
        <v>39.457999999999998</v>
      </c>
      <c r="J18" s="19">
        <f t="shared" si="2"/>
        <v>73.915999999999997</v>
      </c>
    </row>
    <row r="19" spans="1:10" ht="12" customHeight="1" x14ac:dyDescent="0.25">
      <c r="A19" s="4" t="s">
        <v>40</v>
      </c>
      <c r="B19" s="5"/>
      <c r="C19" s="6"/>
      <c r="D19" s="6"/>
      <c r="E19" s="5"/>
      <c r="F19" s="5">
        <v>5</v>
      </c>
      <c r="G19" s="5"/>
      <c r="H19" s="18">
        <f t="shared" si="0"/>
        <v>29.457999999999998</v>
      </c>
      <c r="I19" s="18">
        <f t="shared" si="1"/>
        <v>39.457999999999998</v>
      </c>
      <c r="J19" s="19">
        <f t="shared" si="2"/>
        <v>68.915999999999997</v>
      </c>
    </row>
    <row r="20" spans="1:10" ht="12" customHeight="1" x14ac:dyDescent="0.25">
      <c r="A20" s="4" t="s">
        <v>41</v>
      </c>
      <c r="B20" s="5">
        <v>15</v>
      </c>
      <c r="C20" s="6">
        <v>15</v>
      </c>
      <c r="D20" s="6"/>
      <c r="E20" s="5"/>
      <c r="F20" s="5"/>
      <c r="G20" s="5"/>
      <c r="H20" s="18">
        <f t="shared" si="0"/>
        <v>44.457999999999998</v>
      </c>
      <c r="I20" s="18">
        <f t="shared" si="1"/>
        <v>54.457999999999998</v>
      </c>
      <c r="J20" s="19">
        <f t="shared" si="2"/>
        <v>98.915999999999997</v>
      </c>
    </row>
    <row r="21" spans="1:10" ht="12" customHeight="1" x14ac:dyDescent="0.25">
      <c r="A21" s="4" t="s">
        <v>42</v>
      </c>
      <c r="B21" s="5"/>
      <c r="C21" s="6"/>
      <c r="D21" s="6"/>
      <c r="E21" s="5"/>
      <c r="F21" s="5">
        <v>5</v>
      </c>
      <c r="G21" s="5"/>
      <c r="H21" s="18">
        <f t="shared" si="0"/>
        <v>39.457999999999998</v>
      </c>
      <c r="I21" s="18">
        <f t="shared" si="1"/>
        <v>54.457999999999998</v>
      </c>
      <c r="J21" s="19">
        <f t="shared" si="2"/>
        <v>93.915999999999997</v>
      </c>
    </row>
    <row r="22" spans="1:10" ht="12" customHeight="1" x14ac:dyDescent="0.25">
      <c r="A22" s="4" t="s">
        <v>43</v>
      </c>
      <c r="B22" s="5">
        <v>15</v>
      </c>
      <c r="C22" s="5">
        <v>15</v>
      </c>
      <c r="D22" s="6"/>
      <c r="E22" s="5"/>
      <c r="F22" s="5"/>
      <c r="G22" s="5"/>
      <c r="H22" s="18">
        <f t="shared" si="0"/>
        <v>54.457999999999998</v>
      </c>
      <c r="I22" s="18">
        <f t="shared" si="1"/>
        <v>69.457999999999998</v>
      </c>
      <c r="J22" s="19">
        <f t="shared" si="2"/>
        <v>123.916</v>
      </c>
    </row>
    <row r="23" spans="1:10" ht="12" customHeight="1" x14ac:dyDescent="0.25">
      <c r="A23" s="4" t="s">
        <v>44</v>
      </c>
      <c r="B23" s="5"/>
      <c r="C23" s="6"/>
      <c r="D23" s="6"/>
      <c r="E23" s="5"/>
      <c r="F23" s="5">
        <v>5</v>
      </c>
      <c r="G23" s="5"/>
      <c r="H23" s="18">
        <f t="shared" si="0"/>
        <v>49.457999999999998</v>
      </c>
      <c r="I23" s="18">
        <f t="shared" si="1"/>
        <v>69.457999999999998</v>
      </c>
      <c r="J23" s="19">
        <f t="shared" si="2"/>
        <v>118.916</v>
      </c>
    </row>
    <row r="24" spans="1:10" ht="12" customHeight="1" x14ac:dyDescent="0.25">
      <c r="A24" s="4" t="s">
        <v>45</v>
      </c>
      <c r="B24" s="5">
        <v>15</v>
      </c>
      <c r="C24" s="5">
        <v>15</v>
      </c>
      <c r="D24" s="6"/>
      <c r="E24" s="5"/>
      <c r="F24" s="5"/>
      <c r="G24" s="5"/>
      <c r="H24" s="18">
        <f t="shared" si="0"/>
        <v>64.457999999999998</v>
      </c>
      <c r="I24" s="18">
        <f t="shared" si="1"/>
        <v>84.457999999999998</v>
      </c>
      <c r="J24" s="19">
        <f t="shared" si="2"/>
        <v>148.916</v>
      </c>
    </row>
    <row r="25" spans="1:10" ht="14.25" customHeight="1" x14ac:dyDescent="0.25">
      <c r="A25" s="4" t="s">
        <v>46</v>
      </c>
      <c r="B25" s="5"/>
      <c r="C25" s="6"/>
      <c r="D25" s="6"/>
      <c r="E25" s="5"/>
      <c r="F25" s="5">
        <v>5</v>
      </c>
      <c r="G25" s="5"/>
      <c r="H25" s="18">
        <f t="shared" si="0"/>
        <v>59.457999999999998</v>
      </c>
      <c r="I25" s="18">
        <f t="shared" si="1"/>
        <v>84.457999999999998</v>
      </c>
      <c r="J25" s="19">
        <f t="shared" si="2"/>
        <v>143.916</v>
      </c>
    </row>
    <row r="26" spans="1:10" ht="18.75" customHeight="1" x14ac:dyDescent="0.25">
      <c r="A26" s="4" t="s">
        <v>12</v>
      </c>
      <c r="B26" s="5">
        <v>15</v>
      </c>
      <c r="C26" s="6">
        <v>15</v>
      </c>
      <c r="D26" s="6"/>
      <c r="E26" s="5"/>
      <c r="F26" s="5"/>
      <c r="G26" s="5"/>
      <c r="H26" s="18">
        <f t="shared" si="0"/>
        <v>74.457999999999998</v>
      </c>
      <c r="I26" s="18">
        <f t="shared" si="1"/>
        <v>99.457999999999998</v>
      </c>
      <c r="J26" s="19">
        <f t="shared" si="2"/>
        <v>173.916</v>
      </c>
    </row>
    <row r="27" spans="1:10" ht="12" customHeight="1" x14ac:dyDescent="0.25">
      <c r="A27" s="4" t="s">
        <v>48</v>
      </c>
      <c r="B27" s="5"/>
      <c r="C27" s="6"/>
      <c r="D27" s="6"/>
      <c r="E27" s="5"/>
      <c r="F27" s="5">
        <v>5</v>
      </c>
      <c r="G27" s="5"/>
      <c r="H27" s="18">
        <f t="shared" si="0"/>
        <v>69.457999999999998</v>
      </c>
      <c r="I27" s="18">
        <f t="shared" si="1"/>
        <v>99.457999999999998</v>
      </c>
      <c r="J27" s="19">
        <f t="shared" si="2"/>
        <v>168.916</v>
      </c>
    </row>
    <row r="28" spans="1:10" ht="12" customHeight="1" x14ac:dyDescent="0.25">
      <c r="A28" s="6" t="s">
        <v>13</v>
      </c>
      <c r="B28" s="5">
        <v>15</v>
      </c>
      <c r="C28" s="6">
        <v>15</v>
      </c>
      <c r="D28" s="6"/>
      <c r="E28" s="5"/>
      <c r="F28" s="5"/>
      <c r="G28" s="5"/>
      <c r="H28" s="18">
        <f t="shared" si="0"/>
        <v>84.457999999999998</v>
      </c>
      <c r="I28" s="18">
        <f t="shared" si="1"/>
        <v>114.458</v>
      </c>
      <c r="J28" s="19">
        <f t="shared" si="2"/>
        <v>198.916</v>
      </c>
    </row>
    <row r="29" spans="1:10" ht="12" customHeight="1" x14ac:dyDescent="0.25">
      <c r="A29" s="4" t="s">
        <v>49</v>
      </c>
      <c r="B29" s="5"/>
      <c r="C29" s="6"/>
      <c r="D29" s="6"/>
      <c r="E29" s="5"/>
      <c r="F29" s="5">
        <v>5</v>
      </c>
      <c r="G29" s="5"/>
      <c r="H29" s="18">
        <f t="shared" si="0"/>
        <v>79.457999999999998</v>
      </c>
      <c r="I29" s="18">
        <f t="shared" si="1"/>
        <v>114.458</v>
      </c>
      <c r="J29" s="19">
        <f t="shared" si="2"/>
        <v>193.916</v>
      </c>
    </row>
    <row r="30" spans="1:10" ht="17.25" customHeight="1" x14ac:dyDescent="0.25">
      <c r="A30" s="4" t="s">
        <v>14</v>
      </c>
      <c r="B30" s="5">
        <v>11.25</v>
      </c>
      <c r="C30" s="6">
        <v>11.25</v>
      </c>
      <c r="D30" s="6"/>
      <c r="E30" s="5"/>
      <c r="F30" s="5"/>
      <c r="G30" s="5"/>
      <c r="H30" s="18">
        <f t="shared" si="0"/>
        <v>90.707999999999998</v>
      </c>
      <c r="I30" s="18">
        <f t="shared" si="1"/>
        <v>125.708</v>
      </c>
      <c r="J30" s="19">
        <f t="shared" si="2"/>
        <v>216.416</v>
      </c>
    </row>
    <row r="31" spans="1:10" ht="17.25" customHeight="1" x14ac:dyDescent="0.25">
      <c r="A31" s="4" t="s">
        <v>15</v>
      </c>
      <c r="B31" s="5"/>
      <c r="C31" s="6"/>
      <c r="D31" s="6">
        <v>29</v>
      </c>
      <c r="E31" s="5"/>
      <c r="F31" s="5"/>
      <c r="G31" s="5"/>
      <c r="H31" s="18">
        <f t="shared" ref="H31:H34" si="3">H30-F31-D31+B31</f>
        <v>61.707999999999998</v>
      </c>
      <c r="I31" s="18">
        <f t="shared" ref="I31:I34" si="4">I30-E31+C31</f>
        <v>125.708</v>
      </c>
      <c r="J31" s="19">
        <f t="shared" ref="J31:J43" si="5">SUM(H31:I31)</f>
        <v>187.416</v>
      </c>
    </row>
    <row r="32" spans="1:10" ht="17.25" customHeight="1" x14ac:dyDescent="0.25">
      <c r="A32" s="4" t="s">
        <v>16</v>
      </c>
      <c r="B32" s="5">
        <v>3.75</v>
      </c>
      <c r="C32" s="6">
        <v>3.75</v>
      </c>
      <c r="D32" s="6"/>
      <c r="E32" s="5"/>
      <c r="F32" s="5"/>
      <c r="G32" s="5"/>
      <c r="H32" s="18">
        <f t="shared" si="3"/>
        <v>65.457999999999998</v>
      </c>
      <c r="I32" s="18">
        <f t="shared" si="4"/>
        <v>129.458</v>
      </c>
      <c r="J32" s="19">
        <f t="shared" si="5"/>
        <v>194.916</v>
      </c>
    </row>
    <row r="33" spans="1:10" ht="17.25" customHeight="1" x14ac:dyDescent="0.25">
      <c r="A33" s="4" t="s">
        <v>50</v>
      </c>
      <c r="B33" s="5"/>
      <c r="C33" s="6"/>
      <c r="D33" s="6"/>
      <c r="E33" s="5"/>
      <c r="F33" s="5">
        <v>5</v>
      </c>
      <c r="G33" s="5"/>
      <c r="H33" s="18">
        <f t="shared" si="3"/>
        <v>60.457999999999998</v>
      </c>
      <c r="I33" s="18">
        <f t="shared" si="4"/>
        <v>129.458</v>
      </c>
      <c r="J33" s="19">
        <f t="shared" si="5"/>
        <v>189.916</v>
      </c>
    </row>
    <row r="34" spans="1:10" ht="17.25" customHeight="1" x14ac:dyDescent="0.25">
      <c r="A34" s="4" t="s">
        <v>17</v>
      </c>
      <c r="B34" s="5">
        <v>10</v>
      </c>
      <c r="C34" s="6">
        <v>10</v>
      </c>
      <c r="D34" s="6"/>
      <c r="E34" s="5"/>
      <c r="F34" s="5"/>
      <c r="G34" s="5"/>
      <c r="H34" s="18">
        <f t="shared" si="3"/>
        <v>70.457999999999998</v>
      </c>
      <c r="I34" s="18">
        <f t="shared" si="4"/>
        <v>139.458</v>
      </c>
      <c r="J34" s="19">
        <f t="shared" si="5"/>
        <v>209.916</v>
      </c>
    </row>
    <row r="35" spans="1:10" ht="17.25" customHeight="1" x14ac:dyDescent="0.25">
      <c r="A35" s="4" t="s">
        <v>18</v>
      </c>
      <c r="B35" s="5"/>
      <c r="C35" s="6"/>
      <c r="D35" s="6">
        <v>5</v>
      </c>
      <c r="E35" s="5">
        <v>24</v>
      </c>
      <c r="F35" s="5"/>
      <c r="G35" s="5"/>
      <c r="H35" s="18">
        <f t="shared" ref="H35:H43" si="6">H34-F35-D35+B35</f>
        <v>65.457999999999998</v>
      </c>
      <c r="I35" s="18">
        <f t="shared" ref="I35:I43" si="7">I34-E35+C35</f>
        <v>115.458</v>
      </c>
      <c r="J35" s="19">
        <f t="shared" si="5"/>
        <v>180.916</v>
      </c>
    </row>
    <row r="36" spans="1:10" ht="17.25" customHeight="1" x14ac:dyDescent="0.25">
      <c r="A36" s="4" t="s">
        <v>19</v>
      </c>
      <c r="B36" s="5">
        <v>5</v>
      </c>
      <c r="C36" s="6">
        <v>5</v>
      </c>
      <c r="D36" s="6"/>
      <c r="E36" s="5"/>
      <c r="F36" s="5"/>
      <c r="G36" s="5"/>
      <c r="H36" s="18">
        <f t="shared" si="6"/>
        <v>70.457999999999998</v>
      </c>
      <c r="I36" s="18">
        <f t="shared" si="7"/>
        <v>120.458</v>
      </c>
      <c r="J36" s="19">
        <f t="shared" si="5"/>
        <v>190.916</v>
      </c>
    </row>
    <row r="37" spans="1:10" ht="17.25" customHeight="1" x14ac:dyDescent="0.25">
      <c r="A37" s="4" t="s">
        <v>51</v>
      </c>
      <c r="B37" s="5"/>
      <c r="C37" s="6"/>
      <c r="D37" s="6"/>
      <c r="E37" s="5"/>
      <c r="F37" s="5">
        <v>5</v>
      </c>
      <c r="G37" s="5"/>
      <c r="H37" s="18">
        <f t="shared" si="6"/>
        <v>65.457999999999998</v>
      </c>
      <c r="I37" s="18">
        <f t="shared" si="7"/>
        <v>120.458</v>
      </c>
      <c r="J37" s="19">
        <f t="shared" si="5"/>
        <v>185.916</v>
      </c>
    </row>
    <row r="38" spans="1:10" ht="17.25" customHeight="1" x14ac:dyDescent="0.25">
      <c r="A38" s="4" t="s">
        <v>20</v>
      </c>
      <c r="B38" s="5">
        <v>10</v>
      </c>
      <c r="C38" s="6">
        <v>10</v>
      </c>
      <c r="D38" s="6"/>
      <c r="E38" s="5"/>
      <c r="F38" s="5"/>
      <c r="G38" s="5"/>
      <c r="H38" s="18">
        <f t="shared" si="6"/>
        <v>75.457999999999998</v>
      </c>
      <c r="I38" s="18">
        <f t="shared" si="7"/>
        <v>130.458</v>
      </c>
      <c r="J38" s="19">
        <f t="shared" si="5"/>
        <v>205.916</v>
      </c>
    </row>
    <row r="39" spans="1:10" ht="17.25" customHeight="1" x14ac:dyDescent="0.25">
      <c r="A39" s="4" t="s">
        <v>21</v>
      </c>
      <c r="B39" s="5"/>
      <c r="C39" s="6"/>
      <c r="D39" s="6">
        <v>6</v>
      </c>
      <c r="E39" s="5">
        <v>23</v>
      </c>
      <c r="F39" s="5"/>
      <c r="G39" s="5"/>
      <c r="H39" s="18">
        <f t="shared" si="6"/>
        <v>69.457999999999998</v>
      </c>
      <c r="I39" s="18">
        <f t="shared" si="7"/>
        <v>107.458</v>
      </c>
      <c r="J39" s="19">
        <f t="shared" si="5"/>
        <v>176.916</v>
      </c>
    </row>
    <row r="40" spans="1:10" ht="17.25" customHeight="1" x14ac:dyDescent="0.25">
      <c r="A40" s="4" t="s">
        <v>22</v>
      </c>
      <c r="B40" s="5">
        <v>5</v>
      </c>
      <c r="C40" s="6">
        <v>5</v>
      </c>
      <c r="D40" s="6"/>
      <c r="E40" s="5"/>
      <c r="F40" s="5"/>
      <c r="G40" s="5"/>
      <c r="H40" s="18">
        <f t="shared" si="6"/>
        <v>74.457999999999998</v>
      </c>
      <c r="I40" s="18">
        <f t="shared" si="7"/>
        <v>112.458</v>
      </c>
      <c r="J40" s="19">
        <f t="shared" si="5"/>
        <v>186.916</v>
      </c>
    </row>
    <row r="41" spans="1:10" ht="17.25" customHeight="1" x14ac:dyDescent="0.25">
      <c r="A41" s="4" t="s">
        <v>52</v>
      </c>
      <c r="B41" s="5"/>
      <c r="C41" s="6"/>
      <c r="D41" s="6"/>
      <c r="E41" s="5"/>
      <c r="F41" s="5">
        <v>5</v>
      </c>
      <c r="G41" s="5"/>
      <c r="H41" s="18">
        <f t="shared" si="6"/>
        <v>69.457999999999998</v>
      </c>
      <c r="I41" s="18">
        <f t="shared" si="7"/>
        <v>112.458</v>
      </c>
      <c r="J41" s="19">
        <f t="shared" si="5"/>
        <v>181.916</v>
      </c>
    </row>
    <row r="42" spans="1:10" ht="17.25" customHeight="1" x14ac:dyDescent="0.25">
      <c r="A42" s="4" t="s">
        <v>34</v>
      </c>
      <c r="B42" s="5">
        <v>8.75</v>
      </c>
      <c r="C42" s="6">
        <v>8.75</v>
      </c>
      <c r="D42" s="6"/>
      <c r="E42" s="5"/>
      <c r="F42" s="5"/>
      <c r="G42" s="5"/>
      <c r="H42" s="18">
        <f t="shared" si="6"/>
        <v>78.207999999999998</v>
      </c>
      <c r="I42" s="18">
        <f t="shared" si="7"/>
        <v>121.208</v>
      </c>
      <c r="J42" s="19">
        <f t="shared" si="5"/>
        <v>199.416</v>
      </c>
    </row>
    <row r="43" spans="1:10" ht="17.25" customHeight="1" x14ac:dyDescent="0.25">
      <c r="A43" s="21" t="s">
        <v>47</v>
      </c>
      <c r="B43" s="22"/>
      <c r="C43" s="23"/>
      <c r="D43" s="23">
        <v>29</v>
      </c>
      <c r="E43" s="22"/>
      <c r="F43" s="22"/>
      <c r="G43" s="22"/>
      <c r="H43" s="24">
        <f t="shared" si="6"/>
        <v>49.207999999999998</v>
      </c>
      <c r="I43" s="24">
        <f t="shared" si="7"/>
        <v>121.208</v>
      </c>
      <c r="J43" s="25">
        <f t="shared" si="5"/>
        <v>170.416</v>
      </c>
    </row>
    <row r="44" spans="1:10" ht="17.25" customHeight="1" x14ac:dyDescent="0.25">
      <c r="A44" s="23" t="s">
        <v>53</v>
      </c>
      <c r="B44" s="22">
        <v>6.25</v>
      </c>
      <c r="C44" s="23">
        <v>6.25</v>
      </c>
      <c r="D44" s="23"/>
      <c r="E44" s="22"/>
      <c r="F44" s="22"/>
      <c r="G44" s="22"/>
      <c r="H44" s="24">
        <f t="shared" ref="H44:H47" si="8">H43-F44-D44+B44</f>
        <v>55.457999999999998</v>
      </c>
      <c r="I44" s="24">
        <f t="shared" ref="I44:I47" si="9">I43-E44+C44</f>
        <v>127.458</v>
      </c>
      <c r="J44" s="25">
        <f t="shared" ref="J44:J47" si="10">SUM(H44:I44)</f>
        <v>182.916</v>
      </c>
    </row>
    <row r="45" spans="1:10" ht="17.25" customHeight="1" x14ac:dyDescent="0.25">
      <c r="A45" s="23" t="s">
        <v>54</v>
      </c>
      <c r="B45" s="22"/>
      <c r="C45" s="23"/>
      <c r="D45" s="23"/>
      <c r="E45" s="22"/>
      <c r="F45" s="22">
        <v>5</v>
      </c>
      <c r="G45" s="22"/>
      <c r="H45" s="24">
        <f t="shared" si="8"/>
        <v>50.457999999999998</v>
      </c>
      <c r="I45" s="24">
        <f t="shared" si="9"/>
        <v>127.458</v>
      </c>
      <c r="J45" s="25">
        <f t="shared" si="10"/>
        <v>177.916</v>
      </c>
    </row>
    <row r="46" spans="1:10" ht="17.25" customHeight="1" x14ac:dyDescent="0.25">
      <c r="A46" s="23" t="s">
        <v>55</v>
      </c>
      <c r="B46" s="22">
        <v>7.5</v>
      </c>
      <c r="C46" s="23">
        <v>7.5</v>
      </c>
      <c r="D46" s="23"/>
      <c r="E46" s="22"/>
      <c r="F46" s="22"/>
      <c r="G46" s="22"/>
      <c r="H46" s="24">
        <f t="shared" si="8"/>
        <v>57.957999999999998</v>
      </c>
      <c r="I46" s="24">
        <f t="shared" si="9"/>
        <v>134.958</v>
      </c>
      <c r="J46" s="25">
        <f t="shared" si="10"/>
        <v>192.916</v>
      </c>
    </row>
    <row r="47" spans="1:10" ht="17.25" customHeight="1" x14ac:dyDescent="0.25">
      <c r="A47" s="23" t="s">
        <v>56</v>
      </c>
      <c r="B47" s="22"/>
      <c r="C47" s="23"/>
      <c r="D47" s="23">
        <v>30</v>
      </c>
      <c r="E47" s="22"/>
      <c r="F47" s="22"/>
      <c r="G47" s="22"/>
      <c r="H47" s="24">
        <f t="shared" si="8"/>
        <v>27.957999999999998</v>
      </c>
      <c r="I47" s="24">
        <f t="shared" si="9"/>
        <v>134.958</v>
      </c>
      <c r="J47" s="25">
        <f t="shared" si="10"/>
        <v>162.916</v>
      </c>
    </row>
    <row r="48" spans="1:10" ht="17.25" customHeight="1" x14ac:dyDescent="0.25">
      <c r="A48" s="23" t="s">
        <v>57</v>
      </c>
      <c r="B48" s="22">
        <v>3.75</v>
      </c>
      <c r="C48" s="23">
        <v>3.75</v>
      </c>
      <c r="D48" s="23"/>
      <c r="E48" s="22"/>
      <c r="F48" s="22"/>
      <c r="G48" s="22"/>
      <c r="H48" s="24">
        <f t="shared" ref="H48:H49" si="11">H47-F48-D48+B48</f>
        <v>31.707999999999998</v>
      </c>
      <c r="I48" s="24">
        <f t="shared" ref="I48:I49" si="12">I47-E48+C48</f>
        <v>138.708</v>
      </c>
      <c r="J48" s="25">
        <f t="shared" ref="J48:J49" si="13">SUM(H48:I48)</f>
        <v>170.416</v>
      </c>
    </row>
    <row r="49" spans="1:10" ht="17.25" customHeight="1" x14ac:dyDescent="0.25">
      <c r="A49" s="23" t="s">
        <v>58</v>
      </c>
      <c r="B49" s="22"/>
      <c r="C49" s="23"/>
      <c r="D49" s="23"/>
      <c r="E49" s="22"/>
      <c r="F49" s="46">
        <v>2</v>
      </c>
      <c r="G49" s="22"/>
      <c r="H49" s="24">
        <f t="shared" si="11"/>
        <v>29.707999999999998</v>
      </c>
      <c r="I49" s="24">
        <f t="shared" si="12"/>
        <v>138.708</v>
      </c>
      <c r="J49" s="25">
        <f t="shared" si="13"/>
        <v>168.416</v>
      </c>
    </row>
    <row r="50" spans="1:10" ht="17.25" customHeight="1" x14ac:dyDescent="0.25">
      <c r="A50" s="43"/>
      <c r="B50" s="44"/>
      <c r="C50" s="43"/>
      <c r="D50" s="43"/>
      <c r="E50" s="44"/>
      <c r="F50" s="44"/>
      <c r="G50" s="44"/>
      <c r="H50" s="45"/>
      <c r="I50" s="45"/>
      <c r="J50" s="45"/>
    </row>
    <row r="51" spans="1:10" ht="17.25" customHeight="1" x14ac:dyDescent="0.25">
      <c r="A51" s="26"/>
      <c r="B51" s="20"/>
      <c r="C51" s="26"/>
      <c r="D51" s="26"/>
      <c r="E51" s="20"/>
      <c r="H51" s="27"/>
      <c r="I51" s="27"/>
      <c r="J51" s="27"/>
    </row>
    <row r="56" spans="1:10" x14ac:dyDescent="0.25">
      <c r="F56" s="20" t="s">
        <v>33</v>
      </c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CORRECTED</vt:lpstr>
      <vt:lpstr>'Leave Card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2025-10-17T02:32:28Z</cp:lastPrinted>
  <dcterms:created xsi:type="dcterms:W3CDTF">2024-01-16T00:42:06Z</dcterms:created>
  <dcterms:modified xsi:type="dcterms:W3CDTF">2025-10-17T02:33:45Z</dcterms:modified>
</cp:coreProperties>
</file>