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72E4AEA-455C-40C8-946E-7E8FC7E66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(NE)'!$A$1:$J$138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6" l="1"/>
  <c r="I131" i="6"/>
  <c r="J131" i="6"/>
  <c r="H109" i="6"/>
  <c r="I109" i="6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H110" i="6"/>
  <c r="J110" i="6" s="1"/>
  <c r="J109" i="6" l="1"/>
  <c r="H111" i="6"/>
  <c r="B106" i="6"/>
  <c r="J111" i="6" l="1"/>
  <c r="H112" i="6"/>
  <c r="I13" i="6"/>
  <c r="H13" i="6"/>
  <c r="B14" i="6"/>
  <c r="J112" i="6" l="1"/>
  <c r="H113" i="6"/>
  <c r="H14" i="6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J13" i="6"/>
  <c r="I14" i="6"/>
  <c r="I15" i="6" s="1"/>
  <c r="I16" i="6" s="1"/>
  <c r="I17" i="6" s="1"/>
  <c r="I18" i="6" s="1"/>
  <c r="I19" i="6" s="1"/>
  <c r="I20" i="6" s="1"/>
  <c r="J113" i="6" l="1"/>
  <c r="H114" i="6"/>
  <c r="J20" i="6"/>
  <c r="J14" i="6"/>
  <c r="J19" i="6"/>
  <c r="I21" i="6"/>
  <c r="J21" i="6" s="1"/>
  <c r="J16" i="6"/>
  <c r="J17" i="6"/>
  <c r="J18" i="6"/>
  <c r="J15" i="6"/>
  <c r="H25" i="6"/>
  <c r="J114" i="6" l="1"/>
  <c r="H115" i="6"/>
  <c r="I22" i="6"/>
  <c r="H26" i="6"/>
  <c r="J115" i="6" l="1"/>
  <c r="H116" i="6"/>
  <c r="I23" i="6"/>
  <c r="J22" i="6"/>
  <c r="H27" i="6"/>
  <c r="J116" i="6" l="1"/>
  <c r="H117" i="6"/>
  <c r="J23" i="6"/>
  <c r="I24" i="6"/>
  <c r="H28" i="6"/>
  <c r="H29" i="6" s="1"/>
  <c r="J117" i="6" l="1"/>
  <c r="H118" i="6"/>
  <c r="J24" i="6"/>
  <c r="I25" i="6"/>
  <c r="H30" i="6"/>
  <c r="J118" i="6" l="1"/>
  <c r="H119" i="6"/>
  <c r="I26" i="6"/>
  <c r="J25" i="6"/>
  <c r="H31" i="6"/>
  <c r="J119" i="6" l="1"/>
  <c r="H120" i="6"/>
  <c r="J26" i="6"/>
  <c r="I27" i="6"/>
  <c r="H32" i="6"/>
  <c r="J120" i="6" l="1"/>
  <c r="H121" i="6"/>
  <c r="J27" i="6"/>
  <c r="I28" i="6"/>
  <c r="H33" i="6"/>
  <c r="J121" i="6" l="1"/>
  <c r="H122" i="6"/>
  <c r="J28" i="6"/>
  <c r="I29" i="6"/>
  <c r="H34" i="6"/>
  <c r="J122" i="6" l="1"/>
  <c r="H123" i="6"/>
  <c r="J29" i="6"/>
  <c r="I30" i="6"/>
  <c r="H35" i="6"/>
  <c r="J123" i="6" l="1"/>
  <c r="H124" i="6"/>
  <c r="I31" i="6"/>
  <c r="J30" i="6"/>
  <c r="H36" i="6"/>
  <c r="J124" i="6" l="1"/>
  <c r="H125" i="6"/>
  <c r="J31" i="6"/>
  <c r="I32" i="6"/>
  <c r="H37" i="6"/>
  <c r="H38" i="6" s="1"/>
  <c r="H39" i="6" s="1"/>
  <c r="H126" i="6" l="1"/>
  <c r="J125" i="6"/>
  <c r="J32" i="6"/>
  <c r="I33" i="6"/>
  <c r="H40" i="6"/>
  <c r="J126" i="6" l="1"/>
  <c r="H127" i="6"/>
  <c r="I34" i="6"/>
  <c r="J33" i="6"/>
  <c r="H41" i="6"/>
  <c r="J127" i="6" l="1"/>
  <c r="H128" i="6"/>
  <c r="J34" i="6"/>
  <c r="I35" i="6"/>
  <c r="H42" i="6"/>
  <c r="J128" i="6" l="1"/>
  <c r="H129" i="6"/>
  <c r="I36" i="6"/>
  <c r="J35" i="6"/>
  <c r="H43" i="6"/>
  <c r="J129" i="6" l="1"/>
  <c r="H130" i="6"/>
  <c r="J130" i="6" s="1"/>
  <c r="J36" i="6"/>
  <c r="I37" i="6"/>
  <c r="H44" i="6"/>
  <c r="H45" i="6" s="1"/>
  <c r="H46" i="6" s="1"/>
  <c r="J37" i="6" l="1"/>
  <c r="I38" i="6"/>
  <c r="H47" i="6"/>
  <c r="J38" i="6" l="1"/>
  <c r="I39" i="6"/>
  <c r="H48" i="6"/>
  <c r="J39" i="6" l="1"/>
  <c r="I40" i="6"/>
  <c r="H49" i="6"/>
  <c r="J40" i="6" l="1"/>
  <c r="I41" i="6"/>
  <c r="H50" i="6"/>
  <c r="J41" i="6" l="1"/>
  <c r="I42" i="6"/>
  <c r="H51" i="6"/>
  <c r="J42" i="6" l="1"/>
  <c r="I43" i="6"/>
  <c r="H52" i="6"/>
  <c r="J43" i="6" l="1"/>
  <c r="I44" i="6"/>
  <c r="H53" i="6"/>
  <c r="J44" i="6" l="1"/>
  <c r="I45" i="6"/>
  <c r="H54" i="6"/>
  <c r="J45" i="6" l="1"/>
  <c r="I46" i="6"/>
  <c r="H55" i="6"/>
  <c r="I47" i="6" l="1"/>
  <c r="J46" i="6"/>
  <c r="H56" i="6"/>
  <c r="J47" i="6" l="1"/>
  <c r="I48" i="6"/>
  <c r="H57" i="6"/>
  <c r="H58" i="6" s="1"/>
  <c r="H59" i="6" s="1"/>
  <c r="H60" i="6" s="1"/>
  <c r="H61" i="6" s="1"/>
  <c r="H62" i="6" s="1"/>
  <c r="H63" i="6" l="1"/>
  <c r="I49" i="6"/>
  <c r="J48" i="6"/>
  <c r="H64" i="6" l="1"/>
  <c r="J49" i="6"/>
  <c r="I50" i="6"/>
  <c r="H65" i="6" l="1"/>
  <c r="H66" i="6" s="1"/>
  <c r="H67" i="6" s="1"/>
  <c r="I51" i="6"/>
  <c r="J50" i="6"/>
  <c r="H68" i="6" l="1"/>
  <c r="H69" i="6" s="1"/>
  <c r="H70" i="6" s="1"/>
  <c r="I52" i="6"/>
  <c r="J51" i="6"/>
  <c r="H71" i="6" l="1"/>
  <c r="I53" i="6"/>
  <c r="J52" i="6"/>
  <c r="H72" i="6" l="1"/>
  <c r="I54" i="6"/>
  <c r="J53" i="6"/>
  <c r="H73" i="6" l="1"/>
  <c r="I55" i="6"/>
  <c r="J54" i="6"/>
  <c r="H74" i="6" l="1"/>
  <c r="I56" i="6"/>
  <c r="J55" i="6"/>
  <c r="H75" i="6" l="1"/>
  <c r="I57" i="6"/>
  <c r="J56" i="6"/>
  <c r="H76" i="6" l="1"/>
  <c r="J57" i="6"/>
  <c r="I58" i="6"/>
  <c r="H77" i="6" l="1"/>
  <c r="J58" i="6"/>
  <c r="I59" i="6"/>
  <c r="H78" i="6" l="1"/>
  <c r="I60" i="6"/>
  <c r="J59" i="6"/>
  <c r="H79" i="6" l="1"/>
  <c r="J60" i="6"/>
  <c r="I61" i="6"/>
  <c r="H80" i="6" l="1"/>
  <c r="J61" i="6"/>
  <c r="I62" i="6"/>
  <c r="H81" i="6" l="1"/>
  <c r="H82" i="6" s="1"/>
  <c r="I63" i="6"/>
  <c r="J62" i="6"/>
  <c r="H83" i="6" l="1"/>
  <c r="I64" i="6"/>
  <c r="J63" i="6"/>
  <c r="H84" i="6" l="1"/>
  <c r="I65" i="6"/>
  <c r="J64" i="6"/>
  <c r="H85" i="6" l="1"/>
  <c r="J65" i="6"/>
  <c r="I66" i="6"/>
  <c r="H86" i="6" l="1"/>
  <c r="J66" i="6"/>
  <c r="I67" i="6"/>
  <c r="H87" i="6" l="1"/>
  <c r="I68" i="6"/>
  <c r="J67" i="6"/>
  <c r="H88" i="6" l="1"/>
  <c r="J68" i="6"/>
  <c r="I69" i="6"/>
  <c r="H89" i="6" l="1"/>
  <c r="J69" i="6"/>
  <c r="I70" i="6"/>
  <c r="H90" i="6" l="1"/>
  <c r="I71" i="6"/>
  <c r="J70" i="6"/>
  <c r="H91" i="6" l="1"/>
  <c r="I72" i="6"/>
  <c r="J71" i="6"/>
  <c r="H92" i="6" l="1"/>
  <c r="I73" i="6"/>
  <c r="J72" i="6"/>
  <c r="H93" i="6" l="1"/>
  <c r="I74" i="6"/>
  <c r="J73" i="6"/>
  <c r="H94" i="6" l="1"/>
  <c r="I75" i="6"/>
  <c r="J74" i="6"/>
  <c r="H95" i="6" l="1"/>
  <c r="I76" i="6"/>
  <c r="J75" i="6"/>
  <c r="H96" i="6" l="1"/>
  <c r="I77" i="6"/>
  <c r="J76" i="6"/>
  <c r="H97" i="6" l="1"/>
  <c r="I78" i="6"/>
  <c r="J77" i="6"/>
  <c r="H98" i="6" l="1"/>
  <c r="I79" i="6"/>
  <c r="J78" i="6"/>
  <c r="H99" i="6" l="1"/>
  <c r="I80" i="6"/>
  <c r="J79" i="6"/>
  <c r="H100" i="6" l="1"/>
  <c r="I81" i="6"/>
  <c r="I82" i="6" s="1"/>
  <c r="J80" i="6"/>
  <c r="H101" i="6" l="1"/>
  <c r="I83" i="6"/>
  <c r="J82" i="6"/>
  <c r="J81" i="6"/>
  <c r="H102" i="6" l="1"/>
  <c r="I84" i="6"/>
  <c r="J83" i="6"/>
  <c r="I85" i="6" l="1"/>
  <c r="J84" i="6"/>
  <c r="H103" i="6"/>
  <c r="H104" i="6" l="1"/>
  <c r="I86" i="6"/>
  <c r="J85" i="6"/>
  <c r="I87" i="6" l="1"/>
  <c r="J86" i="6"/>
  <c r="H105" i="6"/>
  <c r="H106" i="6" l="1"/>
  <c r="I88" i="6"/>
  <c r="J87" i="6"/>
  <c r="I89" i="6" l="1"/>
  <c r="J88" i="6"/>
  <c r="H107" i="6"/>
  <c r="H108" i="6" l="1"/>
  <c r="I90" i="6"/>
  <c r="J89" i="6"/>
  <c r="I91" i="6" l="1"/>
  <c r="J90" i="6"/>
  <c r="I92" i="6" l="1"/>
  <c r="J91" i="6"/>
  <c r="I93" i="6" l="1"/>
  <c r="J92" i="6"/>
  <c r="I94" i="6" l="1"/>
  <c r="J93" i="6"/>
  <c r="I95" i="6" l="1"/>
  <c r="J94" i="6"/>
  <c r="I96" i="6" l="1"/>
  <c r="J95" i="6"/>
  <c r="I97" i="6" l="1"/>
  <c r="J96" i="6"/>
  <c r="I98" i="6" l="1"/>
  <c r="J97" i="6"/>
  <c r="I99" i="6" l="1"/>
  <c r="J98" i="6"/>
  <c r="I100" i="6" l="1"/>
  <c r="J99" i="6"/>
  <c r="I101" i="6" l="1"/>
  <c r="J100" i="6"/>
  <c r="I102" i="6" l="1"/>
  <c r="J101" i="6"/>
  <c r="I103" i="6" l="1"/>
  <c r="J102" i="6"/>
  <c r="I104" i="6" l="1"/>
  <c r="J103" i="6"/>
  <c r="I105" i="6" l="1"/>
  <c r="J104" i="6"/>
  <c r="I106" i="6" l="1"/>
  <c r="J105" i="6"/>
  <c r="I107" i="6" l="1"/>
  <c r="J106" i="6"/>
  <c r="I108" i="6" l="1"/>
  <c r="J107" i="6"/>
  <c r="J108" i="6" l="1"/>
</calcChain>
</file>

<file path=xl/sharedStrings.xml><?xml version="1.0" encoding="utf-8"?>
<sst xmlns="http://schemas.openxmlformats.org/spreadsheetml/2006/main" count="187" uniqueCount="159">
  <si>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</si>
  <si>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</si>
  <si>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</si>
  <si>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</si>
  <si>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</si>
  <si>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</si>
  <si>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</si>
  <si>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</si>
  <si>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</si>
  <si>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</si>
  <si>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</si>
  <si>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Feb. 11, 2022</t>
  </si>
  <si>
    <t>ADD: 01/01/2022 - 02/28/2022</t>
  </si>
  <si>
    <t>ADD: 03/01/2022 - 03/31/2022</t>
  </si>
  <si>
    <t>LESS: APRIL 04 &amp; 05, 2022</t>
  </si>
  <si>
    <t>ADD: 04/01/22 - 05/31/22</t>
  </si>
  <si>
    <t>LESS: 05/04/22</t>
  </si>
  <si>
    <t>LESS: 05/06/22</t>
  </si>
  <si>
    <t>ADD: 06/01/22 - 07/31/22</t>
  </si>
  <si>
    <t>LESS: 07/11 &amp; 12/22</t>
  </si>
  <si>
    <t>LESS: 07/13/22</t>
  </si>
  <si>
    <t>LESS: 07/25/22</t>
  </si>
  <si>
    <t>ADD: 08/01/22 - 08/31/22</t>
  </si>
  <si>
    <t>LESS: 08/30/22</t>
  </si>
  <si>
    <t>LESS: 09/06 - 09/22</t>
  </si>
  <si>
    <t>LESS: MONETIZATION 2022</t>
  </si>
  <si>
    <t>LESS: 09/19 - 30/22</t>
  </si>
  <si>
    <t>ADD: 09/01/22 - 10/31/22</t>
  </si>
  <si>
    <t>LESS: APRIL 07 &amp; 08, 2022</t>
  </si>
  <si>
    <t>LESS: 10/03 - 04/22</t>
  </si>
  <si>
    <t>ADD: 11/01/22 - 11/30/22</t>
  </si>
  <si>
    <t>LESS: 11/28 &amp; 29/22</t>
  </si>
  <si>
    <t>ADD: 12/01/22 - 12/31/22</t>
  </si>
  <si>
    <t>LESS: 12/29/22</t>
  </si>
  <si>
    <t>LESS: 01/6, 9, 10, 11, 12 &amp; 13/23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</si>
  <si>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</si>
  <si>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</si>
  <si>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</si>
  <si>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</si>
  <si>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</si>
  <si>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</si>
  <si>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</si>
  <si>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</si>
  <si>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</si>
  <si>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07/01/2003 - 12/31/2003</t>
  </si>
  <si>
    <t>ADD: 01/01/2004 - 12/31/2004</t>
  </si>
  <si>
    <t>ADD: 01/01/2005 - 12/31/2005</t>
  </si>
  <si>
    <t>LESS: FL 2004</t>
  </si>
  <si>
    <t>ADD: 01/01/2006 - 12/31/2006</t>
  </si>
  <si>
    <t>LESS: FL 2005</t>
  </si>
  <si>
    <t>LESS: FL 2006</t>
  </si>
  <si>
    <t>LESS: FL 2007</t>
  </si>
  <si>
    <t>LESS: MONETIZATION 2006</t>
  </si>
  <si>
    <t>ADD: 01/01/2007 - 12/31/2007</t>
  </si>
  <si>
    <t>LESS: MONETIZATION 2007</t>
  </si>
  <si>
    <t>ADD: 01/01/2008 - 12/31/2008</t>
  </si>
  <si>
    <t>LESS: FL 2008</t>
  </si>
  <si>
    <t>ADD: 01/01/2009 - 12/31/2009</t>
  </si>
  <si>
    <t>LESS: FL 2009</t>
  </si>
  <si>
    <t>ADD: 01/01/2010 - 02/28/2010</t>
  </si>
  <si>
    <t>LESS: MONETIZATION 2010</t>
  </si>
  <si>
    <t>ADD: 03/01/2010 - 12/31/2010</t>
  </si>
  <si>
    <t>LESS: FL 2010</t>
  </si>
  <si>
    <t>LESS: MONETIZATION 2010 (3/23/2010)</t>
  </si>
  <si>
    <t>LESS: MONETIZATION 2010 (12/06/2010)</t>
  </si>
  <si>
    <t>ADD: 01/01/2011 - 12/31/2011</t>
  </si>
  <si>
    <t>LESS: FL 2011</t>
  </si>
  <si>
    <t>LESS: MONETIZATION 2011 (5/2/2011)</t>
  </si>
  <si>
    <t>LESS: MONETIZATION 2011 (12/27/2011)</t>
  </si>
  <si>
    <t>ADD: 01/01/2012 - 12/31/2012</t>
  </si>
  <si>
    <t>LESS: FL 2012</t>
  </si>
  <si>
    <t>LESS: FL 2013</t>
  </si>
  <si>
    <t>ADD: 01/01/2013 - 12/31/2013</t>
  </si>
  <si>
    <t>LESS: MONETIZATION 2013</t>
  </si>
  <si>
    <t>ADD: 01/01/2014 - 12/31/2014</t>
  </si>
  <si>
    <t>LESS: FL 2014</t>
  </si>
  <si>
    <t>LESS: FL 2015</t>
  </si>
  <si>
    <t>ADD: 01/01/2015 - 12/31/2015</t>
  </si>
  <si>
    <t>LESS: MONETIZATION 2015</t>
  </si>
  <si>
    <t>ADD: 01/01/2016 - 04/30/2016</t>
  </si>
  <si>
    <t>LESS: MONETIZATION 2016</t>
  </si>
  <si>
    <t>ADD: 05/01/2016 - 12/31/2016</t>
  </si>
  <si>
    <t>LESS: FL 2016</t>
  </si>
  <si>
    <t>ADD: 01/01/2017 -08/31/2017</t>
  </si>
  <si>
    <t>ADD: 09/01/2017 -12/31/2017</t>
  </si>
  <si>
    <t>LESS: FL 2017</t>
  </si>
  <si>
    <t>ADD: 01/01/2018 -10/31/2018</t>
  </si>
  <si>
    <t>LESS: MONETIZATION 2018</t>
  </si>
  <si>
    <t>ADD: 11/01/2018 -12/31/2018</t>
  </si>
  <si>
    <t>LESS: FL 2018</t>
  </si>
  <si>
    <t>ADD: 01/01/2019 -12/31/2019</t>
  </si>
  <si>
    <t>LESS: FL 2019</t>
  </si>
  <si>
    <t>ADD: 01/01/2020 -12/31/2020</t>
  </si>
  <si>
    <t>LESS: MONETIZATION 2020</t>
  </si>
  <si>
    <t>ADD: 01/01/2021 -09/30/2021</t>
  </si>
  <si>
    <t>LESS: 10/05/2021</t>
  </si>
  <si>
    <t>LESS: MONETIZATION 2021</t>
  </si>
  <si>
    <t>ADD: 10/01/2021 -12/31/2021</t>
  </si>
  <si>
    <t>LESS: FL 2021</t>
  </si>
  <si>
    <t>ADD: 01/01/23 - 03/31/23</t>
  </si>
  <si>
    <t>LESS: 04/17/23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</si>
  <si>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</si>
  <si>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</si>
  <si>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</si>
  <si>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</si>
  <si>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</si>
  <si>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</si>
  <si>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NOTE:  Valid for one (1) year only</t>
  </si>
  <si>
    <t>Certified Correct:</t>
  </si>
  <si>
    <t>MA. LUISA B. CATIGAN</t>
  </si>
  <si>
    <t>Administrative Officer IV</t>
  </si>
  <si>
    <t>HRMO</t>
  </si>
  <si>
    <t>ADD: 04/01/23 - 04/30/23</t>
  </si>
  <si>
    <t>SO # 048, S.2023, DISTRICT AND CITY SPORTS MEET 2023</t>
  </si>
  <si>
    <t>SO # 049, S.2023, CHICKSAA MEET 2023</t>
  </si>
  <si>
    <t>LESS: 05/02/2023</t>
  </si>
  <si>
    <t>LESS: 05/03/2023</t>
  </si>
  <si>
    <t>SO # 050, S.2023, PALARONG PAMBANSA 2023</t>
  </si>
  <si>
    <t>LESS: 05/11 &amp; 12/2023</t>
  </si>
  <si>
    <t>LESS: 05/15 - 19/23</t>
  </si>
  <si>
    <t>ADD: 05/01/23 - 05/31/23</t>
  </si>
  <si>
    <t>LESS: 05/29/23</t>
  </si>
  <si>
    <t>LESS: 06/26/23</t>
  </si>
  <si>
    <t>ADD: 06/01/23 - 06/30/23</t>
  </si>
  <si>
    <t>LESS: 07/14/23</t>
  </si>
  <si>
    <t>LESS: 07/25/23</t>
  </si>
  <si>
    <t>ADD: 07/01/23 - 08/31/23</t>
  </si>
  <si>
    <t>LESS: MONETIZATION 2023</t>
  </si>
  <si>
    <t>ADD: 09/01/2023-11/30/2023</t>
  </si>
  <si>
    <t>LESS: 11/28,29,30/2023, 12/01/2023</t>
  </si>
  <si>
    <t>ADD: 01/01-31/2024</t>
  </si>
  <si>
    <t>ADD: 12/01-31/2023</t>
  </si>
  <si>
    <t>LESS: 02/28/2024 &amp;03/01/2024</t>
  </si>
  <si>
    <t>LESS: MANDATORY FL-2023</t>
  </si>
  <si>
    <t>ADD: 02/01-29/2024</t>
  </si>
  <si>
    <t>ADD: 03/1/2024-04/30/2024</t>
  </si>
  <si>
    <t>LESS: 04/29-30/2024</t>
  </si>
  <si>
    <t>LESS: 05/29/2024</t>
  </si>
  <si>
    <t>ADD: MAY-JULY 31, 2024</t>
  </si>
  <si>
    <t xml:space="preserve">                 HRMO</t>
  </si>
  <si>
    <t>LESS: MONETIZATION 2024</t>
  </si>
  <si>
    <t>ADD: 06/2- 30/2003</t>
  </si>
  <si>
    <t>ADD: 08/1/2024-11/30/2024</t>
  </si>
  <si>
    <t>LESS: 12/26-27/2024</t>
  </si>
  <si>
    <t>LESS: 12/24 &amp; 31/2024</t>
  </si>
  <si>
    <t>ADD: 12/1-31/2024</t>
  </si>
  <si>
    <t>LESS: MANDATORY FL 2024</t>
  </si>
  <si>
    <t>ADD: 01/1/2025-03/31/2025</t>
  </si>
  <si>
    <t>LESS: 04/15/2025</t>
  </si>
  <si>
    <t>ADD: 03/21/2025</t>
  </si>
  <si>
    <t>SO # 008, S.2025, REGIONAL LEARNER RIGHTS AND PROTECTION (LRP) SPECIALIZATION COURSE: RETOOLING OF CHILD PROTECTION COMMITTEES (CPC) ON CHILD PROTECTION) FUNCTIONALITY</t>
  </si>
  <si>
    <t>LESS: 04/29-30/2025</t>
  </si>
  <si>
    <t>LESS: 04/25/2025</t>
  </si>
  <si>
    <t>ADD: 05/20/2024</t>
  </si>
  <si>
    <t>SO#015, S. 2024 PALARONG PANLALAWIGAN 2024</t>
  </si>
  <si>
    <t>LESS: 05/16, 19-20/2025</t>
  </si>
  <si>
    <t>ADD: 04/1/2025-06/30/2025</t>
  </si>
  <si>
    <t>LESS: MONETIZATION 2025</t>
  </si>
  <si>
    <t>LESS: 06/10/2025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</si>
</sst>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8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7" fillId="0" borderId="0" xfId="0" applyFont="1"/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0" borderId="0" xfId="0" applyFont="1"/>
    <xf numFmtId="0" fontId="0" fillId="10" borderId="2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3" borderId="0" xfId="0" applyFill="1"/>
    <xf numFmtId="0" fontId="0" fillId="11" borderId="0" xfId="0" applyFill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0" fillId="2" borderId="0" xfId="0" applyFont="1" applyFill="1"/>
    <xf numFmtId="0" fontId="10" fillId="0" borderId="0" xfId="0" applyFont="1"/>
    <xf numFmtId="0" fontId="0" fillId="12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11" fillId="0" borderId="1" xfId="1" applyBorder="1" applyAlignment="1">
      <alignment horizontal="center" vertical="center" wrapText="1"/>
    </xf>
    <xf numFmtId="0" fontId="11" fillId="13" borderId="1" xfId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B7238ED3-306C-497C-AD4A-9D861F6245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279400</xdr:colOff>
      <xdr:row>0</xdr:row>
      <xdr:rowOff>50799</xdr:rowOff>
    </xdr:from>
    <xdr:to>
      <xdr:col>4</xdr:col>
      <xdr:colOff>184883</xdr:colOff>
      <xdr:row>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ED9BB1-F702-40BC-BF3B-57F07C2D787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5650" y="50799"/>
          <a:ext cx="718283" cy="6159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8F3AD5B-FD1F-4A09-9E07-4BCBCD527983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CLARO, RENATO P.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43D4EC6-90B3-4952-87B5-74491DC010D8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SGOD--CHIEF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3317F10-BF8D-4426-9CD6-6F757AC46D07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CITY-SGOD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FDFE7-06BB-4D66-A51D-9752230FDFD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705556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DB5DBF-514A-4ADF-B04A-C80FD0D3B32F}"/>
            </a:ext>
          </a:extLst>
        </xdr:cNvPr>
        <xdr:cNvSpPr txBox="1"/>
      </xdr:nvSpPr>
      <xdr:spPr>
        <a:xfrm>
          <a:off x="654051" y="1688866"/>
          <a:ext cx="1556690" cy="24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SGOD</a:t>
          </a:r>
          <a:r>
            <a:rPr lang="en-US" sz="1100" baseline="0"/>
            <a:t>-CHIEF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6D3E78-90E6-4AE4-A95D-54B45F85E67C}"/>
            </a:ext>
          </a:extLst>
        </xdr:cNvPr>
        <xdr:cNvSpPr txBox="1"/>
      </xdr:nvSpPr>
      <xdr:spPr>
        <a:xfrm>
          <a:off x="38732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556F10-1999-4F83-BF6A-3647B6F2F9F3}"/>
            </a:ext>
          </a:extLst>
        </xdr:cNvPr>
        <xdr:cNvSpPr txBox="1"/>
      </xdr:nvSpPr>
      <xdr:spPr>
        <a:xfrm>
          <a:off x="562183" y="1355118"/>
          <a:ext cx="2008564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CLARO,</a:t>
          </a:r>
          <a:r>
            <a:rPr lang="en-US" sz="1100" baseline="0"/>
            <a:t> RENATO P.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view="pageBreakPreview" topLeftCell="A104" zoomScaleNormal="100" zoomScaleSheetLayoutView="100" workbookViewId="0">
      <selection activeCell="C123" sqref="C123"/>
    </sheetView>
  </sheetViews>
  <sheetFormatPr defaultRowHeight="15" x14ac:dyDescent="0.25"/>
  <cols>
    <col min="1" max="1" width="38.140625" customWidth="1"/>
    <col min="2" max="7" width="11.5703125" customWidth="1"/>
    <col min="8" max="8" width="11.5703125" style="27" customWidth="1"/>
    <col min="9" max="9" width="11.5703125" style="28" customWidth="1"/>
    <col min="10" max="10" width="11.5703125" customWidth="1"/>
  </cols>
  <sheetData>
    <row r="1" spans="1:10" s="1" customFormat="1" ht="52.5" customHeight="1" x14ac:dyDescent="0.25">
      <c r="A1"/>
      <c r="B1"/>
      <c r="C1"/>
      <c r="D1"/>
      <c r="E1"/>
      <c r="F1"/>
      <c r="G1"/>
      <c r="H1"/>
      <c r="I1"/>
      <c r="J1"/>
    </row>
    <row r="2" spans="1:10" s="1" customFormat="1" ht="10.5" customHeight="1" x14ac:dyDescent="0.2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s="1" customFormat="1" ht="15.95" customHeight="1" x14ac:dyDescent="0.2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s="1" customFormat="1" ht="15.95" customHeight="1" x14ac:dyDescent="0.25">
      <c r="A4" s="53" t="s">
        <v>38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s="1" customFormat="1" ht="15.95" customHeight="1" x14ac:dyDescent="0.25">
      <c r="A5" s="53" t="s">
        <v>39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s="1" customFormat="1" ht="8.25" customHeight="1" x14ac:dyDescent="0.25">
      <c r="A6"/>
      <c r="B6"/>
      <c r="C6"/>
      <c r="D6"/>
      <c r="E6"/>
      <c r="F6"/>
      <c r="G6"/>
      <c r="H6"/>
      <c r="I6"/>
      <c r="J6"/>
    </row>
    <row r="7" spans="1:10" s="1" customFormat="1" ht="12" customHeight="1" x14ac:dyDescent="0.25">
      <c r="A7" t="s">
        <v>40</v>
      </c>
      <c r="B7" s="51" t="s">
        <v>41</v>
      </c>
      <c r="C7" s="51"/>
      <c r="D7" s="51"/>
      <c r="E7"/>
      <c r="F7"/>
      <c r="G7"/>
      <c r="H7" s="25" t="s">
        <v>9</v>
      </c>
      <c r="I7" s="29"/>
      <c r="J7" s="25"/>
    </row>
    <row r="8" spans="1:10" s="1" customFormat="1" ht="12" customHeight="1" x14ac:dyDescent="0.25">
      <c r="A8"/>
      <c r="B8" s="26"/>
      <c r="C8" s="26"/>
      <c r="D8"/>
      <c r="E8"/>
      <c r="F8"/>
      <c r="G8"/>
      <c r="H8" s="26"/>
      <c r="I8" s="26"/>
      <c r="J8" s="26"/>
    </row>
    <row r="9" spans="1:10" s="1" customFormat="1" ht="12" customHeight="1" x14ac:dyDescent="0.25">
      <c r="A9" t="s">
        <v>42</v>
      </c>
      <c r="B9" s="51" t="s">
        <v>43</v>
      </c>
      <c r="C9" s="51"/>
      <c r="D9" s="51"/>
      <c r="E9"/>
      <c r="F9"/>
      <c r="G9"/>
      <c r="H9" s="25" t="s">
        <v>10</v>
      </c>
      <c r="I9" s="30"/>
      <c r="J9" s="25"/>
    </row>
    <row r="10" spans="1:10" ht="16.5" customHeight="1" thickBot="1" x14ac:dyDescent="0.3">
      <c r="A10" s="52" t="s">
        <v>0</v>
      </c>
      <c r="B10" s="52"/>
      <c r="C10" s="52"/>
      <c r="D10" s="52"/>
      <c r="E10" s="52"/>
      <c r="F10" s="52"/>
      <c r="G10" s="52"/>
      <c r="H10" s="52"/>
      <c r="I10" s="52"/>
      <c r="J10" s="52"/>
    </row>
    <row r="11" spans="1:10" ht="12" customHeight="1" x14ac:dyDescent="0.25">
      <c r="A11" s="61" t="s">
        <v>4</v>
      </c>
      <c r="B11" s="57" t="s">
        <v>5</v>
      </c>
      <c r="C11" s="58"/>
      <c r="D11" s="54" t="s">
        <v>6</v>
      </c>
      <c r="E11" s="55"/>
      <c r="F11" s="55"/>
      <c r="G11" s="56"/>
      <c r="H11" s="59" t="s">
        <v>7</v>
      </c>
      <c r="I11" s="60"/>
      <c r="J11" s="63" t="s">
        <v>8</v>
      </c>
    </row>
    <row r="12" spans="1:10" ht="23.25" customHeight="1" thickBot="1" x14ac:dyDescent="0.3">
      <c r="A12" s="62"/>
      <c r="B12" s="48" t="s">
        <v>1</v>
      </c>
      <c r="C12" s="48" t="s">
        <v>2</v>
      </c>
      <c r="D12" s="48" t="s">
        <v>1</v>
      </c>
      <c r="E12" s="48" t="s">
        <v>2</v>
      </c>
      <c r="F12" s="48" t="s">
        <v>3</v>
      </c>
      <c r="G12" s="48" t="s">
        <v>35</v>
      </c>
      <c r="H12" s="49" t="s">
        <v>1</v>
      </c>
      <c r="I12" s="50" t="s">
        <v>2</v>
      </c>
      <c r="J12" s="64"/>
    </row>
    <row r="13" spans="1:10" ht="14.1" customHeight="1" x14ac:dyDescent="0.25">
      <c r="A13" s="44" t="s">
        <v>141</v>
      </c>
      <c r="B13" s="45">
        <v>1.208</v>
      </c>
      <c r="C13" s="46">
        <v>1.208</v>
      </c>
      <c r="D13" s="46"/>
      <c r="E13" s="46"/>
      <c r="F13" s="46"/>
      <c r="G13" s="46"/>
      <c r="H13" s="46">
        <f>B13</f>
        <v>1.208</v>
      </c>
      <c r="I13" s="46">
        <f>C13</f>
        <v>1.208</v>
      </c>
      <c r="J13" s="47">
        <f>SUM(H13:I13)</f>
        <v>2.4159999999999999</v>
      </c>
    </row>
    <row r="14" spans="1:10" ht="14.1" customHeight="1" x14ac:dyDescent="0.25">
      <c r="A14" s="8" t="s">
        <v>44</v>
      </c>
      <c r="B14" s="3">
        <f>6*1.25</f>
        <v>7.5</v>
      </c>
      <c r="C14" s="31">
        <v>7.5</v>
      </c>
      <c r="D14" s="31"/>
      <c r="E14" s="31"/>
      <c r="F14" s="31"/>
      <c r="G14" s="31"/>
      <c r="H14" s="31">
        <f>H13-F14-D14+B14</f>
        <v>8.7080000000000002</v>
      </c>
      <c r="I14" s="31">
        <f>I13-E14+C14</f>
        <v>8.7080000000000002</v>
      </c>
      <c r="J14" s="5">
        <f>SUM(H14:I14)</f>
        <v>17.416</v>
      </c>
    </row>
    <row r="15" spans="1:10" ht="14.1" customHeight="1" x14ac:dyDescent="0.25">
      <c r="A15" s="8" t="s">
        <v>45</v>
      </c>
      <c r="B15" s="3">
        <v>15</v>
      </c>
      <c r="C15" s="31">
        <v>15</v>
      </c>
      <c r="D15" s="31"/>
      <c r="E15" s="31"/>
      <c r="F15" s="31"/>
      <c r="G15" s="31"/>
      <c r="H15" s="31">
        <f t="shared" ref="H15:H19" si="0">H14-F15-D15+B15</f>
        <v>23.707999999999998</v>
      </c>
      <c r="I15" s="31">
        <f t="shared" ref="I15:I19" si="1">I14-E15+C15</f>
        <v>23.707999999999998</v>
      </c>
      <c r="J15" s="5">
        <f t="shared" ref="J15:J19" si="2">SUM(H15:I15)</f>
        <v>47.415999999999997</v>
      </c>
    </row>
    <row r="16" spans="1:10" ht="14.1" customHeight="1" x14ac:dyDescent="0.25">
      <c r="A16" s="8" t="s">
        <v>47</v>
      </c>
      <c r="B16" s="3"/>
      <c r="C16" s="31"/>
      <c r="D16" s="31"/>
      <c r="E16" s="31"/>
      <c r="F16" s="31">
        <v>5</v>
      </c>
      <c r="G16" s="31"/>
      <c r="H16" s="31">
        <f t="shared" si="0"/>
        <v>18.707999999999998</v>
      </c>
      <c r="I16" s="31">
        <f t="shared" si="1"/>
        <v>23.707999999999998</v>
      </c>
      <c r="J16" s="5">
        <f t="shared" si="2"/>
        <v>42.415999999999997</v>
      </c>
    </row>
    <row r="17" spans="1:10" ht="14.1" customHeight="1" x14ac:dyDescent="0.25">
      <c r="A17" s="8" t="s">
        <v>46</v>
      </c>
      <c r="B17" s="3">
        <v>15</v>
      </c>
      <c r="C17" s="31">
        <v>15</v>
      </c>
      <c r="D17" s="31"/>
      <c r="E17" s="31"/>
      <c r="F17" s="31"/>
      <c r="G17" s="31"/>
      <c r="H17" s="31">
        <f t="shared" si="0"/>
        <v>33.707999999999998</v>
      </c>
      <c r="I17" s="31">
        <f t="shared" si="1"/>
        <v>38.707999999999998</v>
      </c>
      <c r="J17" s="5">
        <f t="shared" si="2"/>
        <v>72.415999999999997</v>
      </c>
    </row>
    <row r="18" spans="1:10" ht="14.1" customHeight="1" x14ac:dyDescent="0.25">
      <c r="A18" s="8" t="s">
        <v>49</v>
      </c>
      <c r="B18" s="3"/>
      <c r="C18" s="31"/>
      <c r="D18" s="31"/>
      <c r="E18" s="31"/>
      <c r="F18" s="31">
        <v>5</v>
      </c>
      <c r="G18" s="31"/>
      <c r="H18" s="31">
        <f t="shared" si="0"/>
        <v>28.707999999999998</v>
      </c>
      <c r="I18" s="31">
        <f t="shared" si="1"/>
        <v>38.707999999999998</v>
      </c>
      <c r="J18" s="5">
        <f t="shared" si="2"/>
        <v>67.415999999999997</v>
      </c>
    </row>
    <row r="19" spans="1:10" ht="14.1" customHeight="1" x14ac:dyDescent="0.25">
      <c r="A19" s="8" t="s">
        <v>48</v>
      </c>
      <c r="B19" s="3">
        <v>15</v>
      </c>
      <c r="C19" s="31">
        <v>15</v>
      </c>
      <c r="D19" s="31"/>
      <c r="E19" s="31"/>
      <c r="F19" s="31"/>
      <c r="G19" s="31"/>
      <c r="H19" s="31">
        <f t="shared" si="0"/>
        <v>43.707999999999998</v>
      </c>
      <c r="I19" s="31">
        <f t="shared" si="1"/>
        <v>53.707999999999998</v>
      </c>
      <c r="J19" s="5">
        <f t="shared" si="2"/>
        <v>97.415999999999997</v>
      </c>
    </row>
    <row r="20" spans="1:10" ht="14.1" customHeight="1" x14ac:dyDescent="0.25">
      <c r="A20" s="8" t="s">
        <v>50</v>
      </c>
      <c r="B20" s="3"/>
      <c r="C20" s="31"/>
      <c r="D20" s="31"/>
      <c r="E20" s="31"/>
      <c r="F20" s="31">
        <v>5</v>
      </c>
      <c r="G20" s="31"/>
      <c r="H20" s="31">
        <f t="shared" ref="H20:H21" si="3">H19-F20-D20+B20</f>
        <v>38.707999999999998</v>
      </c>
      <c r="I20" s="31">
        <f t="shared" ref="I20:I21" si="4">I19-E20+C20</f>
        <v>53.707999999999998</v>
      </c>
      <c r="J20" s="5">
        <f t="shared" ref="J20:J21" si="5">SUM(H20:I20)</f>
        <v>92.415999999999997</v>
      </c>
    </row>
    <row r="21" spans="1:10" ht="14.1" customHeight="1" x14ac:dyDescent="0.25">
      <c r="A21" s="8" t="s">
        <v>52</v>
      </c>
      <c r="B21" s="3"/>
      <c r="C21" s="31"/>
      <c r="D21" s="31">
        <v>30</v>
      </c>
      <c r="E21" s="31"/>
      <c r="F21" s="31"/>
      <c r="G21" s="31"/>
      <c r="H21" s="31">
        <f t="shared" si="3"/>
        <v>8.7079999999999984</v>
      </c>
      <c r="I21" s="31">
        <f t="shared" si="4"/>
        <v>53.707999999999998</v>
      </c>
      <c r="J21" s="5">
        <f t="shared" si="5"/>
        <v>62.415999999999997</v>
      </c>
    </row>
    <row r="22" spans="1:10" ht="14.1" customHeight="1" x14ac:dyDescent="0.25">
      <c r="A22" s="8" t="s">
        <v>53</v>
      </c>
      <c r="B22" s="3">
        <v>15</v>
      </c>
      <c r="C22" s="31">
        <v>15</v>
      </c>
      <c r="D22" s="31"/>
      <c r="E22" s="31"/>
      <c r="F22" s="31"/>
      <c r="G22" s="31"/>
      <c r="H22" s="31">
        <f t="shared" ref="H22:H28" si="6">H21-F22-D22+B22</f>
        <v>23.707999999999998</v>
      </c>
      <c r="I22" s="31">
        <f t="shared" ref="I22:I28" si="7">I21-E22+C22</f>
        <v>68.707999999999998</v>
      </c>
      <c r="J22" s="5">
        <f t="shared" ref="J22:J28" si="8">SUM(H22:I22)</f>
        <v>92.415999999999997</v>
      </c>
    </row>
    <row r="23" spans="1:10" ht="14.1" customHeight="1" x14ac:dyDescent="0.25">
      <c r="A23" s="8" t="s">
        <v>51</v>
      </c>
      <c r="B23" s="3"/>
      <c r="C23" s="31"/>
      <c r="D23" s="31"/>
      <c r="E23" s="31"/>
      <c r="F23" s="31">
        <v>5</v>
      </c>
      <c r="G23" s="31"/>
      <c r="H23" s="31">
        <f t="shared" si="6"/>
        <v>18.707999999999998</v>
      </c>
      <c r="I23" s="31">
        <f t="shared" si="7"/>
        <v>68.707999999999998</v>
      </c>
      <c r="J23" s="5">
        <f t="shared" si="8"/>
        <v>87.415999999999997</v>
      </c>
    </row>
    <row r="24" spans="1:10" ht="14.1" customHeight="1" x14ac:dyDescent="0.25">
      <c r="A24" s="8" t="s">
        <v>54</v>
      </c>
      <c r="B24" s="3"/>
      <c r="C24" s="31"/>
      <c r="D24" s="31">
        <v>15</v>
      </c>
      <c r="E24" s="31">
        <v>5</v>
      </c>
      <c r="F24" s="31"/>
      <c r="G24" s="31"/>
      <c r="H24" s="31">
        <f t="shared" si="6"/>
        <v>3.7079999999999984</v>
      </c>
      <c r="I24" s="31">
        <f t="shared" si="7"/>
        <v>63.707999999999998</v>
      </c>
      <c r="J24" s="5">
        <f t="shared" si="8"/>
        <v>67.415999999999997</v>
      </c>
    </row>
    <row r="25" spans="1:10" ht="14.1" customHeight="1" x14ac:dyDescent="0.25">
      <c r="A25" s="8" t="s">
        <v>55</v>
      </c>
      <c r="B25" s="3">
        <v>15</v>
      </c>
      <c r="C25" s="31">
        <v>15</v>
      </c>
      <c r="D25" s="31"/>
      <c r="E25" s="31"/>
      <c r="F25" s="31"/>
      <c r="G25" s="31"/>
      <c r="H25" s="31">
        <f t="shared" si="6"/>
        <v>18.707999999999998</v>
      </c>
      <c r="I25" s="31">
        <f t="shared" si="7"/>
        <v>78.707999999999998</v>
      </c>
      <c r="J25" s="5">
        <f t="shared" si="8"/>
        <v>97.415999999999997</v>
      </c>
    </row>
    <row r="26" spans="1:10" ht="14.1" customHeight="1" x14ac:dyDescent="0.25">
      <c r="A26" s="8" t="s">
        <v>56</v>
      </c>
      <c r="B26" s="3"/>
      <c r="C26" s="31"/>
      <c r="D26" s="31"/>
      <c r="E26" s="31"/>
      <c r="F26" s="31">
        <v>5</v>
      </c>
      <c r="G26" s="31"/>
      <c r="H26" s="31">
        <f t="shared" si="6"/>
        <v>13.707999999999998</v>
      </c>
      <c r="I26" s="31">
        <f t="shared" si="7"/>
        <v>78.707999999999998</v>
      </c>
      <c r="J26" s="5">
        <f t="shared" si="8"/>
        <v>92.415999999999997</v>
      </c>
    </row>
    <row r="27" spans="1:10" ht="14.1" customHeight="1" x14ac:dyDescent="0.25">
      <c r="A27" s="8" t="s">
        <v>57</v>
      </c>
      <c r="B27" s="3">
        <v>15</v>
      </c>
      <c r="C27" s="31">
        <v>15</v>
      </c>
      <c r="D27" s="31"/>
      <c r="E27" s="31"/>
      <c r="F27" s="31"/>
      <c r="G27" s="31"/>
      <c r="H27" s="31">
        <f t="shared" si="6"/>
        <v>28.707999999999998</v>
      </c>
      <c r="I27" s="31">
        <f t="shared" si="7"/>
        <v>93.707999999999998</v>
      </c>
      <c r="J27" s="5">
        <f t="shared" si="8"/>
        <v>122.416</v>
      </c>
    </row>
    <row r="28" spans="1:10" ht="14.1" customHeight="1" x14ac:dyDescent="0.25">
      <c r="A28" s="8" t="s">
        <v>58</v>
      </c>
      <c r="B28" s="3"/>
      <c r="C28" s="31"/>
      <c r="D28" s="31"/>
      <c r="E28" s="31"/>
      <c r="F28" s="31">
        <v>5</v>
      </c>
      <c r="G28" s="31"/>
      <c r="H28" s="31">
        <f t="shared" si="6"/>
        <v>23.707999999999998</v>
      </c>
      <c r="I28" s="31">
        <f t="shared" si="7"/>
        <v>93.707999999999998</v>
      </c>
      <c r="J28" s="5">
        <f t="shared" si="8"/>
        <v>117.416</v>
      </c>
    </row>
    <row r="29" spans="1:10" ht="14.1" customHeight="1" x14ac:dyDescent="0.25">
      <c r="A29" s="8" t="s">
        <v>59</v>
      </c>
      <c r="B29" s="3">
        <v>2.5</v>
      </c>
      <c r="C29" s="31">
        <v>2.5</v>
      </c>
      <c r="D29" s="31"/>
      <c r="E29" s="31"/>
      <c r="F29" s="31"/>
      <c r="G29" s="31"/>
      <c r="H29" s="31">
        <f t="shared" ref="H29:H36" si="9">H28-F29-D29+B29</f>
        <v>26.207999999999998</v>
      </c>
      <c r="I29" s="31">
        <f t="shared" ref="I29:I36" si="10">I28-E29+C29</f>
        <v>96.207999999999998</v>
      </c>
      <c r="J29" s="5">
        <f t="shared" ref="J29:J36" si="11">SUM(H29:I29)</f>
        <v>122.416</v>
      </c>
    </row>
    <row r="30" spans="1:10" ht="14.1" customHeight="1" x14ac:dyDescent="0.25">
      <c r="A30" s="8" t="s">
        <v>63</v>
      </c>
      <c r="B30" s="3"/>
      <c r="C30" s="31"/>
      <c r="D30" s="31">
        <v>20</v>
      </c>
      <c r="E30" s="31">
        <v>30</v>
      </c>
      <c r="F30" s="31"/>
      <c r="G30" s="31"/>
      <c r="H30" s="31">
        <f t="shared" si="9"/>
        <v>6.2079999999999984</v>
      </c>
      <c r="I30" s="31">
        <f t="shared" si="10"/>
        <v>66.207999999999998</v>
      </c>
      <c r="J30" s="5">
        <f t="shared" si="11"/>
        <v>72.415999999999997</v>
      </c>
    </row>
    <row r="31" spans="1:10" ht="14.1" customHeight="1" x14ac:dyDescent="0.25">
      <c r="A31" s="8" t="s">
        <v>61</v>
      </c>
      <c r="B31" s="3">
        <v>12.5</v>
      </c>
      <c r="C31" s="31">
        <v>12.5</v>
      </c>
      <c r="D31" s="31"/>
      <c r="E31" s="31"/>
      <c r="F31" s="31"/>
      <c r="G31" s="31"/>
      <c r="H31" s="31">
        <f t="shared" si="9"/>
        <v>18.707999999999998</v>
      </c>
      <c r="I31" s="31">
        <f t="shared" si="10"/>
        <v>78.707999999999998</v>
      </c>
      <c r="J31" s="5">
        <f t="shared" si="11"/>
        <v>97.415999999999997</v>
      </c>
    </row>
    <row r="32" spans="1:10" ht="14.1" customHeight="1" x14ac:dyDescent="0.25">
      <c r="A32" s="8" t="s">
        <v>62</v>
      </c>
      <c r="B32" s="3"/>
      <c r="C32" s="31"/>
      <c r="D32" s="31"/>
      <c r="E32" s="31"/>
      <c r="F32" s="31">
        <v>5</v>
      </c>
      <c r="G32" s="31"/>
      <c r="H32" s="31">
        <f t="shared" si="9"/>
        <v>13.707999999999998</v>
      </c>
      <c r="I32" s="31">
        <f t="shared" si="10"/>
        <v>78.707999999999998</v>
      </c>
      <c r="J32" s="5">
        <f t="shared" si="11"/>
        <v>92.415999999999997</v>
      </c>
    </row>
    <row r="33" spans="1:10" ht="14.1" customHeight="1" x14ac:dyDescent="0.25">
      <c r="A33" s="8" t="s">
        <v>64</v>
      </c>
      <c r="B33" s="3"/>
      <c r="C33" s="31"/>
      <c r="D33" s="31">
        <v>10</v>
      </c>
      <c r="E33" s="31">
        <v>20</v>
      </c>
      <c r="F33" s="31"/>
      <c r="G33" s="31"/>
      <c r="H33" s="31">
        <f t="shared" si="9"/>
        <v>3.7079999999999984</v>
      </c>
      <c r="I33" s="31">
        <f t="shared" si="10"/>
        <v>58.707999999999998</v>
      </c>
      <c r="J33" s="5">
        <f t="shared" si="11"/>
        <v>62.415999999999997</v>
      </c>
    </row>
    <row r="34" spans="1:10" ht="14.1" customHeight="1" x14ac:dyDescent="0.25">
      <c r="A34" s="8" t="s">
        <v>65</v>
      </c>
      <c r="B34" s="3">
        <v>15</v>
      </c>
      <c r="C34" s="31">
        <v>15</v>
      </c>
      <c r="D34" s="31"/>
      <c r="E34" s="31"/>
      <c r="F34" s="31"/>
      <c r="G34" s="31"/>
      <c r="H34" s="31">
        <f t="shared" si="9"/>
        <v>18.707999999999998</v>
      </c>
      <c r="I34" s="31">
        <f t="shared" si="10"/>
        <v>73.707999999999998</v>
      </c>
      <c r="J34" s="5">
        <f t="shared" si="11"/>
        <v>92.415999999999997</v>
      </c>
    </row>
    <row r="35" spans="1:10" ht="14.1" customHeight="1" x14ac:dyDescent="0.25">
      <c r="A35" s="8" t="s">
        <v>66</v>
      </c>
      <c r="B35" s="3"/>
      <c r="C35" s="31"/>
      <c r="D35" s="31"/>
      <c r="E35" s="31"/>
      <c r="F35" s="31">
        <v>5</v>
      </c>
      <c r="G35" s="31"/>
      <c r="H35" s="31">
        <f t="shared" si="9"/>
        <v>13.707999999999998</v>
      </c>
      <c r="I35" s="31">
        <f t="shared" si="10"/>
        <v>73.707999999999998</v>
      </c>
      <c r="J35" s="5">
        <f t="shared" si="11"/>
        <v>87.415999999999997</v>
      </c>
    </row>
    <row r="36" spans="1:10" ht="14.1" customHeight="1" x14ac:dyDescent="0.25">
      <c r="A36" s="8" t="s">
        <v>67</v>
      </c>
      <c r="B36" s="3"/>
      <c r="C36" s="31"/>
      <c r="D36" s="31">
        <v>10</v>
      </c>
      <c r="E36" s="31">
        <v>20</v>
      </c>
      <c r="F36" s="31"/>
      <c r="G36" s="31"/>
      <c r="H36" s="31">
        <f t="shared" si="9"/>
        <v>3.7079999999999984</v>
      </c>
      <c r="I36" s="31">
        <f t="shared" si="10"/>
        <v>53.707999999999998</v>
      </c>
      <c r="J36" s="5">
        <f t="shared" si="11"/>
        <v>57.415999999999997</v>
      </c>
    </row>
    <row r="37" spans="1:10" ht="14.1" customHeight="1" x14ac:dyDescent="0.25">
      <c r="A37" s="8" t="s">
        <v>68</v>
      </c>
      <c r="B37" s="3"/>
      <c r="C37" s="31"/>
      <c r="D37" s="31"/>
      <c r="E37" s="31">
        <v>30</v>
      </c>
      <c r="F37" s="31"/>
      <c r="G37" s="31"/>
      <c r="H37" s="31">
        <f t="shared" ref="H37:H38" si="12">H36-F37-D37+B37</f>
        <v>3.7079999999999984</v>
      </c>
      <c r="I37" s="31">
        <f t="shared" ref="I37:I38" si="13">I36-E37+C37</f>
        <v>23.707999999999998</v>
      </c>
      <c r="J37" s="5">
        <f t="shared" ref="J37:J38" si="14">SUM(H37:I37)</f>
        <v>27.415999999999997</v>
      </c>
    </row>
    <row r="38" spans="1:10" ht="14.1" customHeight="1" x14ac:dyDescent="0.25">
      <c r="A38" s="8" t="s">
        <v>69</v>
      </c>
      <c r="B38" s="3">
        <v>15</v>
      </c>
      <c r="C38" s="31">
        <v>15</v>
      </c>
      <c r="D38" s="31"/>
      <c r="E38" s="31"/>
      <c r="F38" s="31"/>
      <c r="G38" s="31"/>
      <c r="H38" s="31">
        <f t="shared" si="12"/>
        <v>18.707999999999998</v>
      </c>
      <c r="I38" s="31">
        <f t="shared" si="13"/>
        <v>38.707999999999998</v>
      </c>
      <c r="J38" s="5">
        <f t="shared" si="14"/>
        <v>57.415999999999997</v>
      </c>
    </row>
    <row r="39" spans="1:10" ht="14.1" customHeight="1" x14ac:dyDescent="0.25">
      <c r="A39" s="8" t="s">
        <v>70</v>
      </c>
      <c r="B39" s="3"/>
      <c r="C39" s="31"/>
      <c r="D39" s="31"/>
      <c r="E39" s="31"/>
      <c r="F39" s="31">
        <v>5</v>
      </c>
      <c r="G39" s="31"/>
      <c r="H39" s="31">
        <f t="shared" ref="H39:H44" si="15">H38-F39-D39+B39</f>
        <v>13.707999999999998</v>
      </c>
      <c r="I39" s="31">
        <f t="shared" ref="I39:I44" si="16">I38-E39+C39</f>
        <v>38.707999999999998</v>
      </c>
      <c r="J39" s="5">
        <f t="shared" ref="J39:J44" si="17">SUM(H39:I39)</f>
        <v>52.415999999999997</v>
      </c>
    </row>
    <row r="40" spans="1:10" ht="14.1" customHeight="1" x14ac:dyDescent="0.25">
      <c r="A40" s="8" t="s">
        <v>72</v>
      </c>
      <c r="B40" s="3">
        <v>15</v>
      </c>
      <c r="C40" s="31">
        <v>15</v>
      </c>
      <c r="D40" s="31"/>
      <c r="E40" s="31"/>
      <c r="F40" s="31"/>
      <c r="G40" s="31"/>
      <c r="H40" s="31">
        <f t="shared" si="15"/>
        <v>28.707999999999998</v>
      </c>
      <c r="I40" s="31">
        <f t="shared" si="16"/>
        <v>53.707999999999998</v>
      </c>
      <c r="J40" s="5">
        <f t="shared" si="17"/>
        <v>82.415999999999997</v>
      </c>
    </row>
    <row r="41" spans="1:10" ht="14.1" customHeight="1" x14ac:dyDescent="0.25">
      <c r="A41" s="8" t="s">
        <v>71</v>
      </c>
      <c r="B41" s="3"/>
      <c r="C41" s="31"/>
      <c r="D41" s="31"/>
      <c r="E41" s="31"/>
      <c r="F41" s="31">
        <v>5</v>
      </c>
      <c r="G41" s="31"/>
      <c r="H41" s="31">
        <f t="shared" si="15"/>
        <v>23.707999999999998</v>
      </c>
      <c r="I41" s="31">
        <f t="shared" si="16"/>
        <v>53.707999999999998</v>
      </c>
      <c r="J41" s="5">
        <f t="shared" si="17"/>
        <v>77.415999999999997</v>
      </c>
    </row>
    <row r="42" spans="1:10" ht="14.1" customHeight="1" x14ac:dyDescent="0.25">
      <c r="A42" s="8" t="s">
        <v>73</v>
      </c>
      <c r="B42" s="3"/>
      <c r="C42" s="31"/>
      <c r="D42" s="31">
        <v>10</v>
      </c>
      <c r="E42" s="31">
        <v>20</v>
      </c>
      <c r="F42" s="31"/>
      <c r="G42" s="31"/>
      <c r="H42" s="31">
        <f t="shared" si="15"/>
        <v>13.707999999999998</v>
      </c>
      <c r="I42" s="31">
        <f t="shared" si="16"/>
        <v>33.707999999999998</v>
      </c>
      <c r="J42" s="5">
        <f t="shared" si="17"/>
        <v>47.415999999999997</v>
      </c>
    </row>
    <row r="43" spans="1:10" ht="14.1" customHeight="1" x14ac:dyDescent="0.25">
      <c r="A43" s="8" t="s">
        <v>74</v>
      </c>
      <c r="B43" s="3">
        <v>15</v>
      </c>
      <c r="C43" s="31">
        <v>15</v>
      </c>
      <c r="D43" s="31"/>
      <c r="E43" s="31"/>
      <c r="F43" s="31"/>
      <c r="G43" s="31"/>
      <c r="H43" s="31">
        <f t="shared" si="15"/>
        <v>28.707999999999998</v>
      </c>
      <c r="I43" s="31">
        <f t="shared" si="16"/>
        <v>48.707999999999998</v>
      </c>
      <c r="J43" s="5">
        <f t="shared" si="17"/>
        <v>77.415999999999997</v>
      </c>
    </row>
    <row r="44" spans="1:10" ht="14.1" customHeight="1" x14ac:dyDescent="0.25">
      <c r="A44" s="8" t="s">
        <v>75</v>
      </c>
      <c r="B44" s="3"/>
      <c r="C44" s="31"/>
      <c r="D44" s="31"/>
      <c r="E44" s="31"/>
      <c r="F44" s="31">
        <v>5</v>
      </c>
      <c r="G44" s="31"/>
      <c r="H44" s="31">
        <f t="shared" si="15"/>
        <v>23.707999999999998</v>
      </c>
      <c r="I44" s="31">
        <f t="shared" si="16"/>
        <v>48.707999999999998</v>
      </c>
      <c r="J44" s="5">
        <f t="shared" si="17"/>
        <v>72.415999999999997</v>
      </c>
    </row>
    <row r="45" spans="1:10" ht="14.1" customHeight="1" x14ac:dyDescent="0.25">
      <c r="A45" s="8" t="s">
        <v>77</v>
      </c>
      <c r="B45" s="3">
        <v>15</v>
      </c>
      <c r="C45" s="31">
        <v>15</v>
      </c>
      <c r="D45" s="31"/>
      <c r="E45" s="31"/>
      <c r="F45" s="31"/>
      <c r="G45" s="31"/>
      <c r="H45" s="31">
        <f t="shared" ref="H45:H57" si="18">H44-F45-D45+B45</f>
        <v>38.707999999999998</v>
      </c>
      <c r="I45" s="31">
        <f t="shared" ref="I45:I57" si="19">I44-E45+C45</f>
        <v>63.707999999999998</v>
      </c>
      <c r="J45" s="5">
        <f t="shared" ref="J45:J57" si="20">SUM(H45:I45)</f>
        <v>102.416</v>
      </c>
    </row>
    <row r="46" spans="1:10" ht="14.1" customHeight="1" x14ac:dyDescent="0.25">
      <c r="A46" s="8" t="s">
        <v>76</v>
      </c>
      <c r="B46" s="3"/>
      <c r="C46" s="31"/>
      <c r="D46" s="31"/>
      <c r="E46" s="31"/>
      <c r="F46" s="31">
        <v>5</v>
      </c>
      <c r="G46" s="31"/>
      <c r="H46" s="31">
        <f t="shared" si="18"/>
        <v>33.707999999999998</v>
      </c>
      <c r="I46" s="31">
        <f t="shared" si="19"/>
        <v>63.707999999999998</v>
      </c>
      <c r="J46" s="5">
        <f t="shared" si="20"/>
        <v>97.415999999999997</v>
      </c>
    </row>
    <row r="47" spans="1:10" ht="14.1" customHeight="1" x14ac:dyDescent="0.25">
      <c r="A47" s="8" t="s">
        <v>78</v>
      </c>
      <c r="B47" s="3"/>
      <c r="C47" s="31"/>
      <c r="D47" s="31">
        <v>29</v>
      </c>
      <c r="E47" s="31"/>
      <c r="F47" s="31"/>
      <c r="G47" s="31"/>
      <c r="H47" s="31">
        <f t="shared" si="18"/>
        <v>4.7079999999999984</v>
      </c>
      <c r="I47" s="31">
        <f t="shared" si="19"/>
        <v>63.707999999999998</v>
      </c>
      <c r="J47" s="5">
        <f t="shared" si="20"/>
        <v>68.415999999999997</v>
      </c>
    </row>
    <row r="48" spans="1:10" ht="14.1" customHeight="1" x14ac:dyDescent="0.25">
      <c r="A48" s="8" t="s">
        <v>79</v>
      </c>
      <c r="B48" s="3">
        <v>5</v>
      </c>
      <c r="C48" s="31">
        <v>5</v>
      </c>
      <c r="D48" s="31"/>
      <c r="E48" s="31"/>
      <c r="F48" s="31"/>
      <c r="G48" s="31"/>
      <c r="H48" s="31">
        <f t="shared" si="18"/>
        <v>9.7079999999999984</v>
      </c>
      <c r="I48" s="31">
        <f t="shared" si="19"/>
        <v>68.707999999999998</v>
      </c>
      <c r="J48" s="5">
        <f t="shared" si="20"/>
        <v>78.415999999999997</v>
      </c>
    </row>
    <row r="49" spans="1:10" ht="14.1" customHeight="1" x14ac:dyDescent="0.25">
      <c r="A49" s="8" t="s">
        <v>80</v>
      </c>
      <c r="B49" s="31"/>
      <c r="C49" s="31"/>
      <c r="D49" s="31"/>
      <c r="E49" s="31">
        <v>25</v>
      </c>
      <c r="F49" s="31"/>
      <c r="G49" s="31"/>
      <c r="H49" s="31">
        <f t="shared" si="18"/>
        <v>9.7079999999999984</v>
      </c>
      <c r="I49" s="31">
        <f t="shared" si="19"/>
        <v>43.707999999999998</v>
      </c>
      <c r="J49" s="5">
        <f t="shared" si="20"/>
        <v>53.415999999999997</v>
      </c>
    </row>
    <row r="50" spans="1:10" ht="14.1" customHeight="1" x14ac:dyDescent="0.25">
      <c r="A50" s="8" t="s">
        <v>81</v>
      </c>
      <c r="B50" s="31">
        <v>10</v>
      </c>
      <c r="C50" s="31">
        <v>10</v>
      </c>
      <c r="D50" s="31"/>
      <c r="E50" s="31"/>
      <c r="F50" s="31"/>
      <c r="G50" s="31"/>
      <c r="H50" s="31">
        <f t="shared" si="18"/>
        <v>19.707999999999998</v>
      </c>
      <c r="I50" s="31">
        <f t="shared" si="19"/>
        <v>53.707999999999998</v>
      </c>
      <c r="J50" s="5">
        <f t="shared" si="20"/>
        <v>73.415999999999997</v>
      </c>
    </row>
    <row r="51" spans="1:10" ht="14.1" customHeight="1" x14ac:dyDescent="0.25">
      <c r="A51" s="8" t="s">
        <v>82</v>
      </c>
      <c r="B51" s="31"/>
      <c r="C51" s="31"/>
      <c r="D51" s="31"/>
      <c r="E51" s="31"/>
      <c r="F51" s="31">
        <v>5</v>
      </c>
      <c r="G51" s="31"/>
      <c r="H51" s="31">
        <f t="shared" si="18"/>
        <v>14.707999999999998</v>
      </c>
      <c r="I51" s="31">
        <f t="shared" si="19"/>
        <v>53.707999999999998</v>
      </c>
      <c r="J51" s="5">
        <f t="shared" si="20"/>
        <v>68.415999999999997</v>
      </c>
    </row>
    <row r="52" spans="1:10" ht="14.1" customHeight="1" x14ac:dyDescent="0.25">
      <c r="A52" s="8" t="s">
        <v>80</v>
      </c>
      <c r="B52" s="31"/>
      <c r="C52" s="31"/>
      <c r="D52" s="31">
        <v>4</v>
      </c>
      <c r="E52" s="31"/>
      <c r="F52" s="31"/>
      <c r="G52" s="31"/>
      <c r="H52" s="31">
        <f t="shared" si="18"/>
        <v>10.707999999999998</v>
      </c>
      <c r="I52" s="31">
        <f t="shared" si="19"/>
        <v>53.707999999999998</v>
      </c>
      <c r="J52" s="5">
        <f t="shared" si="20"/>
        <v>64.415999999999997</v>
      </c>
    </row>
    <row r="53" spans="1:10" ht="14.1" customHeight="1" x14ac:dyDescent="0.25">
      <c r="A53" s="8" t="s">
        <v>83</v>
      </c>
      <c r="B53" s="3">
        <v>10</v>
      </c>
      <c r="C53" s="31">
        <v>10</v>
      </c>
      <c r="D53" s="31"/>
      <c r="E53" s="31"/>
      <c r="F53" s="31"/>
      <c r="G53" s="31"/>
      <c r="H53" s="31">
        <f t="shared" si="18"/>
        <v>20.707999999999998</v>
      </c>
      <c r="I53" s="31">
        <f t="shared" si="19"/>
        <v>63.707999999999998</v>
      </c>
      <c r="J53" s="5">
        <f t="shared" si="20"/>
        <v>84.415999999999997</v>
      </c>
    </row>
    <row r="54" spans="1:10" ht="14.1" customHeight="1" x14ac:dyDescent="0.25">
      <c r="A54" s="8" t="s">
        <v>60</v>
      </c>
      <c r="B54" s="3"/>
      <c r="C54" s="31"/>
      <c r="D54" s="31">
        <v>10</v>
      </c>
      <c r="E54" s="31">
        <v>19</v>
      </c>
      <c r="F54" s="31"/>
      <c r="G54" s="31"/>
      <c r="H54" s="31">
        <f t="shared" si="18"/>
        <v>10.707999999999998</v>
      </c>
      <c r="I54" s="31">
        <f t="shared" si="19"/>
        <v>44.707999999999998</v>
      </c>
      <c r="J54" s="5">
        <f t="shared" si="20"/>
        <v>55.415999999999997</v>
      </c>
    </row>
    <row r="55" spans="1:10" ht="14.1" customHeight="1" x14ac:dyDescent="0.25">
      <c r="A55" s="8" t="s">
        <v>84</v>
      </c>
      <c r="B55" s="3">
        <v>5</v>
      </c>
      <c r="C55" s="31">
        <v>5</v>
      </c>
      <c r="D55" s="31"/>
      <c r="E55" s="31"/>
      <c r="F55" s="31"/>
      <c r="G55" s="31"/>
      <c r="H55" s="31">
        <f t="shared" si="18"/>
        <v>15.707999999999998</v>
      </c>
      <c r="I55" s="31">
        <f t="shared" si="19"/>
        <v>49.707999999999998</v>
      </c>
      <c r="J55" s="5">
        <f t="shared" si="20"/>
        <v>65.415999999999997</v>
      </c>
    </row>
    <row r="56" spans="1:10" ht="14.1" customHeight="1" x14ac:dyDescent="0.25">
      <c r="A56" s="8" t="s">
        <v>85</v>
      </c>
      <c r="B56" s="3"/>
      <c r="C56" s="31"/>
      <c r="D56" s="31"/>
      <c r="E56" s="31"/>
      <c r="F56" s="31">
        <v>5</v>
      </c>
      <c r="G56" s="31"/>
      <c r="H56" s="31">
        <f t="shared" si="18"/>
        <v>10.707999999999998</v>
      </c>
      <c r="I56" s="31">
        <f t="shared" si="19"/>
        <v>49.707999999999998</v>
      </c>
      <c r="J56" s="5">
        <f t="shared" si="20"/>
        <v>60.415999999999997</v>
      </c>
    </row>
    <row r="57" spans="1:10" ht="14.1" customHeight="1" x14ac:dyDescent="0.25">
      <c r="A57" s="8" t="s">
        <v>86</v>
      </c>
      <c r="B57" s="3">
        <v>12.5</v>
      </c>
      <c r="C57" s="31">
        <v>12.5</v>
      </c>
      <c r="D57" s="31"/>
      <c r="E57" s="31"/>
      <c r="F57" s="31"/>
      <c r="G57" s="31"/>
      <c r="H57" s="31">
        <f t="shared" si="18"/>
        <v>23.207999999999998</v>
      </c>
      <c r="I57" s="31">
        <f t="shared" si="19"/>
        <v>62.207999999999998</v>
      </c>
      <c r="J57" s="5">
        <f t="shared" si="20"/>
        <v>85.415999999999997</v>
      </c>
    </row>
    <row r="58" spans="1:10" ht="14.1" customHeight="1" x14ac:dyDescent="0.25">
      <c r="A58" s="8" t="s">
        <v>87</v>
      </c>
      <c r="B58" s="3"/>
      <c r="C58" s="31"/>
      <c r="D58" s="31">
        <v>12</v>
      </c>
      <c r="E58" s="31">
        <v>17</v>
      </c>
      <c r="F58" s="31"/>
      <c r="G58" s="31"/>
      <c r="H58" s="31">
        <f t="shared" ref="H58:H59" si="21">H57-F58-D58+B58</f>
        <v>11.207999999999998</v>
      </c>
      <c r="I58" s="31">
        <f t="shared" ref="I58:I59" si="22">I57-E58+C58</f>
        <v>45.207999999999998</v>
      </c>
      <c r="J58" s="5">
        <f t="shared" ref="J58:J59" si="23">SUM(H58:I58)</f>
        <v>56.415999999999997</v>
      </c>
    </row>
    <row r="59" spans="1:10" ht="14.1" customHeight="1" x14ac:dyDescent="0.25">
      <c r="A59" s="8" t="s">
        <v>88</v>
      </c>
      <c r="B59" s="3">
        <v>2.5</v>
      </c>
      <c r="C59" s="31">
        <v>2.5</v>
      </c>
      <c r="D59" s="31"/>
      <c r="E59" s="31"/>
      <c r="F59" s="31"/>
      <c r="G59" s="31"/>
      <c r="H59" s="31">
        <f t="shared" si="21"/>
        <v>13.707999999999998</v>
      </c>
      <c r="I59" s="31">
        <f t="shared" si="22"/>
        <v>47.707999999999998</v>
      </c>
      <c r="J59" s="5">
        <f t="shared" si="23"/>
        <v>61.415999999999997</v>
      </c>
    </row>
    <row r="60" spans="1:10" ht="14.1" customHeight="1" x14ac:dyDescent="0.25">
      <c r="A60" s="8" t="s">
        <v>89</v>
      </c>
      <c r="B60" s="3"/>
      <c r="C60" s="31"/>
      <c r="D60" s="31"/>
      <c r="E60" s="31"/>
      <c r="F60" s="31">
        <v>5</v>
      </c>
      <c r="G60" s="31"/>
      <c r="H60" s="31">
        <f t="shared" ref="H60:H61" si="24">H59-F60-D60+B60</f>
        <v>8.7079999999999984</v>
      </c>
      <c r="I60" s="31">
        <f t="shared" ref="I60:I61" si="25">I59-E60+C60</f>
        <v>47.707999999999998</v>
      </c>
      <c r="J60" s="5">
        <f t="shared" ref="J60:J61" si="26">SUM(H60:I60)</f>
        <v>56.415999999999997</v>
      </c>
    </row>
    <row r="61" spans="1:10" ht="14.1" customHeight="1" x14ac:dyDescent="0.25">
      <c r="A61" s="8" t="s">
        <v>90</v>
      </c>
      <c r="B61" s="3">
        <v>15</v>
      </c>
      <c r="C61" s="31">
        <v>15</v>
      </c>
      <c r="D61" s="31"/>
      <c r="E61" s="31"/>
      <c r="F61" s="31"/>
      <c r="G61" s="31"/>
      <c r="H61" s="31">
        <f t="shared" si="24"/>
        <v>23.707999999999998</v>
      </c>
      <c r="I61" s="31">
        <f t="shared" si="25"/>
        <v>62.707999999999998</v>
      </c>
      <c r="J61" s="5">
        <f t="shared" si="26"/>
        <v>86.415999999999997</v>
      </c>
    </row>
    <row r="62" spans="1:10" ht="14.1" customHeight="1" x14ac:dyDescent="0.25">
      <c r="A62" s="8" t="s">
        <v>91</v>
      </c>
      <c r="B62" s="3"/>
      <c r="C62" s="31"/>
      <c r="D62" s="31"/>
      <c r="E62" s="31"/>
      <c r="F62" s="31">
        <v>5</v>
      </c>
      <c r="G62" s="31"/>
      <c r="H62" s="31">
        <f t="shared" ref="H62:H65" si="27">H61-F62-D62+B62</f>
        <v>18.707999999999998</v>
      </c>
      <c r="I62" s="31">
        <f t="shared" ref="I62:I65" si="28">I61-E62+C62</f>
        <v>62.707999999999998</v>
      </c>
      <c r="J62" s="5">
        <f t="shared" ref="J62:J65" si="29">SUM(H62:I62)</f>
        <v>81.415999999999997</v>
      </c>
    </row>
    <row r="63" spans="1:10" ht="14.1" customHeight="1" x14ac:dyDescent="0.25">
      <c r="A63" s="8" t="s">
        <v>92</v>
      </c>
      <c r="B63" s="3">
        <v>15</v>
      </c>
      <c r="C63" s="31">
        <v>15</v>
      </c>
      <c r="D63" s="31"/>
      <c r="E63" s="31"/>
      <c r="F63" s="31"/>
      <c r="G63" s="31"/>
      <c r="H63" s="31">
        <f t="shared" si="27"/>
        <v>33.707999999999998</v>
      </c>
      <c r="I63" s="31">
        <f t="shared" si="28"/>
        <v>77.707999999999998</v>
      </c>
      <c r="J63" s="5">
        <f t="shared" si="29"/>
        <v>111.416</v>
      </c>
    </row>
    <row r="64" spans="1:10" ht="14.1" customHeight="1" x14ac:dyDescent="0.25">
      <c r="A64" s="8" t="s">
        <v>93</v>
      </c>
      <c r="B64" s="3"/>
      <c r="C64" s="31"/>
      <c r="D64" s="31">
        <v>29</v>
      </c>
      <c r="E64" s="31"/>
      <c r="F64" s="31"/>
      <c r="G64" s="31"/>
      <c r="H64" s="31">
        <f t="shared" si="27"/>
        <v>4.7079999999999984</v>
      </c>
      <c r="I64" s="31">
        <f t="shared" si="28"/>
        <v>77.707999999999998</v>
      </c>
      <c r="J64" s="5">
        <f t="shared" si="29"/>
        <v>82.415999999999997</v>
      </c>
    </row>
    <row r="65" spans="1:10" ht="14.1" customHeight="1" x14ac:dyDescent="0.25">
      <c r="A65" s="8" t="s">
        <v>94</v>
      </c>
      <c r="B65" s="3">
        <v>11.25</v>
      </c>
      <c r="C65" s="31">
        <v>11.25</v>
      </c>
      <c r="D65" s="31"/>
      <c r="E65" s="31"/>
      <c r="F65" s="31"/>
      <c r="G65" s="31"/>
      <c r="H65" s="31">
        <f t="shared" si="27"/>
        <v>15.957999999999998</v>
      </c>
      <c r="I65" s="31">
        <f t="shared" si="28"/>
        <v>88.957999999999998</v>
      </c>
      <c r="J65" s="5">
        <f t="shared" si="29"/>
        <v>104.916</v>
      </c>
    </row>
    <row r="66" spans="1:10" ht="14.1" customHeight="1" x14ac:dyDescent="0.25">
      <c r="A66" s="8" t="s">
        <v>95</v>
      </c>
      <c r="B66" s="3"/>
      <c r="C66" s="31"/>
      <c r="D66" s="31"/>
      <c r="E66" s="31">
        <v>1</v>
      </c>
      <c r="F66" s="31"/>
      <c r="G66" s="31"/>
      <c r="H66" s="31">
        <f t="shared" ref="H66:H68" si="30">H65-F66-D66+B66</f>
        <v>15.957999999999998</v>
      </c>
      <c r="I66" s="31">
        <f t="shared" ref="I66:I68" si="31">I65-E66+C66</f>
        <v>87.957999999999998</v>
      </c>
      <c r="J66" s="5">
        <f t="shared" ref="J66:J68" si="32">SUM(H66:I66)</f>
        <v>103.916</v>
      </c>
    </row>
    <row r="67" spans="1:10" ht="14.1" customHeight="1" x14ac:dyDescent="0.25">
      <c r="A67" s="8" t="s">
        <v>96</v>
      </c>
      <c r="B67" s="3"/>
      <c r="C67" s="31"/>
      <c r="D67" s="31">
        <v>10</v>
      </c>
      <c r="E67" s="31">
        <v>19</v>
      </c>
      <c r="F67" s="31"/>
      <c r="G67" s="31"/>
      <c r="H67" s="31">
        <f t="shared" si="30"/>
        <v>5.9579999999999984</v>
      </c>
      <c r="I67" s="31">
        <f t="shared" si="31"/>
        <v>68.957999999999998</v>
      </c>
      <c r="J67" s="5">
        <f t="shared" si="32"/>
        <v>74.915999999999997</v>
      </c>
    </row>
    <row r="68" spans="1:10" ht="14.1" customHeight="1" x14ac:dyDescent="0.25">
      <c r="A68" s="8" t="s">
        <v>97</v>
      </c>
      <c r="B68" s="3">
        <v>3.75</v>
      </c>
      <c r="C68" s="31">
        <v>3.75</v>
      </c>
      <c r="D68" s="31"/>
      <c r="E68" s="31"/>
      <c r="F68" s="31"/>
      <c r="G68" s="31"/>
      <c r="H68" s="31">
        <f t="shared" si="30"/>
        <v>9.7079999999999984</v>
      </c>
      <c r="I68" s="31">
        <f t="shared" si="31"/>
        <v>72.707999999999998</v>
      </c>
      <c r="J68" s="5">
        <f t="shared" si="32"/>
        <v>82.415999999999997</v>
      </c>
    </row>
    <row r="69" spans="1:10" ht="14.1" customHeight="1" x14ac:dyDescent="0.25">
      <c r="A69" s="8" t="s">
        <v>98</v>
      </c>
      <c r="B69" s="3"/>
      <c r="C69" s="31"/>
      <c r="D69" s="31"/>
      <c r="E69" s="31"/>
      <c r="F69" s="31">
        <v>5</v>
      </c>
      <c r="G69" s="31"/>
      <c r="H69" s="31">
        <f t="shared" ref="H69" si="33">H68-F69-D69+B69</f>
        <v>4.7079999999999984</v>
      </c>
      <c r="I69" s="31">
        <f t="shared" ref="I69" si="34">I68-E69+C69</f>
        <v>72.707999999999998</v>
      </c>
      <c r="J69" s="5">
        <f t="shared" ref="J69" si="35">SUM(H69:I69)</f>
        <v>77.415999999999997</v>
      </c>
    </row>
    <row r="70" spans="1:10" ht="14.1" customHeight="1" x14ac:dyDescent="0.25">
      <c r="A70" s="8" t="s">
        <v>12</v>
      </c>
      <c r="B70" s="3">
        <v>2.5</v>
      </c>
      <c r="C70" s="31">
        <v>2.5</v>
      </c>
      <c r="D70" s="31"/>
      <c r="E70" s="31"/>
      <c r="F70" s="31"/>
      <c r="G70" s="31"/>
      <c r="H70" s="31">
        <f t="shared" ref="H70:H81" si="36">H69-F70-D70+B70</f>
        <v>7.2079999999999984</v>
      </c>
      <c r="I70" s="31">
        <f t="shared" ref="I70:I81" si="37">I69-E70+C70</f>
        <v>75.207999999999998</v>
      </c>
      <c r="J70" s="5">
        <f t="shared" ref="J70:J81" si="38">SUM(H70:I70)</f>
        <v>82.415999999999997</v>
      </c>
    </row>
    <row r="71" spans="1:10" ht="14.1" customHeight="1" x14ac:dyDescent="0.25">
      <c r="A71" s="8" t="s">
        <v>11</v>
      </c>
      <c r="B71" s="3"/>
      <c r="C71" s="31"/>
      <c r="D71" s="31"/>
      <c r="E71" s="31"/>
      <c r="F71" s="31"/>
      <c r="G71" s="31">
        <v>1</v>
      </c>
      <c r="H71" s="31">
        <f t="shared" si="36"/>
        <v>7.2079999999999984</v>
      </c>
      <c r="I71" s="31">
        <f t="shared" si="37"/>
        <v>75.207999999999998</v>
      </c>
      <c r="J71" s="5">
        <f t="shared" si="38"/>
        <v>82.415999999999997</v>
      </c>
    </row>
    <row r="72" spans="1:10" ht="14.1" customHeight="1" x14ac:dyDescent="0.25">
      <c r="A72" s="8" t="s">
        <v>13</v>
      </c>
      <c r="B72" s="3">
        <v>1.25</v>
      </c>
      <c r="C72" s="31">
        <v>1.25</v>
      </c>
      <c r="D72" s="31"/>
      <c r="E72" s="31"/>
      <c r="F72" s="31"/>
      <c r="G72" s="31"/>
      <c r="H72" s="31">
        <f t="shared" si="36"/>
        <v>8.4579999999999984</v>
      </c>
      <c r="I72" s="31">
        <f t="shared" si="37"/>
        <v>76.457999999999998</v>
      </c>
      <c r="J72" s="5">
        <f t="shared" si="38"/>
        <v>84.915999999999997</v>
      </c>
    </row>
    <row r="73" spans="1:10" ht="14.1" customHeight="1" x14ac:dyDescent="0.25">
      <c r="A73" s="8" t="s">
        <v>14</v>
      </c>
      <c r="B73" s="3"/>
      <c r="C73" s="31"/>
      <c r="D73" s="31"/>
      <c r="E73" s="31">
        <v>2</v>
      </c>
      <c r="F73" s="31"/>
      <c r="G73" s="31"/>
      <c r="H73" s="31">
        <f t="shared" si="36"/>
        <v>8.4579999999999984</v>
      </c>
      <c r="I73" s="31">
        <f t="shared" si="37"/>
        <v>74.457999999999998</v>
      </c>
      <c r="J73" s="5">
        <f t="shared" si="38"/>
        <v>82.915999999999997</v>
      </c>
    </row>
    <row r="74" spans="1:10" ht="14.1" customHeight="1" x14ac:dyDescent="0.25">
      <c r="A74" s="8" t="s">
        <v>28</v>
      </c>
      <c r="B74" s="10"/>
      <c r="C74" s="31"/>
      <c r="D74" s="31"/>
      <c r="E74" s="31"/>
      <c r="F74" s="31">
        <v>2</v>
      </c>
      <c r="G74" s="31"/>
      <c r="H74" s="31">
        <f t="shared" si="36"/>
        <v>6.4579999999999984</v>
      </c>
      <c r="I74" s="31">
        <f t="shared" si="37"/>
        <v>74.457999999999998</v>
      </c>
      <c r="J74" s="5">
        <f t="shared" si="38"/>
        <v>80.915999999999997</v>
      </c>
    </row>
    <row r="75" spans="1:10" ht="14.1" customHeight="1" x14ac:dyDescent="0.25">
      <c r="A75" s="8" t="s">
        <v>15</v>
      </c>
      <c r="B75" s="3">
        <v>2.5</v>
      </c>
      <c r="C75" s="31">
        <v>2.5</v>
      </c>
      <c r="D75" s="31"/>
      <c r="E75" s="31"/>
      <c r="F75" s="31"/>
      <c r="G75" s="31"/>
      <c r="H75" s="31">
        <f t="shared" si="36"/>
        <v>8.9579999999999984</v>
      </c>
      <c r="I75" s="31">
        <f t="shared" si="37"/>
        <v>76.957999999999998</v>
      </c>
      <c r="J75" s="5">
        <f t="shared" si="38"/>
        <v>85.915999999999997</v>
      </c>
    </row>
    <row r="76" spans="1:10" ht="14.1" customHeight="1" x14ac:dyDescent="0.25">
      <c r="A76" s="8" t="s">
        <v>16</v>
      </c>
      <c r="B76" s="3"/>
      <c r="C76" s="31"/>
      <c r="D76" s="31"/>
      <c r="E76" s="31">
        <v>1</v>
      </c>
      <c r="F76" s="31"/>
      <c r="G76" s="31"/>
      <c r="H76" s="31">
        <f t="shared" si="36"/>
        <v>8.9579999999999984</v>
      </c>
      <c r="I76" s="31">
        <f t="shared" si="37"/>
        <v>75.957999999999998</v>
      </c>
      <c r="J76" s="5">
        <f t="shared" si="38"/>
        <v>84.915999999999997</v>
      </c>
    </row>
    <row r="77" spans="1:10" ht="14.1" customHeight="1" x14ac:dyDescent="0.25">
      <c r="A77" s="8" t="s">
        <v>17</v>
      </c>
      <c r="B77" s="3"/>
      <c r="C77" s="31"/>
      <c r="D77" s="31"/>
      <c r="E77" s="31"/>
      <c r="F77" s="31"/>
      <c r="G77" s="31">
        <v>1</v>
      </c>
      <c r="H77" s="31">
        <f t="shared" si="36"/>
        <v>8.9579999999999984</v>
      </c>
      <c r="I77" s="31">
        <f t="shared" si="37"/>
        <v>75.957999999999998</v>
      </c>
      <c r="J77" s="5">
        <f t="shared" si="38"/>
        <v>84.915999999999997</v>
      </c>
    </row>
    <row r="78" spans="1:10" ht="14.1" customHeight="1" x14ac:dyDescent="0.25">
      <c r="A78" s="8" t="s">
        <v>18</v>
      </c>
      <c r="B78" s="3">
        <v>2.5</v>
      </c>
      <c r="C78" s="31">
        <v>2.5</v>
      </c>
      <c r="D78" s="31"/>
      <c r="E78" s="31"/>
      <c r="F78" s="31"/>
      <c r="G78" s="31"/>
      <c r="H78" s="31">
        <f t="shared" si="36"/>
        <v>11.457999999999998</v>
      </c>
      <c r="I78" s="31">
        <f t="shared" si="37"/>
        <v>78.457999999999998</v>
      </c>
      <c r="J78" s="5">
        <f t="shared" si="38"/>
        <v>89.915999999999997</v>
      </c>
    </row>
    <row r="79" spans="1:10" ht="14.1" customHeight="1" x14ac:dyDescent="0.25">
      <c r="A79" s="8" t="s">
        <v>19</v>
      </c>
      <c r="B79" s="3"/>
      <c r="C79" s="31"/>
      <c r="D79" s="31"/>
      <c r="E79" s="31">
        <v>2</v>
      </c>
      <c r="F79" s="31"/>
      <c r="G79" s="31"/>
      <c r="H79" s="31">
        <f t="shared" si="36"/>
        <v>11.457999999999998</v>
      </c>
      <c r="I79" s="31">
        <f t="shared" si="37"/>
        <v>76.457999999999998</v>
      </c>
      <c r="J79" s="5">
        <f t="shared" si="38"/>
        <v>87.915999999999997</v>
      </c>
    </row>
    <row r="80" spans="1:10" ht="14.1" customHeight="1" x14ac:dyDescent="0.25">
      <c r="A80" s="8" t="s">
        <v>20</v>
      </c>
      <c r="B80" s="3"/>
      <c r="C80" s="31"/>
      <c r="D80" s="31"/>
      <c r="E80" s="31"/>
      <c r="F80" s="31"/>
      <c r="G80" s="31">
        <v>1</v>
      </c>
      <c r="H80" s="31">
        <f t="shared" si="36"/>
        <v>11.457999999999998</v>
      </c>
      <c r="I80" s="31">
        <f t="shared" si="37"/>
        <v>76.457999999999998</v>
      </c>
      <c r="J80" s="5">
        <f t="shared" si="38"/>
        <v>87.915999999999997</v>
      </c>
    </row>
    <row r="81" spans="1:10" ht="14.1" customHeight="1" x14ac:dyDescent="0.25">
      <c r="A81" s="8" t="s">
        <v>21</v>
      </c>
      <c r="B81" s="3"/>
      <c r="C81" s="31"/>
      <c r="D81" s="31"/>
      <c r="E81" s="31">
        <v>1</v>
      </c>
      <c r="F81" s="31"/>
      <c r="G81" s="31"/>
      <c r="H81" s="31">
        <f t="shared" si="36"/>
        <v>11.457999999999998</v>
      </c>
      <c r="I81" s="31">
        <f t="shared" si="37"/>
        <v>75.457999999999998</v>
      </c>
      <c r="J81" s="5">
        <f t="shared" si="38"/>
        <v>86.915999999999997</v>
      </c>
    </row>
    <row r="82" spans="1:10" ht="14.1" customHeight="1" x14ac:dyDescent="0.25">
      <c r="A82" s="8" t="s">
        <v>23</v>
      </c>
      <c r="B82" s="3"/>
      <c r="C82" s="31"/>
      <c r="D82" s="31"/>
      <c r="E82" s="31">
        <v>1</v>
      </c>
      <c r="F82" s="31"/>
      <c r="G82" s="31"/>
      <c r="H82" s="31">
        <f t="shared" ref="H82:H108" si="39">H81-F82-D82+B82</f>
        <v>11.457999999999998</v>
      </c>
      <c r="I82" s="31">
        <f t="shared" ref="I82:I108" si="40">I81-E82+C82</f>
        <v>74.457999999999998</v>
      </c>
      <c r="J82" s="5">
        <f t="shared" ref="J82:J108" si="41">SUM(H82:I82)</f>
        <v>85.915999999999997</v>
      </c>
    </row>
    <row r="83" spans="1:10" ht="14.1" customHeight="1" x14ac:dyDescent="0.25">
      <c r="A83" s="8" t="s">
        <v>24</v>
      </c>
      <c r="B83" s="3"/>
      <c r="C83" s="31"/>
      <c r="D83" s="31"/>
      <c r="E83" s="31">
        <v>4</v>
      </c>
      <c r="F83" s="31"/>
      <c r="G83" s="31"/>
      <c r="H83" s="31">
        <f t="shared" si="39"/>
        <v>11.457999999999998</v>
      </c>
      <c r="I83" s="31">
        <f t="shared" si="40"/>
        <v>70.457999999999998</v>
      </c>
      <c r="J83" s="5">
        <f t="shared" si="41"/>
        <v>81.915999999999997</v>
      </c>
    </row>
    <row r="84" spans="1:10" ht="14.1" customHeight="1" x14ac:dyDescent="0.25">
      <c r="A84" s="8" t="s">
        <v>22</v>
      </c>
      <c r="B84" s="3">
        <v>1.25</v>
      </c>
      <c r="C84" s="31">
        <v>1.25</v>
      </c>
      <c r="D84" s="31"/>
      <c r="E84" s="31"/>
      <c r="F84" s="31"/>
      <c r="G84" s="31"/>
      <c r="H84" s="31">
        <f t="shared" si="39"/>
        <v>12.707999999999998</v>
      </c>
      <c r="I84" s="31">
        <f t="shared" si="40"/>
        <v>71.707999999999998</v>
      </c>
      <c r="J84" s="5">
        <f t="shared" si="41"/>
        <v>84.415999999999997</v>
      </c>
    </row>
    <row r="85" spans="1:10" ht="14.1" customHeight="1" x14ac:dyDescent="0.25">
      <c r="A85" s="8" t="s">
        <v>26</v>
      </c>
      <c r="B85" s="3"/>
      <c r="C85" s="31"/>
      <c r="D85" s="31"/>
      <c r="E85" s="31">
        <v>2</v>
      </c>
      <c r="F85" s="31"/>
      <c r="G85" s="31"/>
      <c r="H85" s="31">
        <f t="shared" si="39"/>
        <v>12.707999999999998</v>
      </c>
      <c r="I85" s="31">
        <f t="shared" si="40"/>
        <v>69.707999999999998</v>
      </c>
      <c r="J85" s="5">
        <f t="shared" si="41"/>
        <v>82.415999999999997</v>
      </c>
    </row>
    <row r="86" spans="1:10" ht="14.1" customHeight="1" x14ac:dyDescent="0.25">
      <c r="A86" s="22" t="s">
        <v>25</v>
      </c>
      <c r="B86" s="3"/>
      <c r="C86" s="31"/>
      <c r="D86" s="31">
        <v>10</v>
      </c>
      <c r="E86" s="31">
        <v>19</v>
      </c>
      <c r="F86" s="31"/>
      <c r="G86" s="31"/>
      <c r="H86" s="31">
        <f t="shared" si="39"/>
        <v>2.7079999999999984</v>
      </c>
      <c r="I86" s="31">
        <f t="shared" si="40"/>
        <v>50.707999999999998</v>
      </c>
      <c r="J86" s="5">
        <f t="shared" si="41"/>
        <v>53.415999999999997</v>
      </c>
    </row>
    <row r="87" spans="1:10" ht="14.1" customHeight="1" x14ac:dyDescent="0.25">
      <c r="A87" s="8" t="s">
        <v>27</v>
      </c>
      <c r="B87" s="3">
        <v>2.5</v>
      </c>
      <c r="C87" s="31">
        <v>2.5</v>
      </c>
      <c r="D87" s="31"/>
      <c r="E87" s="31"/>
      <c r="F87" s="31"/>
      <c r="G87" s="31"/>
      <c r="H87" s="31">
        <f t="shared" si="39"/>
        <v>5.2079999999999984</v>
      </c>
      <c r="I87" s="31">
        <f t="shared" si="40"/>
        <v>53.207999999999998</v>
      </c>
      <c r="J87" s="5">
        <f t="shared" si="41"/>
        <v>58.415999999999997</v>
      </c>
    </row>
    <row r="88" spans="1:10" ht="14.1" customHeight="1" x14ac:dyDescent="0.25">
      <c r="A88" s="8" t="s">
        <v>29</v>
      </c>
      <c r="B88" s="3"/>
      <c r="C88" s="31"/>
      <c r="D88" s="31"/>
      <c r="E88" s="31"/>
      <c r="F88" s="31">
        <v>2</v>
      </c>
      <c r="G88" s="31"/>
      <c r="H88" s="31">
        <f t="shared" si="39"/>
        <v>3.2079999999999984</v>
      </c>
      <c r="I88" s="31">
        <f t="shared" si="40"/>
        <v>53.207999999999998</v>
      </c>
      <c r="J88" s="5">
        <f t="shared" si="41"/>
        <v>56.415999999999997</v>
      </c>
    </row>
    <row r="89" spans="1:10" ht="14.1" customHeight="1" x14ac:dyDescent="0.25">
      <c r="A89" s="8" t="s">
        <v>30</v>
      </c>
      <c r="B89" s="3">
        <v>1.25</v>
      </c>
      <c r="C89" s="31">
        <v>1.25</v>
      </c>
      <c r="D89" s="31"/>
      <c r="E89" s="31"/>
      <c r="F89" s="31"/>
      <c r="G89" s="31"/>
      <c r="H89" s="31">
        <f t="shared" si="39"/>
        <v>4.4579999999999984</v>
      </c>
      <c r="I89" s="31">
        <f t="shared" si="40"/>
        <v>54.457999999999998</v>
      </c>
      <c r="J89" s="5">
        <f t="shared" si="41"/>
        <v>58.915999999999997</v>
      </c>
    </row>
    <row r="90" spans="1:10" ht="14.1" customHeight="1" x14ac:dyDescent="0.25">
      <c r="A90" s="8" t="s">
        <v>31</v>
      </c>
      <c r="B90" s="41"/>
      <c r="C90" s="42"/>
      <c r="D90" s="42"/>
      <c r="E90" s="43">
        <v>2</v>
      </c>
      <c r="F90" s="42"/>
      <c r="G90" s="42"/>
      <c r="H90" s="31">
        <f t="shared" si="39"/>
        <v>4.4579999999999984</v>
      </c>
      <c r="I90" s="31">
        <f t="shared" si="40"/>
        <v>52.457999999999998</v>
      </c>
      <c r="J90" s="5">
        <f t="shared" si="41"/>
        <v>56.915999999999997</v>
      </c>
    </row>
    <row r="91" spans="1:10" ht="14.1" customHeight="1" x14ac:dyDescent="0.25">
      <c r="A91" s="8" t="s">
        <v>32</v>
      </c>
      <c r="B91" s="3">
        <v>1.25</v>
      </c>
      <c r="C91" s="31">
        <v>1.25</v>
      </c>
      <c r="D91" s="11"/>
      <c r="E91" s="11"/>
      <c r="F91" s="11"/>
      <c r="G91" s="11"/>
      <c r="H91" s="31">
        <f t="shared" si="39"/>
        <v>5.7079999999999984</v>
      </c>
      <c r="I91" s="31">
        <f t="shared" si="40"/>
        <v>53.707999999999998</v>
      </c>
      <c r="J91" s="5">
        <f t="shared" si="41"/>
        <v>59.415999999999997</v>
      </c>
    </row>
    <row r="92" spans="1:10" ht="14.1" customHeight="1" x14ac:dyDescent="0.25">
      <c r="A92" s="8" t="s">
        <v>33</v>
      </c>
      <c r="B92" s="11"/>
      <c r="C92" s="11"/>
      <c r="D92" s="11"/>
      <c r="E92" s="11"/>
      <c r="F92" s="11">
        <v>1</v>
      </c>
      <c r="G92" s="11"/>
      <c r="H92" s="31">
        <f t="shared" si="39"/>
        <v>4.7079999999999984</v>
      </c>
      <c r="I92" s="31">
        <f t="shared" si="40"/>
        <v>53.707999999999998</v>
      </c>
      <c r="J92" s="5">
        <f t="shared" si="41"/>
        <v>58.415999999999997</v>
      </c>
    </row>
    <row r="93" spans="1:10" ht="14.1" customHeight="1" x14ac:dyDescent="0.25">
      <c r="A93" s="8" t="s">
        <v>34</v>
      </c>
      <c r="B93" s="11"/>
      <c r="C93" s="11"/>
      <c r="D93" s="11"/>
      <c r="E93" s="11">
        <v>6</v>
      </c>
      <c r="F93" s="11"/>
      <c r="G93" s="11"/>
      <c r="H93" s="31">
        <f t="shared" si="39"/>
        <v>4.7079999999999984</v>
      </c>
      <c r="I93" s="31">
        <f t="shared" si="40"/>
        <v>47.707999999999998</v>
      </c>
      <c r="J93" s="5">
        <f t="shared" si="41"/>
        <v>52.415999999999997</v>
      </c>
    </row>
    <row r="94" spans="1:10" ht="14.1" customHeight="1" x14ac:dyDescent="0.25">
      <c r="A94" s="8" t="s">
        <v>99</v>
      </c>
      <c r="B94" s="11">
        <v>3.75</v>
      </c>
      <c r="C94" s="11">
        <v>3.75</v>
      </c>
      <c r="D94" s="12"/>
      <c r="E94" s="12"/>
      <c r="F94" s="12"/>
      <c r="G94" s="12"/>
      <c r="H94" s="31">
        <f t="shared" si="39"/>
        <v>8.4579999999999984</v>
      </c>
      <c r="I94" s="31">
        <f t="shared" si="40"/>
        <v>51.457999999999998</v>
      </c>
      <c r="J94" s="5">
        <f t="shared" si="41"/>
        <v>59.915999999999997</v>
      </c>
    </row>
    <row r="95" spans="1:10" ht="14.1" customHeight="1" x14ac:dyDescent="0.25">
      <c r="A95" s="8" t="s">
        <v>100</v>
      </c>
      <c r="B95" s="12"/>
      <c r="C95" s="12"/>
      <c r="D95" s="12"/>
      <c r="E95" s="12"/>
      <c r="F95" s="11">
        <v>1</v>
      </c>
      <c r="G95" s="12"/>
      <c r="H95" s="31">
        <f t="shared" si="39"/>
        <v>7.4579999999999984</v>
      </c>
      <c r="I95" s="31">
        <f t="shared" si="40"/>
        <v>51.457999999999998</v>
      </c>
      <c r="J95" s="5">
        <f t="shared" si="41"/>
        <v>58.915999999999997</v>
      </c>
    </row>
    <row r="96" spans="1:10" ht="14.1" customHeight="1" x14ac:dyDescent="0.25">
      <c r="A96" s="8" t="s">
        <v>112</v>
      </c>
      <c r="B96" s="3">
        <v>1.25</v>
      </c>
      <c r="C96" s="31">
        <v>1.25</v>
      </c>
      <c r="D96" s="12"/>
      <c r="E96" s="12"/>
      <c r="F96" s="12"/>
      <c r="G96" s="12"/>
      <c r="H96" s="31">
        <f t="shared" si="39"/>
        <v>8.7079999999999984</v>
      </c>
      <c r="I96" s="31">
        <f t="shared" si="40"/>
        <v>52.707999999999998</v>
      </c>
      <c r="J96" s="5">
        <f t="shared" si="41"/>
        <v>61.415999999999997</v>
      </c>
    </row>
    <row r="97" spans="1:10" ht="14.1" customHeight="1" x14ac:dyDescent="0.25">
      <c r="A97" s="8" t="s">
        <v>119</v>
      </c>
      <c r="B97" s="9"/>
      <c r="C97" s="9"/>
      <c r="D97" s="9"/>
      <c r="E97" s="11">
        <v>5</v>
      </c>
      <c r="F97" s="9"/>
      <c r="G97" s="9"/>
      <c r="H97" s="31">
        <f t="shared" si="39"/>
        <v>8.7079999999999984</v>
      </c>
      <c r="I97" s="31">
        <f t="shared" si="40"/>
        <v>47.707999999999998</v>
      </c>
      <c r="J97" s="5">
        <f t="shared" si="41"/>
        <v>56.415999999999997</v>
      </c>
    </row>
    <row r="98" spans="1:10" ht="14.1" customHeight="1" x14ac:dyDescent="0.25">
      <c r="A98" s="8" t="s">
        <v>120</v>
      </c>
      <c r="B98" s="3">
        <v>1.25</v>
      </c>
      <c r="C98" s="31">
        <v>1.25</v>
      </c>
      <c r="D98" s="22"/>
      <c r="E98" s="22"/>
      <c r="F98" s="22"/>
      <c r="G98" s="22"/>
      <c r="H98" s="31">
        <f t="shared" si="39"/>
        <v>9.9579999999999984</v>
      </c>
      <c r="I98" s="31">
        <f t="shared" si="40"/>
        <v>48.957999999999998</v>
      </c>
      <c r="J98" s="5">
        <f t="shared" si="41"/>
        <v>58.915999999999997</v>
      </c>
    </row>
    <row r="99" spans="1:10" ht="14.1" customHeight="1" x14ac:dyDescent="0.25">
      <c r="A99" s="8" t="s">
        <v>121</v>
      </c>
      <c r="B99" s="9"/>
      <c r="C99" s="22"/>
      <c r="D99" s="22"/>
      <c r="E99" s="11">
        <v>1</v>
      </c>
      <c r="F99" s="22"/>
      <c r="G99" s="22"/>
      <c r="H99" s="31">
        <f t="shared" si="39"/>
        <v>9.9579999999999984</v>
      </c>
      <c r="I99" s="31">
        <f t="shared" si="40"/>
        <v>47.957999999999998</v>
      </c>
      <c r="J99" s="5">
        <f t="shared" si="41"/>
        <v>57.915999999999997</v>
      </c>
    </row>
    <row r="100" spans="1:10" ht="14.1" customHeight="1" x14ac:dyDescent="0.25">
      <c r="A100" s="8" t="s">
        <v>122</v>
      </c>
      <c r="B100" s="9"/>
      <c r="C100" s="22"/>
      <c r="D100" s="22"/>
      <c r="E100" s="11">
        <v>1</v>
      </c>
      <c r="F100" s="22"/>
      <c r="G100" s="22"/>
      <c r="H100" s="31">
        <f t="shared" si="39"/>
        <v>9.9579999999999984</v>
      </c>
      <c r="I100" s="31">
        <f t="shared" si="40"/>
        <v>46.957999999999998</v>
      </c>
      <c r="J100" s="5">
        <f t="shared" si="41"/>
        <v>56.915999999999997</v>
      </c>
    </row>
    <row r="101" spans="1:10" ht="14.1" customHeight="1" x14ac:dyDescent="0.25">
      <c r="A101" s="8" t="s">
        <v>123</v>
      </c>
      <c r="B101" s="3">
        <v>1.25</v>
      </c>
      <c r="C101" s="31">
        <v>1.25</v>
      </c>
      <c r="D101" s="9"/>
      <c r="E101" s="9"/>
      <c r="F101" s="9"/>
      <c r="G101" s="9"/>
      <c r="H101" s="31">
        <f t="shared" si="39"/>
        <v>11.207999999999998</v>
      </c>
      <c r="I101" s="31">
        <f t="shared" si="40"/>
        <v>48.207999999999998</v>
      </c>
      <c r="J101" s="5">
        <f t="shared" si="41"/>
        <v>59.415999999999997</v>
      </c>
    </row>
    <row r="102" spans="1:10" ht="14.1" customHeight="1" x14ac:dyDescent="0.25">
      <c r="A102" s="8" t="s">
        <v>124</v>
      </c>
      <c r="B102" s="9"/>
      <c r="C102" s="9"/>
      <c r="D102" s="9"/>
      <c r="E102" s="9"/>
      <c r="F102" s="11">
        <v>1</v>
      </c>
      <c r="G102" s="9"/>
      <c r="H102" s="31">
        <f t="shared" si="39"/>
        <v>10.207999999999998</v>
      </c>
      <c r="I102" s="31">
        <f t="shared" si="40"/>
        <v>48.207999999999998</v>
      </c>
      <c r="J102" s="5">
        <f t="shared" si="41"/>
        <v>58.415999999999997</v>
      </c>
    </row>
    <row r="103" spans="1:10" ht="14.1" customHeight="1" x14ac:dyDescent="0.25">
      <c r="A103" s="8" t="s">
        <v>125</v>
      </c>
      <c r="B103" s="9"/>
      <c r="C103" s="9"/>
      <c r="D103" s="9"/>
      <c r="E103" s="11">
        <v>1</v>
      </c>
      <c r="F103" s="9"/>
      <c r="G103" s="9"/>
      <c r="H103" s="31">
        <f t="shared" si="39"/>
        <v>10.207999999999998</v>
      </c>
      <c r="I103" s="31">
        <f t="shared" si="40"/>
        <v>47.207999999999998</v>
      </c>
      <c r="J103" s="5">
        <f t="shared" si="41"/>
        <v>57.415999999999997</v>
      </c>
    </row>
    <row r="104" spans="1:10" s="23" customFormat="1" ht="14.1" customHeight="1" x14ac:dyDescent="0.25">
      <c r="A104" s="8" t="s">
        <v>126</v>
      </c>
      <c r="B104" s="24">
        <v>2.5</v>
      </c>
      <c r="C104" s="24">
        <v>2.5</v>
      </c>
      <c r="D104" s="24"/>
      <c r="E104" s="24"/>
      <c r="F104" s="24"/>
      <c r="G104" s="24"/>
      <c r="H104" s="31">
        <f t="shared" si="39"/>
        <v>12.707999999999998</v>
      </c>
      <c r="I104" s="31">
        <f t="shared" si="40"/>
        <v>49.707999999999998</v>
      </c>
      <c r="J104" s="5">
        <f t="shared" si="41"/>
        <v>62.415999999999997</v>
      </c>
    </row>
    <row r="105" spans="1:10" ht="14.1" customHeight="1" x14ac:dyDescent="0.25">
      <c r="A105" s="8" t="s">
        <v>127</v>
      </c>
      <c r="B105" s="9"/>
      <c r="C105" s="9"/>
      <c r="D105" s="11">
        <v>5</v>
      </c>
      <c r="E105" s="11">
        <v>24</v>
      </c>
      <c r="F105" s="9"/>
      <c r="G105" s="9"/>
      <c r="H105" s="31">
        <f t="shared" si="39"/>
        <v>7.7079999999999984</v>
      </c>
      <c r="I105" s="31">
        <f t="shared" si="40"/>
        <v>25.707999999999998</v>
      </c>
      <c r="J105" s="5">
        <f t="shared" si="41"/>
        <v>33.415999999999997</v>
      </c>
    </row>
    <row r="106" spans="1:10" ht="14.1" customHeight="1" x14ac:dyDescent="0.25">
      <c r="A106" s="22" t="s">
        <v>128</v>
      </c>
      <c r="B106" s="22">
        <f>3*1.25</f>
        <v>3.75</v>
      </c>
      <c r="C106" s="22">
        <v>3.75</v>
      </c>
      <c r="D106" s="22"/>
      <c r="E106" s="22"/>
      <c r="F106" s="22"/>
      <c r="G106" s="22"/>
      <c r="H106" s="31">
        <f t="shared" si="39"/>
        <v>11.457999999999998</v>
      </c>
      <c r="I106" s="31">
        <f t="shared" si="40"/>
        <v>29.457999999999998</v>
      </c>
      <c r="J106" s="5">
        <f t="shared" si="41"/>
        <v>40.915999999999997</v>
      </c>
    </row>
    <row r="107" spans="1:10" ht="14.1" customHeight="1" x14ac:dyDescent="0.25">
      <c r="A107" s="22" t="s">
        <v>129</v>
      </c>
      <c r="B107" s="22"/>
      <c r="C107" s="22"/>
      <c r="D107" s="22"/>
      <c r="E107" s="22">
        <v>4</v>
      </c>
      <c r="F107" s="22"/>
      <c r="G107" s="22"/>
      <c r="H107" s="31">
        <f t="shared" si="39"/>
        <v>11.457999999999998</v>
      </c>
      <c r="I107" s="31">
        <f t="shared" si="40"/>
        <v>25.457999999999998</v>
      </c>
      <c r="J107" s="5">
        <f t="shared" si="41"/>
        <v>36.915999999999997</v>
      </c>
    </row>
    <row r="108" spans="1:10" ht="14.1" customHeight="1" x14ac:dyDescent="0.25">
      <c r="A108" s="22" t="s">
        <v>131</v>
      </c>
      <c r="B108" s="22">
        <v>1.25</v>
      </c>
      <c r="C108" s="22">
        <v>1.25</v>
      </c>
      <c r="D108" s="22"/>
      <c r="E108" s="22"/>
      <c r="F108" s="22"/>
      <c r="G108" s="22"/>
      <c r="H108" s="31">
        <f t="shared" si="39"/>
        <v>12.707999999999998</v>
      </c>
      <c r="I108" s="31">
        <f t="shared" si="40"/>
        <v>26.707999999999998</v>
      </c>
      <c r="J108" s="5">
        <f t="shared" si="41"/>
        <v>39.415999999999997</v>
      </c>
    </row>
    <row r="109" spans="1:10" ht="14.1" customHeight="1" x14ac:dyDescent="0.25">
      <c r="A109" s="22" t="s">
        <v>133</v>
      </c>
      <c r="B109" s="22"/>
      <c r="C109" s="22"/>
      <c r="D109" s="22"/>
      <c r="E109" s="22"/>
      <c r="F109" s="22">
        <v>3</v>
      </c>
      <c r="G109" s="22"/>
      <c r="H109" s="31">
        <f t="shared" ref="H109:H130" si="42">H108-F109-D109+B109</f>
        <v>9.7079999999999984</v>
      </c>
      <c r="I109" s="31">
        <f t="shared" ref="I109:I130" si="43">I108-E109+C109</f>
        <v>26.707999999999998</v>
      </c>
      <c r="J109" s="5">
        <f t="shared" ref="J109:J130" si="44">SUM(H109:I109)</f>
        <v>36.415999999999997</v>
      </c>
    </row>
    <row r="110" spans="1:10" ht="14.1" customHeight="1" x14ac:dyDescent="0.25">
      <c r="A110" s="22" t="s">
        <v>130</v>
      </c>
      <c r="B110" s="22">
        <v>1.25</v>
      </c>
      <c r="C110" s="22">
        <v>1.25</v>
      </c>
      <c r="D110" s="22"/>
      <c r="E110" s="22"/>
      <c r="F110" s="22"/>
      <c r="G110" s="22"/>
      <c r="H110" s="31">
        <f t="shared" si="42"/>
        <v>10.957999999999998</v>
      </c>
      <c r="I110" s="31">
        <f t="shared" si="43"/>
        <v>27.957999999999998</v>
      </c>
      <c r="J110" s="5">
        <f t="shared" si="44"/>
        <v>38.915999999999997</v>
      </c>
    </row>
    <row r="111" spans="1:10" ht="14.1" customHeight="1" x14ac:dyDescent="0.25">
      <c r="A111" s="22" t="s">
        <v>134</v>
      </c>
      <c r="B111" s="22">
        <v>1.25</v>
      </c>
      <c r="C111" s="22">
        <v>1.25</v>
      </c>
      <c r="D111" s="22"/>
      <c r="E111" s="22"/>
      <c r="F111" s="22"/>
      <c r="G111" s="22"/>
      <c r="H111" s="31">
        <f t="shared" si="42"/>
        <v>12.207999999999998</v>
      </c>
      <c r="I111" s="31">
        <f t="shared" si="43"/>
        <v>29.207999999999998</v>
      </c>
      <c r="J111" s="5">
        <f t="shared" si="44"/>
        <v>41.415999999999997</v>
      </c>
    </row>
    <row r="112" spans="1:10" ht="14.1" customHeight="1" x14ac:dyDescent="0.25">
      <c r="A112" s="22" t="s">
        <v>132</v>
      </c>
      <c r="B112" s="22"/>
      <c r="C112" s="22"/>
      <c r="D112" s="22"/>
      <c r="E112" s="22"/>
      <c r="F112" s="22">
        <v>2</v>
      </c>
      <c r="G112" s="22"/>
      <c r="H112" s="31">
        <f t="shared" si="42"/>
        <v>10.207999999999998</v>
      </c>
      <c r="I112" s="31">
        <f t="shared" si="43"/>
        <v>29.207999999999998</v>
      </c>
      <c r="J112" s="5">
        <f t="shared" si="44"/>
        <v>39.415999999999997</v>
      </c>
    </row>
    <row r="113" spans="1:10" ht="14.1" customHeight="1" x14ac:dyDescent="0.25">
      <c r="A113" s="22" t="s">
        <v>135</v>
      </c>
      <c r="B113" s="22">
        <v>2.5</v>
      </c>
      <c r="C113" s="22">
        <v>2.5</v>
      </c>
      <c r="D113" s="22"/>
      <c r="E113" s="22"/>
      <c r="F113" s="22"/>
      <c r="G113" s="22"/>
      <c r="H113" s="31">
        <f t="shared" si="42"/>
        <v>12.707999999999998</v>
      </c>
      <c r="I113" s="31">
        <f t="shared" si="43"/>
        <v>31.707999999999998</v>
      </c>
      <c r="J113" s="5">
        <f t="shared" si="44"/>
        <v>44.415999999999997</v>
      </c>
    </row>
    <row r="114" spans="1:10" ht="14.1" customHeight="1" x14ac:dyDescent="0.25">
      <c r="A114" s="22" t="s">
        <v>136</v>
      </c>
      <c r="B114" s="22"/>
      <c r="C114" s="22"/>
      <c r="D114" s="22"/>
      <c r="E114" s="22">
        <v>2</v>
      </c>
      <c r="F114" s="22"/>
      <c r="G114" s="22"/>
      <c r="H114" s="31">
        <f t="shared" si="42"/>
        <v>12.707999999999998</v>
      </c>
      <c r="I114" s="31">
        <f t="shared" si="43"/>
        <v>29.707999999999998</v>
      </c>
      <c r="J114" s="5">
        <f t="shared" si="44"/>
        <v>42.415999999999997</v>
      </c>
    </row>
    <row r="115" spans="1:10" ht="14.1" customHeight="1" x14ac:dyDescent="0.25">
      <c r="A115" s="22" t="s">
        <v>137</v>
      </c>
      <c r="B115" s="22"/>
      <c r="C115" s="22"/>
      <c r="D115" s="22"/>
      <c r="E115" s="22">
        <v>1</v>
      </c>
      <c r="F115" s="22"/>
      <c r="G115" s="22"/>
      <c r="H115" s="31">
        <f t="shared" si="42"/>
        <v>12.707999999999998</v>
      </c>
      <c r="I115" s="31">
        <f t="shared" si="43"/>
        <v>28.707999999999998</v>
      </c>
      <c r="J115" s="5">
        <f t="shared" si="44"/>
        <v>41.415999999999997</v>
      </c>
    </row>
    <row r="116" spans="1:10" ht="14.1" customHeight="1" x14ac:dyDescent="0.25">
      <c r="A116" s="22" t="s">
        <v>138</v>
      </c>
      <c r="B116" s="22">
        <v>3.75</v>
      </c>
      <c r="C116" s="22">
        <v>3.75</v>
      </c>
      <c r="D116" s="22"/>
      <c r="E116" s="22"/>
      <c r="F116" s="22"/>
      <c r="G116" s="22"/>
      <c r="H116" s="31">
        <f t="shared" si="42"/>
        <v>16.457999999999998</v>
      </c>
      <c r="I116" s="31">
        <f t="shared" si="43"/>
        <v>32.457999999999998</v>
      </c>
      <c r="J116" s="5">
        <f t="shared" si="44"/>
        <v>48.915999999999997</v>
      </c>
    </row>
    <row r="117" spans="1:10" ht="14.1" customHeight="1" x14ac:dyDescent="0.25">
      <c r="A117" s="22" t="s">
        <v>140</v>
      </c>
      <c r="B117" s="22"/>
      <c r="C117" s="22"/>
      <c r="D117" s="22">
        <v>10</v>
      </c>
      <c r="E117" s="22"/>
      <c r="F117" s="22"/>
      <c r="G117" s="22"/>
      <c r="H117" s="31">
        <f t="shared" si="42"/>
        <v>6.4579999999999984</v>
      </c>
      <c r="I117" s="31">
        <f t="shared" si="43"/>
        <v>32.457999999999998</v>
      </c>
      <c r="J117" s="5">
        <f t="shared" si="44"/>
        <v>38.915999999999997</v>
      </c>
    </row>
    <row r="118" spans="1:10" ht="14.1" customHeight="1" x14ac:dyDescent="0.25">
      <c r="A118" s="22" t="s">
        <v>142</v>
      </c>
      <c r="B118" s="22">
        <v>5</v>
      </c>
      <c r="C118" s="22">
        <v>5</v>
      </c>
      <c r="D118" s="22"/>
      <c r="E118" s="22"/>
      <c r="F118" s="22"/>
      <c r="G118" s="22"/>
      <c r="H118" s="31">
        <f t="shared" si="42"/>
        <v>11.457999999999998</v>
      </c>
      <c r="I118" s="31">
        <f t="shared" si="43"/>
        <v>37.457999999999998</v>
      </c>
      <c r="J118" s="5">
        <f t="shared" si="44"/>
        <v>48.915999999999997</v>
      </c>
    </row>
    <row r="119" spans="1:10" ht="14.1" customHeight="1" x14ac:dyDescent="0.25">
      <c r="A119" s="22" t="s">
        <v>143</v>
      </c>
      <c r="B119" s="22"/>
      <c r="C119" s="22"/>
      <c r="D119" s="22"/>
      <c r="E119" s="22"/>
      <c r="F119" s="22">
        <v>2</v>
      </c>
      <c r="G119" s="22"/>
      <c r="H119" s="31">
        <f t="shared" si="42"/>
        <v>9.4579999999999984</v>
      </c>
      <c r="I119" s="31">
        <f t="shared" si="43"/>
        <v>37.457999999999998</v>
      </c>
      <c r="J119" s="5">
        <f t="shared" si="44"/>
        <v>46.915999999999997</v>
      </c>
    </row>
    <row r="120" spans="1:10" ht="14.1" customHeight="1" x14ac:dyDescent="0.25">
      <c r="A120" s="22" t="s">
        <v>144</v>
      </c>
      <c r="B120" s="22"/>
      <c r="C120" s="22"/>
      <c r="D120" s="22"/>
      <c r="E120" s="22"/>
      <c r="F120" s="22"/>
      <c r="G120" s="22">
        <v>2</v>
      </c>
      <c r="H120" s="31">
        <f t="shared" si="42"/>
        <v>9.4579999999999984</v>
      </c>
      <c r="I120" s="31">
        <f t="shared" si="43"/>
        <v>37.457999999999998</v>
      </c>
      <c r="J120" s="5">
        <f t="shared" si="44"/>
        <v>46.915999999999997</v>
      </c>
    </row>
    <row r="121" spans="1:10" ht="14.1" customHeight="1" x14ac:dyDescent="0.25">
      <c r="A121" s="22" t="s">
        <v>145</v>
      </c>
      <c r="B121" s="22">
        <v>1.25</v>
      </c>
      <c r="C121" s="22">
        <v>1.25</v>
      </c>
      <c r="D121" s="22"/>
      <c r="E121" s="22"/>
      <c r="F121" s="22"/>
      <c r="G121" s="22"/>
      <c r="H121" s="31">
        <f t="shared" si="42"/>
        <v>10.707999999999998</v>
      </c>
      <c r="I121" s="31">
        <f t="shared" si="43"/>
        <v>38.707999999999998</v>
      </c>
      <c r="J121" s="5">
        <f t="shared" si="44"/>
        <v>49.415999999999997</v>
      </c>
    </row>
    <row r="122" spans="1:10" ht="14.1" customHeight="1" x14ac:dyDescent="0.25">
      <c r="A122" s="22" t="s">
        <v>146</v>
      </c>
      <c r="B122" s="22"/>
      <c r="C122" s="22"/>
      <c r="D122" s="22"/>
      <c r="E122" s="22"/>
      <c r="F122" s="22">
        <v>1</v>
      </c>
      <c r="G122" s="22"/>
      <c r="H122" s="31">
        <f t="shared" si="42"/>
        <v>9.7079999999999984</v>
      </c>
      <c r="I122" s="31">
        <f t="shared" si="43"/>
        <v>38.707999999999998</v>
      </c>
      <c r="J122" s="5">
        <f t="shared" si="44"/>
        <v>48.415999999999997</v>
      </c>
    </row>
    <row r="123" spans="1:10" ht="14.1" customHeight="1" x14ac:dyDescent="0.25">
      <c r="A123" s="22" t="s">
        <v>147</v>
      </c>
      <c r="B123" s="22">
        <v>3.75</v>
      </c>
      <c r="C123" s="22">
        <v>3.75</v>
      </c>
      <c r="D123" s="22"/>
      <c r="E123" s="22"/>
      <c r="F123" s="22"/>
      <c r="G123" s="22"/>
      <c r="H123" s="31">
        <f t="shared" si="42"/>
        <v>13.457999999999998</v>
      </c>
      <c r="I123" s="31">
        <f t="shared" si="43"/>
        <v>42.457999999999998</v>
      </c>
      <c r="J123" s="5">
        <f t="shared" si="44"/>
        <v>55.915999999999997</v>
      </c>
    </row>
    <row r="124" spans="1:10" ht="14.25" customHeight="1" x14ac:dyDescent="0.25">
      <c r="A124" s="22" t="s">
        <v>151</v>
      </c>
      <c r="B124" s="22"/>
      <c r="C124" s="22"/>
      <c r="D124" s="22"/>
      <c r="E124" s="22"/>
      <c r="F124" s="22"/>
      <c r="G124" s="35">
        <v>2</v>
      </c>
      <c r="H124" s="31">
        <f t="shared" si="42"/>
        <v>13.457999999999998</v>
      </c>
      <c r="I124" s="31">
        <f t="shared" si="43"/>
        <v>42.457999999999998</v>
      </c>
      <c r="J124" s="5">
        <f t="shared" si="44"/>
        <v>55.915999999999997</v>
      </c>
    </row>
    <row r="125" spans="1:10" ht="14.25" customHeight="1" x14ac:dyDescent="0.25">
      <c r="A125" s="22" t="s">
        <v>152</v>
      </c>
      <c r="B125" s="22"/>
      <c r="C125" s="22"/>
      <c r="D125" s="22"/>
      <c r="E125" s="22">
        <v>1</v>
      </c>
      <c r="F125" s="22"/>
      <c r="G125" s="22"/>
      <c r="H125" s="31">
        <f t="shared" si="42"/>
        <v>13.457999999999998</v>
      </c>
      <c r="I125" s="31">
        <f t="shared" si="43"/>
        <v>41.457999999999998</v>
      </c>
      <c r="J125" s="5">
        <f t="shared" si="44"/>
        <v>54.915999999999997</v>
      </c>
    </row>
    <row r="126" spans="1:10" ht="14.25" hidden="1" customHeight="1" x14ac:dyDescent="0.25">
      <c r="A126" s="22"/>
      <c r="B126" s="22"/>
      <c r="C126" s="22"/>
      <c r="D126" s="22"/>
      <c r="E126" s="22"/>
      <c r="F126" s="22"/>
      <c r="G126" s="22"/>
      <c r="H126" s="31">
        <f t="shared" si="42"/>
        <v>13.457999999999998</v>
      </c>
      <c r="I126" s="31">
        <f t="shared" si="43"/>
        <v>41.457999999999998</v>
      </c>
      <c r="J126" s="5">
        <f t="shared" si="44"/>
        <v>54.915999999999997</v>
      </c>
    </row>
    <row r="127" spans="1:10" ht="14.25" hidden="1" customHeight="1" x14ac:dyDescent="0.25">
      <c r="A127" s="22"/>
      <c r="B127" s="22"/>
      <c r="C127" s="22"/>
      <c r="D127" s="22"/>
      <c r="E127" s="22"/>
      <c r="F127" s="22"/>
      <c r="G127" s="22"/>
      <c r="H127" s="31">
        <f t="shared" si="42"/>
        <v>13.457999999999998</v>
      </c>
      <c r="I127" s="31">
        <f t="shared" si="43"/>
        <v>41.457999999999998</v>
      </c>
      <c r="J127" s="5">
        <f t="shared" si="44"/>
        <v>54.915999999999997</v>
      </c>
    </row>
    <row r="128" spans="1:10" ht="14.1" hidden="1" customHeight="1" x14ac:dyDescent="0.25">
      <c r="A128" s="22"/>
      <c r="B128" s="22"/>
      <c r="C128" s="22"/>
      <c r="D128" s="22"/>
      <c r="E128" s="22"/>
      <c r="F128" s="22"/>
      <c r="G128" s="22"/>
      <c r="H128" s="31">
        <f t="shared" si="42"/>
        <v>13.457999999999998</v>
      </c>
      <c r="I128" s="31">
        <f t="shared" si="43"/>
        <v>41.457999999999998</v>
      </c>
      <c r="J128" s="5">
        <f t="shared" si="44"/>
        <v>54.915999999999997</v>
      </c>
    </row>
    <row r="129" spans="1:10" ht="14.1" customHeight="1" x14ac:dyDescent="0.25">
      <c r="A129" s="40" t="s">
        <v>156</v>
      </c>
      <c r="B129" s="40">
        <v>3.75</v>
      </c>
      <c r="C129" s="40">
        <v>3.75</v>
      </c>
      <c r="D129" s="40"/>
      <c r="E129" s="40"/>
      <c r="F129" s="40"/>
      <c r="G129" s="40"/>
      <c r="H129" s="31">
        <f t="shared" si="42"/>
        <v>17.207999999999998</v>
      </c>
      <c r="I129" s="31">
        <f t="shared" si="43"/>
        <v>45.207999999999998</v>
      </c>
      <c r="J129" s="5">
        <f t="shared" si="44"/>
        <v>62.415999999999997</v>
      </c>
    </row>
    <row r="130" spans="1:10" ht="14.1" customHeight="1" x14ac:dyDescent="0.25">
      <c r="A130" s="40" t="s">
        <v>157</v>
      </c>
      <c r="B130" s="40"/>
      <c r="C130" s="40"/>
      <c r="D130" s="40">
        <v>12</v>
      </c>
      <c r="E130" s="40"/>
      <c r="F130" s="40"/>
      <c r="G130" s="40"/>
      <c r="H130" s="31">
        <f t="shared" si="42"/>
        <v>5.2079999999999984</v>
      </c>
      <c r="I130" s="31">
        <f t="shared" si="43"/>
        <v>45.207999999999998</v>
      </c>
      <c r="J130" s="5">
        <f t="shared" si="44"/>
        <v>50.415999999999997</v>
      </c>
    </row>
    <row r="131" spans="1:10" ht="14.1" customHeight="1" x14ac:dyDescent="0.25">
      <c r="A131" s="40" t="s">
        <v>158</v>
      </c>
      <c r="B131" s="40"/>
      <c r="C131" s="40"/>
      <c r="D131" s="40"/>
      <c r="E131" s="40">
        <v>1</v>
      </c>
      <c r="F131" s="40"/>
      <c r="G131" s="40"/>
      <c r="H131" s="31">
        <f t="shared" ref="H131" si="45">H130-F131-D131+B131</f>
        <v>5.2079999999999984</v>
      </c>
      <c r="I131" s="31">
        <f t="shared" ref="I131" si="46">I130-E131+C131</f>
        <v>44.207999999999998</v>
      </c>
      <c r="J131" s="5">
        <f t="shared" ref="J131" si="47">SUM(H131:I131)</f>
        <v>49.415999999999997</v>
      </c>
    </row>
    <row r="132" spans="1:10" ht="14.1" customHeight="1" x14ac:dyDescent="0.25">
      <c r="A132" s="23"/>
      <c r="B132" s="23"/>
      <c r="C132" s="23"/>
      <c r="D132" s="23"/>
      <c r="E132" s="23"/>
      <c r="F132" s="23"/>
      <c r="G132" s="23"/>
      <c r="H132" s="32"/>
      <c r="I132" s="32"/>
      <c r="J132" s="23"/>
    </row>
    <row r="133" spans="1:10" ht="14.1" customHeight="1" x14ac:dyDescent="0.25">
      <c r="A133" s="23"/>
      <c r="B133" s="23"/>
      <c r="C133" s="23"/>
      <c r="D133" s="23"/>
      <c r="E133" s="23"/>
      <c r="F133" s="23"/>
      <c r="G133" s="23"/>
      <c r="H133" s="32"/>
      <c r="I133" s="32"/>
      <c r="J133" s="23"/>
    </row>
    <row r="134" spans="1:10" s="1" customFormat="1" ht="14.1" customHeight="1" x14ac:dyDescent="0.25">
      <c r="G134" s="1" t="s">
        <v>108</v>
      </c>
      <c r="H134"/>
      <c r="I134"/>
    </row>
    <row r="135" spans="1:10" s="1" customFormat="1" ht="14.1" customHeight="1" x14ac:dyDescent="0.25">
      <c r="H135"/>
      <c r="I135"/>
    </row>
    <row r="136" spans="1:10" s="1" customFormat="1" ht="14.1" customHeight="1" x14ac:dyDescent="0.25">
      <c r="G136" s="33" t="s">
        <v>109</v>
      </c>
      <c r="H136" s="34"/>
      <c r="I136"/>
    </row>
    <row r="137" spans="1:10" s="1" customFormat="1" ht="14.1" customHeight="1" x14ac:dyDescent="0.25">
      <c r="G137" s="1" t="s">
        <v>110</v>
      </c>
      <c r="H137"/>
      <c r="I137"/>
    </row>
    <row r="138" spans="1:10" s="1" customFormat="1" ht="14.1" customHeight="1" x14ac:dyDescent="0.25">
      <c r="G138" s="1" t="s">
        <v>139</v>
      </c>
      <c r="H138"/>
      <c r="I138"/>
    </row>
  </sheetData>
  <mergeCells count="12">
    <mergeCell ref="D11:G11"/>
    <mergeCell ref="B11:C11"/>
    <mergeCell ref="H11:I11"/>
    <mergeCell ref="A11:A12"/>
    <mergeCell ref="J11:J12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19685039370078741" right="0.19685039370078741" top="0.55118110236220474" bottom="0.55118110236220474" header="0.31496062992125984" footer="0.31496062992125984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0CFB-BAC6-4B52-AA75-FB43D82CA214}">
  <sheetPr>
    <pageSetUpPr fitToPage="1"/>
  </sheetPr>
  <dimension ref="A1:L30"/>
  <sheetViews>
    <sheetView view="pageBreakPreview" zoomScale="108" zoomScaleNormal="100" zoomScaleSheetLayoutView="108" workbookViewId="0">
      <selection activeCell="L23" sqref="L23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12" s="1" customFormat="1" ht="52.5" customHeight="1" x14ac:dyDescent="0.25"/>
    <row r="2" spans="1:12" s="1" customFormat="1" ht="10.5" customHeight="1" x14ac:dyDescent="0.25">
      <c r="A2" s="72" t="s">
        <v>36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s="1" customFormat="1" ht="15.95" customHeight="1" x14ac:dyDescent="0.25">
      <c r="A3" s="72" t="s">
        <v>37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s="1" customFormat="1" ht="15.95" customHeight="1" x14ac:dyDescent="0.25">
      <c r="A4" s="72" t="s">
        <v>38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s="1" customFormat="1" ht="15.95" customHeight="1" x14ac:dyDescent="0.25">
      <c r="A5" s="72" t="s">
        <v>39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s="1" customFormat="1" ht="8.25" customHeight="1" x14ac:dyDescent="0.25"/>
    <row r="7" spans="1:12" s="1" customFormat="1" ht="12" customHeight="1" x14ac:dyDescent="0.25">
      <c r="A7" s="1" t="s">
        <v>40</v>
      </c>
      <c r="C7" s="2" t="s">
        <v>41</v>
      </c>
      <c r="D7" s="2"/>
      <c r="G7" s="2" t="s">
        <v>9</v>
      </c>
      <c r="H7" s="7"/>
    </row>
    <row r="8" spans="1:12" s="1" customFormat="1" ht="12" customHeight="1" x14ac:dyDescent="0.25">
      <c r="C8" s="4"/>
      <c r="G8" s="4"/>
      <c r="H8" s="4"/>
    </row>
    <row r="9" spans="1:12" s="1" customFormat="1" ht="12" customHeight="1" x14ac:dyDescent="0.25">
      <c r="A9" s="1" t="s">
        <v>42</v>
      </c>
      <c r="C9" s="2" t="s">
        <v>43</v>
      </c>
      <c r="D9" s="2"/>
      <c r="G9" s="2" t="s">
        <v>10</v>
      </c>
      <c r="H9" s="6"/>
    </row>
    <row r="10" spans="1:12" s="1" customFormat="1" ht="12" customHeight="1" x14ac:dyDescent="0.25">
      <c r="C10" s="2"/>
      <c r="D10" s="2"/>
      <c r="G10" s="2"/>
      <c r="H10" s="2"/>
    </row>
    <row r="11" spans="1:12" ht="16.5" customHeight="1" thickBot="1" x14ac:dyDescent="0.3">
      <c r="A11" s="73" t="s">
        <v>101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s="13" customFormat="1" ht="18.75" customHeight="1" x14ac:dyDescent="0.2">
      <c r="A12" s="81" t="s">
        <v>4</v>
      </c>
      <c r="B12" s="83" t="s">
        <v>5</v>
      </c>
      <c r="C12" s="84"/>
      <c r="D12" s="84"/>
      <c r="E12" s="84"/>
      <c r="F12" s="84"/>
      <c r="G12" s="84"/>
      <c r="H12" s="84"/>
      <c r="I12" s="84"/>
      <c r="J12" s="84"/>
      <c r="K12" s="84"/>
      <c r="L12" s="74" t="s">
        <v>8</v>
      </c>
    </row>
    <row r="13" spans="1:12" s="13" customFormat="1" ht="24" customHeight="1" x14ac:dyDescent="0.2">
      <c r="A13" s="82"/>
      <c r="B13" s="76" t="s">
        <v>102</v>
      </c>
      <c r="C13" s="77"/>
      <c r="D13" s="77"/>
      <c r="E13" s="78"/>
      <c r="F13" s="76" t="s">
        <v>103</v>
      </c>
      <c r="G13" s="78"/>
      <c r="H13" s="76" t="s">
        <v>104</v>
      </c>
      <c r="I13" s="78"/>
      <c r="J13" s="76" t="s">
        <v>105</v>
      </c>
      <c r="K13" s="78"/>
      <c r="L13" s="75"/>
    </row>
    <row r="14" spans="1:12" s="13" customFormat="1" ht="24.95" hidden="1" customHeight="1" x14ac:dyDescent="0.2">
      <c r="A14" s="14" t="s">
        <v>106</v>
      </c>
      <c r="B14" s="69" t="s">
        <v>113</v>
      </c>
      <c r="C14" s="71"/>
      <c r="D14" s="71"/>
      <c r="E14" s="70"/>
      <c r="F14" s="69">
        <v>1</v>
      </c>
      <c r="G14" s="70"/>
      <c r="H14" s="69">
        <v>0</v>
      </c>
      <c r="I14" s="70"/>
      <c r="J14" s="69">
        <v>1</v>
      </c>
      <c r="K14" s="70"/>
      <c r="L14" s="15">
        <v>1</v>
      </c>
    </row>
    <row r="15" spans="1:12" s="16" customFormat="1" ht="25.5" hidden="1" customHeight="1" x14ac:dyDescent="0.2">
      <c r="A15" s="14" t="s">
        <v>106</v>
      </c>
      <c r="B15" s="69" t="s">
        <v>114</v>
      </c>
      <c r="C15" s="71"/>
      <c r="D15" s="71"/>
      <c r="E15" s="70"/>
      <c r="F15" s="69">
        <v>1</v>
      </c>
      <c r="G15" s="70"/>
      <c r="H15" s="69">
        <v>0</v>
      </c>
      <c r="I15" s="70"/>
      <c r="J15" s="69">
        <v>2</v>
      </c>
      <c r="K15" s="70"/>
      <c r="L15" s="15">
        <v>2</v>
      </c>
    </row>
    <row r="16" spans="1:12" s="16" customFormat="1" ht="25.5" hidden="1" customHeight="1" x14ac:dyDescent="0.2">
      <c r="A16" s="14" t="s">
        <v>115</v>
      </c>
      <c r="B16" s="69" t="s">
        <v>113</v>
      </c>
      <c r="C16" s="71"/>
      <c r="D16" s="71"/>
      <c r="E16" s="70"/>
      <c r="F16" s="69">
        <v>2</v>
      </c>
      <c r="G16" s="70"/>
      <c r="H16" s="69">
        <v>1</v>
      </c>
      <c r="I16" s="70"/>
      <c r="J16" s="69">
        <v>1</v>
      </c>
      <c r="K16" s="70"/>
      <c r="L16" s="15">
        <v>1</v>
      </c>
    </row>
    <row r="17" spans="1:12" s="16" customFormat="1" ht="25.5" hidden="1" customHeight="1" x14ac:dyDescent="0.2">
      <c r="A17" s="14" t="s">
        <v>116</v>
      </c>
      <c r="B17" s="69" t="s">
        <v>114</v>
      </c>
      <c r="C17" s="71"/>
      <c r="D17" s="71"/>
      <c r="E17" s="70"/>
      <c r="F17" s="69">
        <v>1</v>
      </c>
      <c r="G17" s="70"/>
      <c r="H17" s="69">
        <v>1</v>
      </c>
      <c r="I17" s="70"/>
      <c r="J17" s="69">
        <v>0</v>
      </c>
      <c r="K17" s="70"/>
      <c r="L17" s="15">
        <v>0</v>
      </c>
    </row>
    <row r="18" spans="1:12" s="16" customFormat="1" ht="25.5" hidden="1" customHeight="1" x14ac:dyDescent="0.2">
      <c r="A18" s="14" t="s">
        <v>106</v>
      </c>
      <c r="B18" s="69" t="s">
        <v>117</v>
      </c>
      <c r="C18" s="71"/>
      <c r="D18" s="71"/>
      <c r="E18" s="70"/>
      <c r="F18" s="69">
        <v>2</v>
      </c>
      <c r="G18" s="70"/>
      <c r="H18" s="69">
        <v>0</v>
      </c>
      <c r="I18" s="70"/>
      <c r="J18" s="69">
        <v>2</v>
      </c>
      <c r="K18" s="70"/>
      <c r="L18" s="15">
        <v>2</v>
      </c>
    </row>
    <row r="19" spans="1:12" s="16" customFormat="1" ht="25.5" hidden="1" customHeight="1" x14ac:dyDescent="0.2">
      <c r="A19" s="14" t="s">
        <v>118</v>
      </c>
      <c r="B19" s="69" t="s">
        <v>117</v>
      </c>
      <c r="C19" s="71"/>
      <c r="D19" s="71"/>
      <c r="E19" s="70"/>
      <c r="F19" s="69">
        <v>2</v>
      </c>
      <c r="G19" s="70"/>
      <c r="H19" s="69">
        <v>2</v>
      </c>
      <c r="I19" s="70"/>
      <c r="J19" s="69">
        <v>0</v>
      </c>
      <c r="K19" s="70"/>
      <c r="L19" s="17">
        <v>0</v>
      </c>
    </row>
    <row r="20" spans="1:12" s="16" customFormat="1" ht="48.75" customHeight="1" x14ac:dyDescent="0.2">
      <c r="A20" s="14" t="s">
        <v>149</v>
      </c>
      <c r="B20" s="69" t="s">
        <v>150</v>
      </c>
      <c r="C20" s="71"/>
      <c r="D20" s="71"/>
      <c r="E20" s="70"/>
      <c r="F20" s="69">
        <v>1.5</v>
      </c>
      <c r="G20" s="70"/>
      <c r="H20" s="69">
        <v>0</v>
      </c>
      <c r="I20" s="70"/>
      <c r="J20" s="69">
        <v>1.5</v>
      </c>
      <c r="K20" s="70"/>
      <c r="L20" s="15">
        <v>1.5</v>
      </c>
    </row>
    <row r="21" spans="1:12" s="16" customFormat="1" ht="25.5" customHeight="1" x14ac:dyDescent="0.2">
      <c r="A21" s="14" t="s">
        <v>148</v>
      </c>
      <c r="B21" s="69" t="s">
        <v>117</v>
      </c>
      <c r="C21" s="71"/>
      <c r="D21" s="71"/>
      <c r="E21" s="70"/>
      <c r="F21" s="69"/>
      <c r="G21" s="70"/>
      <c r="H21" s="69">
        <v>1</v>
      </c>
      <c r="I21" s="70"/>
      <c r="J21" s="69">
        <v>0.5</v>
      </c>
      <c r="K21" s="70"/>
      <c r="L21" s="36">
        <v>0.5</v>
      </c>
    </row>
    <row r="22" spans="1:12" ht="30" customHeight="1" x14ac:dyDescent="0.25">
      <c r="A22" s="37" t="s">
        <v>153</v>
      </c>
      <c r="B22" s="65" t="s">
        <v>154</v>
      </c>
      <c r="C22" s="67"/>
      <c r="D22" s="67"/>
      <c r="E22" s="66"/>
      <c r="F22" s="65">
        <v>3</v>
      </c>
      <c r="G22" s="66"/>
      <c r="H22" s="65">
        <v>0</v>
      </c>
      <c r="I22" s="66"/>
      <c r="J22" s="65">
        <v>3</v>
      </c>
      <c r="K22" s="66"/>
      <c r="L22" s="38">
        <v>3</v>
      </c>
    </row>
    <row r="23" spans="1:12" ht="30" customHeight="1" x14ac:dyDescent="0.25">
      <c r="A23" s="37" t="s">
        <v>155</v>
      </c>
      <c r="B23" s="65" t="s">
        <v>154</v>
      </c>
      <c r="C23" s="67"/>
      <c r="D23" s="67"/>
      <c r="E23" s="66"/>
      <c r="F23" s="65"/>
      <c r="G23" s="66"/>
      <c r="H23" s="65">
        <v>3</v>
      </c>
      <c r="I23" s="66"/>
      <c r="J23" s="65">
        <v>0</v>
      </c>
      <c r="K23" s="66"/>
      <c r="L23" s="39">
        <v>0</v>
      </c>
    </row>
    <row r="24" spans="1:12" s="16" customFormat="1" x14ac:dyDescent="0.2">
      <c r="A24" s="18" t="s">
        <v>107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18.9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</row>
    <row r="26" spans="1:12" s="1" customFormat="1" x14ac:dyDescent="0.25">
      <c r="C26" s="21"/>
      <c r="I26" s="1" t="s">
        <v>108</v>
      </c>
    </row>
    <row r="27" spans="1:12" s="1" customFormat="1" x14ac:dyDescent="0.25">
      <c r="C27" s="21"/>
    </row>
    <row r="28" spans="1:12" x14ac:dyDescent="0.25">
      <c r="I28" s="79" t="s">
        <v>109</v>
      </c>
      <c r="J28" s="79"/>
      <c r="K28" s="79"/>
    </row>
    <row r="29" spans="1:12" x14ac:dyDescent="0.25">
      <c r="I29" s="80" t="s">
        <v>110</v>
      </c>
      <c r="J29" s="80"/>
      <c r="K29" s="80"/>
    </row>
    <row r="30" spans="1:12" x14ac:dyDescent="0.25">
      <c r="I30" s="53" t="s">
        <v>111</v>
      </c>
      <c r="J30" s="53"/>
      <c r="K30" s="53"/>
    </row>
  </sheetData>
  <mergeCells count="56">
    <mergeCell ref="I30:K30"/>
    <mergeCell ref="I28:K28"/>
    <mergeCell ref="I29:K29"/>
    <mergeCell ref="A12:A13"/>
    <mergeCell ref="B12:K12"/>
    <mergeCell ref="B14:E14"/>
    <mergeCell ref="F14:G14"/>
    <mergeCell ref="H14:I14"/>
    <mergeCell ref="J14:K14"/>
    <mergeCell ref="B15:E15"/>
    <mergeCell ref="F15:G15"/>
    <mergeCell ref="H15:I15"/>
    <mergeCell ref="J15:K15"/>
    <mergeCell ref="B18:E18"/>
    <mergeCell ref="F18:G18"/>
    <mergeCell ref="H18:I18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A11:L11"/>
    <mergeCell ref="J18:K18"/>
    <mergeCell ref="B16:E16"/>
    <mergeCell ref="F16:G16"/>
    <mergeCell ref="J17:K17"/>
    <mergeCell ref="B17:E17"/>
    <mergeCell ref="F17:G17"/>
    <mergeCell ref="H17:I17"/>
    <mergeCell ref="H16:I16"/>
    <mergeCell ref="J16:K16"/>
    <mergeCell ref="A25:L25"/>
    <mergeCell ref="H19:I19"/>
    <mergeCell ref="J19:K19"/>
    <mergeCell ref="B19:E19"/>
    <mergeCell ref="F19:G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</mergeCells>
  <pageMargins left="0.7" right="0.7" top="0.75" bottom="0.75" header="0.3" footer="0.3"/>
  <pageSetup paperSize="9" scale="67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2025-07-16T02:14:46Z</cp:lastPrinted>
  <dcterms:created xsi:type="dcterms:W3CDTF">2021-10-07T06:10:16Z</dcterms:created>
  <dcterms:modified xsi:type="dcterms:W3CDTF">2025-11-14T04:01:24Z</dcterms:modified>
</cp:coreProperties>
</file>