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1CB6D85A-AFB3-4B0B-BD7C-7973BE8873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as TIC" sheetId="3" r:id="rId1"/>
    <sheet name="Election &amp; NLC" sheetId="4" r:id="rId2"/>
    <sheet name="Sheet1" sheetId="19" r:id="rId3"/>
  </sheets>
  <definedNames>
    <definedName name="_xlnm.Print_Area" localSheetId="1">'Election &amp; NLC'!$A$1:$G$22</definedName>
    <definedName name="_xlnm.Print_Area" localSheetId="0">'Leave Card as TIC'!$A$1:$J$30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3" l="1"/>
  <c r="I19" i="3"/>
  <c r="J19" i="3"/>
  <c r="H20" i="3"/>
  <c r="I20" i="3"/>
  <c r="J20" i="3" s="1"/>
  <c r="I14" i="3"/>
  <c r="I15" i="3" s="1"/>
  <c r="I16" i="3" s="1"/>
  <c r="I17" i="3" s="1"/>
  <c r="I18" i="3" s="1"/>
  <c r="H14" i="3"/>
  <c r="H15" i="3" l="1"/>
  <c r="H16" i="3" s="1"/>
  <c r="J16" i="3" s="1"/>
  <c r="J14" i="3"/>
  <c r="H17" i="3" l="1"/>
  <c r="H18" i="3" s="1"/>
  <c r="J15" i="3"/>
  <c r="J17" i="3" l="1"/>
  <c r="J18" i="3"/>
</calcChain>
</file>

<file path=xl/sharedStrings.xml><?xml version="1.0" encoding="utf-8"?>
<sst xmlns="http://schemas.openxmlformats.org/spreadsheetml/2006/main" count="84" uniqueCount="62">
  <si>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</si>
  <si>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</si>
  <si>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</si>
  <si>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</si>
  <si>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</si>
  <si>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</si>
  <si>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</si>
  <si>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</si>
  <si>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</si>
  <si>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</si>
  <si>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</si>
  <si>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</si>
  <si>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</si>
  <si>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</si>
  <si>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</si>
  <si>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</si>
  <si>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</si>
  <si>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</si>
  <si>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</si>
  <si>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</si>
  <si>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</si>
  <si>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</si>
  <si>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</si>
  <si>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</si>
  <si>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</si>
  <si>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</si>
  <si>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</si>
  <si>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</si>
  <si>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ADD: 07/29-31/2024</t>
  </si>
  <si>
    <t xml:space="preserve">DISTRICT : </t>
  </si>
  <si>
    <t xml:space="preserve">EMPLOYEE NO.: </t>
  </si>
  <si>
    <t xml:space="preserve">STATION CODE: </t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</si>
  <si>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</si>
  <si>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</si>
  <si>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</si>
  <si>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</si>
  <si>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</si>
  <si>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</si>
  <si>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DESIGNATED AS TIC (NON-TEACHING): EFFECTIVE JULY 29, 2024</t>
  </si>
  <si>
    <t>POSITION   : TEACHER III</t>
  </si>
  <si>
    <t>ADD: 10/17/2023</t>
  </si>
  <si>
    <t>NLC 2023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</si>
  <si>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  <r>
      <rPr>
        <b/>
        <sz val="12"/>
        <color theme="1"/>
        <rFont val="Calibri"/>
        <family val="2"/>
        <scheme val="minor"/>
      </rPr>
      <t>II</t>
    </r>
  </si>
  <si>
    <t>10/17/2023</t>
  </si>
  <si>
    <t>NAME          :PALOTES, RONALD</t>
  </si>
  <si>
    <t xml:space="preserve">NAME         : PALOTES,RONALD P. </t>
  </si>
  <si>
    <t>SCHOOL/OFFICE : GMNHS-CALANGCANG ANNEX</t>
  </si>
  <si>
    <t>S.O. # 118, S. 2023. NATIONAL LEARNING CAMP 2023</t>
  </si>
  <si>
    <t>LESS: 01/11-12/2024</t>
  </si>
  <si>
    <t>LESS: 02/28 &amp; 03/01/2024</t>
  </si>
  <si>
    <t xml:space="preserve"> </t>
  </si>
  <si>
    <t>S.O. # 118, S. 2023</t>
  </si>
  <si>
    <t>015, S. 2024</t>
  </si>
  <si>
    <t>05/20/2024</t>
  </si>
  <si>
    <t>PALARONG PANLALAWIGAN 2024</t>
  </si>
  <si>
    <t>14 DAYS-CONVERTED</t>
  </si>
  <si>
    <r>
      <t xml:space="preserve">ADD: CONVERTED VSC </t>
    </r>
    <r>
      <rPr>
        <b/>
        <sz val="11"/>
        <color rgb="FF002060"/>
        <rFont val="Calibri"/>
        <family val="2"/>
        <scheme val="minor"/>
      </rPr>
      <t>14 DAYS</t>
    </r>
    <r>
      <rPr>
        <sz val="11"/>
        <color theme="1"/>
        <rFont val="Calibri"/>
        <family val="2"/>
        <scheme val="minor"/>
      </rPr>
      <t xml:space="preserve">:                                       FORMULA: 30Y/69/2 </t>
    </r>
  </si>
  <si>
    <t>ADD: 08/1/2024-12/31/2024</t>
  </si>
  <si>
    <t>ADD: 01/1/2025-06/30/2025</t>
  </si>
  <si>
    <t>LESS: MONETIZATION 2025</t>
  </si>
  <si>
    <t>ADD: 07/1/2025-11/30/2025</t>
  </si>
  <si>
    <t>LESS: 12/22, 23, 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</si>
</sst>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</borders>
  <cellStyleXfs count="4">
    <xf numFmtId="0" fontId="0" fillId="0" borderId="0"/>
    <xf numFmtId="0" fontId="9" fillId="0" borderId="0"/>
    <xf numFmtId="0" fontId="12" fillId="0" borderId="0"/>
    <xf numFmtId="0" fontId="9" fillId="0" borderId="0"/>
  </cellStyleXfs>
  <cellXfs count="11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6" fillId="0" borderId="0" xfId="0" applyFont="1"/>
    <xf numFmtId="0" fontId="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7" borderId="0" xfId="0" applyFill="1"/>
    <xf numFmtId="0" fontId="0" fillId="2" borderId="4" xfId="0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64" fontId="0" fillId="2" borderId="7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0" fontId="11" fillId="0" borderId="0" xfId="0" applyFont="1"/>
    <xf numFmtId="164" fontId="0" fillId="2" borderId="4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12" fillId="2" borderId="0" xfId="2" applyFill="1"/>
    <xf numFmtId="0" fontId="12" fillId="2" borderId="0" xfId="2" applyFill="1" applyAlignment="1">
      <alignment horizontal="center"/>
    </xf>
    <xf numFmtId="0" fontId="13" fillId="2" borderId="0" xfId="2" applyFont="1" applyFill="1" applyAlignment="1">
      <alignment vertical="center"/>
    </xf>
    <xf numFmtId="0" fontId="1" fillId="2" borderId="0" xfId="2" applyFont="1" applyFill="1" applyAlignment="1">
      <alignment horizontal="left" vertical="center"/>
    </xf>
    <xf numFmtId="0" fontId="1" fillId="2" borderId="0" xfId="2" applyFont="1" applyFill="1" applyAlignment="1">
      <alignment vertical="center"/>
    </xf>
    <xf numFmtId="0" fontId="15" fillId="2" borderId="0" xfId="2" applyFont="1" applyFill="1"/>
    <xf numFmtId="0" fontId="1" fillId="2" borderId="0" xfId="2" applyFont="1" applyFill="1"/>
    <xf numFmtId="0" fontId="1" fillId="2" borderId="0" xfId="2" applyFont="1" applyFill="1" applyAlignment="1">
      <alignment horizontal="left"/>
    </xf>
    <xf numFmtId="0" fontId="12" fillId="0" borderId="0" xfId="2"/>
    <xf numFmtId="0" fontId="3" fillId="3" borderId="21" xfId="2" applyFont="1" applyFill="1" applyBorder="1" applyAlignment="1">
      <alignment horizontal="center" vertical="center" wrapText="1"/>
    </xf>
    <xf numFmtId="0" fontId="3" fillId="3" borderId="21" xfId="2" applyFont="1" applyFill="1" applyBorder="1" applyAlignment="1">
      <alignment horizontal="center" vertical="center"/>
    </xf>
    <xf numFmtId="0" fontId="5" fillId="5" borderId="24" xfId="2" applyFont="1" applyFill="1" applyBorder="1" applyAlignment="1">
      <alignment horizontal="center" vertical="center" wrapText="1"/>
    </xf>
    <xf numFmtId="0" fontId="3" fillId="3" borderId="25" xfId="2" applyFont="1" applyFill="1" applyBorder="1" applyAlignment="1">
      <alignment horizontal="center" vertical="center"/>
    </xf>
    <xf numFmtId="0" fontId="4" fillId="0" borderId="0" xfId="2" applyFont="1"/>
    <xf numFmtId="0" fontId="16" fillId="2" borderId="6" xfId="2" applyFont="1" applyFill="1" applyBorder="1" applyAlignment="1">
      <alignment horizontal="center" vertical="center" wrapText="1"/>
    </xf>
    <xf numFmtId="0" fontId="13" fillId="2" borderId="15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13" fillId="2" borderId="16" xfId="2" applyFont="1" applyFill="1" applyBorder="1" applyAlignment="1">
      <alignment horizontal="center" vertical="center" wrapText="1"/>
    </xf>
    <xf numFmtId="0" fontId="6" fillId="0" borderId="0" xfId="2" applyFont="1"/>
    <xf numFmtId="0" fontId="6" fillId="2" borderId="0" xfId="2" applyFont="1" applyFill="1" applyAlignment="1">
      <alignment horizontal="center" vertical="center"/>
    </xf>
    <xf numFmtId="0" fontId="12" fillId="6" borderId="0" xfId="2" applyFill="1"/>
    <xf numFmtId="0" fontId="12" fillId="7" borderId="0" xfId="2" applyFill="1"/>
    <xf numFmtId="0" fontId="5" fillId="5" borderId="10" xfId="2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5" fillId="5" borderId="1" xfId="0" applyFont="1" applyFill="1" applyBorder="1" applyAlignment="1">
      <alignment horizontal="center" vertical="center" wrapText="1"/>
    </xf>
    <xf numFmtId="0" fontId="18" fillId="2" borderId="16" xfId="2" applyFont="1" applyFill="1" applyBorder="1" applyAlignment="1">
      <alignment horizontal="center" vertical="center" wrapText="1"/>
    </xf>
    <xf numFmtId="0" fontId="0" fillId="2" borderId="17" xfId="1" applyFont="1" applyFill="1" applyBorder="1" applyAlignment="1">
      <alignment horizontal="center" vertical="center" wrapText="1"/>
    </xf>
    <xf numFmtId="0" fontId="0" fillId="2" borderId="7" xfId="1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6" fillId="2" borderId="0" xfId="0" applyFont="1" applyFill="1"/>
    <xf numFmtId="0" fontId="7" fillId="2" borderId="1" xfId="0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14" fontId="0" fillId="2" borderId="7" xfId="1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20" fillId="2" borderId="16" xfId="0" applyFont="1" applyFill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0" fillId="12" borderId="0" xfId="0" applyFill="1"/>
    <xf numFmtId="0" fontId="0" fillId="0" borderId="4" xfId="0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" fillId="8" borderId="21" xfId="0" applyFont="1" applyFill="1" applyBorder="1" applyAlignment="1">
      <alignment horizontal="left" vertical="center"/>
    </xf>
    <xf numFmtId="0" fontId="1" fillId="8" borderId="23" xfId="0" applyFont="1" applyFill="1" applyBorder="1" applyAlignment="1">
      <alignment horizontal="left" vertical="center"/>
    </xf>
    <xf numFmtId="0" fontId="1" fillId="8" borderId="22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9" borderId="18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" fillId="11" borderId="19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13" xfId="0" applyFont="1" applyFill="1" applyBorder="1" applyAlignment="1">
      <alignment horizontal="center" vertical="center"/>
    </xf>
    <xf numFmtId="0" fontId="13" fillId="2" borderId="26" xfId="2" applyFont="1" applyFill="1" applyBorder="1" applyAlignment="1">
      <alignment horizontal="right" vertical="center" wrapText="1"/>
    </xf>
    <xf numFmtId="0" fontId="13" fillId="2" borderId="2" xfId="2" applyFont="1" applyFill="1" applyBorder="1" applyAlignment="1">
      <alignment horizontal="right" vertical="center" wrapText="1"/>
    </xf>
    <xf numFmtId="0" fontId="13" fillId="2" borderId="3" xfId="2" applyFont="1" applyFill="1" applyBorder="1" applyAlignment="1">
      <alignment horizontal="right" vertical="center" wrapText="1"/>
    </xf>
    <xf numFmtId="0" fontId="1" fillId="2" borderId="0" xfId="2" applyFont="1" applyFill="1" applyAlignment="1">
      <alignment horizontal="center" vertical="center"/>
    </xf>
    <xf numFmtId="0" fontId="2" fillId="2" borderId="21" xfId="2" applyFont="1" applyFill="1" applyBorder="1" applyAlignment="1">
      <alignment horizontal="center" vertical="center"/>
    </xf>
    <xf numFmtId="0" fontId="2" fillId="2" borderId="23" xfId="2" applyFont="1" applyFill="1" applyBorder="1" applyAlignment="1">
      <alignment horizontal="center" vertical="center"/>
    </xf>
    <xf numFmtId="0" fontId="2" fillId="2" borderId="22" xfId="2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3" fillId="8" borderId="14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5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4" fontId="0" fillId="2" borderId="0" xfId="0" applyNumberFormat="1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</cellXfs>
  <cellStyles count="4">
    <cellStyle name="Normal" xfId="0" builtinId="0"/>
    <cellStyle name="Normal 2" xfId="2" xr:uid="{29DC33C2-ED34-47D9-B6FD-D61DD017D699}"/>
    <cellStyle name="Normal 2 2" xfId="3" xr:uid="{21219274-95D8-49BC-93E5-5A5DFD6A046E}"/>
    <cellStyle name="Normal 3" xfId="1" xr:uid="{1BC03AAB-385B-4A2B-A74B-2C4461F97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D51D5-5F90-4E61-8723-931824F466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713ACA-BBA1-4D5A-AB0C-5ED0D9565B46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PALOTES, RONALD</a:t>
          </a:r>
          <a:r>
            <a:rPr lang="en-US" sz="1100" baseline="0"/>
            <a:t> P.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D1CB5B-2AC2-45D4-B3DF-F6A2E865464A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T-III (TIC) - HT-I</a:t>
          </a:r>
          <a:endParaRPr lang="en-US" sz="1100"/>
        </a:p>
      </xdr:txBody>
    </xdr:sp>
    <xdr:clientData/>
  </xdr:twoCellAnchor>
  <xdr:twoCellAnchor>
    <xdr:from>
      <xdr:col>2</xdr:col>
      <xdr:colOff>415192</xdr:colOff>
      <xdr:row>7</xdr:row>
      <xdr:rowOff>42741</xdr:rowOff>
    </xdr:from>
    <xdr:to>
      <xdr:col>5</xdr:col>
      <xdr:colOff>197688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A225BB-43BF-424D-ADCE-12698C02A034}"/>
            </a:ext>
          </a:extLst>
        </xdr:cNvPr>
        <xdr:cNvSpPr txBox="1"/>
      </xdr:nvSpPr>
      <xdr:spPr>
        <a:xfrm>
          <a:off x="3623140" y="1696137"/>
          <a:ext cx="2100845" cy="2504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GMNHS-CALANGCANG</a:t>
          </a:r>
          <a:r>
            <a:rPr lang="en-US" sz="1100" baseline="0"/>
            <a:t> ANNEX</a:t>
          </a:r>
          <a:endParaRPr lang="en-US" sz="1100"/>
        </a:p>
      </xdr:txBody>
    </xdr:sp>
    <xdr:clientData/>
  </xdr:twoCellAnchor>
  <xdr:twoCellAnchor>
    <xdr:from>
      <xdr:col>5</xdr:col>
      <xdr:colOff>347452</xdr:colOff>
      <xdr:row>24</xdr:row>
      <xdr:rowOff>53914</xdr:rowOff>
    </xdr:from>
    <xdr:to>
      <xdr:col>9</xdr:col>
      <xdr:colOff>672043</xdr:colOff>
      <xdr:row>29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EBE3077-D463-4A68-BFBD-76ABF04E2E09}"/>
            </a:ext>
          </a:extLst>
        </xdr:cNvPr>
        <xdr:cNvSpPr txBox="1"/>
      </xdr:nvSpPr>
      <xdr:spPr>
        <a:xfrm>
          <a:off x="5871952" y="843591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4B3F06-6C96-4963-A080-0170E25AEBF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962025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DF812C-4D8A-418B-AA27-85FB8B231868}"/>
            </a:ext>
          </a:extLst>
        </xdr:cNvPr>
        <xdr:cNvSpPr txBox="1"/>
      </xdr:nvSpPr>
      <xdr:spPr>
        <a:xfrm>
          <a:off x="76200" y="4953000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19</xdr:row>
      <xdr:rowOff>236220</xdr:rowOff>
    </xdr:from>
    <xdr:to>
      <xdr:col>6</xdr:col>
      <xdr:colOff>476250</xdr:colOff>
      <xdr:row>21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EB84D3-E752-4B55-8588-2A947603ED5D}"/>
            </a:ext>
          </a:extLst>
        </xdr:cNvPr>
        <xdr:cNvSpPr txBox="1"/>
      </xdr:nvSpPr>
      <xdr:spPr>
        <a:xfrm>
          <a:off x="5238750" y="497967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78275</xdr:colOff>
      <xdr:row>0</xdr:row>
      <xdr:rowOff>133545</xdr:rowOff>
    </xdr:from>
    <xdr:to>
      <xdr:col>5</xdr:col>
      <xdr:colOff>0</xdr:colOff>
      <xdr:row>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548F01-778D-4080-824A-B6E4ACDFC0A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7850" y="133545"/>
          <a:ext cx="664675" cy="647505"/>
        </a:xfrm>
        <a:prstGeom prst="rect">
          <a:avLst/>
        </a:prstGeom>
        <a:noFill/>
      </xdr:spPr>
    </xdr:pic>
    <xdr:clientData/>
  </xdr:twoCellAnchor>
  <xdr:twoCellAnchor>
    <xdr:from>
      <xdr:col>4</xdr:col>
      <xdr:colOff>714376</xdr:colOff>
      <xdr:row>20</xdr:row>
      <xdr:rowOff>142875</xdr:rowOff>
    </xdr:from>
    <xdr:to>
      <xdr:col>9</xdr:col>
      <xdr:colOff>457201</xdr:colOff>
      <xdr:row>29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A168DE1-32E9-4369-84CD-D810EB07F672}"/>
            </a:ext>
          </a:extLst>
        </xdr:cNvPr>
        <xdr:cNvSpPr txBox="1"/>
      </xdr:nvSpPr>
      <xdr:spPr>
        <a:xfrm>
          <a:off x="4933951" y="4581525"/>
          <a:ext cx="3028950" cy="15906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13</xdr:row>
      <xdr:rowOff>9525</xdr:rowOff>
    </xdr:from>
    <xdr:to>
      <xdr:col>1</xdr:col>
      <xdr:colOff>19050</xdr:colOff>
      <xdr:row>13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3D67362-72B0-4C23-9B2A-D575F791EB31}"/>
            </a:ext>
          </a:extLst>
        </xdr:cNvPr>
        <xdr:cNvCxnSpPr/>
      </xdr:nvCxnSpPr>
      <xdr:spPr>
        <a:xfrm>
          <a:off x="742950" y="248602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B98-E462-49CF-93A3-891E3961A3BD}">
  <sheetPr>
    <pageSetUpPr fitToPage="1"/>
  </sheetPr>
  <dimension ref="A1:K28"/>
  <sheetViews>
    <sheetView tabSelected="1" view="pageBreakPreview" zoomScale="106" zoomScaleNormal="100" zoomScaleSheetLayoutView="106" workbookViewId="0">
      <selection activeCell="A19" sqref="A19:XFD19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27" customWidth="1"/>
    <col min="8" max="10" width="11.5703125" customWidth="1"/>
    <col min="11" max="11" width="26.42578125" style="24" customWidth="1"/>
  </cols>
  <sheetData>
    <row r="1" spans="1:11" s="1" customFormat="1" ht="52.5" customHeight="1" x14ac:dyDescent="0.25"/>
    <row r="2" spans="1:11" s="1" customFormat="1" ht="10.5" customHeight="1" x14ac:dyDescent="0.25">
      <c r="A2" s="77" t="s">
        <v>0</v>
      </c>
      <c r="B2" s="77"/>
      <c r="C2" s="77"/>
      <c r="D2" s="77"/>
      <c r="E2" s="77"/>
      <c r="F2" s="77"/>
      <c r="G2" s="77"/>
      <c r="H2" s="77"/>
      <c r="I2" s="77"/>
      <c r="J2" s="77"/>
    </row>
    <row r="3" spans="1:11" s="1" customFormat="1" ht="15.95" customHeight="1" x14ac:dyDescent="0.25">
      <c r="A3" s="77" t="s">
        <v>1</v>
      </c>
      <c r="B3" s="77"/>
      <c r="C3" s="77"/>
      <c r="D3" s="77"/>
      <c r="E3" s="77"/>
      <c r="F3" s="77"/>
      <c r="G3" s="77"/>
      <c r="H3" s="77"/>
      <c r="I3" s="77"/>
      <c r="J3" s="77"/>
    </row>
    <row r="4" spans="1:11" s="1" customFormat="1" ht="15.95" customHeight="1" x14ac:dyDescent="0.25">
      <c r="A4" s="77" t="s">
        <v>2</v>
      </c>
      <c r="B4" s="77"/>
      <c r="C4" s="77"/>
      <c r="D4" s="77"/>
      <c r="E4" s="77"/>
      <c r="F4" s="77"/>
      <c r="G4" s="77"/>
      <c r="H4" s="77"/>
      <c r="I4" s="77"/>
      <c r="J4" s="77"/>
    </row>
    <row r="5" spans="1:11" s="1" customFormat="1" ht="15.95" customHeight="1" x14ac:dyDescent="0.25">
      <c r="A5" s="77" t="s">
        <v>3</v>
      </c>
      <c r="B5" s="77"/>
      <c r="C5" s="77"/>
      <c r="D5" s="77"/>
      <c r="E5" s="77"/>
      <c r="F5" s="77"/>
      <c r="G5" s="77"/>
      <c r="H5" s="77"/>
      <c r="I5" s="77"/>
      <c r="J5" s="77"/>
    </row>
    <row r="6" spans="1:11" s="1" customFormat="1" ht="8.25" customHeight="1" x14ac:dyDescent="0.25"/>
    <row r="7" spans="1:11" s="1" customFormat="1" ht="12" customHeight="1" x14ac:dyDescent="0.25">
      <c r="A7" s="1" t="s">
        <v>13</v>
      </c>
      <c r="B7" s="76" t="s">
        <v>14</v>
      </c>
      <c r="C7" s="76"/>
      <c r="D7" s="76"/>
      <c r="H7" s="5" t="s">
        <v>15</v>
      </c>
      <c r="I7" s="16"/>
      <c r="J7" s="5"/>
    </row>
    <row r="8" spans="1:11" s="1" customFormat="1" ht="12" customHeight="1" x14ac:dyDescent="0.25">
      <c r="B8" s="6"/>
      <c r="C8" s="6"/>
      <c r="H8" s="6"/>
      <c r="I8" s="6"/>
      <c r="J8" s="6"/>
    </row>
    <row r="9" spans="1:11" s="1" customFormat="1" ht="12" customHeight="1" x14ac:dyDescent="0.25">
      <c r="A9" s="1" t="s">
        <v>16</v>
      </c>
      <c r="B9" s="76" t="s">
        <v>17</v>
      </c>
      <c r="C9" s="76"/>
      <c r="D9" s="76"/>
      <c r="H9" s="5" t="s">
        <v>18</v>
      </c>
      <c r="I9" s="17"/>
      <c r="J9" s="5"/>
    </row>
    <row r="10" spans="1:11" ht="23.25" customHeight="1" thickBot="1" x14ac:dyDescent="0.3">
      <c r="A10" s="82" t="s">
        <v>19</v>
      </c>
      <c r="B10" s="82"/>
      <c r="C10" s="82"/>
      <c r="D10" s="82"/>
      <c r="E10" s="82"/>
      <c r="F10" s="82"/>
      <c r="G10" s="82"/>
      <c r="H10" s="82"/>
      <c r="I10" s="82"/>
      <c r="J10" s="82"/>
      <c r="K10"/>
    </row>
    <row r="11" spans="1:11" ht="18.75" customHeight="1" x14ac:dyDescent="0.25">
      <c r="A11" s="83" t="s">
        <v>6</v>
      </c>
      <c r="B11" s="85" t="s">
        <v>7</v>
      </c>
      <c r="C11" s="86"/>
      <c r="D11" s="87" t="s">
        <v>20</v>
      </c>
      <c r="E11" s="88"/>
      <c r="F11" s="88"/>
      <c r="G11" s="89"/>
      <c r="H11" s="90" t="s">
        <v>21</v>
      </c>
      <c r="I11" s="91"/>
      <c r="J11" s="92" t="s">
        <v>8</v>
      </c>
      <c r="K11" s="78" t="s">
        <v>22</v>
      </c>
    </row>
    <row r="12" spans="1:11" ht="15.75" thickBot="1" x14ac:dyDescent="0.3">
      <c r="A12" s="84"/>
      <c r="B12" s="18" t="s">
        <v>23</v>
      </c>
      <c r="C12" s="18" t="s">
        <v>24</v>
      </c>
      <c r="D12" s="18" t="s">
        <v>23</v>
      </c>
      <c r="E12" s="18" t="s">
        <v>24</v>
      </c>
      <c r="F12" s="18" t="s">
        <v>25</v>
      </c>
      <c r="G12" s="18" t="s">
        <v>26</v>
      </c>
      <c r="H12" s="18" t="s">
        <v>23</v>
      </c>
      <c r="I12" s="18" t="s">
        <v>24</v>
      </c>
      <c r="J12" s="93"/>
      <c r="K12" s="78"/>
    </row>
    <row r="13" spans="1:11" ht="15.75" thickBot="1" x14ac:dyDescent="0.3">
      <c r="A13" s="79" t="s">
        <v>38</v>
      </c>
      <c r="B13" s="80"/>
      <c r="C13" s="80"/>
      <c r="D13" s="80"/>
      <c r="E13" s="80"/>
      <c r="F13" s="80"/>
      <c r="G13" s="80"/>
      <c r="H13" s="80"/>
      <c r="I13" s="80"/>
      <c r="J13" s="81"/>
      <c r="K13" s="19"/>
    </row>
    <row r="14" spans="1:11" ht="31.5" customHeight="1" x14ac:dyDescent="0.25">
      <c r="A14" s="20" t="s">
        <v>56</v>
      </c>
      <c r="B14" s="29">
        <v>3.0430000000000001</v>
      </c>
      <c r="C14" s="30">
        <v>3.0430000000000001</v>
      </c>
      <c r="D14" s="30"/>
      <c r="E14" s="29"/>
      <c r="F14" s="29"/>
      <c r="G14" s="29"/>
      <c r="H14" s="22">
        <f>B14</f>
        <v>3.0430000000000001</v>
      </c>
      <c r="I14" s="22">
        <f>C14</f>
        <v>3.0430000000000001</v>
      </c>
      <c r="J14" s="23">
        <f>SUM(H14:I14)</f>
        <v>6.0860000000000003</v>
      </c>
    </row>
    <row r="15" spans="1:11" ht="17.25" customHeight="1" x14ac:dyDescent="0.25">
      <c r="A15" s="20" t="s">
        <v>28</v>
      </c>
      <c r="B15" s="29">
        <v>0.125</v>
      </c>
      <c r="C15" s="30">
        <v>0.125</v>
      </c>
      <c r="D15" s="21"/>
      <c r="E15" s="14"/>
      <c r="F15" s="14"/>
      <c r="G15" s="14"/>
      <c r="H15" s="25">
        <f>H14-F15-D15+B15</f>
        <v>3.1680000000000001</v>
      </c>
      <c r="I15" s="25">
        <f>I14-E15+C15</f>
        <v>3.1680000000000001</v>
      </c>
      <c r="J15" s="26">
        <f>SUM(H15:I15)</f>
        <v>6.3360000000000003</v>
      </c>
    </row>
    <row r="16" spans="1:11" ht="17.25" customHeight="1" x14ac:dyDescent="0.25">
      <c r="A16" s="20" t="s">
        <v>57</v>
      </c>
      <c r="B16" s="29">
        <v>6.25</v>
      </c>
      <c r="C16" s="30">
        <v>6.25</v>
      </c>
      <c r="D16" s="21"/>
      <c r="E16" s="14"/>
      <c r="F16" s="14"/>
      <c r="G16" s="14"/>
      <c r="H16" s="25">
        <f t="shared" ref="H16:H18" si="0">H15-F16-D16+B16</f>
        <v>9.4179999999999993</v>
      </c>
      <c r="I16" s="25">
        <f t="shared" ref="I16:I18" si="1">I15-E16+C16</f>
        <v>9.4179999999999993</v>
      </c>
      <c r="J16" s="26">
        <f t="shared" ref="J16:J18" si="2">SUM(H16:I16)</f>
        <v>18.835999999999999</v>
      </c>
    </row>
    <row r="17" spans="1:10" ht="15.75" customHeight="1" x14ac:dyDescent="0.25">
      <c r="A17" s="20" t="s">
        <v>58</v>
      </c>
      <c r="B17" s="14">
        <v>7.5</v>
      </c>
      <c r="C17" s="21">
        <v>7.5</v>
      </c>
      <c r="D17" s="21"/>
      <c r="E17" s="14"/>
      <c r="F17" s="14"/>
      <c r="G17" s="14"/>
      <c r="H17" s="25">
        <f t="shared" si="0"/>
        <v>16.917999999999999</v>
      </c>
      <c r="I17" s="25">
        <f t="shared" si="1"/>
        <v>16.917999999999999</v>
      </c>
      <c r="J17" s="26">
        <f t="shared" si="2"/>
        <v>33.835999999999999</v>
      </c>
    </row>
    <row r="18" spans="1:10" ht="15.75" customHeight="1" x14ac:dyDescent="0.25">
      <c r="A18" s="20" t="s">
        <v>59</v>
      </c>
      <c r="B18" s="14"/>
      <c r="C18" s="21"/>
      <c r="D18" s="21">
        <v>10</v>
      </c>
      <c r="E18" s="14"/>
      <c r="F18" s="75"/>
      <c r="G18" s="14"/>
      <c r="H18" s="25">
        <f t="shared" si="0"/>
        <v>6.9179999999999993</v>
      </c>
      <c r="I18" s="25">
        <f t="shared" si="1"/>
        <v>16.917999999999999</v>
      </c>
      <c r="J18" s="26">
        <f t="shared" si="2"/>
        <v>23.835999999999999</v>
      </c>
    </row>
    <row r="19" spans="1:10" ht="15.75" customHeight="1" x14ac:dyDescent="0.25">
      <c r="A19" s="21" t="s">
        <v>60</v>
      </c>
      <c r="B19" s="14">
        <v>6.25</v>
      </c>
      <c r="C19" s="21">
        <v>6.25</v>
      </c>
      <c r="D19" s="21"/>
      <c r="E19" s="14"/>
      <c r="F19" s="75"/>
      <c r="G19" s="14"/>
      <c r="H19" s="25">
        <f t="shared" ref="H19:H20" si="3">H18-F19-D19+B19</f>
        <v>13.167999999999999</v>
      </c>
      <c r="I19" s="25">
        <f t="shared" ref="I19:I20" si="4">I18-E19+C19</f>
        <v>23.167999999999999</v>
      </c>
      <c r="J19" s="26">
        <f t="shared" ref="J19:J20" si="5">SUM(H19:I19)</f>
        <v>36.335999999999999</v>
      </c>
    </row>
    <row r="20" spans="1:10" ht="15.75" customHeight="1" x14ac:dyDescent="0.25">
      <c r="A20" s="21" t="s">
        <v>61</v>
      </c>
      <c r="B20" s="14"/>
      <c r="C20" s="21"/>
      <c r="D20" s="21"/>
      <c r="E20" s="14"/>
      <c r="F20" s="118">
        <v>3</v>
      </c>
      <c r="G20" s="14"/>
      <c r="H20" s="25">
        <f t="shared" si="3"/>
        <v>10.167999999999999</v>
      </c>
      <c r="I20" s="25">
        <f t="shared" si="4"/>
        <v>23.167999999999999</v>
      </c>
      <c r="J20" s="26">
        <f t="shared" si="5"/>
        <v>33.335999999999999</v>
      </c>
    </row>
    <row r="21" spans="1:10" ht="15.75" customHeight="1" x14ac:dyDescent="0.25">
      <c r="A21" s="21"/>
      <c r="B21" s="14"/>
      <c r="C21" s="21"/>
      <c r="D21" s="21"/>
      <c r="E21" s="14"/>
      <c r="F21" s="75"/>
      <c r="G21" s="14"/>
      <c r="H21" s="25"/>
      <c r="I21" s="25"/>
      <c r="J21" s="25"/>
    </row>
    <row r="22" spans="1:10" ht="15.75" customHeight="1" x14ac:dyDescent="0.25">
      <c r="A22" s="114"/>
      <c r="B22" s="115"/>
      <c r="C22" s="114"/>
      <c r="D22" s="114"/>
      <c r="E22" s="115"/>
      <c r="F22" s="116"/>
      <c r="G22" s="115"/>
      <c r="H22" s="117"/>
      <c r="I22" s="117"/>
      <c r="J22" s="117"/>
    </row>
    <row r="23" spans="1:10" x14ac:dyDescent="0.25">
      <c r="H23" s="28"/>
      <c r="I23" s="28"/>
      <c r="J23" s="28"/>
    </row>
    <row r="24" spans="1:10" x14ac:dyDescent="0.25">
      <c r="H24" s="28"/>
      <c r="I24" s="28"/>
      <c r="J24" s="28"/>
    </row>
    <row r="28" spans="1:10" x14ac:dyDescent="0.25">
      <c r="F28" s="27" t="s">
        <v>27</v>
      </c>
    </row>
  </sheetData>
  <mergeCells count="14">
    <mergeCell ref="K11:K12"/>
    <mergeCell ref="A13:J13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62F5-4C72-4DAF-8CB6-2930EE428E71}">
  <dimension ref="A1:G22"/>
  <sheetViews>
    <sheetView view="pageBreakPreview" zoomScaleNormal="100" workbookViewId="0">
      <selection activeCell="D20" sqref="D20"/>
    </sheetView>
  </sheetViews>
  <sheetFormatPr defaultColWidth="9" defaultRowHeight="15" x14ac:dyDescent="0.25"/>
  <cols>
    <col min="1" max="1" width="23.5703125" style="40" customWidth="1"/>
    <col min="2" max="2" width="18.85546875" style="40" customWidth="1"/>
    <col min="3" max="3" width="35" style="52" customWidth="1"/>
    <col min="4" max="4" width="11.7109375" style="53" customWidth="1"/>
    <col min="5" max="5" width="11" style="40" customWidth="1"/>
    <col min="6" max="6" width="11.85546875" style="53" customWidth="1"/>
    <col min="7" max="7" width="22" style="40" customWidth="1"/>
    <col min="8" max="16384" width="9" style="40"/>
  </cols>
  <sheetData>
    <row r="1" spans="1:7" s="32" customFormat="1" ht="52.5" customHeight="1" x14ac:dyDescent="0.25">
      <c r="E1" s="33"/>
    </row>
    <row r="2" spans="1:7" s="32" customFormat="1" ht="10.5" customHeight="1" x14ac:dyDescent="0.25">
      <c r="A2" s="97" t="s">
        <v>0</v>
      </c>
      <c r="B2" s="97"/>
      <c r="C2" s="97"/>
      <c r="D2" s="97"/>
      <c r="E2" s="97"/>
      <c r="F2" s="97"/>
      <c r="G2" s="97"/>
    </row>
    <row r="3" spans="1:7" s="32" customFormat="1" ht="15.95" customHeight="1" x14ac:dyDescent="0.25">
      <c r="A3" s="97" t="s">
        <v>1</v>
      </c>
      <c r="B3" s="97"/>
      <c r="C3" s="97"/>
      <c r="D3" s="97"/>
      <c r="E3" s="97"/>
      <c r="F3" s="97"/>
      <c r="G3" s="97"/>
    </row>
    <row r="4" spans="1:7" s="32" customFormat="1" ht="15.95" customHeight="1" x14ac:dyDescent="0.25">
      <c r="A4" s="97" t="s">
        <v>2</v>
      </c>
      <c r="B4" s="97"/>
      <c r="C4" s="97"/>
      <c r="D4" s="97"/>
      <c r="E4" s="97"/>
      <c r="F4" s="97"/>
      <c r="G4" s="97"/>
    </row>
    <row r="5" spans="1:7" s="32" customFormat="1" ht="15.95" customHeight="1" x14ac:dyDescent="0.25">
      <c r="A5" s="97" t="s">
        <v>3</v>
      </c>
      <c r="B5" s="97"/>
      <c r="C5" s="97"/>
      <c r="D5" s="97"/>
      <c r="E5" s="97"/>
      <c r="F5" s="97"/>
      <c r="G5" s="97"/>
    </row>
    <row r="6" spans="1:7" s="32" customFormat="1" ht="8.25" customHeight="1" x14ac:dyDescent="0.25">
      <c r="E6" s="33"/>
    </row>
    <row r="7" spans="1:7" s="32" customFormat="1" ht="8.25" customHeight="1" x14ac:dyDescent="0.25">
      <c r="E7" s="33"/>
    </row>
    <row r="8" spans="1:7" s="32" customFormat="1" ht="17.25" customHeight="1" x14ac:dyDescent="0.25">
      <c r="A8" s="34" t="s">
        <v>44</v>
      </c>
      <c r="B8" s="34"/>
      <c r="C8" s="34" t="s">
        <v>29</v>
      </c>
      <c r="D8" s="35"/>
      <c r="E8" s="34" t="s">
        <v>30</v>
      </c>
      <c r="F8" s="35"/>
      <c r="G8" s="36"/>
    </row>
    <row r="9" spans="1:7" s="32" customFormat="1" ht="12" customHeight="1" x14ac:dyDescent="0.25">
      <c r="A9" s="37"/>
      <c r="B9" s="37"/>
      <c r="C9" s="38"/>
      <c r="E9" s="34" t="s">
        <v>31</v>
      </c>
      <c r="F9" s="39"/>
      <c r="G9" s="38"/>
    </row>
    <row r="10" spans="1:7" s="32" customFormat="1" ht="14.25" customHeight="1" x14ac:dyDescent="0.25">
      <c r="A10" s="34" t="s">
        <v>42</v>
      </c>
      <c r="B10" s="34"/>
      <c r="C10" s="34" t="s">
        <v>32</v>
      </c>
      <c r="D10" s="35"/>
      <c r="E10" s="34" t="s">
        <v>33</v>
      </c>
      <c r="F10" s="35"/>
      <c r="G10" s="36"/>
    </row>
    <row r="11" spans="1:7" s="32" customFormat="1" ht="12" customHeight="1" thickBot="1" x14ac:dyDescent="0.3">
      <c r="A11" s="36"/>
      <c r="B11" s="36"/>
      <c r="C11" s="36"/>
      <c r="F11" s="35"/>
      <c r="G11" s="36"/>
    </row>
    <row r="12" spans="1:7" ht="23.25" customHeight="1" thickBot="1" x14ac:dyDescent="0.3">
      <c r="A12" s="98" t="s">
        <v>34</v>
      </c>
      <c r="B12" s="99"/>
      <c r="C12" s="99"/>
      <c r="D12" s="99"/>
      <c r="E12" s="99"/>
      <c r="F12" s="99"/>
      <c r="G12" s="100"/>
    </row>
    <row r="13" spans="1:7" s="45" customFormat="1" ht="37.5" customHeight="1" thickBot="1" x14ac:dyDescent="0.25">
      <c r="A13" s="41" t="s">
        <v>35</v>
      </c>
      <c r="B13" s="42" t="s">
        <v>36</v>
      </c>
      <c r="C13" s="54" t="s">
        <v>37</v>
      </c>
      <c r="D13" s="54" t="s">
        <v>10</v>
      </c>
      <c r="E13" s="43" t="s">
        <v>11</v>
      </c>
      <c r="F13" s="43" t="s">
        <v>12</v>
      </c>
      <c r="G13" s="44" t="s">
        <v>8</v>
      </c>
    </row>
    <row r="14" spans="1:7" s="45" customFormat="1" ht="24.75" customHeight="1" x14ac:dyDescent="0.2">
      <c r="A14" s="61" t="s">
        <v>51</v>
      </c>
      <c r="B14" s="69" t="s">
        <v>43</v>
      </c>
      <c r="C14" s="55" t="s">
        <v>41</v>
      </c>
      <c r="D14" s="31">
        <v>15</v>
      </c>
      <c r="E14" s="46">
        <v>4</v>
      </c>
      <c r="F14" s="46">
        <v>11</v>
      </c>
      <c r="G14" s="47">
        <v>11</v>
      </c>
    </row>
    <row r="15" spans="1:7" s="45" customFormat="1" ht="18.75" customHeight="1" x14ac:dyDescent="0.2">
      <c r="A15" s="61" t="s">
        <v>52</v>
      </c>
      <c r="B15" s="62" t="s">
        <v>53</v>
      </c>
      <c r="C15" s="67" t="s">
        <v>54</v>
      </c>
      <c r="D15" s="68">
        <v>3</v>
      </c>
      <c r="E15" s="46">
        <v>0</v>
      </c>
      <c r="F15" s="46">
        <v>3</v>
      </c>
      <c r="G15" s="47">
        <v>3</v>
      </c>
    </row>
    <row r="16" spans="1:7" s="45" customFormat="1" ht="22.5" customHeight="1" x14ac:dyDescent="0.2">
      <c r="A16" s="61"/>
      <c r="B16" s="62"/>
      <c r="C16" s="55"/>
      <c r="D16" s="31"/>
      <c r="E16" s="46"/>
      <c r="F16" s="46"/>
      <c r="G16" s="47"/>
    </row>
    <row r="17" spans="1:7" s="50" customFormat="1" ht="27" customHeight="1" x14ac:dyDescent="0.2">
      <c r="A17" s="15"/>
      <c r="B17" s="15"/>
      <c r="C17" s="66"/>
      <c r="D17" s="48"/>
      <c r="E17" s="48"/>
      <c r="F17" s="48"/>
      <c r="G17" s="47"/>
    </row>
    <row r="18" spans="1:7" s="50" customFormat="1" ht="15.75" x14ac:dyDescent="0.2">
      <c r="A18" s="15"/>
      <c r="B18" s="15"/>
      <c r="C18" s="55"/>
      <c r="D18" s="48"/>
      <c r="E18" s="48"/>
      <c r="F18" s="48"/>
      <c r="G18" s="49"/>
    </row>
    <row r="19" spans="1:7" s="50" customFormat="1" ht="15.75" x14ac:dyDescent="0.2">
      <c r="A19" s="94" t="s">
        <v>8</v>
      </c>
      <c r="B19" s="95"/>
      <c r="C19" s="95"/>
      <c r="D19" s="95"/>
      <c r="E19" s="95"/>
      <c r="F19" s="96"/>
      <c r="G19" s="60" t="s">
        <v>55</v>
      </c>
    </row>
    <row r="20" spans="1:7" s="32" customFormat="1" ht="75.75" customHeight="1" x14ac:dyDescent="0.25">
      <c r="A20" s="51"/>
      <c r="B20" s="51"/>
      <c r="G20" s="51"/>
    </row>
    <row r="21" spans="1:7" s="32" customFormat="1" x14ac:dyDescent="0.25"/>
    <row r="22" spans="1:7" s="32" customFormat="1" x14ac:dyDescent="0.25"/>
  </sheetData>
  <mergeCells count="6">
    <mergeCell ref="A19:F19"/>
    <mergeCell ref="A2:G2"/>
    <mergeCell ref="A3:G3"/>
    <mergeCell ref="A4:G4"/>
    <mergeCell ref="A5:G5"/>
    <mergeCell ref="A12:G12"/>
  </mergeCells>
  <phoneticPr fontId="8" type="noConversion"/>
  <pageMargins left="0.25" right="0.25" top="0.75" bottom="0.75" header="0.3" footer="0.3"/>
  <pageSetup paperSize="9"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7296F-E14D-48EB-8380-F0D5FD0C9444}">
  <dimension ref="A1:L51"/>
  <sheetViews>
    <sheetView workbookViewId="0">
      <selection activeCell="B17" sqref="B17:E17"/>
    </sheetView>
  </sheetViews>
  <sheetFormatPr defaultRowHeight="15" x14ac:dyDescent="0.25"/>
  <cols>
    <col min="1" max="1" width="29.85546875" customWidth="1"/>
    <col min="2" max="2" width="11.140625" style="74" customWidth="1"/>
    <col min="3" max="3" width="11.140625" style="12" customWidth="1"/>
    <col min="4" max="4" width="11.140625" customWidth="1"/>
    <col min="5" max="5" width="11.140625" style="74" customWidth="1"/>
    <col min="6" max="6" width="9.7109375" style="13" customWidth="1"/>
    <col min="7" max="7" width="10.85546875" customWidth="1"/>
    <col min="8" max="8" width="10" style="13" customWidth="1"/>
    <col min="9" max="9" width="7.5703125" customWidth="1"/>
  </cols>
  <sheetData>
    <row r="1" spans="1:12" x14ac:dyDescent="0.25">
      <c r="A1" s="1"/>
      <c r="B1" s="1"/>
      <c r="C1" s="2"/>
      <c r="D1" s="3"/>
      <c r="E1" s="1"/>
      <c r="F1" s="1"/>
      <c r="G1" s="4"/>
      <c r="H1" s="1"/>
      <c r="I1" s="1"/>
      <c r="J1" s="1"/>
      <c r="K1" s="1"/>
      <c r="L1" s="1"/>
    </row>
    <row r="2" spans="1:12" x14ac:dyDescent="0.25">
      <c r="A2" s="1"/>
      <c r="B2" s="1"/>
      <c r="C2" s="2"/>
      <c r="D2" s="3"/>
      <c r="E2" s="1"/>
      <c r="F2" s="1"/>
      <c r="G2" s="4"/>
      <c r="H2" s="1"/>
      <c r="I2" s="1"/>
      <c r="J2" s="1"/>
      <c r="K2" s="1"/>
      <c r="L2" s="1"/>
    </row>
    <row r="3" spans="1:12" x14ac:dyDescent="0.25">
      <c r="A3" s="1"/>
      <c r="B3" s="1"/>
      <c r="C3" s="2"/>
      <c r="D3" s="3"/>
      <c r="E3" s="1"/>
      <c r="F3" s="1"/>
      <c r="G3" s="4"/>
      <c r="H3" s="1"/>
      <c r="I3" s="1"/>
      <c r="J3" s="1"/>
      <c r="K3" s="1"/>
      <c r="L3" s="1"/>
    </row>
    <row r="4" spans="1:12" x14ac:dyDescent="0.25">
      <c r="A4" s="1"/>
      <c r="B4" s="1"/>
      <c r="C4" s="2"/>
      <c r="D4" s="3"/>
      <c r="E4" s="1"/>
      <c r="F4" s="1"/>
      <c r="G4" s="4"/>
      <c r="H4" s="1"/>
      <c r="I4" s="1"/>
      <c r="J4" s="1"/>
      <c r="K4" s="1"/>
      <c r="L4" s="1"/>
    </row>
    <row r="5" spans="1:12" x14ac:dyDescent="0.25">
      <c r="A5" s="77" t="s">
        <v>0</v>
      </c>
      <c r="B5" s="77"/>
      <c r="C5" s="77"/>
      <c r="D5" s="77"/>
      <c r="E5" s="77"/>
      <c r="F5" s="77"/>
      <c r="G5" s="77"/>
      <c r="H5" s="77"/>
      <c r="I5" s="77"/>
      <c r="J5" s="1"/>
      <c r="K5" s="1"/>
      <c r="L5" s="1"/>
    </row>
    <row r="6" spans="1:12" x14ac:dyDescent="0.25">
      <c r="A6" s="77" t="s">
        <v>1</v>
      </c>
      <c r="B6" s="77"/>
      <c r="C6" s="77"/>
      <c r="D6" s="77"/>
      <c r="E6" s="77"/>
      <c r="F6" s="77"/>
      <c r="G6" s="77"/>
      <c r="H6" s="77"/>
      <c r="I6" s="77"/>
      <c r="J6" s="1"/>
      <c r="K6" s="1"/>
      <c r="L6" s="1"/>
    </row>
    <row r="7" spans="1:12" x14ac:dyDescent="0.25">
      <c r="A7" s="77" t="s">
        <v>2</v>
      </c>
      <c r="B7" s="77"/>
      <c r="C7" s="77"/>
      <c r="D7" s="77"/>
      <c r="E7" s="77"/>
      <c r="F7" s="77"/>
      <c r="G7" s="77"/>
      <c r="H7" s="77"/>
      <c r="I7" s="77"/>
      <c r="J7" s="1"/>
      <c r="K7" s="1"/>
      <c r="L7" s="1"/>
    </row>
    <row r="8" spans="1:12" x14ac:dyDescent="0.25">
      <c r="A8" s="77" t="s">
        <v>3</v>
      </c>
      <c r="B8" s="77"/>
      <c r="C8" s="77"/>
      <c r="D8" s="77"/>
      <c r="E8" s="77"/>
      <c r="F8" s="77"/>
      <c r="G8" s="77"/>
      <c r="H8" s="77"/>
      <c r="I8" s="77"/>
      <c r="J8" s="1"/>
      <c r="K8" s="1"/>
      <c r="L8" s="1"/>
    </row>
    <row r="9" spans="1:12" x14ac:dyDescent="0.25">
      <c r="A9" s="1"/>
      <c r="B9" s="1"/>
      <c r="C9" s="4"/>
      <c r="D9" s="1"/>
      <c r="E9" s="1"/>
      <c r="F9" s="1"/>
      <c r="G9" s="4"/>
      <c r="H9" s="1"/>
      <c r="I9" s="1"/>
      <c r="J9" s="1"/>
      <c r="K9" s="1"/>
      <c r="L9" s="1"/>
    </row>
    <row r="10" spans="1:12" x14ac:dyDescent="0.25">
      <c r="A10" s="1"/>
      <c r="B10" s="1"/>
      <c r="C10" s="4"/>
      <c r="D10" s="1"/>
      <c r="E10" s="1"/>
      <c r="F10" s="1"/>
      <c r="G10" s="4"/>
      <c r="H10" s="1"/>
      <c r="I10" s="1"/>
      <c r="J10" s="1"/>
      <c r="K10" s="1"/>
      <c r="L10" s="1"/>
    </row>
    <row r="11" spans="1:12" x14ac:dyDescent="0.25">
      <c r="A11" s="5" t="s">
        <v>45</v>
      </c>
      <c r="B11" s="5"/>
      <c r="C11" s="76" t="s">
        <v>4</v>
      </c>
      <c r="D11" s="76"/>
      <c r="E11" s="76"/>
      <c r="F11" s="76"/>
      <c r="G11" s="1"/>
      <c r="H11" s="56"/>
      <c r="I11" s="5"/>
      <c r="J11" s="1"/>
      <c r="K11" s="1"/>
      <c r="L11" s="1"/>
    </row>
    <row r="12" spans="1:12" x14ac:dyDescent="0.25">
      <c r="A12" s="1"/>
      <c r="B12" s="6"/>
      <c r="C12" s="76" t="s">
        <v>46</v>
      </c>
      <c r="D12" s="76"/>
      <c r="E12" s="76"/>
      <c r="F12" s="76"/>
      <c r="G12" s="1"/>
      <c r="H12" s="58"/>
      <c r="I12" s="6"/>
      <c r="J12" s="1"/>
      <c r="K12" s="1"/>
      <c r="L12" s="1"/>
    </row>
    <row r="13" spans="1:12" x14ac:dyDescent="0.25">
      <c r="A13" s="5" t="s">
        <v>39</v>
      </c>
      <c r="B13" s="5"/>
      <c r="C13" s="7"/>
      <c r="D13" s="6"/>
      <c r="E13" s="6"/>
      <c r="F13" s="1"/>
      <c r="G13" s="1"/>
      <c r="H13" s="56"/>
      <c r="I13" s="5"/>
      <c r="J13" s="1"/>
      <c r="K13" s="1"/>
      <c r="L13" s="1"/>
    </row>
    <row r="14" spans="1:12" ht="21.75" thickBot="1" x14ac:dyDescent="0.3">
      <c r="A14" s="82" t="s">
        <v>5</v>
      </c>
      <c r="B14" s="82"/>
      <c r="C14" s="82"/>
      <c r="D14" s="82"/>
      <c r="E14" s="82"/>
      <c r="F14" s="82"/>
      <c r="G14" s="82"/>
      <c r="H14" s="82"/>
      <c r="I14" s="82"/>
    </row>
    <row r="15" spans="1:12" x14ac:dyDescent="0.25">
      <c r="A15" s="105" t="s">
        <v>6</v>
      </c>
      <c r="B15" s="107" t="s">
        <v>7</v>
      </c>
      <c r="C15" s="108"/>
      <c r="D15" s="108"/>
      <c r="E15" s="108"/>
      <c r="F15" s="108"/>
      <c r="G15" s="108"/>
      <c r="H15" s="108"/>
      <c r="I15" s="109" t="s">
        <v>8</v>
      </c>
      <c r="J15" s="8"/>
      <c r="K15" s="8"/>
      <c r="L15" s="8"/>
    </row>
    <row r="16" spans="1:12" ht="24" x14ac:dyDescent="0.25">
      <c r="A16" s="106"/>
      <c r="B16" s="111" t="s">
        <v>9</v>
      </c>
      <c r="C16" s="112"/>
      <c r="D16" s="112"/>
      <c r="E16" s="113"/>
      <c r="F16" s="59" t="s">
        <v>10</v>
      </c>
      <c r="G16" s="59" t="s">
        <v>11</v>
      </c>
      <c r="H16" s="59" t="s">
        <v>12</v>
      </c>
      <c r="I16" s="110"/>
      <c r="J16" s="8"/>
      <c r="K16" s="8"/>
      <c r="L16" s="8"/>
    </row>
    <row r="17" spans="1:12" ht="26.25" customHeight="1" x14ac:dyDescent="0.25">
      <c r="A17" s="63" t="s">
        <v>40</v>
      </c>
      <c r="B17" s="101" t="s">
        <v>47</v>
      </c>
      <c r="C17" s="102"/>
      <c r="D17" s="102"/>
      <c r="E17" s="103"/>
      <c r="F17" s="57">
        <v>15</v>
      </c>
      <c r="G17" s="70">
        <v>0</v>
      </c>
      <c r="H17" s="70">
        <v>15</v>
      </c>
      <c r="I17" s="71">
        <v>15</v>
      </c>
      <c r="J17" s="8"/>
      <c r="K17" s="8"/>
      <c r="L17" s="8"/>
    </row>
    <row r="18" spans="1:12" ht="26.25" customHeight="1" x14ac:dyDescent="0.25">
      <c r="A18" s="20" t="s">
        <v>48</v>
      </c>
      <c r="B18" s="101" t="s">
        <v>47</v>
      </c>
      <c r="C18" s="102"/>
      <c r="D18" s="102"/>
      <c r="E18" s="103"/>
      <c r="F18" s="57"/>
      <c r="G18" s="70">
        <v>2</v>
      </c>
      <c r="H18" s="70">
        <v>13</v>
      </c>
      <c r="I18" s="72">
        <v>13</v>
      </c>
      <c r="J18" s="9"/>
      <c r="K18" s="9"/>
      <c r="L18" s="9"/>
    </row>
    <row r="19" spans="1:12" ht="26.25" customHeight="1" x14ac:dyDescent="0.25">
      <c r="A19" s="21" t="s">
        <v>49</v>
      </c>
      <c r="B19" s="101" t="s">
        <v>47</v>
      </c>
      <c r="C19" s="102"/>
      <c r="D19" s="102"/>
      <c r="E19" s="103"/>
      <c r="F19" s="57"/>
      <c r="G19" s="70">
        <v>2</v>
      </c>
      <c r="H19" s="70">
        <v>11</v>
      </c>
      <c r="I19" s="73">
        <v>11</v>
      </c>
      <c r="J19" s="9"/>
      <c r="K19" s="9"/>
      <c r="L19" s="9"/>
    </row>
    <row r="20" spans="1:12" x14ac:dyDescent="0.25">
      <c r="A20" s="64"/>
      <c r="B20" s="10"/>
      <c r="C20" s="10"/>
      <c r="D20" s="10"/>
      <c r="E20" s="10"/>
      <c r="F20" s="10"/>
      <c r="G20" s="10"/>
      <c r="H20" s="10"/>
      <c r="I20" s="11"/>
      <c r="J20" s="65"/>
      <c r="K20" s="65"/>
      <c r="L20" s="9"/>
    </row>
    <row r="21" spans="1:12" x14ac:dyDescent="0.25">
      <c r="A21" s="104"/>
      <c r="B21" s="104"/>
      <c r="C21" s="104"/>
      <c r="D21" s="104"/>
      <c r="E21" s="104"/>
      <c r="F21" s="104"/>
      <c r="G21" s="104"/>
      <c r="H21" s="104"/>
      <c r="I21" s="104"/>
      <c r="J21" s="1"/>
      <c r="K21" s="1"/>
    </row>
    <row r="22" spans="1:12" x14ac:dyDescent="0.2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</row>
    <row r="25" spans="1:12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</row>
    <row r="26" spans="1:12" x14ac:dyDescent="0.25">
      <c r="A26" s="1"/>
      <c r="B26" s="1"/>
      <c r="C26" s="4"/>
      <c r="D26" s="1"/>
      <c r="E26" s="1"/>
      <c r="F26" s="1"/>
      <c r="G26" s="1" t="s">
        <v>50</v>
      </c>
      <c r="H26" s="1"/>
      <c r="I26" s="1"/>
      <c r="J26" s="1"/>
      <c r="K26" s="1"/>
    </row>
    <row r="27" spans="1:12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</row>
    <row r="28" spans="1:12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</row>
    <row r="29" spans="1:12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</row>
    <row r="30" spans="1:12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</row>
    <row r="31" spans="1:12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</row>
    <row r="32" spans="1:12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</row>
    <row r="33" spans="1:11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</row>
    <row r="34" spans="1:11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</row>
    <row r="35" spans="1:11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</row>
    <row r="36" spans="1:11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</row>
    <row r="37" spans="1:11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</row>
    <row r="38" spans="1:11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</row>
    <row r="39" spans="1:11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</row>
    <row r="40" spans="1:11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</row>
    <row r="41" spans="1:11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</row>
    <row r="42" spans="1:11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</row>
    <row r="43" spans="1:11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</row>
    <row r="44" spans="1:11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</row>
    <row r="45" spans="1:11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</row>
    <row r="46" spans="1:11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</row>
    <row r="47" spans="1:11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</row>
    <row r="48" spans="1:11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</row>
    <row r="49" spans="1:11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</row>
    <row r="50" spans="1:11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</row>
    <row r="51" spans="1:11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</row>
  </sheetData>
  <mergeCells count="15">
    <mergeCell ref="C12:F12"/>
    <mergeCell ref="A5:I5"/>
    <mergeCell ref="A6:I6"/>
    <mergeCell ref="A7:I7"/>
    <mergeCell ref="A8:I8"/>
    <mergeCell ref="C11:F11"/>
    <mergeCell ref="B18:E18"/>
    <mergeCell ref="B19:E19"/>
    <mergeCell ref="A21:I21"/>
    <mergeCell ref="A14:I14"/>
    <mergeCell ref="A15:A16"/>
    <mergeCell ref="B15:H15"/>
    <mergeCell ref="I15:I16"/>
    <mergeCell ref="B16:E16"/>
    <mergeCell ref="B17:E17"/>
  </mergeCells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Leave Card as TIC</vt:lpstr>
      <vt:lpstr>Election &amp; NLC</vt:lpstr>
      <vt:lpstr>Sheet1</vt:lpstr>
      <vt:lpstr>'Election &amp; NLC'!Print_Area</vt:lpstr>
      <vt:lpstr>'Leave Card as TIC'!Print_Area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2026-01-14T02:17:31Z</cp:lastPrinted>
  <dcterms:created xsi:type="dcterms:W3CDTF">2022-11-24T07:01:13Z</dcterms:created>
  <dcterms:modified xsi:type="dcterms:W3CDTF">2026-01-14T02:18:29Z</dcterms:modified>
</cp:coreProperties>
</file>