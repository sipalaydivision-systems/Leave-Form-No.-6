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 activeTab="2"/>
  </bookViews>
  <sheets>
    <sheet name="Sheet1" sheetId="9" r:id="rId1"/>
    <sheet name="Leave Card" sheetId="8" r:id="rId2"/>
    <sheet name="VSC" sheetId="10" r:id="rId3"/>
  </sheets>
  <definedNames>
    <definedName name="_xlnm.Print_Area" localSheetId="1">'Leave Card'!$A$1:$J$73</definedName>
    <definedName name="_xlnm.Print_Area" localSheetId="2">VSC!$A$1:$G$22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<sst xmlns="http://schemas.openxmlformats.org/spreadsheetml/2006/main" count="128" uniqueCount="116">
  <si>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Months</t>
  </si>
  <si>
    <t>No. of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</si>
  <si>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</si>
  <si>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</si>
  <si>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</si>
  <si>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</si>
  <si>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</si>
  <si>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</si>
  <si>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</si>
  <si>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</si>
  <si>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</si>
  <si>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</si>
  <si>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</si>
  <si>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</si>
  <si>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Formula 1.25/no. of days in a month* no of days present example (1.25/30*30)</t>
  </si>
  <si>
    <t>Republic of the Philippines</t>
  </si>
  <si>
    <t>Department of Education</t>
  </si>
  <si>
    <t>REGION VI-WESTERN VISAYAS</t>
  </si>
  <si>
    <t>SCHOOLS DIVISION OF SIPALAY CITY</t>
  </si>
  <si>
    <t>Name: Jenia T. Hersabelino</t>
  </si>
  <si>
    <t>DISTRICT :</t>
  </si>
  <si>
    <t xml:space="preserve">EMP. NO  : </t>
  </si>
  <si>
    <t>STATION CODE:</t>
  </si>
  <si>
    <t xml:space="preserve">POSITION: ADAS II </t>
  </si>
  <si>
    <t>SCHOOL/OFFICE: GMNHS-JHS</t>
  </si>
  <si>
    <t>STATION   : GMNHS- MAIN</t>
  </si>
  <si>
    <t>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</si>
  <si>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</si>
  <si>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</si>
  <si>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</si>
  <si>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</si>
  <si>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</si>
  <si>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</si>
  <si>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</si>
  <si>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</si>
  <si>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</si>
  <si>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ORIGINAL APPOINTMENT: 04/19/2021</t>
  </si>
  <si>
    <t>ADD: 04/19/2021- 04/30/2021</t>
  </si>
  <si>
    <t>ADD: 05/01/2021- 12/31/2021</t>
  </si>
  <si>
    <t>LESS: 08/19/2021</t>
  </si>
  <si>
    <t>LESS: FL 2021</t>
  </si>
  <si>
    <t>ADD: 01/01/2022- 09/30/2022</t>
  </si>
  <si>
    <t>LESS: MONETIZATION 2022</t>
  </si>
  <si>
    <t>ADD: 10/01/2022- 12/31/2022</t>
  </si>
  <si>
    <t>LESS: FL 2022</t>
  </si>
  <si>
    <t>ADD: 01/01/2023- 03/31/2023</t>
  </si>
  <si>
    <t>LESS: 01/17/2023</t>
  </si>
  <si>
    <t>LESS: 02/07/2023</t>
  </si>
  <si>
    <t>ADD: 04/01/2023- 04/30/2023</t>
  </si>
  <si>
    <t>LESS: 05/05/2023</t>
  </si>
  <si>
    <t>LESS: 05/08/2023</t>
  </si>
  <si>
    <t>ADD: 05/01/2023- 06/30/2023</t>
  </si>
  <si>
    <t>LESS: 07/10/2023</t>
  </si>
  <si>
    <t>LESS: 07/28/2023</t>
  </si>
  <si>
    <t>ADD: 07/01/2023- 08/31/2023</t>
  </si>
  <si>
    <t>LESS: MONETIZATION 2023</t>
  </si>
  <si>
    <t>LESS: 09/26/2023</t>
  </si>
  <si>
    <t>ADD:09/01/2023-09/30/2021</t>
  </si>
  <si>
    <t>LESS: 10/17/2023</t>
  </si>
  <si>
    <t>ADD: 10/01/2023-11/30/2023</t>
  </si>
  <si>
    <t>LESS: 12/15&amp;19/2023</t>
  </si>
  <si>
    <t>ADD: 12/01/2023-12/31/2023</t>
  </si>
  <si>
    <t>ADD: 01/01/2024-02/29/2024</t>
  </si>
  <si>
    <t>LESS: 03/01/2024</t>
  </si>
  <si>
    <t>ADD: 03/1-31/2024</t>
  </si>
  <si>
    <t>LESS 04/22-23/2024</t>
  </si>
  <si>
    <t>ADD: 04/1-30/2024</t>
  </si>
  <si>
    <t>LESS: 05/7/2024</t>
  </si>
  <si>
    <t>ADD: 05/1-31/2024</t>
  </si>
  <si>
    <t>LESS: 07/1-2/2024</t>
  </si>
  <si>
    <t>ADD: 06/1/2024-07/31/2024</t>
  </si>
  <si>
    <t>LESS: MONETIZATION 2024</t>
  </si>
  <si>
    <t>ADD: 08/1/2024-09/30/2024</t>
  </si>
  <si>
    <t>LESS: 10/14/2024</t>
  </si>
  <si>
    <t>ADD: 10/1/2024-11/30/2024</t>
  </si>
  <si>
    <t>LESS: 12/2/2024</t>
  </si>
  <si>
    <t>LESS: 12/13/2024</t>
  </si>
  <si>
    <t>ADD: 12/1-31/2024</t>
  </si>
  <si>
    <t>LESS: MANDATORY FL 2024</t>
  </si>
  <si>
    <t>LESS: 01/6 &amp; 8/2025</t>
  </si>
  <si>
    <t>ADD: 01/1/2025-03/31/2025</t>
  </si>
  <si>
    <t>LESS: 03/18/2025</t>
  </si>
  <si>
    <t>ADD: 04/1/2025-06/30/2025</t>
  </si>
  <si>
    <t>LESS: MONETIZATION 2025 (17 DAYS)</t>
  </si>
  <si>
    <t>LESS: 06/24-25/2025</t>
  </si>
  <si>
    <t>LESS: 07/11/2025</t>
  </si>
  <si>
    <t>LESS: 07/17-18/2025</t>
  </si>
  <si>
    <t>LESS: 07/30/2025</t>
  </si>
  <si>
    <t>ADD: 07/1-31/2025</t>
  </si>
  <si>
    <t>ADD: 08/1-3/2025</t>
  </si>
  <si>
    <t>PROMOTED TO TEACHER II-SHS - AUGUST 4, 2025</t>
  </si>
  <si>
    <t>Certified Correct:</t>
  </si>
  <si>
    <t>MA. LUISA B. CATIGAN</t>
  </si>
  <si>
    <t>Administrative Officer IV</t>
  </si>
  <si>
    <t>HRMO</t>
  </si>
  <si>
    <t>NEGROS ISLAND REGION</t>
  </si>
  <si>
    <t>NAME          : JENIA T. HERSABELINO</t>
  </si>
  <si>
    <t xml:space="preserve">DISTRICT : </t>
  </si>
  <si>
    <t xml:space="preserve">EMPLOYEE NO.: </t>
  </si>
  <si>
    <t xml:space="preserve">STATION CODE: </t>
  </si>
  <si>
    <t>POSITION   : T-II</t>
  </si>
  <si>
    <t>SCHOOL/OFFICE : GMNHS</t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</si>
  <si>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</si>
  <si>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</si>
  <si>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</si>
  <si>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</si>
  <si>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</si>
  <si>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</si>
  <si>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</si>
  <si>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</si>
  <si>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VL-SL BALANCE: 7.750</t>
  </si>
  <si>
    <t>CONVERSION OF VL-SL CREDITS TO VSC</t>
  </si>
  <si>
    <t>LESS: 08/13/2025</t>
  </si>
  <si>
    <t>LESS: 09/9/2025</t>
  </si>
  <si>
    <t>LESS: 09/12/2025</t>
  </si>
  <si>
    <t>LESS: 12/3-4/2025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</si>
</sst>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4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24" applyNumberFormat="0" applyAlignment="0" applyProtection="0">
      <alignment vertical="center"/>
    </xf>
    <xf numFmtId="0" fontId="24" fillId="16" borderId="25" applyNumberFormat="0" applyAlignment="0" applyProtection="0">
      <alignment vertical="center"/>
    </xf>
    <xf numFmtId="0" fontId="25" fillId="16" borderId="24" applyNumberFormat="0" applyAlignment="0" applyProtection="0">
      <alignment vertical="center"/>
    </xf>
    <xf numFmtId="0" fontId="26" fillId="17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" fillId="0" borderId="0"/>
    <xf numFmtId="0" fontId="0" fillId="0" borderId="0"/>
  </cellStyleXfs>
  <cellXfs count="95">
    <xf numFmtId="0" fontId="0" fillId="0" borderId="0" xfId="0"/>
    <xf numFmtId="0" fontId="1" fillId="2" borderId="0" xfId="49" applyFill="1"/>
    <xf numFmtId="0" fontId="2" fillId="0" borderId="0" xfId="49" applyFont="1"/>
    <xf numFmtId="0" fontId="3" fillId="0" borderId="0" xfId="49" applyFont="1"/>
    <xf numFmtId="0" fontId="1" fillId="0" borderId="0" xfId="49"/>
    <xf numFmtId="0" fontId="1" fillId="3" borderId="0" xfId="49" applyFill="1"/>
    <xf numFmtId="0" fontId="1" fillId="4" borderId="0" xfId="49" applyFill="1"/>
    <xf numFmtId="0" fontId="1" fillId="2" borderId="0" xfId="49" applyFill="1" applyAlignment="1">
      <alignment horizontal="center"/>
    </xf>
    <xf numFmtId="0" fontId="4" fillId="2" borderId="0" xfId="49" applyFont="1" applyFill="1" applyAlignment="1">
      <alignment horizontal="center" vertical="center"/>
    </xf>
    <xf numFmtId="0" fontId="5" fillId="2" borderId="0" xfId="49" applyFont="1" applyFill="1" applyAlignment="1">
      <alignment vertical="center"/>
    </xf>
    <xf numFmtId="0" fontId="4" fillId="2" borderId="0" xfId="49" applyFont="1" applyFill="1" applyAlignment="1">
      <alignment horizontal="left" vertical="center"/>
    </xf>
    <xf numFmtId="0" fontId="4" fillId="2" borderId="0" xfId="49" applyFont="1" applyFill="1" applyAlignment="1">
      <alignment vertical="center"/>
    </xf>
    <xf numFmtId="0" fontId="6" fillId="2" borderId="0" xfId="49" applyFont="1" applyFill="1"/>
    <xf numFmtId="0" fontId="4" fillId="2" borderId="0" xfId="49" applyFont="1" applyFill="1"/>
    <xf numFmtId="0" fontId="4" fillId="2" borderId="0" xfId="49" applyFont="1" applyFill="1" applyAlignment="1">
      <alignment horizontal="left"/>
    </xf>
    <xf numFmtId="0" fontId="7" fillId="2" borderId="1" xfId="49" applyFont="1" applyFill="1" applyBorder="1" applyAlignment="1">
      <alignment horizontal="center" vertical="center"/>
    </xf>
    <xf numFmtId="0" fontId="7" fillId="2" borderId="2" xfId="49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 wrapText="1"/>
    </xf>
    <xf numFmtId="0" fontId="8" fillId="5" borderId="1" xfId="49" applyFont="1" applyFill="1" applyBorder="1" applyAlignment="1">
      <alignment horizontal="center" vertical="center"/>
    </xf>
    <xf numFmtId="0" fontId="9" fillId="6" borderId="4" xfId="49" applyFont="1" applyFill="1" applyBorder="1" applyAlignment="1">
      <alignment horizontal="center" vertical="center" wrapText="1"/>
    </xf>
    <xf numFmtId="0" fontId="8" fillId="5" borderId="5" xfId="49" applyFont="1" applyFill="1" applyBorder="1" applyAlignment="1">
      <alignment horizontal="center" vertical="center"/>
    </xf>
    <xf numFmtId="0" fontId="6" fillId="2" borderId="6" xfId="49" applyFont="1" applyFill="1" applyBorder="1" applyAlignment="1">
      <alignment horizontal="center" vertical="center"/>
    </xf>
    <xf numFmtId="0" fontId="6" fillId="2" borderId="7" xfId="49" applyFont="1" applyFill="1" applyBorder="1" applyAlignment="1">
      <alignment horizontal="center" vertical="center"/>
    </xf>
    <xf numFmtId="0" fontId="10" fillId="2" borderId="8" xfId="49" applyFont="1" applyFill="1" applyBorder="1" applyAlignment="1">
      <alignment horizontal="center" vertical="center" wrapText="1"/>
    </xf>
    <xf numFmtId="0" fontId="11" fillId="2" borderId="8" xfId="49" applyFont="1" applyFill="1" applyBorder="1" applyAlignment="1">
      <alignment horizontal="center" vertical="center" wrapText="1"/>
    </xf>
    <xf numFmtId="0" fontId="5" fillId="2" borderId="9" xfId="49" applyFont="1" applyFill="1" applyBorder="1" applyAlignment="1">
      <alignment horizontal="center" vertical="center" wrapText="1"/>
    </xf>
    <xf numFmtId="0" fontId="6" fillId="2" borderId="6" xfId="49" applyFont="1" applyFill="1" applyBorder="1" applyAlignment="1">
      <alignment horizontal="center" vertical="center" wrapText="1"/>
    </xf>
    <xf numFmtId="0" fontId="6" fillId="2" borderId="7" xfId="49" applyFont="1" applyFill="1" applyBorder="1" applyAlignment="1">
      <alignment horizontal="center" vertical="center" wrapText="1"/>
    </xf>
    <xf numFmtId="0" fontId="11" fillId="2" borderId="10" xfId="49" applyFont="1" applyFill="1" applyBorder="1" applyAlignment="1">
      <alignment horizontal="center" vertical="center" wrapText="1"/>
    </xf>
    <xf numFmtId="0" fontId="0" fillId="0" borderId="0" xfId="50" applyAlignment="1">
      <alignment vertical="center"/>
    </xf>
    <xf numFmtId="0" fontId="6" fillId="2" borderId="0" xfId="49" applyFont="1" applyFill="1" applyAlignment="1">
      <alignment horizontal="center" vertical="center" wrapText="1"/>
    </xf>
    <xf numFmtId="0" fontId="6" fillId="2" borderId="0" xfId="49" applyFont="1" applyFill="1" applyAlignment="1">
      <alignment horizontal="center" vertical="center"/>
    </xf>
    <xf numFmtId="0" fontId="11" fillId="2" borderId="0" xfId="49" applyFont="1" applyFill="1" applyAlignment="1">
      <alignment horizontal="center" vertical="center" wrapText="1"/>
    </xf>
    <xf numFmtId="0" fontId="5" fillId="2" borderId="0" xfId="49" applyFont="1" applyFill="1" applyAlignment="1">
      <alignment horizontal="center" vertical="center" wrapText="1"/>
    </xf>
    <xf numFmtId="0" fontId="3" fillId="2" borderId="0" xfId="49" applyFont="1" applyFill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vertical="center"/>
    </xf>
    <xf numFmtId="0" fontId="0" fillId="7" borderId="0" xfId="0" applyFill="1"/>
    <xf numFmtId="0" fontId="0" fillId="4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5" fillId="2" borderId="11" xfId="0" applyFont="1" applyFill="1" applyBorder="1"/>
    <xf numFmtId="0" fontId="5" fillId="2" borderId="0" xfId="0" applyFont="1" applyFill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12" xfId="0" applyFont="1" applyFill="1" applyBorder="1"/>
    <xf numFmtId="0" fontId="5" fillId="2" borderId="0" xfId="0" applyFont="1" applyFill="1" applyAlignment="1">
      <alignment horizontal="left" vertical="center"/>
    </xf>
    <xf numFmtId="0" fontId="12" fillId="2" borderId="11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0" borderId="14" xfId="0" applyFont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4" fillId="13" borderId="10" xfId="0" applyFont="1" applyFill="1" applyBorder="1"/>
    <xf numFmtId="0" fontId="4" fillId="13" borderId="12" xfId="0" applyFont="1" applyFill="1" applyBorder="1"/>
    <xf numFmtId="0" fontId="0" fillId="13" borderId="12" xfId="0" applyFill="1" applyBorder="1"/>
    <xf numFmtId="0" fontId="0" fillId="13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0" xfId="0" applyBorder="1" applyAlignment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421300</xdr:colOff>
      <xdr:row>0</xdr:row>
      <xdr:rowOff>35333</xdr:rowOff>
    </xdr:from>
    <xdr:to>
      <xdr:col>4</xdr:col>
      <xdr:colOff>405995</xdr:colOff>
      <xdr:row>1</xdr:row>
      <xdr:rowOff>1874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34925"/>
          <a:ext cx="778510" cy="63309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1143000</xdr:colOff>
      <xdr:row>0</xdr:row>
      <xdr:rowOff>38295</xdr:rowOff>
    </xdr:from>
    <xdr:to>
      <xdr:col>2</xdr:col>
      <xdr:colOff>1733735</xdr:colOff>
      <xdr:row>0</xdr:row>
      <xdr:rowOff>660400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4940" y="38100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719445" y="559498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Personnel Section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7" sqref="A7"/>
    </sheetView>
  </sheetViews>
  <sheetFormatPr defaultColWidth="9" defaultRowHeight="14.4" outlineLevelCol="4"/>
  <cols>
    <col min="1" max="1" width="10.4259259259259" customWidth="1"/>
    <col min="2" max="2" width="11.1388888888889" customWidth="1"/>
    <col min="3" max="3" width="9.71296296296296" customWidth="1"/>
  </cols>
  <sheetData>
    <row r="1" spans="1:4">
      <c r="A1" s="82" t="s">
        <v>0</v>
      </c>
      <c r="B1" s="83" t="s">
        <v>1</v>
      </c>
      <c r="C1" s="84"/>
      <c r="D1" s="85"/>
    </row>
    <row r="2" spans="1:4">
      <c r="A2" s="86"/>
      <c r="D2" s="87"/>
    </row>
    <row r="3" spans="1:4">
      <c r="A3" s="86" t="s">
        <v>2</v>
      </c>
      <c r="B3">
        <v>31</v>
      </c>
      <c r="D3" s="87"/>
    </row>
    <row r="4" spans="1:4">
      <c r="A4" s="86" t="s">
        <v>3</v>
      </c>
      <c r="B4">
        <v>28</v>
      </c>
      <c r="D4" s="87"/>
    </row>
    <row r="5" spans="1:4">
      <c r="A5" s="86" t="s">
        <v>4</v>
      </c>
      <c r="B5">
        <v>31</v>
      </c>
      <c r="D5" s="87"/>
    </row>
    <row r="6" spans="1:4">
      <c r="A6" s="86" t="s">
        <v>5</v>
      </c>
      <c r="B6">
        <v>30</v>
      </c>
      <c r="D6" s="87"/>
    </row>
    <row r="7" spans="1:4">
      <c r="A7" s="86" t="s">
        <v>6</v>
      </c>
      <c r="B7">
        <v>31</v>
      </c>
      <c r="D7" s="87"/>
    </row>
    <row r="8" spans="1:4">
      <c r="A8" s="86" t="s">
        <v>7</v>
      </c>
      <c r="B8">
        <v>30</v>
      </c>
      <c r="D8" s="87"/>
    </row>
    <row r="9" spans="1:4">
      <c r="A9" s="86" t="s">
        <v>8</v>
      </c>
      <c r="B9">
        <v>31</v>
      </c>
      <c r="D9" s="87"/>
    </row>
    <row r="10" spans="1:4">
      <c r="A10" s="86" t="s">
        <v>9</v>
      </c>
      <c r="B10">
        <v>31</v>
      </c>
      <c r="D10" s="87"/>
    </row>
    <row r="11" spans="1:4">
      <c r="A11" s="86" t="s">
        <v>10</v>
      </c>
      <c r="B11">
        <v>30</v>
      </c>
      <c r="D11" s="87"/>
    </row>
    <row r="12" spans="1:4">
      <c r="A12" s="86" t="s">
        <v>11</v>
      </c>
      <c r="B12">
        <v>31</v>
      </c>
      <c r="D12" s="87"/>
    </row>
    <row r="13" spans="1:4">
      <c r="A13" s="86" t="s">
        <v>12</v>
      </c>
      <c r="B13">
        <v>30</v>
      </c>
      <c r="D13" s="87"/>
    </row>
    <row r="14" spans="1:4">
      <c r="A14" s="86" t="s">
        <v>13</v>
      </c>
      <c r="B14">
        <v>31</v>
      </c>
      <c r="D14" s="87"/>
    </row>
    <row r="15" spans="1:4">
      <c r="A15" s="86"/>
      <c r="D15" s="87"/>
    </row>
    <row r="16" ht="15" customHeight="1" spans="1:5">
      <c r="A16" s="88" t="s">
        <v>14</v>
      </c>
      <c r="B16" s="89"/>
      <c r="C16" s="89"/>
      <c r="D16" s="90"/>
      <c r="E16" s="91"/>
    </row>
    <row r="17" spans="1:5">
      <c r="A17" s="92"/>
      <c r="B17" s="93"/>
      <c r="C17" s="93"/>
      <c r="D17" s="94"/>
      <c r="E17" s="91"/>
    </row>
  </sheetData>
  <mergeCells count="1">
    <mergeCell ref="A16:D1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4"/>
  <sheetViews>
    <sheetView view="pageBreakPreview" zoomScaleNormal="100" topLeftCell="A43" workbookViewId="0">
      <selection activeCell="C62" sqref="C62"/>
    </sheetView>
  </sheetViews>
  <sheetFormatPr defaultColWidth="9" defaultRowHeight="14.4"/>
  <cols>
    <col min="1" max="1" width="35.8518518518519" customWidth="1"/>
    <col min="2" max="2" width="11.5740740740741" style="41" customWidth="1"/>
    <col min="3" max="3" width="11.5740740740741" style="42" customWidth="1"/>
    <col min="4" max="4" width="11.5740740740741" style="41" customWidth="1"/>
    <col min="5" max="5" width="11.5740740740741" style="42" customWidth="1"/>
    <col min="6" max="6" width="11.5740740740741" style="43" customWidth="1"/>
    <col min="7" max="7" width="12.8518518518519" style="43" customWidth="1"/>
    <col min="8" max="8" width="11.5740740740741" style="41" customWidth="1"/>
    <col min="9" max="9" width="11.5740740740741" style="42" customWidth="1"/>
    <col min="10" max="10" width="11.5740740740741" customWidth="1"/>
    <col min="11" max="11" width="10.287037037037" customWidth="1"/>
  </cols>
  <sheetData>
    <row r="1" s="36" customFormat="1" ht="52.5" customHeight="1"/>
    <row r="2" s="36" customFormat="1" ht="10.5" customHeight="1" spans="1:10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3" s="36" customFormat="1" ht="15.95" customHeight="1" spans="1:10">
      <c r="A3" s="44" t="s">
        <v>16</v>
      </c>
      <c r="B3" s="44"/>
      <c r="C3" s="44"/>
      <c r="D3" s="44"/>
      <c r="E3" s="44"/>
      <c r="F3" s="44"/>
      <c r="G3" s="44"/>
      <c r="H3" s="44"/>
      <c r="I3" s="44"/>
      <c r="J3" s="44"/>
    </row>
    <row r="4" s="36" customFormat="1" ht="15.95" customHeight="1" spans="1:10">
      <c r="A4" s="44" t="s">
        <v>17</v>
      </c>
      <c r="B4" s="44"/>
      <c r="C4" s="44"/>
      <c r="D4" s="44"/>
      <c r="E4" s="44"/>
      <c r="F4" s="44"/>
      <c r="G4" s="44"/>
      <c r="H4" s="44"/>
      <c r="I4" s="44"/>
      <c r="J4" s="44"/>
    </row>
    <row r="5" s="36" customFormat="1" ht="15.95" customHeight="1" spans="1:10">
      <c r="A5" s="44" t="s">
        <v>18</v>
      </c>
      <c r="B5" s="44"/>
      <c r="C5" s="44"/>
      <c r="D5" s="44"/>
      <c r="E5" s="44"/>
      <c r="F5" s="44"/>
      <c r="G5" s="44"/>
      <c r="H5" s="44"/>
      <c r="I5" s="44"/>
      <c r="J5" s="44"/>
    </row>
    <row r="6" s="36" customFormat="1" ht="8.25" customHeight="1"/>
    <row r="7" s="36" customFormat="1" ht="12" customHeight="1" spans="1:10">
      <c r="A7" s="45" t="s">
        <v>19</v>
      </c>
      <c r="B7" s="46"/>
      <c r="C7" s="46" t="s">
        <v>20</v>
      </c>
      <c r="D7" s="47"/>
      <c r="E7" s="45"/>
      <c r="F7" s="48"/>
      <c r="G7" s="49" t="s">
        <v>21</v>
      </c>
      <c r="H7" s="47"/>
      <c r="J7" s="72"/>
    </row>
    <row r="8" s="36" customFormat="1" ht="12" customHeight="1" spans="1:10">
      <c r="A8" s="48"/>
      <c r="B8" s="48"/>
      <c r="C8" s="48"/>
      <c r="D8" s="48"/>
      <c r="E8" s="48"/>
      <c r="F8" s="48"/>
      <c r="G8" s="48" t="s">
        <v>22</v>
      </c>
      <c r="H8" s="50">
        <v>529</v>
      </c>
      <c r="J8" s="73"/>
    </row>
    <row r="9" s="36" customFormat="1" ht="12" customHeight="1" spans="1:10">
      <c r="A9" s="45" t="s">
        <v>23</v>
      </c>
      <c r="B9" s="51"/>
      <c r="C9" s="48" t="s">
        <v>24</v>
      </c>
      <c r="D9" s="45"/>
      <c r="E9" s="45"/>
      <c r="F9" s="48"/>
      <c r="G9" s="49" t="s">
        <v>25</v>
      </c>
      <c r="H9" s="52"/>
      <c r="J9" s="72"/>
    </row>
    <row r="10" ht="24.75" customHeight="1" spans="1:10">
      <c r="A10" s="53" t="s">
        <v>26</v>
      </c>
      <c r="B10" s="53"/>
      <c r="C10" s="53"/>
      <c r="D10" s="53"/>
      <c r="E10" s="53"/>
      <c r="F10" s="53"/>
      <c r="G10" s="53"/>
      <c r="H10" s="53"/>
      <c r="I10" s="53"/>
      <c r="J10" s="53"/>
    </row>
    <row r="11" s="37" customFormat="1" ht="15.95" customHeight="1" spans="1:10">
      <c r="A11" s="54" t="s">
        <v>27</v>
      </c>
      <c r="B11" s="55" t="s">
        <v>28</v>
      </c>
      <c r="C11" s="55"/>
      <c r="D11" s="56" t="s">
        <v>29</v>
      </c>
      <c r="E11" s="57"/>
      <c r="F11" s="57"/>
      <c r="G11" s="58"/>
      <c r="H11" s="59" t="s">
        <v>30</v>
      </c>
      <c r="I11" s="59"/>
      <c r="J11" s="54" t="s">
        <v>31</v>
      </c>
    </row>
    <row r="12" s="37" customFormat="1" ht="21.75" customHeight="1" spans="1:10">
      <c r="A12" s="54"/>
      <c r="B12" s="60" t="s">
        <v>32</v>
      </c>
      <c r="C12" s="61" t="s">
        <v>33</v>
      </c>
      <c r="D12" s="60" t="s">
        <v>32</v>
      </c>
      <c r="E12" s="61" t="s">
        <v>33</v>
      </c>
      <c r="F12" s="62" t="s">
        <v>34</v>
      </c>
      <c r="G12" s="63" t="s">
        <v>35</v>
      </c>
      <c r="H12" s="60" t="s">
        <v>32</v>
      </c>
      <c r="I12" s="61" t="s">
        <v>33</v>
      </c>
      <c r="J12" s="54"/>
    </row>
    <row r="13" s="37" customFormat="1" ht="15.95" customHeight="1" spans="1:10">
      <c r="A13" s="64" t="s">
        <v>36</v>
      </c>
      <c r="B13" s="65"/>
      <c r="C13" s="65"/>
      <c r="D13" s="65"/>
      <c r="E13" s="65"/>
      <c r="F13" s="65"/>
      <c r="G13" s="65"/>
      <c r="H13" s="65"/>
      <c r="I13" s="65"/>
      <c r="J13" s="74"/>
    </row>
    <row r="14" s="38" customFormat="1" ht="15.95" customHeight="1" spans="1:10">
      <c r="A14" s="66" t="s">
        <v>37</v>
      </c>
      <c r="B14" s="67">
        <v>0.5</v>
      </c>
      <c r="C14" s="67">
        <v>0.5</v>
      </c>
      <c r="D14" s="67"/>
      <c r="E14" s="67"/>
      <c r="F14" s="67"/>
      <c r="G14" s="67"/>
      <c r="H14" s="67">
        <f>B14</f>
        <v>0.5</v>
      </c>
      <c r="I14" s="67">
        <f>C14</f>
        <v>0.5</v>
      </c>
      <c r="J14" s="75">
        <f>H14+I14</f>
        <v>1</v>
      </c>
    </row>
    <row r="15" s="39" customFormat="1" ht="15.95" customHeight="1" spans="1:10">
      <c r="A15" s="68" t="s">
        <v>38</v>
      </c>
      <c r="B15" s="67">
        <f>10/245*245</f>
        <v>10</v>
      </c>
      <c r="C15" s="67">
        <f>B15</f>
        <v>10</v>
      </c>
      <c r="D15" s="67"/>
      <c r="E15" s="67"/>
      <c r="F15" s="67"/>
      <c r="G15" s="67"/>
      <c r="H15" s="67">
        <f>H14-F15-D15+B15</f>
        <v>10.5</v>
      </c>
      <c r="I15" s="67">
        <f>I14-E15+C15</f>
        <v>10.5</v>
      </c>
      <c r="J15" s="75">
        <f t="shared" ref="J15" si="0">H15+I15</f>
        <v>21</v>
      </c>
    </row>
    <row r="16" s="39" customFormat="1" ht="15.95" customHeight="1" spans="1:10">
      <c r="A16" s="68" t="s">
        <v>39</v>
      </c>
      <c r="B16" s="67"/>
      <c r="C16" s="67"/>
      <c r="D16" s="67"/>
      <c r="E16" s="67">
        <v>1</v>
      </c>
      <c r="F16" s="67"/>
      <c r="G16" s="67"/>
      <c r="H16" s="67">
        <f t="shared" ref="H16" si="1">H15-F16-D16+B16</f>
        <v>10.5</v>
      </c>
      <c r="I16" s="67">
        <f t="shared" ref="I16" si="2">I15-E16+C16</f>
        <v>9.5</v>
      </c>
      <c r="J16" s="75">
        <f t="shared" ref="J16" si="3">H16+I16</f>
        <v>20</v>
      </c>
    </row>
    <row r="17" s="39" customFormat="1" ht="15.95" customHeight="1" spans="1:10">
      <c r="A17" s="68" t="s">
        <v>40</v>
      </c>
      <c r="B17" s="67"/>
      <c r="C17" s="67"/>
      <c r="D17" s="67"/>
      <c r="E17" s="67"/>
      <c r="F17" s="67">
        <v>5</v>
      </c>
      <c r="G17" s="67"/>
      <c r="H17" s="67">
        <f t="shared" ref="H17:H33" si="4">H16-F17-D17+B17</f>
        <v>5.5</v>
      </c>
      <c r="I17" s="67">
        <f t="shared" ref="I17:I33" si="5">I16-E17+C17</f>
        <v>9.5</v>
      </c>
      <c r="J17" s="75">
        <f t="shared" ref="J17:J33" si="6">H17+I17</f>
        <v>15</v>
      </c>
    </row>
    <row r="18" s="39" customFormat="1" ht="15.95" customHeight="1" spans="1:10">
      <c r="A18" s="68" t="s">
        <v>41</v>
      </c>
      <c r="B18" s="67">
        <f>1.25*9</f>
        <v>11.25</v>
      </c>
      <c r="C18" s="67">
        <f>B18</f>
        <v>11.25</v>
      </c>
      <c r="D18" s="67"/>
      <c r="E18" s="67"/>
      <c r="F18" s="67"/>
      <c r="G18" s="67"/>
      <c r="H18" s="67">
        <f t="shared" si="4"/>
        <v>16.75</v>
      </c>
      <c r="I18" s="67">
        <f t="shared" si="5"/>
        <v>20.75</v>
      </c>
      <c r="J18" s="75">
        <f t="shared" si="6"/>
        <v>37.5</v>
      </c>
    </row>
    <row r="19" s="39" customFormat="1" ht="15.95" customHeight="1" spans="1:10">
      <c r="A19" s="68" t="s">
        <v>42</v>
      </c>
      <c r="B19" s="67"/>
      <c r="C19" s="67"/>
      <c r="D19" s="67">
        <v>10</v>
      </c>
      <c r="E19" s="67">
        <v>15</v>
      </c>
      <c r="F19" s="67"/>
      <c r="G19" s="67"/>
      <c r="H19" s="67">
        <f t="shared" si="4"/>
        <v>6.75</v>
      </c>
      <c r="I19" s="67">
        <f t="shared" si="5"/>
        <v>5.75</v>
      </c>
      <c r="J19" s="75">
        <f t="shared" si="6"/>
        <v>12.5</v>
      </c>
    </row>
    <row r="20" s="39" customFormat="1" ht="15.95" customHeight="1" spans="1:10">
      <c r="A20" s="68" t="s">
        <v>43</v>
      </c>
      <c r="B20" s="67">
        <v>3.75</v>
      </c>
      <c r="C20" s="67">
        <v>3.75</v>
      </c>
      <c r="D20" s="67"/>
      <c r="E20" s="67"/>
      <c r="F20" s="67"/>
      <c r="G20" s="67"/>
      <c r="H20" s="67">
        <f t="shared" si="4"/>
        <v>10.5</v>
      </c>
      <c r="I20" s="67">
        <f t="shared" si="5"/>
        <v>9.5</v>
      </c>
      <c r="J20" s="75">
        <f t="shared" si="6"/>
        <v>20</v>
      </c>
    </row>
    <row r="21" s="39" customFormat="1" ht="15.95" customHeight="1" spans="1:10">
      <c r="A21" s="68" t="s">
        <v>44</v>
      </c>
      <c r="B21" s="67"/>
      <c r="C21" s="67"/>
      <c r="D21" s="67"/>
      <c r="E21" s="67"/>
      <c r="F21" s="67">
        <v>5</v>
      </c>
      <c r="G21" s="67"/>
      <c r="H21" s="67">
        <f t="shared" si="4"/>
        <v>5.5</v>
      </c>
      <c r="I21" s="67">
        <f t="shared" si="5"/>
        <v>9.5</v>
      </c>
      <c r="J21" s="75">
        <f t="shared" si="6"/>
        <v>15</v>
      </c>
    </row>
    <row r="22" s="39" customFormat="1" ht="15.95" customHeight="1" spans="1:10">
      <c r="A22" s="68" t="s">
        <v>45</v>
      </c>
      <c r="B22" s="67">
        <v>3.75</v>
      </c>
      <c r="C22" s="67">
        <v>3.75</v>
      </c>
      <c r="D22" s="67"/>
      <c r="E22" s="67"/>
      <c r="F22" s="67"/>
      <c r="G22" s="67"/>
      <c r="H22" s="67">
        <f t="shared" si="4"/>
        <v>9.25</v>
      </c>
      <c r="I22" s="67">
        <f t="shared" si="5"/>
        <v>13.25</v>
      </c>
      <c r="J22" s="75">
        <f t="shared" si="6"/>
        <v>22.5</v>
      </c>
    </row>
    <row r="23" s="39" customFormat="1" ht="15.95" customHeight="1" spans="1:10">
      <c r="A23" s="68" t="s">
        <v>46</v>
      </c>
      <c r="B23" s="67"/>
      <c r="C23" s="67"/>
      <c r="D23" s="67"/>
      <c r="E23" s="67">
        <v>1</v>
      </c>
      <c r="F23" s="67"/>
      <c r="G23" s="67"/>
      <c r="H23" s="67">
        <f t="shared" si="4"/>
        <v>9.25</v>
      </c>
      <c r="I23" s="67">
        <f t="shared" si="5"/>
        <v>12.25</v>
      </c>
      <c r="J23" s="75">
        <f t="shared" si="6"/>
        <v>21.5</v>
      </c>
    </row>
    <row r="24" s="39" customFormat="1" ht="15.95" customHeight="1" spans="1:10">
      <c r="A24" s="68" t="s">
        <v>47</v>
      </c>
      <c r="B24" s="67"/>
      <c r="C24" s="67"/>
      <c r="D24" s="67"/>
      <c r="E24" s="67"/>
      <c r="F24" s="67">
        <v>1</v>
      </c>
      <c r="G24" s="67"/>
      <c r="H24" s="67">
        <f t="shared" si="4"/>
        <v>8.25</v>
      </c>
      <c r="I24" s="67">
        <f t="shared" si="5"/>
        <v>12.25</v>
      </c>
      <c r="J24" s="75">
        <f t="shared" si="6"/>
        <v>20.5</v>
      </c>
    </row>
    <row r="25" s="39" customFormat="1" ht="15.95" customHeight="1" spans="1:10">
      <c r="A25" s="68" t="s">
        <v>48</v>
      </c>
      <c r="B25" s="67">
        <v>1.25</v>
      </c>
      <c r="C25" s="67">
        <v>1.25</v>
      </c>
      <c r="D25" s="67"/>
      <c r="E25" s="67"/>
      <c r="F25" s="67"/>
      <c r="G25" s="67"/>
      <c r="H25" s="67">
        <f t="shared" si="4"/>
        <v>9.5</v>
      </c>
      <c r="I25" s="67">
        <f t="shared" si="5"/>
        <v>13.5</v>
      </c>
      <c r="J25" s="75">
        <f t="shared" si="6"/>
        <v>23</v>
      </c>
    </row>
    <row r="26" s="39" customFormat="1" ht="15.95" customHeight="1" spans="1:10">
      <c r="A26" s="68" t="s">
        <v>49</v>
      </c>
      <c r="B26" s="67"/>
      <c r="C26" s="67"/>
      <c r="D26" s="67"/>
      <c r="E26" s="67"/>
      <c r="F26" s="67">
        <v>1</v>
      </c>
      <c r="G26" s="67"/>
      <c r="H26" s="67">
        <f t="shared" si="4"/>
        <v>8.5</v>
      </c>
      <c r="I26" s="67">
        <f t="shared" si="5"/>
        <v>13.5</v>
      </c>
      <c r="J26" s="75">
        <f t="shared" si="6"/>
        <v>22</v>
      </c>
    </row>
    <row r="27" s="39" customFormat="1" ht="15.95" customHeight="1" spans="1:10">
      <c r="A27" s="68" t="s">
        <v>50</v>
      </c>
      <c r="B27" s="67"/>
      <c r="C27" s="67"/>
      <c r="D27" s="67"/>
      <c r="E27" s="67">
        <v>1</v>
      </c>
      <c r="F27" s="67"/>
      <c r="G27" s="67"/>
      <c r="H27" s="67">
        <f t="shared" si="4"/>
        <v>8.5</v>
      </c>
      <c r="I27" s="67">
        <f t="shared" si="5"/>
        <v>12.5</v>
      </c>
      <c r="J27" s="75">
        <f t="shared" si="6"/>
        <v>21</v>
      </c>
    </row>
    <row r="28" s="39" customFormat="1" ht="15.95" customHeight="1" spans="1:10">
      <c r="A28" s="68" t="s">
        <v>51</v>
      </c>
      <c r="B28" s="67">
        <v>2.5</v>
      </c>
      <c r="C28" s="67">
        <v>2.5</v>
      </c>
      <c r="D28" s="67"/>
      <c r="E28" s="67"/>
      <c r="F28" s="67"/>
      <c r="G28" s="67"/>
      <c r="H28" s="67">
        <f t="shared" si="4"/>
        <v>11</v>
      </c>
      <c r="I28" s="67">
        <f t="shared" si="5"/>
        <v>15</v>
      </c>
      <c r="J28" s="75">
        <f t="shared" si="6"/>
        <v>26</v>
      </c>
    </row>
    <row r="29" s="39" customFormat="1" ht="15.95" customHeight="1" spans="1:10">
      <c r="A29" s="68" t="s">
        <v>52</v>
      </c>
      <c r="B29" s="67"/>
      <c r="C29" s="67"/>
      <c r="D29" s="67"/>
      <c r="E29" s="67"/>
      <c r="F29" s="67">
        <v>1</v>
      </c>
      <c r="G29" s="67"/>
      <c r="H29" s="67">
        <f t="shared" si="4"/>
        <v>10</v>
      </c>
      <c r="I29" s="67">
        <f t="shared" si="5"/>
        <v>15</v>
      </c>
      <c r="J29" s="75">
        <f t="shared" si="6"/>
        <v>25</v>
      </c>
    </row>
    <row r="30" s="39" customFormat="1" ht="15.95" customHeight="1" spans="1:10">
      <c r="A30" s="68" t="s">
        <v>53</v>
      </c>
      <c r="B30" s="67"/>
      <c r="C30" s="67"/>
      <c r="D30" s="67"/>
      <c r="E30" s="67"/>
      <c r="F30" s="67"/>
      <c r="G30" s="67">
        <v>1</v>
      </c>
      <c r="H30" s="67">
        <f t="shared" si="4"/>
        <v>10</v>
      </c>
      <c r="I30" s="67">
        <f t="shared" si="5"/>
        <v>15</v>
      </c>
      <c r="J30" s="75">
        <f t="shared" si="6"/>
        <v>25</v>
      </c>
    </row>
    <row r="31" s="39" customFormat="1" ht="15.95" customHeight="1" spans="1:10">
      <c r="A31" s="68" t="s">
        <v>54</v>
      </c>
      <c r="B31" s="67">
        <v>2.5</v>
      </c>
      <c r="C31" s="67">
        <v>2.5</v>
      </c>
      <c r="D31" s="67"/>
      <c r="E31" s="67"/>
      <c r="F31" s="67"/>
      <c r="G31" s="67"/>
      <c r="H31" s="67">
        <f t="shared" si="4"/>
        <v>12.5</v>
      </c>
      <c r="I31" s="67">
        <f t="shared" si="5"/>
        <v>17.5</v>
      </c>
      <c r="J31" s="75">
        <f t="shared" si="6"/>
        <v>30</v>
      </c>
    </row>
    <row r="32" s="39" customFormat="1" ht="15.95" customHeight="1" spans="1:10">
      <c r="A32" s="68" t="s">
        <v>55</v>
      </c>
      <c r="B32" s="67"/>
      <c r="C32" s="67"/>
      <c r="D32" s="67">
        <v>10</v>
      </c>
      <c r="E32" s="67">
        <v>12</v>
      </c>
      <c r="F32" s="67"/>
      <c r="G32" s="67"/>
      <c r="H32" s="67">
        <f t="shared" si="4"/>
        <v>2.5</v>
      </c>
      <c r="I32" s="67">
        <f t="shared" si="5"/>
        <v>5.5</v>
      </c>
      <c r="J32" s="75">
        <f t="shared" si="6"/>
        <v>8</v>
      </c>
    </row>
    <row r="33" s="39" customFormat="1" ht="15.95" customHeight="1" spans="1:10">
      <c r="A33" s="66" t="s">
        <v>56</v>
      </c>
      <c r="B33" s="66"/>
      <c r="C33" s="66"/>
      <c r="D33" s="66"/>
      <c r="E33" s="66"/>
      <c r="F33" s="66"/>
      <c r="G33" s="66">
        <v>1</v>
      </c>
      <c r="H33" s="67">
        <f t="shared" si="4"/>
        <v>2.5</v>
      </c>
      <c r="I33" s="67">
        <f t="shared" si="5"/>
        <v>5.5</v>
      </c>
      <c r="J33" s="75">
        <f t="shared" si="6"/>
        <v>8</v>
      </c>
    </row>
    <row r="34" s="39" customFormat="1" ht="15.95" customHeight="1" spans="1:10">
      <c r="A34" s="66" t="s">
        <v>57</v>
      </c>
      <c r="B34" s="66">
        <v>1.25</v>
      </c>
      <c r="C34" s="66">
        <v>1.25</v>
      </c>
      <c r="D34" s="66"/>
      <c r="E34" s="66"/>
      <c r="F34" s="66"/>
      <c r="G34" s="66"/>
      <c r="H34" s="67">
        <f t="shared" ref="H34:H48" si="7">H33-F34-D34+B34</f>
        <v>3.75</v>
      </c>
      <c r="I34" s="67">
        <f t="shared" ref="I34:I48" si="8">I33-E34+C34</f>
        <v>6.75</v>
      </c>
      <c r="J34" s="75">
        <f t="shared" ref="J34:J48" si="9">H34+I34</f>
        <v>10.5</v>
      </c>
    </row>
    <row r="35" s="39" customFormat="1" ht="15.95" customHeight="1" spans="1:10">
      <c r="A35" s="66" t="s">
        <v>58</v>
      </c>
      <c r="B35" s="66"/>
      <c r="C35" s="66"/>
      <c r="D35" s="66"/>
      <c r="E35" s="66"/>
      <c r="F35" s="66"/>
      <c r="G35" s="66">
        <v>1</v>
      </c>
      <c r="H35" s="67">
        <f t="shared" si="7"/>
        <v>3.75</v>
      </c>
      <c r="I35" s="67">
        <f t="shared" si="8"/>
        <v>6.75</v>
      </c>
      <c r="J35" s="75">
        <f t="shared" si="9"/>
        <v>10.5</v>
      </c>
    </row>
    <row r="36" s="39" customFormat="1" ht="15.95" customHeight="1" spans="1:10">
      <c r="A36" s="66" t="s">
        <v>59</v>
      </c>
      <c r="B36" s="66">
        <v>2.5</v>
      </c>
      <c r="C36" s="66">
        <v>2.5</v>
      </c>
      <c r="D36" s="66"/>
      <c r="E36" s="66"/>
      <c r="F36" s="66"/>
      <c r="G36" s="66"/>
      <c r="H36" s="67">
        <f t="shared" si="7"/>
        <v>6.25</v>
      </c>
      <c r="I36" s="67">
        <f t="shared" si="8"/>
        <v>9.25</v>
      </c>
      <c r="J36" s="75">
        <f t="shared" si="9"/>
        <v>15.5</v>
      </c>
    </row>
    <row r="37" s="39" customFormat="1" ht="15.95" customHeight="1" spans="1:10">
      <c r="A37" s="66" t="s">
        <v>60</v>
      </c>
      <c r="B37" s="66"/>
      <c r="C37" s="66"/>
      <c r="D37" s="66"/>
      <c r="E37" s="66"/>
      <c r="F37" s="66">
        <v>2</v>
      </c>
      <c r="G37" s="66"/>
      <c r="H37" s="67">
        <f t="shared" si="7"/>
        <v>4.25</v>
      </c>
      <c r="I37" s="67">
        <f t="shared" si="8"/>
        <v>9.25</v>
      </c>
      <c r="J37" s="75">
        <f t="shared" si="9"/>
        <v>13.5</v>
      </c>
    </row>
    <row r="38" s="39" customFormat="1" ht="15.95" customHeight="1" spans="1:10">
      <c r="A38" s="66" t="s">
        <v>61</v>
      </c>
      <c r="B38" s="66">
        <v>1.25</v>
      </c>
      <c r="C38" s="66">
        <v>1.25</v>
      </c>
      <c r="D38" s="66"/>
      <c r="E38" s="66"/>
      <c r="F38" s="66"/>
      <c r="G38" s="66"/>
      <c r="H38" s="67">
        <f t="shared" si="7"/>
        <v>5.5</v>
      </c>
      <c r="I38" s="67">
        <f t="shared" si="8"/>
        <v>10.5</v>
      </c>
      <c r="J38" s="75">
        <f t="shared" si="9"/>
        <v>16</v>
      </c>
    </row>
    <row r="39" s="39" customFormat="1" ht="15.95" customHeight="1" spans="1:10">
      <c r="A39" s="66" t="s">
        <v>62</v>
      </c>
      <c r="B39" s="66">
        <v>2.5</v>
      </c>
      <c r="C39" s="66">
        <v>2.5</v>
      </c>
      <c r="D39" s="66"/>
      <c r="E39" s="66"/>
      <c r="F39" s="66"/>
      <c r="G39" s="66"/>
      <c r="H39" s="67">
        <f t="shared" si="7"/>
        <v>8</v>
      </c>
      <c r="I39" s="67">
        <f t="shared" si="8"/>
        <v>13</v>
      </c>
      <c r="J39" s="75">
        <f t="shared" si="9"/>
        <v>21</v>
      </c>
    </row>
    <row r="40" s="39" customFormat="1" ht="15.95" customHeight="1" spans="1:10">
      <c r="A40" s="66" t="s">
        <v>63</v>
      </c>
      <c r="B40" s="66"/>
      <c r="C40" s="66"/>
      <c r="D40" s="66"/>
      <c r="E40" s="66"/>
      <c r="F40" s="69"/>
      <c r="G40" s="69">
        <v>1</v>
      </c>
      <c r="H40" s="67">
        <f t="shared" si="7"/>
        <v>8</v>
      </c>
      <c r="I40" s="67">
        <f t="shared" si="8"/>
        <v>13</v>
      </c>
      <c r="J40" s="75">
        <f t="shared" si="9"/>
        <v>21</v>
      </c>
    </row>
    <row r="41" s="39" customFormat="1" ht="15.95" customHeight="1" spans="1:10">
      <c r="A41" s="69" t="s">
        <v>64</v>
      </c>
      <c r="B41" s="69">
        <v>1.25</v>
      </c>
      <c r="C41" s="69">
        <v>1.25</v>
      </c>
      <c r="D41" s="69"/>
      <c r="E41" s="69"/>
      <c r="F41" s="69"/>
      <c r="G41" s="69"/>
      <c r="H41" s="67">
        <f t="shared" si="7"/>
        <v>9.25</v>
      </c>
      <c r="I41" s="67">
        <f t="shared" si="8"/>
        <v>14.25</v>
      </c>
      <c r="J41" s="75">
        <f t="shared" si="9"/>
        <v>23.5</v>
      </c>
    </row>
    <row r="42" s="39" customFormat="1" ht="15.95" customHeight="1" spans="1:10">
      <c r="A42" s="69" t="s">
        <v>65</v>
      </c>
      <c r="B42" s="69"/>
      <c r="C42" s="69"/>
      <c r="D42" s="69"/>
      <c r="E42" s="69"/>
      <c r="F42" s="69"/>
      <c r="G42" s="69">
        <v>2</v>
      </c>
      <c r="H42" s="67">
        <f t="shared" si="7"/>
        <v>9.25</v>
      </c>
      <c r="I42" s="67">
        <f t="shared" si="8"/>
        <v>14.25</v>
      </c>
      <c r="J42" s="75">
        <f t="shared" si="9"/>
        <v>23.5</v>
      </c>
    </row>
    <row r="43" s="39" customFormat="1" ht="15.95" customHeight="1" spans="1:10">
      <c r="A43" s="69" t="s">
        <v>66</v>
      </c>
      <c r="B43" s="69">
        <v>1.25</v>
      </c>
      <c r="C43" s="69">
        <v>1.25</v>
      </c>
      <c r="D43" s="69"/>
      <c r="E43" s="69"/>
      <c r="F43" s="69"/>
      <c r="G43" s="69"/>
      <c r="H43" s="67">
        <f t="shared" si="7"/>
        <v>10.5</v>
      </c>
      <c r="I43" s="67">
        <f t="shared" si="8"/>
        <v>15.5</v>
      </c>
      <c r="J43" s="75">
        <f t="shared" si="9"/>
        <v>26</v>
      </c>
    </row>
    <row r="44" s="39" customFormat="1" ht="15.95" customHeight="1" spans="1:10">
      <c r="A44" s="69" t="s">
        <v>67</v>
      </c>
      <c r="B44" s="69"/>
      <c r="C44" s="69"/>
      <c r="D44" s="69"/>
      <c r="E44" s="69">
        <v>1</v>
      </c>
      <c r="F44" s="69"/>
      <c r="G44" s="69"/>
      <c r="H44" s="67">
        <f t="shared" si="7"/>
        <v>10.5</v>
      </c>
      <c r="I44" s="67">
        <f t="shared" si="8"/>
        <v>14.5</v>
      </c>
      <c r="J44" s="75">
        <f t="shared" si="9"/>
        <v>25</v>
      </c>
    </row>
    <row r="45" s="39" customFormat="1" ht="15.95" customHeight="1" spans="1:10">
      <c r="A45" s="69" t="s">
        <v>68</v>
      </c>
      <c r="B45" s="69">
        <v>1.25</v>
      </c>
      <c r="C45" s="69">
        <v>1.25</v>
      </c>
      <c r="D45" s="69"/>
      <c r="E45" s="69"/>
      <c r="F45" s="69"/>
      <c r="G45" s="69"/>
      <c r="H45" s="67">
        <f t="shared" si="7"/>
        <v>11.75</v>
      </c>
      <c r="I45" s="67">
        <f t="shared" si="8"/>
        <v>15.75</v>
      </c>
      <c r="J45" s="75">
        <f t="shared" si="9"/>
        <v>27.5</v>
      </c>
    </row>
    <row r="46" s="39" customFormat="1" ht="15.95" customHeight="1" spans="1:10">
      <c r="A46" s="69" t="s">
        <v>69</v>
      </c>
      <c r="B46" s="69"/>
      <c r="C46" s="69"/>
      <c r="D46" s="69"/>
      <c r="E46" s="69"/>
      <c r="F46" s="69">
        <v>2</v>
      </c>
      <c r="G46" s="69"/>
      <c r="H46" s="67">
        <f t="shared" si="7"/>
        <v>9.75</v>
      </c>
      <c r="I46" s="67">
        <f t="shared" si="8"/>
        <v>15.75</v>
      </c>
      <c r="J46" s="75">
        <f t="shared" si="9"/>
        <v>25.5</v>
      </c>
    </row>
    <row r="47" s="39" customFormat="1" ht="15.95" customHeight="1" spans="1:10">
      <c r="A47" s="69" t="s">
        <v>70</v>
      </c>
      <c r="B47" s="69">
        <v>2.5</v>
      </c>
      <c r="C47" s="69">
        <v>2.5</v>
      </c>
      <c r="D47" s="69"/>
      <c r="E47" s="69"/>
      <c r="F47" s="69"/>
      <c r="G47" s="69"/>
      <c r="H47" s="67">
        <f t="shared" si="7"/>
        <v>12.25</v>
      </c>
      <c r="I47" s="67">
        <f t="shared" si="8"/>
        <v>18.25</v>
      </c>
      <c r="J47" s="75">
        <f t="shared" si="9"/>
        <v>30.5</v>
      </c>
    </row>
    <row r="48" s="39" customFormat="1" ht="15.95" customHeight="1" spans="1:10">
      <c r="A48" s="69" t="s">
        <v>71</v>
      </c>
      <c r="B48" s="69"/>
      <c r="C48" s="69"/>
      <c r="D48" s="69">
        <v>7.25</v>
      </c>
      <c r="E48" s="69">
        <v>15.75</v>
      </c>
      <c r="F48" s="69"/>
      <c r="G48" s="69"/>
      <c r="H48" s="70">
        <f t="shared" si="7"/>
        <v>5</v>
      </c>
      <c r="I48" s="70">
        <f t="shared" si="8"/>
        <v>2.5</v>
      </c>
      <c r="J48" s="76">
        <f t="shared" si="9"/>
        <v>7.5</v>
      </c>
    </row>
    <row r="49" s="39" customFormat="1" ht="15.95" customHeight="1" spans="1:10">
      <c r="A49" s="69" t="s">
        <v>72</v>
      </c>
      <c r="B49" s="69">
        <v>2.5</v>
      </c>
      <c r="C49" s="69">
        <v>2.5</v>
      </c>
      <c r="D49" s="69"/>
      <c r="E49" s="69"/>
      <c r="F49" s="69"/>
      <c r="G49" s="69"/>
      <c r="H49" s="70">
        <f t="shared" ref="H49:H50" si="10">H48-F49-D49+B49</f>
        <v>7.5</v>
      </c>
      <c r="I49" s="70">
        <f t="shared" ref="I49:I50" si="11">I48-E49+C49</f>
        <v>5</v>
      </c>
      <c r="J49" s="76">
        <f t="shared" ref="J49:J50" si="12">H49+I49</f>
        <v>12.5</v>
      </c>
    </row>
    <row r="50" s="39" customFormat="1" ht="15.95" customHeight="1" spans="1:10">
      <c r="A50" s="69" t="s">
        <v>73</v>
      </c>
      <c r="B50" s="69"/>
      <c r="C50" s="69"/>
      <c r="D50" s="69"/>
      <c r="E50" s="69">
        <v>1</v>
      </c>
      <c r="F50" s="69"/>
      <c r="G50" s="69"/>
      <c r="H50" s="70">
        <f t="shared" si="10"/>
        <v>7.5</v>
      </c>
      <c r="I50" s="70">
        <f t="shared" si="11"/>
        <v>4</v>
      </c>
      <c r="J50" s="76">
        <f t="shared" si="12"/>
        <v>11.5</v>
      </c>
    </row>
    <row r="51" s="39" customFormat="1" ht="15.95" customHeight="1" spans="1:10">
      <c r="A51" s="69" t="s">
        <v>74</v>
      </c>
      <c r="B51" s="69">
        <v>2.5</v>
      </c>
      <c r="C51" s="69">
        <v>2.5</v>
      </c>
      <c r="D51" s="69"/>
      <c r="E51" s="69"/>
      <c r="F51" s="69"/>
      <c r="G51" s="69"/>
      <c r="H51" s="70">
        <f t="shared" ref="H51:H52" si="13">H50-F51-D51+B51</f>
        <v>10</v>
      </c>
      <c r="I51" s="70">
        <f t="shared" ref="I51:I52" si="14">I50-E51+C51</f>
        <v>6.5</v>
      </c>
      <c r="J51" s="76">
        <f t="shared" ref="J51:J52" si="15">H51+I51</f>
        <v>16.5</v>
      </c>
    </row>
    <row r="52" s="39" customFormat="1" ht="15.95" customHeight="1" spans="1:10">
      <c r="A52" s="69" t="s">
        <v>75</v>
      </c>
      <c r="B52" s="69"/>
      <c r="C52" s="69"/>
      <c r="D52" s="69"/>
      <c r="E52" s="69"/>
      <c r="F52" s="69">
        <v>1</v>
      </c>
      <c r="G52" s="69"/>
      <c r="H52" s="70">
        <f t="shared" si="13"/>
        <v>9</v>
      </c>
      <c r="I52" s="70">
        <f t="shared" si="14"/>
        <v>6.5</v>
      </c>
      <c r="J52" s="76">
        <f t="shared" si="15"/>
        <v>15.5</v>
      </c>
    </row>
    <row r="53" s="39" customFormat="1" ht="15.95" customHeight="1" spans="1:10">
      <c r="A53" s="69" t="s">
        <v>76</v>
      </c>
      <c r="B53" s="69"/>
      <c r="C53" s="69"/>
      <c r="D53" s="69"/>
      <c r="E53" s="69"/>
      <c r="F53" s="69">
        <v>1</v>
      </c>
      <c r="G53" s="69"/>
      <c r="H53" s="70">
        <f t="shared" ref="H53" si="16">H52-F53-D53+B53</f>
        <v>8</v>
      </c>
      <c r="I53" s="70">
        <f t="shared" ref="I53:I55" si="17">I52-E53+C53</f>
        <v>6.5</v>
      </c>
      <c r="J53" s="76">
        <f t="shared" ref="J53" si="18">H53+I53</f>
        <v>14.5</v>
      </c>
    </row>
    <row r="54" s="39" customFormat="1" ht="15.95" customHeight="1" spans="1:10">
      <c r="A54" s="69" t="s">
        <v>77</v>
      </c>
      <c r="B54" s="69">
        <v>1.25</v>
      </c>
      <c r="C54" s="69">
        <v>1.25</v>
      </c>
      <c r="D54" s="69"/>
      <c r="E54" s="69"/>
      <c r="F54" s="69"/>
      <c r="G54" s="69"/>
      <c r="H54" s="70">
        <f t="shared" ref="H54:H56" si="19">H53-F54-D54+B54</f>
        <v>9.25</v>
      </c>
      <c r="I54" s="70">
        <f t="shared" si="17"/>
        <v>7.75</v>
      </c>
      <c r="J54" s="76">
        <f t="shared" ref="J54:J56" si="20">H54+I54</f>
        <v>17</v>
      </c>
    </row>
    <row r="55" s="39" customFormat="1" ht="15.95" customHeight="1" spans="1:10">
      <c r="A55" s="69" t="s">
        <v>78</v>
      </c>
      <c r="B55" s="69"/>
      <c r="C55" s="69"/>
      <c r="D55" s="69"/>
      <c r="E55" s="69"/>
      <c r="F55" s="69">
        <v>1</v>
      </c>
      <c r="G55" s="69"/>
      <c r="H55" s="70">
        <f t="shared" si="19"/>
        <v>8.25</v>
      </c>
      <c r="I55" s="70">
        <f t="shared" si="17"/>
        <v>7.75</v>
      </c>
      <c r="J55" s="76">
        <f t="shared" si="20"/>
        <v>16</v>
      </c>
    </row>
    <row r="56" s="39" customFormat="1" ht="15.95" customHeight="1" spans="1:10">
      <c r="A56" s="69" t="s">
        <v>79</v>
      </c>
      <c r="B56" s="69"/>
      <c r="C56" s="69"/>
      <c r="D56" s="69"/>
      <c r="E56" s="69">
        <v>2</v>
      </c>
      <c r="F56" s="69"/>
      <c r="G56" s="69"/>
      <c r="H56" s="70">
        <f t="shared" si="19"/>
        <v>8.25</v>
      </c>
      <c r="I56" s="70">
        <f t="shared" ref="I56" si="21">I55-E56+C56</f>
        <v>5.75</v>
      </c>
      <c r="J56" s="76">
        <f t="shared" si="20"/>
        <v>14</v>
      </c>
    </row>
    <row r="57" s="39" customFormat="1" ht="15.95" customHeight="1" spans="1:10">
      <c r="A57" s="69" t="s">
        <v>80</v>
      </c>
      <c r="B57" s="69">
        <v>3.75</v>
      </c>
      <c r="C57" s="69">
        <v>3.75</v>
      </c>
      <c r="D57" s="69"/>
      <c r="E57" s="69"/>
      <c r="F57" s="69"/>
      <c r="G57" s="69"/>
      <c r="H57" s="70">
        <f t="shared" ref="H57:H58" si="22">H56-F57-D57+B57</f>
        <v>12</v>
      </c>
      <c r="I57" s="70">
        <f t="shared" ref="I57:I58" si="23">I56-E57+C57</f>
        <v>9.5</v>
      </c>
      <c r="J57" s="76">
        <f t="shared" ref="J57:J58" si="24">H57+I57</f>
        <v>21.5</v>
      </c>
    </row>
    <row r="58" s="39" customFormat="1" ht="15.95" customHeight="1" spans="1:10">
      <c r="A58" s="69" t="s">
        <v>81</v>
      </c>
      <c r="B58" s="69"/>
      <c r="C58" s="69"/>
      <c r="D58" s="69"/>
      <c r="E58" s="69">
        <v>1</v>
      </c>
      <c r="F58" s="69"/>
      <c r="G58" s="69"/>
      <c r="H58" s="70">
        <f t="shared" si="22"/>
        <v>12</v>
      </c>
      <c r="I58" s="70">
        <f t="shared" si="23"/>
        <v>8.5</v>
      </c>
      <c r="J58" s="76">
        <f t="shared" si="24"/>
        <v>20.5</v>
      </c>
    </row>
    <row r="59" s="39" customFormat="1" ht="15.95" customHeight="1" spans="1:10">
      <c r="A59" s="69" t="s">
        <v>82</v>
      </c>
      <c r="B59" s="69">
        <v>3.75</v>
      </c>
      <c r="C59" s="69">
        <v>3.75</v>
      </c>
      <c r="D59" s="69"/>
      <c r="E59" s="69"/>
      <c r="F59" s="69"/>
      <c r="G59" s="69"/>
      <c r="H59" s="70">
        <f t="shared" ref="H59" si="25">H58-F59-D59+B59</f>
        <v>15.75</v>
      </c>
      <c r="I59" s="70">
        <f t="shared" ref="I59" si="26">I58-E59+C59</f>
        <v>12.25</v>
      </c>
      <c r="J59" s="76">
        <f t="shared" ref="J59" si="27">H59+I59</f>
        <v>28</v>
      </c>
    </row>
    <row r="60" s="39" customFormat="1" ht="15.95" customHeight="1" spans="1:10">
      <c r="A60" s="69" t="s">
        <v>83</v>
      </c>
      <c r="B60" s="69"/>
      <c r="C60" s="69"/>
      <c r="D60" s="69">
        <v>10.75</v>
      </c>
      <c r="E60" s="69">
        <v>6.25</v>
      </c>
      <c r="F60" s="69"/>
      <c r="G60" s="69"/>
      <c r="H60" s="70">
        <f t="shared" ref="H60" si="28">H59-F60-D60+B60</f>
        <v>5</v>
      </c>
      <c r="I60" s="70">
        <f t="shared" ref="I60" si="29">I59-E60+C60</f>
        <v>6</v>
      </c>
      <c r="J60" s="76">
        <f t="shared" ref="J60" si="30">H60+I60</f>
        <v>11</v>
      </c>
    </row>
    <row r="61" s="39" customFormat="1" ht="15.95" customHeight="1" spans="1:10">
      <c r="A61" s="69" t="s">
        <v>84</v>
      </c>
      <c r="B61" s="69"/>
      <c r="C61" s="69"/>
      <c r="D61" s="69"/>
      <c r="E61" s="69">
        <v>2</v>
      </c>
      <c r="F61" s="69"/>
      <c r="G61" s="69"/>
      <c r="H61" s="70">
        <f t="shared" ref="H61" si="31">H60-F61-D61+B61</f>
        <v>5</v>
      </c>
      <c r="I61" s="70">
        <f t="shared" ref="I61" si="32">I60-E61+C61</f>
        <v>4</v>
      </c>
      <c r="J61" s="76">
        <f t="shared" ref="J61" si="33">H61+I61</f>
        <v>9</v>
      </c>
    </row>
    <row r="62" s="39" customFormat="1" ht="15.95" customHeight="1" spans="1:10">
      <c r="A62" s="69" t="s">
        <v>85</v>
      </c>
      <c r="B62" s="69"/>
      <c r="C62" s="69"/>
      <c r="D62" s="69"/>
      <c r="E62" s="69"/>
      <c r="F62" s="71">
        <v>1</v>
      </c>
      <c r="G62" s="69"/>
      <c r="H62" s="70">
        <f t="shared" ref="H62" si="34">H61-F62-D62+B62</f>
        <v>4</v>
      </c>
      <c r="I62" s="70">
        <f t="shared" ref="I62" si="35">I61-E62+C62</f>
        <v>4</v>
      </c>
      <c r="J62" s="76">
        <f t="shared" ref="J62" si="36">H62+I62</f>
        <v>8</v>
      </c>
    </row>
    <row r="63" s="39" customFormat="1" ht="15.95" customHeight="1" spans="1:10">
      <c r="A63" s="69" t="s">
        <v>86</v>
      </c>
      <c r="B63" s="69"/>
      <c r="C63" s="69"/>
      <c r="D63" s="69"/>
      <c r="E63" s="69"/>
      <c r="F63" s="71">
        <v>2</v>
      </c>
      <c r="G63" s="69"/>
      <c r="H63" s="70">
        <f t="shared" ref="H63" si="37">H62-F63-D63+B63</f>
        <v>2</v>
      </c>
      <c r="I63" s="70">
        <f t="shared" ref="I63" si="38">I62-E63+C63</f>
        <v>4</v>
      </c>
      <c r="J63" s="76">
        <f t="shared" ref="J63" si="39">H63+I63</f>
        <v>6</v>
      </c>
    </row>
    <row r="64" s="39" customFormat="1" ht="15.95" customHeight="1" spans="1:10">
      <c r="A64" s="69" t="s">
        <v>87</v>
      </c>
      <c r="B64" s="69"/>
      <c r="C64" s="69"/>
      <c r="D64" s="69"/>
      <c r="E64" s="69"/>
      <c r="F64" s="71">
        <v>1</v>
      </c>
      <c r="G64" s="69"/>
      <c r="H64" s="70">
        <f t="shared" ref="H64" si="40">H63-F64-D64+B64</f>
        <v>1</v>
      </c>
      <c r="I64" s="70">
        <f t="shared" ref="I64" si="41">I63-E64+C64</f>
        <v>4</v>
      </c>
      <c r="J64" s="76">
        <f t="shared" ref="J64" si="42">H64+I64</f>
        <v>5</v>
      </c>
    </row>
    <row r="65" s="39" customFormat="1" ht="15.95" customHeight="1" spans="1:10">
      <c r="A65" s="69" t="s">
        <v>88</v>
      </c>
      <c r="B65" s="69">
        <v>1.25</v>
      </c>
      <c r="C65" s="69">
        <v>1.25</v>
      </c>
      <c r="D65" s="69"/>
      <c r="E65" s="69"/>
      <c r="F65" s="69"/>
      <c r="G65" s="69"/>
      <c r="H65" s="70">
        <f t="shared" ref="H65:H66" si="43">H64-F65-D65+B65</f>
        <v>2.25</v>
      </c>
      <c r="I65" s="70">
        <f t="shared" ref="I65:I66" si="44">I64-E65+C65</f>
        <v>5.25</v>
      </c>
      <c r="J65" s="76">
        <f t="shared" ref="J65:J66" si="45">H65+I65</f>
        <v>7.5</v>
      </c>
    </row>
    <row r="66" s="39" customFormat="1" ht="15.95" customHeight="1" spans="1:10">
      <c r="A66" s="69" t="s">
        <v>89</v>
      </c>
      <c r="B66" s="69">
        <v>0.125</v>
      </c>
      <c r="C66" s="69">
        <v>0.125</v>
      </c>
      <c r="D66" s="69"/>
      <c r="E66" s="69"/>
      <c r="F66" s="69"/>
      <c r="G66" s="69"/>
      <c r="H66" s="70">
        <f t="shared" si="43"/>
        <v>2.375</v>
      </c>
      <c r="I66" s="70">
        <f t="shared" si="44"/>
        <v>5.375</v>
      </c>
      <c r="J66" s="76">
        <f t="shared" si="45"/>
        <v>7.75</v>
      </c>
    </row>
    <row r="67" s="39" customFormat="1" ht="15.95" customHeight="1" spans="1:10">
      <c r="A67" s="77" t="s">
        <v>90</v>
      </c>
      <c r="B67" s="77"/>
      <c r="C67" s="77"/>
      <c r="D67" s="77"/>
      <c r="E67" s="77"/>
      <c r="F67" s="77"/>
      <c r="G67" s="77"/>
      <c r="H67" s="77"/>
      <c r="I67" s="77"/>
      <c r="J67" s="77"/>
    </row>
    <row r="68" s="39" customFormat="1" ht="15" customHeight="1" spans="1:10">
      <c r="A68" s="78"/>
      <c r="B68" s="78"/>
      <c r="C68" s="78"/>
      <c r="D68" s="78"/>
      <c r="E68" s="78"/>
      <c r="F68" s="78"/>
      <c r="G68" s="78"/>
      <c r="H68" s="79"/>
      <c r="I68" s="79"/>
      <c r="J68" s="81"/>
    </row>
    <row r="69" s="40" customFormat="1" ht="15.95" customHeight="1" spans="7:7">
      <c r="G69" s="40" t="s">
        <v>91</v>
      </c>
    </row>
    <row r="70" s="40" customFormat="1" ht="15.95" customHeight="1"/>
    <row r="71" s="40" customFormat="1" ht="15.95" customHeight="1" spans="8:8">
      <c r="H71" s="80" t="s">
        <v>92</v>
      </c>
    </row>
    <row r="72" s="40" customFormat="1" ht="15.95" customHeight="1" spans="8:8">
      <c r="H72" s="44" t="s">
        <v>93</v>
      </c>
    </row>
    <row r="73" ht="15.95" customHeight="1" spans="2:11">
      <c r="B73" s="36"/>
      <c r="C73" s="36"/>
      <c r="D73" s="36"/>
      <c r="E73" s="36"/>
      <c r="F73" s="36"/>
      <c r="G73"/>
      <c r="H73" s="44" t="s">
        <v>94</v>
      </c>
      <c r="I73" s="36"/>
      <c r="J73" s="36"/>
      <c r="K73" s="36"/>
    </row>
    <row r="74" ht="15.95" customHeight="1"/>
  </sheetData>
  <mergeCells count="12">
    <mergeCell ref="A2:J2"/>
    <mergeCell ref="A3:J3"/>
    <mergeCell ref="A4:J4"/>
    <mergeCell ref="A5:J5"/>
    <mergeCell ref="A10:J10"/>
    <mergeCell ref="B11:C11"/>
    <mergeCell ref="D11:G11"/>
    <mergeCell ref="H11:I11"/>
    <mergeCell ref="A13:J13"/>
    <mergeCell ref="A67:J67"/>
    <mergeCell ref="A11:A12"/>
    <mergeCell ref="J11:J12"/>
  </mergeCells>
  <printOptions horizontalCentered="1"/>
  <pageMargins left="0.196850393700787" right="0.236220472440945" top="0.236220472440945" bottom="0.236220472440945" header="0.31496062992126" footer="0.31496062992126"/>
  <pageSetup paperSize="9" scale="71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view="pageBreakPreview" zoomScaleNormal="100" topLeftCell="A8" workbookViewId="0">
      <selection activeCell="F19" sqref="F19"/>
    </sheetView>
  </sheetViews>
  <sheetFormatPr defaultColWidth="9" defaultRowHeight="14.4" outlineLevelCol="6"/>
  <cols>
    <col min="1" max="1" width="23.5740740740741" style="4" customWidth="1"/>
    <col min="2" max="2" width="17.5740740740741" style="4" customWidth="1"/>
    <col min="3" max="3" width="41.1388888888889" style="5" customWidth="1"/>
    <col min="4" max="4" width="11.712962962963" style="6" customWidth="1"/>
    <col min="5" max="5" width="11" style="4" customWidth="1"/>
    <col min="6" max="6" width="11.8518518518519" style="6" customWidth="1"/>
    <col min="7" max="7" width="13.8518518518519" style="4" customWidth="1"/>
    <col min="8" max="16384" width="9" style="4"/>
  </cols>
  <sheetData>
    <row r="1" s="1" customFormat="1" ht="52.5" customHeight="1" spans="5:5">
      <c r="E1" s="7"/>
    </row>
    <row r="2" s="1" customFormat="1" ht="10.5" customHeight="1" spans="1:7">
      <c r="A2" s="8" t="s">
        <v>15</v>
      </c>
      <c r="B2" s="8"/>
      <c r="C2" s="8"/>
      <c r="D2" s="8"/>
      <c r="E2" s="8"/>
      <c r="F2" s="8"/>
      <c r="G2" s="8"/>
    </row>
    <row r="3" s="1" customFormat="1" ht="15.95" customHeight="1" spans="1:7">
      <c r="A3" s="8" t="s">
        <v>16</v>
      </c>
      <c r="B3" s="8"/>
      <c r="C3" s="8"/>
      <c r="D3" s="8"/>
      <c r="E3" s="8"/>
      <c r="F3" s="8"/>
      <c r="G3" s="8"/>
    </row>
    <row r="4" s="1" customFormat="1" ht="15.95" customHeight="1" spans="1:7">
      <c r="A4" s="8" t="s">
        <v>95</v>
      </c>
      <c r="B4" s="8"/>
      <c r="C4" s="8"/>
      <c r="D4" s="8"/>
      <c r="E4" s="8"/>
      <c r="F4" s="8"/>
      <c r="G4" s="8"/>
    </row>
    <row r="5" s="1" customFormat="1" ht="15.95" customHeight="1" spans="1:7">
      <c r="A5" s="8" t="s">
        <v>18</v>
      </c>
      <c r="B5" s="8"/>
      <c r="C5" s="8"/>
      <c r="D5" s="8"/>
      <c r="E5" s="8"/>
      <c r="F5" s="8"/>
      <c r="G5" s="8"/>
    </row>
    <row r="6" s="1" customFormat="1" ht="8.25" customHeight="1" spans="5:5">
      <c r="E6" s="7"/>
    </row>
    <row r="7" s="1" customFormat="1" ht="8.25" customHeight="1" spans="5:5">
      <c r="E7" s="7"/>
    </row>
    <row r="8" s="1" customFormat="1" ht="17.25" customHeight="1" spans="1:7">
      <c r="A8" s="9" t="s">
        <v>96</v>
      </c>
      <c r="B8" s="9"/>
      <c r="C8" s="9" t="s">
        <v>97</v>
      </c>
      <c r="D8" s="10"/>
      <c r="E8" s="9" t="s">
        <v>98</v>
      </c>
      <c r="F8" s="10"/>
      <c r="G8" s="11"/>
    </row>
    <row r="9" s="1" customFormat="1" ht="12" customHeight="1" spans="1:7">
      <c r="A9" s="12"/>
      <c r="B9" s="12"/>
      <c r="C9" s="13"/>
      <c r="E9" s="9" t="s">
        <v>99</v>
      </c>
      <c r="F9" s="14"/>
      <c r="G9" s="13"/>
    </row>
    <row r="10" s="1" customFormat="1" ht="14.25" customHeight="1" spans="1:7">
      <c r="A10" s="9" t="s">
        <v>100</v>
      </c>
      <c r="B10" s="9"/>
      <c r="C10" s="9" t="s">
        <v>101</v>
      </c>
      <c r="D10" s="10"/>
      <c r="E10" s="9" t="s">
        <v>102</v>
      </c>
      <c r="F10" s="10"/>
      <c r="G10" s="11"/>
    </row>
    <row r="11" s="1" customFormat="1" ht="12" customHeight="1" spans="1:7">
      <c r="A11" s="11"/>
      <c r="B11" s="11"/>
      <c r="C11" s="11"/>
      <c r="F11" s="10"/>
      <c r="G11" s="11"/>
    </row>
    <row r="12" ht="23.25" customHeight="1" spans="1:7">
      <c r="A12" s="15" t="s">
        <v>103</v>
      </c>
      <c r="B12" s="16"/>
      <c r="C12" s="16"/>
      <c r="D12" s="16"/>
      <c r="E12" s="16"/>
      <c r="F12" s="16"/>
      <c r="G12" s="17"/>
    </row>
    <row r="13" s="2" customFormat="1" ht="39.75" customHeight="1" spans="1:7">
      <c r="A13" s="18" t="s">
        <v>104</v>
      </c>
      <c r="B13" s="19" t="s">
        <v>105</v>
      </c>
      <c r="C13" s="20" t="s">
        <v>106</v>
      </c>
      <c r="D13" s="20" t="s">
        <v>107</v>
      </c>
      <c r="E13" s="20" t="s">
        <v>108</v>
      </c>
      <c r="F13" s="20" t="s">
        <v>109</v>
      </c>
      <c r="G13" s="21" t="s">
        <v>31</v>
      </c>
    </row>
    <row r="14" s="2" customFormat="1" ht="36" customHeight="1" spans="1:7">
      <c r="A14" s="22" t="s">
        <v>110</v>
      </c>
      <c r="B14" s="23"/>
      <c r="C14" s="24" t="s">
        <v>111</v>
      </c>
      <c r="D14" s="25">
        <v>17.825</v>
      </c>
      <c r="E14" s="25">
        <v>0</v>
      </c>
      <c r="F14" s="25">
        <v>17.825</v>
      </c>
      <c r="G14" s="26">
        <v>17.825</v>
      </c>
    </row>
    <row r="15" s="3" customFormat="1" ht="27.75" customHeight="1" spans="1:7">
      <c r="A15" s="27" t="s">
        <v>112</v>
      </c>
      <c r="B15" s="28"/>
      <c r="C15" s="24" t="s">
        <v>111</v>
      </c>
      <c r="D15" s="29"/>
      <c r="E15" s="29">
        <v>1</v>
      </c>
      <c r="F15" s="29">
        <v>16.825</v>
      </c>
      <c r="G15" s="29">
        <v>16.825</v>
      </c>
    </row>
    <row r="16" s="3" customFormat="1" ht="32.25" customHeight="1" spans="1:7">
      <c r="A16" s="27" t="s">
        <v>113</v>
      </c>
      <c r="B16" s="28"/>
      <c r="C16" s="24" t="s">
        <v>111</v>
      </c>
      <c r="D16" s="29"/>
      <c r="E16" s="29">
        <v>1</v>
      </c>
      <c r="F16" s="29">
        <v>15.825</v>
      </c>
      <c r="G16" s="29">
        <v>15.825</v>
      </c>
    </row>
    <row r="17" s="3" customFormat="1" ht="32.25" customHeight="1" spans="1:7">
      <c r="A17" s="27" t="s">
        <v>114</v>
      </c>
      <c r="B17" s="28"/>
      <c r="C17" s="24" t="s">
        <v>111</v>
      </c>
      <c r="D17" s="29"/>
      <c r="E17" s="29">
        <v>1</v>
      </c>
      <c r="F17" s="29">
        <v>14.825</v>
      </c>
      <c r="G17" s="29">
        <v>14.825</v>
      </c>
    </row>
    <row r="18" s="3" customFormat="1" ht="32.25" customHeight="1" spans="1:7">
      <c r="A18" s="27" t="s">
        <v>115</v>
      </c>
      <c r="B18" s="28"/>
      <c r="C18" s="24" t="s">
        <v>111</v>
      </c>
      <c r="D18" s="29"/>
      <c r="E18" s="29">
        <v>2</v>
      </c>
      <c r="F18" s="29">
        <v>12.825</v>
      </c>
      <c r="G18" s="29">
        <v>12.825</v>
      </c>
    </row>
    <row r="19" s="3" customFormat="1" ht="15.6" spans="1:7">
      <c r="A19" s="30"/>
      <c r="B19" s="31"/>
      <c r="C19" s="32"/>
      <c r="D19" s="33"/>
      <c r="E19" s="33"/>
      <c r="F19" s="33"/>
      <c r="G19" s="34"/>
    </row>
    <row r="20" s="1" customFormat="1" ht="75.75" customHeight="1" spans="1:7">
      <c r="A20" s="35"/>
      <c r="B20" s="35"/>
      <c r="G20" s="35"/>
    </row>
    <row r="21" s="1" customFormat="1"/>
    <row r="22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Leave Card</vt:lpstr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2025-09-08T02:04:00Z</cp:lastPrinted>
  <dcterms:modified xsi:type="dcterms:W3CDTF">2026-01-02T02:14:33Z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335985728A1B43909A4A545241B05598_12</vt:lpwstr>
  </property>
  <property fmtid="{D5CDD505-2E9C-101B-9397-08002B2CF9AE}" pid="3" name="KSOProductBuildVer">
    <vt:lpwstr>1033-12.2.0.23196</vt:lpwstr>
  </property>
</Properties>
</file>