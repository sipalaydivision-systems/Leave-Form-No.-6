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C:\Users\VERITON\Desktop\LEAVE CARD-TEACHING PERSONNEL\"/>
    </mc:Choice>
  </mc:AlternateContent>
  <xr:revisionPtr revIDLastSave="0" documentId="13_ncr:1_{056BB7B7-9BFF-4BE3-80B3-1CE4C3B4BCCB}" xr6:coauthVersionLast="47" xr6:coauthVersionMax="47" xr10:uidLastSave="{00000000-0000-0000-0000-000000000000}"/>
  <bookViews>
    <workbookView xWindow="-120" yWindow="-120" windowWidth="29040" windowHeight="15720" xr2:uid="{00000000-000D-0000-FFFF-FFFF00000000}"/>
  </bookViews>
  <sheets>
    <sheet name="Leave Card as TIC" sheetId="3" r:id="rId1"/>
    <sheet name="statement" sheetId="4" r:id="rId2"/>
  </sheets>
  <definedNames>
    <definedName name="_xlnm.Print_Area" localSheetId="0">'Leave Card as TIC'!$A$1:$J$54</definedName>
    <definedName name="_xlnm.Print_Area" localSheetId="1">statement!$A$1:$K$35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 i="4" l="1"/>
  <c r="I20" i="4"/>
  <c r="H20" i="4"/>
  <c r="B20" i="4"/>
  <c r="D20" i="4"/>
  <c r="I11" i="4"/>
  <c r="I12" i="4" s="1"/>
  <c r="I13" i="4" s="1"/>
  <c r="I14" i="4" s="1"/>
  <c r="I15" i="4" s="1"/>
  <c r="I16" i="4" s="1"/>
  <c r="I17" i="4" s="1"/>
  <c r="I18" i="4" s="1"/>
  <c r="I19" i="4" s="1"/>
  <c r="H11" i="4"/>
  <c r="H12" i="4" s="1"/>
  <c r="I14" i="3"/>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H14" i="3"/>
  <c r="H13" i="4" l="1"/>
  <c r="J12" i="4"/>
  <c r="J11" i="4"/>
  <c r="H15" i="3"/>
  <c r="H16" i="3" s="1"/>
  <c r="J16" i="3" s="1"/>
  <c r="J14" i="3"/>
  <c r="H14" i="4" l="1"/>
  <c r="J13" i="4"/>
  <c r="H17" i="3"/>
  <c r="H18" i="3" s="1"/>
  <c r="J15" i="3"/>
  <c r="H15" i="4" l="1"/>
  <c r="J14" i="4"/>
  <c r="J17" i="3"/>
  <c r="J18" i="3"/>
  <c r="H19" i="3"/>
  <c r="H16" i="4" l="1"/>
  <c r="J15" i="4"/>
  <c r="H20" i="3"/>
  <c r="J19" i="3"/>
  <c r="J16" i="4" l="1"/>
  <c r="H17" i="4"/>
  <c r="J20" i="3"/>
  <c r="H21" i="3"/>
  <c r="H18" i="4" l="1"/>
  <c r="J17" i="4"/>
  <c r="H22" i="3"/>
  <c r="J21" i="3"/>
  <c r="H19" i="4" l="1"/>
  <c r="J18" i="4"/>
  <c r="J22" i="3"/>
  <c r="H23" i="3"/>
  <c r="J19" i="4" l="1"/>
  <c r="H24" i="3"/>
  <c r="J23" i="3"/>
  <c r="J24" i="3" l="1"/>
  <c r="H25" i="3"/>
  <c r="H26" i="3" l="1"/>
  <c r="J25" i="3"/>
  <c r="J26" i="3" l="1"/>
  <c r="H27" i="3"/>
  <c r="H28" i="3" l="1"/>
  <c r="J27" i="3"/>
  <c r="J28" i="3" l="1"/>
  <c r="H29" i="3"/>
  <c r="H30" i="3" l="1"/>
  <c r="J29" i="3"/>
  <c r="J30" i="3" l="1"/>
  <c r="H31" i="3"/>
  <c r="H32" i="3" l="1"/>
  <c r="J31" i="3"/>
  <c r="J32" i="3" l="1"/>
  <c r="H33" i="3"/>
  <c r="H34" i="3" l="1"/>
  <c r="J33" i="3"/>
  <c r="J34" i="3" l="1"/>
  <c r="H35" i="3"/>
  <c r="H36" i="3" l="1"/>
  <c r="J35" i="3"/>
  <c r="J36" i="3" l="1"/>
  <c r="H37" i="3"/>
  <c r="H38" i="3" l="1"/>
  <c r="J37" i="3"/>
  <c r="J38" i="3" l="1"/>
  <c r="H39" i="3"/>
  <c r="H40" i="3" l="1"/>
  <c r="J39" i="3"/>
  <c r="J40" i="3" l="1"/>
  <c r="H41" i="3"/>
  <c r="H42" i="3" l="1"/>
  <c r="J41" i="3"/>
  <c r="J42" i="3" l="1"/>
  <c r="H43" i="3"/>
  <c r="H44" i="3" l="1"/>
  <c r="J43" i="3"/>
  <c r="J44" i="3" l="1"/>
  <c r="H45" i="3"/>
  <c r="H46" i="3" l="1"/>
  <c r="J46" i="3" s="1"/>
  <c r="J45" i="3"/>
</calcChain>
</file>

<file path=xl/sharedStrings.xml><?xml version="1.0" encoding="utf-8"?>
<sst xmlns="http://schemas.openxmlformats.org/spreadsheetml/2006/main" count="78" uniqueCount="66">
  <si>
    <t>Republic of the Philippines</t>
  </si>
  <si>
    <t>Department of Education</t>
  </si>
  <si>
    <t>REGION VI-WESTERN VISAYAS</t>
  </si>
  <si>
    <t>SCHOOLS DIVISION OF SIPALAY CITY</t>
  </si>
  <si>
    <t>PERIOD COVERED</t>
  </si>
  <si>
    <t>LEAVE EARNED</t>
  </si>
  <si>
    <t>TOTAL</t>
  </si>
  <si>
    <t>Name: _____________________________</t>
  </si>
  <si>
    <t>DISTRICT: ___________________________</t>
  </si>
  <si>
    <t>EMP. NO  :</t>
  </si>
  <si>
    <t>POSITION: __________________________</t>
  </si>
  <si>
    <t>SCHOOL/OFFICE:_____________________</t>
  </si>
  <si>
    <t>STATION   :</t>
  </si>
  <si>
    <t>SERVICE LEAVE CARD</t>
  </si>
  <si>
    <t>LEAVE SPENT</t>
  </si>
  <si>
    <t>BALANCE</t>
  </si>
  <si>
    <t>DATE FILED/RECEIVED</t>
  </si>
  <si>
    <t>VACATION</t>
  </si>
  <si>
    <t>SICK</t>
  </si>
  <si>
    <t>FORCED</t>
  </si>
  <si>
    <t>SPECIAL</t>
  </si>
  <si>
    <t xml:space="preserve">  </t>
  </si>
  <si>
    <t>CONVERT 80 DAYS UNUSED VACATION SERVICE CREDITS</t>
  </si>
  <si>
    <r>
      <rPr>
        <b/>
        <sz val="12"/>
        <color theme="1"/>
        <rFont val="Calibri"/>
        <family val="2"/>
        <scheme val="minor"/>
      </rPr>
      <t>TOTAL: 80 DAYS</t>
    </r>
    <r>
      <rPr>
        <sz val="11"/>
        <color theme="1"/>
        <rFont val="Calibri"/>
        <family val="2"/>
        <scheme val="minor"/>
      </rPr>
      <t xml:space="preserve">                                                    CONVERT: 30Y/69/2</t>
    </r>
  </si>
  <si>
    <r>
      <t xml:space="preserve"> MAY 1995 NATIONAL &amp; LOCAL ELECTION                 </t>
    </r>
    <r>
      <rPr>
        <b/>
        <sz val="11"/>
        <color theme="1"/>
        <rFont val="Calibri"/>
        <family val="2"/>
        <scheme val="minor"/>
      </rPr>
      <t>(5 DAYS)</t>
    </r>
  </si>
  <si>
    <r>
      <t xml:space="preserve">CENSUS 2000 </t>
    </r>
    <r>
      <rPr>
        <b/>
        <sz val="11"/>
        <color theme="1"/>
        <rFont val="Calibri"/>
        <family val="2"/>
        <scheme val="minor"/>
      </rPr>
      <t>(25 DAYS)</t>
    </r>
  </si>
  <si>
    <r>
      <t xml:space="preserve">JULY 15, 2002 BRGY. &amp; SK ELECTION </t>
    </r>
    <r>
      <rPr>
        <b/>
        <sz val="11"/>
        <color theme="1"/>
        <rFont val="Calibri"/>
        <family val="2"/>
        <scheme val="minor"/>
      </rPr>
      <t>(5 DAYS)</t>
    </r>
  </si>
  <si>
    <r>
      <t xml:space="preserve">MAY 10, 2004 NATIONAL &amp; LOCAL ELECTION         </t>
    </r>
    <r>
      <rPr>
        <b/>
        <sz val="11"/>
        <color theme="1"/>
        <rFont val="Calibri"/>
        <family val="2"/>
        <scheme val="minor"/>
      </rPr>
      <t>(5 DAYS)</t>
    </r>
  </si>
  <si>
    <r>
      <t xml:space="preserve">NATIONAL LEARNING CAMP 2023 </t>
    </r>
    <r>
      <rPr>
        <b/>
        <sz val="11"/>
        <color theme="1"/>
        <rFont val="Calibri"/>
        <family val="2"/>
        <scheme val="minor"/>
      </rPr>
      <t>(15 DAYS)</t>
    </r>
  </si>
  <si>
    <r>
      <t xml:space="preserve">OCTOBER 30, 2023 BRGY. &amp; SK ELECTION               </t>
    </r>
    <r>
      <rPr>
        <b/>
        <sz val="11"/>
        <color theme="1"/>
        <rFont val="Calibri"/>
        <family val="2"/>
        <scheme val="minor"/>
      </rPr>
      <t>(5 DAYS)</t>
    </r>
  </si>
  <si>
    <r>
      <t>NATIONAL LEARNING CAMP 2024</t>
    </r>
    <r>
      <rPr>
        <b/>
        <sz val="11"/>
        <color theme="1"/>
        <rFont val="Calibri"/>
        <family val="2"/>
        <scheme val="minor"/>
      </rPr>
      <t xml:space="preserve"> (15 DAYS)</t>
    </r>
  </si>
  <si>
    <r>
      <t xml:space="preserve">MAY 11, 1998 NATIONAL &amp; LOCAL ELECTION                </t>
    </r>
    <r>
      <rPr>
        <b/>
        <sz val="11"/>
        <color theme="1"/>
        <rFont val="Calibri"/>
        <family val="2"/>
        <scheme val="minor"/>
      </rPr>
      <t>( 5 DAYS)</t>
    </r>
  </si>
  <si>
    <t>STATEMENT OF VACATION AND SICK LEAVE CREDITS</t>
  </si>
  <si>
    <t>PURSUANT TO CIVIL CERVICE COMMISSION</t>
  </si>
  <si>
    <t>RESOLUTION NO. 06- 213 DATED JUNE 6, 1986</t>
  </si>
  <si>
    <t xml:space="preserve"> </t>
  </si>
  <si>
    <t>Agency: DepEd Division of Sipalay City</t>
  </si>
  <si>
    <t xml:space="preserve">Vacation </t>
  </si>
  <si>
    <t>Sick</t>
  </si>
  <si>
    <t>Vacation</t>
  </si>
  <si>
    <t>Mon</t>
  </si>
  <si>
    <t>Conformed by:</t>
  </si>
  <si>
    <t xml:space="preserve">Certified Correct:              </t>
  </si>
  <si>
    <t>MA. LUISA B. CATIGAN</t>
  </si>
  <si>
    <t>Administrative Officer IV - HRMO</t>
  </si>
  <si>
    <t>BALTAZAR B. TABIANO</t>
  </si>
  <si>
    <t>Administrative Officer V- Admin</t>
  </si>
  <si>
    <t>VIRMIE G. GADAYAN</t>
  </si>
  <si>
    <t>Administrative Officer - V</t>
  </si>
  <si>
    <t xml:space="preserve">              Budget Officer</t>
  </si>
  <si>
    <t xml:space="preserve"> MAY 1995 NATIONAL &amp; LOCAL ELECTION                 (5 DAYS)</t>
  </si>
  <si>
    <t>CENSUS 2000 (25 DAYS)</t>
  </si>
  <si>
    <t>JULY 15, 2002 BRGY. &amp; SK ELECTION (5 DAYS)</t>
  </si>
  <si>
    <t>MAY 10, 2004 NATIONAL &amp; LOCAL ELECTION         (5 DAYS)</t>
  </si>
  <si>
    <t>NATIONAL LEARNING CAMP 2023 (15 DAYS)</t>
  </si>
  <si>
    <t>OCTOBER 30, 2023 BRGY. &amp; SK ELECTION               (5 DAYS)</t>
  </si>
  <si>
    <t>NATIONAL LEARNING CAMP 2024 (15 DAYS)</t>
  </si>
  <si>
    <t>MAY 11, 1998 NATIONAL &amp; LOCAL ELECTION                                                           ( 5 DAYS)</t>
  </si>
  <si>
    <t>REMARKS</t>
  </si>
  <si>
    <t>Section 45 of MC No. 41, s. 1998 (Omnibus Rule on Leave) and DepEd Order No. 013, s. 2024 "Revised Guidelines on the Grant of Vacation Service Credits for Teachers" (VI. C, No. 10)</t>
  </si>
  <si>
    <t>RETIRED EFFECTIVE 01/01/2025</t>
  </si>
  <si>
    <t>Name: ERMA G. BALABIS</t>
  </si>
  <si>
    <t>ERMA G. BALABIS</t>
  </si>
  <si>
    <t xml:space="preserve">DATE:  </t>
  </si>
  <si>
    <r>
      <rPr>
        <b/>
        <sz val="11"/>
        <color theme="1"/>
        <rFont val="Calibri"/>
        <family val="2"/>
        <scheme val="minor"/>
      </rPr>
      <t xml:space="preserve">TOTAL: 80 DAYS     </t>
    </r>
    <r>
      <rPr>
        <sz val="11"/>
        <color theme="1"/>
        <rFont val="Calibri"/>
        <family val="2"/>
        <scheme val="minor"/>
      </rPr>
      <t xml:space="preserve">                                               CONVERT: 30Y/69/2</t>
    </r>
  </si>
  <si>
    <t>JANUARY 01, 2025: EFFECTIVE DATE OF RETIREMENT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</si>
</sst>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5" x14ac:knownFonts="1">
    <font>
      <sz val="11"/>
      <color theme="1"/>
      <name val="Calibri"/>
      <family val="2"/>
      <scheme val="minor"/>
    </font>
    <font>
      <b/>
      <sz val="11"/>
      <color theme="1"/>
      <name val="Calibri"/>
      <family val="2"/>
      <scheme val="minor"/>
    </font>
    <font>
      <b/>
      <sz val="16"/>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11"/>
      <color theme="1"/>
      <name val="Calibri"/>
      <family val="2"/>
      <scheme val="minor"/>
    </font>
    <font>
      <b/>
      <sz val="12"/>
      <color theme="1"/>
      <name val="Calibri"/>
      <family val="2"/>
      <scheme val="minor"/>
    </font>
    <font>
      <b/>
      <sz val="10"/>
      <color theme="1"/>
      <name val="Calibri"/>
      <family val="2"/>
      <scheme val="minor"/>
    </font>
    <font>
      <sz val="10"/>
      <color theme="1"/>
      <name val="Calibri"/>
      <family val="2"/>
      <scheme val="minor"/>
    </font>
    <font>
      <sz val="11"/>
      <color theme="1"/>
      <name val="Calibri"/>
      <family val="2"/>
      <scheme val="minor"/>
    </font>
    <font>
      <b/>
      <sz val="9"/>
      <color theme="1"/>
      <name val="Bookman Old Style"/>
      <family val="1"/>
    </font>
    <font>
      <b/>
      <u/>
      <sz val="11"/>
      <color theme="1"/>
      <name val="Calibri"/>
      <family val="2"/>
      <scheme val="minor"/>
    </font>
    <font>
      <sz val="8"/>
      <color theme="1"/>
      <name val="Calibri"/>
      <family val="2"/>
      <scheme val="minor"/>
    </font>
    <font>
      <sz val="9"/>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8" tint="0.59999389629810485"/>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auto="1"/>
      </left>
      <right style="thin">
        <color indexed="64"/>
      </right>
      <top style="thin">
        <color indexed="64"/>
      </top>
      <bottom/>
      <diagonal/>
    </border>
    <border>
      <left style="thin">
        <color auto="1"/>
      </left>
      <right style="thin">
        <color indexed="64"/>
      </right>
      <top/>
      <bottom style="thin">
        <color auto="1"/>
      </bottom>
      <diagonal/>
    </border>
    <border>
      <left/>
      <right/>
      <top/>
      <bottom style="medium">
        <color indexed="64"/>
      </bottom>
      <diagonal/>
    </border>
    <border>
      <left style="medium">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
      <left style="thin">
        <color auto="1"/>
      </left>
      <right style="medium">
        <color auto="1"/>
      </right>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auto="1"/>
      </left>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auto="1"/>
      </left>
      <right/>
      <top/>
      <bottom style="thin">
        <color auto="1"/>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medium">
        <color indexed="64"/>
      </right>
      <top style="thin">
        <color indexed="64"/>
      </top>
      <bottom/>
      <diagonal/>
    </border>
  </borders>
  <cellStyleXfs count="6">
    <xf numFmtId="0" fontId="0" fillId="0" borderId="0"/>
    <xf numFmtId="0" fontId="3" fillId="0" borderId="0"/>
    <xf numFmtId="0" fontId="6" fillId="0" borderId="0"/>
    <xf numFmtId="0" fontId="3" fillId="0" borderId="0"/>
    <xf numFmtId="0" fontId="3" fillId="0" borderId="0"/>
    <xf numFmtId="0" fontId="10" fillId="0" borderId="0"/>
  </cellStyleXfs>
  <cellXfs count="104">
    <xf numFmtId="0" fontId="0" fillId="0" borderId="0" xfId="0"/>
    <xf numFmtId="0" fontId="0" fillId="2" borderId="0" xfId="0" applyFill="1"/>
    <xf numFmtId="0" fontId="1" fillId="2" borderId="0" xfId="0" applyFont="1" applyFill="1" applyAlignment="1">
      <alignment vertical="center"/>
    </xf>
    <xf numFmtId="0" fontId="1" fillId="2" borderId="0" xfId="0" applyFont="1" applyFill="1"/>
    <xf numFmtId="0" fontId="0" fillId="0" borderId="0" xfId="0" applyAlignment="1">
      <alignment vertical="center"/>
    </xf>
    <xf numFmtId="0" fontId="0" fillId="2" borderId="1" xfId="0" applyFill="1" applyBorder="1" applyAlignment="1">
      <alignment horizontal="center" vertical="center"/>
    </xf>
    <xf numFmtId="0" fontId="1" fillId="2" borderId="12" xfId="0" applyFont="1" applyFill="1" applyBorder="1" applyAlignment="1">
      <alignment horizontal="center" vertical="center"/>
    </xf>
    <xf numFmtId="0" fontId="1" fillId="2" borderId="12" xfId="0" applyFont="1" applyFill="1" applyBorder="1" applyAlignment="1">
      <alignment vertical="center"/>
    </xf>
    <xf numFmtId="0" fontId="1" fillId="2" borderId="2" xfId="0" applyFont="1" applyFill="1" applyBorder="1" applyAlignment="1">
      <alignment horizontal="center" vertical="center"/>
    </xf>
    <xf numFmtId="0" fontId="4" fillId="0" borderId="0" xfId="0" applyFont="1" applyAlignment="1">
      <alignment horizontal="center" vertical="center"/>
    </xf>
    <xf numFmtId="0" fontId="0" fillId="2" borderId="9" xfId="0" applyFill="1" applyBorder="1" applyAlignment="1">
      <alignment horizontal="center" vertical="center" wrapText="1"/>
    </xf>
    <xf numFmtId="0" fontId="0" fillId="2" borderId="1" xfId="0" applyFill="1" applyBorder="1" applyAlignment="1">
      <alignment horizontal="center" vertical="center" wrapText="1"/>
    </xf>
    <xf numFmtId="164" fontId="0" fillId="2" borderId="3" xfId="0" applyNumberFormat="1" applyFill="1" applyBorder="1" applyAlignment="1">
      <alignment horizontal="center" vertical="center"/>
    </xf>
    <xf numFmtId="164" fontId="0" fillId="2" borderId="10" xfId="0" applyNumberFormat="1" applyFill="1" applyBorder="1" applyAlignment="1">
      <alignment horizontal="center" vertical="center"/>
    </xf>
    <xf numFmtId="0" fontId="5" fillId="0" borderId="0" xfId="0" applyFont="1"/>
    <xf numFmtId="164" fontId="0" fillId="2" borderId="1" xfId="0" applyNumberFormat="1" applyFill="1" applyBorder="1" applyAlignment="1">
      <alignment horizontal="center" vertical="center"/>
    </xf>
    <xf numFmtId="164" fontId="0" fillId="2" borderId="11" xfId="0" applyNumberFormat="1" applyFill="1" applyBorder="1" applyAlignment="1">
      <alignment horizontal="center" vertical="center"/>
    </xf>
    <xf numFmtId="0" fontId="5" fillId="0" borderId="0" xfId="0" applyFont="1" applyAlignment="1">
      <alignment vertical="center"/>
    </xf>
    <xf numFmtId="0" fontId="0" fillId="0" borderId="0" xfId="0" applyAlignment="1">
      <alignment horizontal="center" vertical="center"/>
    </xf>
    <xf numFmtId="164" fontId="0" fillId="2" borderId="0" xfId="0" applyNumberFormat="1" applyFill="1" applyAlignment="1">
      <alignment horizontal="center" vertical="center"/>
    </xf>
    <xf numFmtId="0" fontId="0" fillId="2" borderId="3" xfId="0" applyFill="1" applyBorder="1" applyAlignment="1">
      <alignment horizontal="center" vertical="center"/>
    </xf>
    <xf numFmtId="0" fontId="0" fillId="2" borderId="3" xfId="0" applyFill="1" applyBorder="1" applyAlignment="1">
      <alignment horizontal="center" vertical="center" wrapText="1"/>
    </xf>
    <xf numFmtId="0" fontId="0" fillId="0" borderId="1" xfId="0" applyBorder="1" applyAlignment="1">
      <alignment horizontal="center" vertical="center"/>
    </xf>
    <xf numFmtId="164" fontId="0" fillId="2" borderId="1" xfId="0" applyNumberFormat="1" applyFill="1" applyBorder="1" applyAlignment="1">
      <alignment horizontal="center" vertical="center" wrapText="1"/>
    </xf>
    <xf numFmtId="0" fontId="3" fillId="0" borderId="0" xfId="4" applyAlignment="1">
      <alignment horizontal="center"/>
    </xf>
    <xf numFmtId="0" fontId="3" fillId="0" borderId="0" xfId="4"/>
    <xf numFmtId="0" fontId="8" fillId="0" borderId="0" xfId="4" applyFont="1" applyAlignment="1">
      <alignment horizontal="left"/>
    </xf>
    <xf numFmtId="0" fontId="3" fillId="0" borderId="9" xfId="1" applyBorder="1" applyAlignment="1">
      <alignment horizontal="center" vertical="center" wrapText="1"/>
    </xf>
    <xf numFmtId="164" fontId="9" fillId="0" borderId="3" xfId="1" applyNumberFormat="1" applyFont="1" applyBorder="1" applyAlignment="1">
      <alignment horizontal="center" vertical="center"/>
    </xf>
    <xf numFmtId="164" fontId="9" fillId="2" borderId="1" xfId="4" applyNumberFormat="1" applyFont="1" applyFill="1" applyBorder="1" applyAlignment="1">
      <alignment horizontal="center" vertical="center"/>
    </xf>
    <xf numFmtId="2" fontId="9" fillId="2" borderId="1" xfId="4" applyNumberFormat="1" applyFont="1" applyFill="1" applyBorder="1" applyAlignment="1">
      <alignment horizontal="center" vertical="center"/>
    </xf>
    <xf numFmtId="164" fontId="9" fillId="0" borderId="1" xfId="1" applyNumberFormat="1" applyFont="1" applyBorder="1" applyAlignment="1">
      <alignment horizontal="center" vertical="center"/>
    </xf>
    <xf numFmtId="164" fontId="3" fillId="0" borderId="1" xfId="4" applyNumberFormat="1" applyBorder="1" applyAlignment="1">
      <alignment horizontal="center" vertical="center"/>
    </xf>
    <xf numFmtId="0" fontId="3" fillId="0" borderId="19" xfId="1" applyBorder="1" applyAlignment="1">
      <alignment horizontal="center" vertical="center" wrapText="1"/>
    </xf>
    <xf numFmtId="0" fontId="11" fillId="0" borderId="16" xfId="4" applyFont="1" applyBorder="1" applyAlignment="1">
      <alignment horizontal="center"/>
    </xf>
    <xf numFmtId="164" fontId="11" fillId="0" borderId="24" xfId="4" applyNumberFormat="1" applyFont="1" applyBorder="1" applyAlignment="1">
      <alignment horizontal="center" vertical="center"/>
    </xf>
    <xf numFmtId="0" fontId="3" fillId="0" borderId="0" xfId="4" applyAlignment="1">
      <alignment horizontal="center" vertical="center"/>
    </xf>
    <xf numFmtId="0" fontId="3" fillId="0" borderId="0" xfId="4" applyAlignment="1">
      <alignment horizontal="left" vertical="center"/>
    </xf>
    <xf numFmtId="0" fontId="12" fillId="0" borderId="0" xfId="4" applyFont="1" applyAlignment="1">
      <alignment horizontal="left" vertical="center"/>
    </xf>
    <xf numFmtId="0" fontId="1" fillId="0" borderId="0" xfId="4" applyFont="1"/>
    <xf numFmtId="0" fontId="13" fillId="0" borderId="0" xfId="4" applyFont="1" applyAlignment="1">
      <alignment horizontal="left" vertical="center"/>
    </xf>
    <xf numFmtId="0" fontId="13" fillId="0" borderId="0" xfId="4" applyFont="1" applyAlignment="1">
      <alignment vertical="center"/>
    </xf>
    <xf numFmtId="0" fontId="14" fillId="0" borderId="0" xfId="4" applyFont="1"/>
    <xf numFmtId="0" fontId="0" fillId="0" borderId="19" xfId="1" applyFont="1" applyBorder="1" applyAlignment="1">
      <alignment horizontal="center" vertical="center" wrapText="1"/>
    </xf>
    <xf numFmtId="164" fontId="11" fillId="0" borderId="25" xfId="4" applyNumberFormat="1" applyFont="1" applyBorder="1" applyAlignment="1">
      <alignment horizontal="center" vertical="center"/>
    </xf>
    <xf numFmtId="164" fontId="9" fillId="2" borderId="3" xfId="4" applyNumberFormat="1" applyFont="1" applyFill="1" applyBorder="1" applyAlignment="1">
      <alignment horizontal="center" vertical="center"/>
    </xf>
    <xf numFmtId="2" fontId="9" fillId="2" borderId="3" xfId="4" applyNumberFormat="1" applyFont="1" applyFill="1" applyBorder="1" applyAlignment="1">
      <alignment horizontal="center" vertical="center"/>
    </xf>
    <xf numFmtId="2" fontId="3" fillId="0" borderId="3" xfId="4" applyNumberFormat="1" applyBorder="1" applyAlignment="1">
      <alignment horizontal="center" vertical="center"/>
    </xf>
    <xf numFmtId="0" fontId="3" fillId="0" borderId="27" xfId="4" applyBorder="1"/>
    <xf numFmtId="0" fontId="3" fillId="0" borderId="20" xfId="4" applyBorder="1"/>
    <xf numFmtId="0" fontId="3" fillId="0" borderId="29" xfId="4" applyBorder="1"/>
    <xf numFmtId="0" fontId="1" fillId="0" borderId="30" xfId="4" applyFont="1" applyBorder="1" applyAlignment="1">
      <alignment horizontal="center" vertical="center"/>
    </xf>
    <xf numFmtId="0" fontId="1" fillId="0" borderId="30" xfId="4" applyFont="1" applyBorder="1"/>
    <xf numFmtId="0" fontId="1" fillId="0" borderId="26" xfId="4" applyFont="1" applyBorder="1" applyAlignment="1">
      <alignment vertical="center" wrapText="1"/>
    </xf>
    <xf numFmtId="2" fontId="3" fillId="0" borderId="33" xfId="4" applyNumberFormat="1" applyBorder="1" applyAlignment="1">
      <alignment horizontal="center" vertical="center"/>
    </xf>
    <xf numFmtId="164" fontId="3" fillId="0" borderId="31" xfId="4" applyNumberFormat="1" applyBorder="1" applyAlignment="1">
      <alignment horizontal="center" vertical="center"/>
    </xf>
    <xf numFmtId="0" fontId="0" fillId="2" borderId="7" xfId="0" applyFill="1" applyBorder="1" applyAlignment="1">
      <alignment horizontal="center" vertical="center" wrapText="1"/>
    </xf>
    <xf numFmtId="0" fontId="0" fillId="2" borderId="2" xfId="0" applyFill="1" applyBorder="1" applyAlignment="1">
      <alignment horizontal="center" vertical="center"/>
    </xf>
    <xf numFmtId="0" fontId="0" fillId="2" borderId="2" xfId="0" applyFill="1" applyBorder="1" applyAlignment="1">
      <alignment horizontal="center" vertical="center" wrapText="1"/>
    </xf>
    <xf numFmtId="164" fontId="0" fillId="2" borderId="2" xfId="0" applyNumberFormat="1" applyFill="1" applyBorder="1" applyAlignment="1">
      <alignment horizontal="center" vertical="center"/>
    </xf>
    <xf numFmtId="164" fontId="0" fillId="2" borderId="39" xfId="0" applyNumberFormat="1" applyFill="1" applyBorder="1" applyAlignment="1">
      <alignment horizontal="center" vertical="center"/>
    </xf>
    <xf numFmtId="0" fontId="1" fillId="2" borderId="0" xfId="0" applyFont="1" applyFill="1" applyAlignment="1">
      <alignment horizontal="left" vertical="center"/>
    </xf>
    <xf numFmtId="0" fontId="0" fillId="2" borderId="0" xfId="0" applyFill="1" applyAlignment="1">
      <alignment horizontal="center" vertical="center"/>
    </xf>
    <xf numFmtId="0" fontId="1" fillId="2" borderId="16"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4" fillId="0" borderId="7" xfId="0" applyFont="1" applyBorder="1" applyAlignment="1">
      <alignment horizontal="center" vertical="center"/>
    </xf>
    <xf numFmtId="0" fontId="1" fillId="3" borderId="16" xfId="0" applyFont="1" applyFill="1" applyBorder="1" applyAlignment="1">
      <alignment horizontal="left" vertical="center"/>
    </xf>
    <xf numFmtId="0" fontId="1" fillId="3" borderId="18" xfId="0" applyFont="1" applyFill="1" applyBorder="1" applyAlignment="1">
      <alignment horizontal="left" vertical="center"/>
    </xf>
    <xf numFmtId="0" fontId="1" fillId="3" borderId="17" xfId="0" applyFont="1" applyFill="1" applyBorder="1" applyAlignment="1">
      <alignment horizontal="left" vertical="center"/>
    </xf>
    <xf numFmtId="0" fontId="2" fillId="2"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7" xfId="0" applyFont="1" applyFill="1" applyBorder="1" applyAlignment="1">
      <alignment horizontal="center" vertical="center"/>
    </xf>
    <xf numFmtId="0" fontId="1" fillId="4" borderId="13" xfId="0" applyFont="1" applyFill="1" applyBorder="1" applyAlignment="1">
      <alignment horizontal="center" vertical="center"/>
    </xf>
    <xf numFmtId="0" fontId="1" fillId="4" borderId="14" xfId="0" applyFont="1" applyFill="1" applyBorder="1" applyAlignment="1">
      <alignment horizontal="center" vertical="center"/>
    </xf>
    <xf numFmtId="0" fontId="1" fillId="5" borderId="13" xfId="0" applyFont="1" applyFill="1" applyBorder="1" applyAlignment="1">
      <alignment horizontal="center" vertical="center"/>
    </xf>
    <xf numFmtId="0" fontId="1" fillId="5" borderId="14" xfId="0" applyFont="1" applyFill="1" applyBorder="1" applyAlignment="1">
      <alignment horizontal="center" vertical="center"/>
    </xf>
    <xf numFmtId="0" fontId="1" fillId="5" borderId="15" xfId="0" applyFont="1" applyFill="1" applyBorder="1" applyAlignment="1">
      <alignment horizontal="center" vertical="center"/>
    </xf>
    <xf numFmtId="0" fontId="1" fillId="6" borderId="13" xfId="0" applyFont="1" applyFill="1" applyBorder="1" applyAlignment="1">
      <alignment horizontal="center" vertical="center"/>
    </xf>
    <xf numFmtId="0" fontId="1" fillId="6" borderId="14"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8" xfId="0" applyFont="1" applyFill="1" applyBorder="1" applyAlignment="1">
      <alignment horizontal="center" vertical="center"/>
    </xf>
    <xf numFmtId="164" fontId="11" fillId="0" borderId="21" xfId="4" applyNumberFormat="1" applyFont="1" applyBorder="1" applyAlignment="1">
      <alignment horizontal="center" vertical="center"/>
    </xf>
    <xf numFmtId="164" fontId="11" fillId="0" borderId="22" xfId="4" applyNumberFormat="1" applyFont="1" applyBorder="1" applyAlignment="1">
      <alignment horizontal="center" vertical="center"/>
    </xf>
    <xf numFmtId="2" fontId="11" fillId="0" borderId="23" xfId="4" applyNumberFormat="1" applyFont="1" applyBorder="1" applyAlignment="1">
      <alignment horizontal="center" vertical="center"/>
    </xf>
    <xf numFmtId="2" fontId="11" fillId="0" borderId="24" xfId="4" applyNumberFormat="1" applyFont="1" applyBorder="1" applyAlignment="1">
      <alignment horizontal="center" vertical="center"/>
    </xf>
    <xf numFmtId="0" fontId="13" fillId="0" borderId="0" xfId="4" applyFont="1" applyAlignment="1">
      <alignment horizontal="left" vertical="center"/>
    </xf>
    <xf numFmtId="0" fontId="1" fillId="0" borderId="34" xfId="4" applyFont="1" applyBorder="1" applyAlignment="1">
      <alignment horizontal="center" vertical="center"/>
    </xf>
    <xf numFmtId="0" fontId="1" fillId="0" borderId="35" xfId="4" applyFont="1" applyBorder="1" applyAlignment="1">
      <alignment horizontal="center" vertical="center"/>
    </xf>
    <xf numFmtId="0" fontId="1" fillId="0" borderId="36" xfId="4" applyFont="1" applyBorder="1" applyAlignment="1">
      <alignment horizontal="center" vertical="center"/>
    </xf>
    <xf numFmtId="0" fontId="1" fillId="0" borderId="37" xfId="4" applyFont="1" applyBorder="1" applyAlignment="1">
      <alignment horizontal="center" vertical="center" wrapText="1"/>
    </xf>
    <xf numFmtId="0" fontId="1" fillId="0" borderId="38" xfId="4" applyFont="1" applyBorder="1" applyAlignment="1">
      <alignment horizontal="center" vertical="center" wrapText="1"/>
    </xf>
    <xf numFmtId="0" fontId="12" fillId="0" borderId="0" xfId="4" applyFont="1" applyAlignment="1">
      <alignment horizontal="left" vertical="center"/>
    </xf>
    <xf numFmtId="0" fontId="3" fillId="0" borderId="0" xfId="4" applyAlignment="1">
      <alignment horizontal="left" vertical="center"/>
    </xf>
    <xf numFmtId="0" fontId="3" fillId="0" borderId="0" xfId="4" applyAlignment="1">
      <alignment horizontal="center"/>
    </xf>
    <xf numFmtId="0" fontId="1" fillId="0" borderId="28" xfId="4" applyFont="1" applyBorder="1" applyAlignment="1">
      <alignment horizontal="center"/>
    </xf>
    <xf numFmtId="0" fontId="7" fillId="0" borderId="28" xfId="4" applyFont="1" applyBorder="1" applyAlignment="1">
      <alignment horizontal="center"/>
    </xf>
    <xf numFmtId="0" fontId="1" fillId="0" borderId="28" xfId="4" applyFont="1" applyBorder="1" applyAlignment="1">
      <alignment horizontal="center" vertical="center"/>
    </xf>
    <xf numFmtId="0" fontId="1" fillId="0" borderId="13" xfId="4" applyFont="1" applyBorder="1" applyAlignment="1">
      <alignment horizontal="center" vertical="center"/>
    </xf>
    <xf numFmtId="0" fontId="1" fillId="0" borderId="31" xfId="4" applyFont="1" applyBorder="1" applyAlignment="1">
      <alignment horizontal="center" vertical="center"/>
    </xf>
    <xf numFmtId="0" fontId="1" fillId="0" borderId="32" xfId="4" applyFont="1" applyBorder="1" applyAlignment="1">
      <alignment horizontal="center" vertical="center"/>
    </xf>
    <xf numFmtId="0" fontId="1" fillId="0" borderId="1" xfId="4" applyFont="1" applyBorder="1" applyAlignment="1">
      <alignment horizontal="center" vertical="center"/>
    </xf>
    <xf numFmtId="0" fontId="1" fillId="0" borderId="30" xfId="4" applyFont="1" applyBorder="1" applyAlignment="1">
      <alignment horizontal="center" vertical="center"/>
    </xf>
    <xf numFmtId="0" fontId="1" fillId="0" borderId="1" xfId="4" applyFont="1" applyBorder="1" applyAlignment="1">
      <alignment horizontal="center"/>
    </xf>
  </cellXfs>
  <cellStyles count="6">
    <cellStyle name="Normal" xfId="0" builtinId="0"/>
    <cellStyle name="Normal 2" xfId="2" xr:uid="{29DC33C2-ED34-47D9-B6FD-D61DD017D699}"/>
    <cellStyle name="Normal 2 2" xfId="3" xr:uid="{21219274-95D8-49BC-93E5-5A5DFD6A046E}"/>
    <cellStyle name="Normal 3" xfId="1" xr:uid="{1BC03AAB-385B-4A2B-A74B-2C4461F97744}"/>
    <cellStyle name="Normal 4" xfId="4" xr:uid="{007D68EF-D2AB-4577-95EB-1D54C8E11385}"/>
    <cellStyle name="Normal 5" xfId="5" xr:uid="{CE965A85-2AE9-4FE5-AA61-6BD72BFDF9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3</xdr:col>
      <xdr:colOff>350447</xdr:colOff>
      <xdr:row>0</xdr:row>
      <xdr:rowOff>25040</xdr:rowOff>
    </xdr:from>
    <xdr:to>
      <xdr:col>4</xdr:col>
      <xdr:colOff>176375</xdr:colOff>
      <xdr:row>1</xdr:row>
      <xdr:rowOff>0</xdr:rowOff>
    </xdr:to>
    <xdr:pic>
      <xdr:nvPicPr>
        <xdr:cNvPr id="2" name="Picture 1">
          <a:extLst>
            <a:ext uri="{FF2B5EF4-FFF2-40B4-BE49-F238E27FC236}">
              <a16:creationId xmlns:a16="http://schemas.microsoft.com/office/drawing/2014/main" id="{471D51D5-5F90-4E61-8723-931824F4660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31897" y="25040"/>
          <a:ext cx="597453" cy="641710"/>
        </a:xfrm>
        <a:prstGeom prst="rect">
          <a:avLst/>
        </a:prstGeom>
        <a:noFill/>
      </xdr:spPr>
    </xdr:pic>
    <xdr:clientData/>
  </xdr:twoCellAnchor>
  <xdr:twoCellAnchor>
    <xdr:from>
      <xdr:col>0</xdr:col>
      <xdr:colOff>573942</xdr:colOff>
      <xdr:row>4</xdr:row>
      <xdr:rowOff>170961</xdr:rowOff>
    </xdr:from>
    <xdr:to>
      <xdr:col>0</xdr:col>
      <xdr:colOff>2582741</xdr:colOff>
      <xdr:row>6</xdr:row>
      <xdr:rowOff>116010</xdr:rowOff>
    </xdr:to>
    <xdr:sp macro="" textlink="">
      <xdr:nvSpPr>
        <xdr:cNvPr id="3" name="TextBox 2">
          <a:extLst>
            <a:ext uri="{FF2B5EF4-FFF2-40B4-BE49-F238E27FC236}">
              <a16:creationId xmlns:a16="http://schemas.microsoft.com/office/drawing/2014/main" id="{ED713ACA-BBA1-4D5A-AB0C-5ED0D9565B46}"/>
            </a:ext>
          </a:extLst>
        </xdr:cNvPr>
        <xdr:cNvSpPr txBox="1"/>
      </xdr:nvSpPr>
      <xdr:spPr>
        <a:xfrm>
          <a:off x="573942" y="1371111"/>
          <a:ext cx="1865924" cy="249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BALABIS, ERMA G.</a:t>
          </a:r>
        </a:p>
      </xdr:txBody>
    </xdr:sp>
    <xdr:clientData/>
  </xdr:twoCellAnchor>
  <xdr:twoCellAnchor>
    <xdr:from>
      <xdr:col>0</xdr:col>
      <xdr:colOff>616683</xdr:colOff>
      <xdr:row>7</xdr:row>
      <xdr:rowOff>61057</xdr:rowOff>
    </xdr:from>
    <xdr:to>
      <xdr:col>0</xdr:col>
      <xdr:colOff>2625482</xdr:colOff>
      <xdr:row>9</xdr:row>
      <xdr:rowOff>6105</xdr:rowOff>
    </xdr:to>
    <xdr:sp macro="" textlink="">
      <xdr:nvSpPr>
        <xdr:cNvPr id="4" name="TextBox 3">
          <a:extLst>
            <a:ext uri="{FF2B5EF4-FFF2-40B4-BE49-F238E27FC236}">
              <a16:creationId xmlns:a16="http://schemas.microsoft.com/office/drawing/2014/main" id="{11D1CB5B-2AC2-45D4-B3DF-F6A2E865464A}"/>
            </a:ext>
          </a:extLst>
        </xdr:cNvPr>
        <xdr:cNvSpPr txBox="1"/>
      </xdr:nvSpPr>
      <xdr:spPr>
        <a:xfrm>
          <a:off x="616683" y="1718407"/>
          <a:ext cx="1818299" cy="249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MASTER TEACHER II</a:t>
          </a:r>
          <a:endParaRPr lang="en-US" sz="1100"/>
        </a:p>
      </xdr:txBody>
    </xdr:sp>
    <xdr:clientData/>
  </xdr:twoCellAnchor>
  <xdr:twoCellAnchor>
    <xdr:from>
      <xdr:col>2</xdr:col>
      <xdr:colOff>415193</xdr:colOff>
      <xdr:row>7</xdr:row>
      <xdr:rowOff>42741</xdr:rowOff>
    </xdr:from>
    <xdr:to>
      <xdr:col>4</xdr:col>
      <xdr:colOff>604471</xdr:colOff>
      <xdr:row>8</xdr:row>
      <xdr:rowOff>140434</xdr:rowOff>
    </xdr:to>
    <xdr:sp macro="" textlink="">
      <xdr:nvSpPr>
        <xdr:cNvPr id="5" name="TextBox 4">
          <a:extLst>
            <a:ext uri="{FF2B5EF4-FFF2-40B4-BE49-F238E27FC236}">
              <a16:creationId xmlns:a16="http://schemas.microsoft.com/office/drawing/2014/main" id="{E1A225BB-43BF-424D-ADCE-12698C02A034}"/>
            </a:ext>
          </a:extLst>
        </xdr:cNvPr>
        <xdr:cNvSpPr txBox="1"/>
      </xdr:nvSpPr>
      <xdr:spPr>
        <a:xfrm>
          <a:off x="3625118" y="1700091"/>
          <a:ext cx="1732328" cy="250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BINULIG ES</a:t>
          </a:r>
        </a:p>
      </xdr:txBody>
    </xdr:sp>
    <xdr:clientData/>
  </xdr:twoCellAnchor>
  <xdr:twoCellAnchor>
    <xdr:from>
      <xdr:col>5</xdr:col>
      <xdr:colOff>347452</xdr:colOff>
      <xdr:row>48</xdr:row>
      <xdr:rowOff>53914</xdr:rowOff>
    </xdr:from>
    <xdr:to>
      <xdr:col>9</xdr:col>
      <xdr:colOff>672043</xdr:colOff>
      <xdr:row>53</xdr:row>
      <xdr:rowOff>170731</xdr:rowOff>
    </xdr:to>
    <xdr:sp macro="" textlink="">
      <xdr:nvSpPr>
        <xdr:cNvPr id="6" name="TextBox 5">
          <a:extLst>
            <a:ext uri="{FF2B5EF4-FFF2-40B4-BE49-F238E27FC236}">
              <a16:creationId xmlns:a16="http://schemas.microsoft.com/office/drawing/2014/main" id="{BEBE3077-D463-4A68-BFBD-76ABF04E2E09}"/>
            </a:ext>
          </a:extLst>
        </xdr:cNvPr>
        <xdr:cNvSpPr txBox="1"/>
      </xdr:nvSpPr>
      <xdr:spPr>
        <a:xfrm>
          <a:off x="5871952" y="8435914"/>
          <a:ext cx="3410691" cy="10693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b="0" i="0" u="none" strike="noStrike">
              <a:solidFill>
                <a:schemeClr val="dk1"/>
              </a:solidFill>
              <a:effectLst/>
              <a:latin typeface="+mn-lt"/>
              <a:ea typeface="+mn-ea"/>
              <a:cs typeface="+mn-cs"/>
            </a:rPr>
            <a:t>Certified Correct: </a:t>
          </a:r>
          <a:r>
            <a:rPr lang="en-PH"/>
            <a:t> </a:t>
          </a:r>
          <a:endParaRPr lang="en-PH" sz="1100" b="0" i="0" u="none" strike="noStrike">
            <a:solidFill>
              <a:schemeClr val="dk1"/>
            </a:solidFill>
            <a:effectLst/>
            <a:latin typeface="+mn-lt"/>
            <a:ea typeface="+mn-ea"/>
            <a:cs typeface="+mn-cs"/>
          </a:endParaRPr>
        </a:p>
        <a:p>
          <a:endParaRPr lang="en-PH" sz="1100" b="0" i="0" u="none" strike="noStrike">
            <a:solidFill>
              <a:schemeClr val="dk1"/>
            </a:solidFill>
            <a:effectLst/>
            <a:latin typeface="+mn-lt"/>
            <a:ea typeface="+mn-ea"/>
            <a:cs typeface="+mn-cs"/>
          </a:endParaRPr>
        </a:p>
        <a:p>
          <a:r>
            <a:rPr lang="en-PH"/>
            <a:t>                            </a:t>
          </a:r>
          <a:r>
            <a:rPr lang="en-PH" sz="1100" b="1" i="0" u="sng" strike="noStrike">
              <a:solidFill>
                <a:schemeClr val="dk1"/>
              </a:solidFill>
              <a:effectLst/>
              <a:latin typeface="+mn-lt"/>
              <a:ea typeface="+mn-ea"/>
              <a:cs typeface="+mn-cs"/>
            </a:rPr>
            <a:t>MA. LUISA B. CATIGAN</a:t>
          </a:r>
        </a:p>
        <a:p>
          <a:r>
            <a:rPr lang="en-PH"/>
            <a:t>                           </a:t>
          </a:r>
          <a:r>
            <a:rPr lang="en-PH" sz="1100" b="0" i="0" u="none" strike="noStrike">
              <a:solidFill>
                <a:schemeClr val="dk1"/>
              </a:solidFill>
              <a:effectLst/>
              <a:latin typeface="+mn-lt"/>
              <a:ea typeface="+mn-ea"/>
              <a:cs typeface="+mn-cs"/>
            </a:rPr>
            <a:t>Administrative Officer IV</a:t>
          </a:r>
          <a:r>
            <a:rPr lang="en-PH"/>
            <a:t> </a:t>
          </a:r>
        </a:p>
        <a:p>
          <a:r>
            <a:rPr lang="en-PH" sz="1100" b="0" i="0" u="none" strike="noStrike">
              <a:solidFill>
                <a:schemeClr val="dk1"/>
              </a:solidFill>
              <a:effectLst/>
              <a:latin typeface="+mn-lt"/>
              <a:ea typeface="+mn-ea"/>
              <a:cs typeface="+mn-cs"/>
            </a:rPr>
            <a:t>                                        HRMO</a:t>
          </a:r>
          <a:r>
            <a:rPr lang="en-PH"/>
            <a:t> </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127257</xdr:colOff>
      <xdr:row>0</xdr:row>
      <xdr:rowOff>126067</xdr:rowOff>
    </xdr:from>
    <xdr:to>
      <xdr:col>9</xdr:col>
      <xdr:colOff>137224</xdr:colOff>
      <xdr:row>4</xdr:row>
      <xdr:rowOff>40360</xdr:rowOff>
    </xdr:to>
    <xdr:pic>
      <xdr:nvPicPr>
        <xdr:cNvPr id="2" name="Picture 1">
          <a:extLst>
            <a:ext uri="{FF2B5EF4-FFF2-40B4-BE49-F238E27FC236}">
              <a16:creationId xmlns:a16="http://schemas.microsoft.com/office/drawing/2014/main" id="{5664DE5C-1FBA-495A-A660-E3F3F13DAF0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3732" y="126067"/>
          <a:ext cx="695768" cy="676293"/>
        </a:xfrm>
        <a:prstGeom prst="rect">
          <a:avLst/>
        </a:prstGeom>
        <a:noFill/>
        <a:ln>
          <a:noFill/>
        </a:ln>
      </xdr:spPr>
    </xdr:pic>
    <xdr:clientData/>
  </xdr:twoCellAnchor>
  <xdr:twoCellAnchor editAs="oneCell">
    <xdr:from>
      <xdr:col>7</xdr:col>
      <xdr:colOff>16144</xdr:colOff>
      <xdr:row>0</xdr:row>
      <xdr:rowOff>127135</xdr:rowOff>
    </xdr:from>
    <xdr:to>
      <xdr:col>8</xdr:col>
      <xdr:colOff>113637</xdr:colOff>
      <xdr:row>4</xdr:row>
      <xdr:rowOff>80722</xdr:rowOff>
    </xdr:to>
    <xdr:pic>
      <xdr:nvPicPr>
        <xdr:cNvPr id="3" name="Picture 2">
          <a:extLst>
            <a:ext uri="{FF2B5EF4-FFF2-40B4-BE49-F238E27FC236}">
              <a16:creationId xmlns:a16="http://schemas.microsoft.com/office/drawing/2014/main" id="{DAE4A08F-6478-4E2B-88A5-6BB9D0E7A5AF}"/>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12069" y="127135"/>
          <a:ext cx="688043" cy="715587"/>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49B98-E462-49CF-93A3-891E3961A3BD}">
  <sheetPr>
    <pageSetUpPr fitToPage="1"/>
  </sheetPr>
  <dimension ref="A1:K52"/>
  <sheetViews>
    <sheetView tabSelected="1" view="pageBreakPreview" topLeftCell="A11" zoomScale="106" zoomScaleNormal="100" zoomScaleSheetLayoutView="106" workbookViewId="0">
      <selection activeCell="N21" sqref="N21"/>
    </sheetView>
  </sheetViews>
  <sheetFormatPr defaultRowHeight="15" x14ac:dyDescent="0.25"/>
  <cols>
    <col min="1" max="1" width="41.85546875" customWidth="1"/>
    <col min="2" max="5" width="11.5703125" customWidth="1"/>
    <col min="6" max="7" width="11.5703125" style="18" customWidth="1"/>
    <col min="8" max="10" width="11.5703125" customWidth="1"/>
    <col min="11" max="11" width="26.42578125" style="14" customWidth="1"/>
  </cols>
  <sheetData>
    <row r="1" spans="1:11" s="1" customFormat="1" ht="52.5" customHeight="1" x14ac:dyDescent="0.25"/>
    <row r="2" spans="1:11" s="1" customFormat="1" ht="10.5" customHeight="1" x14ac:dyDescent="0.25">
      <c r="A2" s="62" t="s">
        <v>0</v>
      </c>
      <c r="B2" s="62"/>
      <c r="C2" s="62"/>
      <c r="D2" s="62"/>
      <c r="E2" s="62"/>
      <c r="F2" s="62"/>
      <c r="G2" s="62"/>
      <c r="H2" s="62"/>
      <c r="I2" s="62"/>
      <c r="J2" s="62"/>
    </row>
    <row r="3" spans="1:11" s="1" customFormat="1" ht="15.95" customHeight="1" x14ac:dyDescent="0.25">
      <c r="A3" s="62" t="s">
        <v>1</v>
      </c>
      <c r="B3" s="62"/>
      <c r="C3" s="62"/>
      <c r="D3" s="62"/>
      <c r="E3" s="62"/>
      <c r="F3" s="62"/>
      <c r="G3" s="62"/>
      <c r="H3" s="62"/>
      <c r="I3" s="62"/>
      <c r="J3" s="62"/>
    </row>
    <row r="4" spans="1:11" s="1" customFormat="1" ht="15.95" customHeight="1" x14ac:dyDescent="0.25">
      <c r="A4" s="62" t="s">
        <v>2</v>
      </c>
      <c r="B4" s="62"/>
      <c r="C4" s="62"/>
      <c r="D4" s="62"/>
      <c r="E4" s="62"/>
      <c r="F4" s="62"/>
      <c r="G4" s="62"/>
      <c r="H4" s="62"/>
      <c r="I4" s="62"/>
      <c r="J4" s="62"/>
    </row>
    <row r="5" spans="1:11" s="1" customFormat="1" ht="15.95" customHeight="1" x14ac:dyDescent="0.25">
      <c r="A5" s="62" t="s">
        <v>3</v>
      </c>
      <c r="B5" s="62"/>
      <c r="C5" s="62"/>
      <c r="D5" s="62"/>
      <c r="E5" s="62"/>
      <c r="F5" s="62"/>
      <c r="G5" s="62"/>
      <c r="H5" s="62"/>
      <c r="I5" s="62"/>
      <c r="J5" s="62"/>
    </row>
    <row r="6" spans="1:11" s="1" customFormat="1" ht="8.25" customHeight="1" x14ac:dyDescent="0.25"/>
    <row r="7" spans="1:11" s="1" customFormat="1" ht="12" customHeight="1" x14ac:dyDescent="0.25">
      <c r="A7" s="1" t="s">
        <v>7</v>
      </c>
      <c r="B7" s="61" t="s">
        <v>8</v>
      </c>
      <c r="C7" s="61"/>
      <c r="D7" s="61"/>
      <c r="H7" s="2" t="s">
        <v>9</v>
      </c>
      <c r="I7" s="6"/>
      <c r="J7" s="2"/>
    </row>
    <row r="8" spans="1:11" s="1" customFormat="1" ht="12" customHeight="1" x14ac:dyDescent="0.25">
      <c r="B8" s="3"/>
      <c r="C8" s="3"/>
      <c r="H8" s="3"/>
      <c r="I8" s="3"/>
      <c r="J8" s="3"/>
    </row>
    <row r="9" spans="1:11" s="1" customFormat="1" ht="12" customHeight="1" x14ac:dyDescent="0.25">
      <c r="A9" s="1" t="s">
        <v>10</v>
      </c>
      <c r="B9" s="61" t="s">
        <v>11</v>
      </c>
      <c r="C9" s="61"/>
      <c r="D9" s="61"/>
      <c r="H9" s="2" t="s">
        <v>12</v>
      </c>
      <c r="I9" s="7"/>
      <c r="J9" s="2"/>
    </row>
    <row r="10" spans="1:11" ht="23.25" customHeight="1" thickBot="1" x14ac:dyDescent="0.3">
      <c r="A10" s="70" t="s">
        <v>13</v>
      </c>
      <c r="B10" s="70"/>
      <c r="C10" s="70"/>
      <c r="D10" s="70"/>
      <c r="E10" s="70"/>
      <c r="F10" s="70"/>
      <c r="G10" s="70"/>
      <c r="H10" s="70"/>
      <c r="I10" s="70"/>
      <c r="J10" s="70"/>
      <c r="K10"/>
    </row>
    <row r="11" spans="1:11" ht="18.75" customHeight="1" x14ac:dyDescent="0.25">
      <c r="A11" s="71" t="s">
        <v>4</v>
      </c>
      <c r="B11" s="73" t="s">
        <v>5</v>
      </c>
      <c r="C11" s="74"/>
      <c r="D11" s="75" t="s">
        <v>14</v>
      </c>
      <c r="E11" s="76"/>
      <c r="F11" s="76"/>
      <c r="G11" s="77"/>
      <c r="H11" s="78" t="s">
        <v>15</v>
      </c>
      <c r="I11" s="79"/>
      <c r="J11" s="80" t="s">
        <v>6</v>
      </c>
      <c r="K11" s="66" t="s">
        <v>16</v>
      </c>
    </row>
    <row r="12" spans="1:11" ht="15.75" thickBot="1" x14ac:dyDescent="0.3">
      <c r="A12" s="72"/>
      <c r="B12" s="8" t="s">
        <v>17</v>
      </c>
      <c r="C12" s="8" t="s">
        <v>18</v>
      </c>
      <c r="D12" s="8" t="s">
        <v>17</v>
      </c>
      <c r="E12" s="8" t="s">
        <v>18</v>
      </c>
      <c r="F12" s="8" t="s">
        <v>19</v>
      </c>
      <c r="G12" s="8" t="s">
        <v>20</v>
      </c>
      <c r="H12" s="8" t="s">
        <v>17</v>
      </c>
      <c r="I12" s="8" t="s">
        <v>18</v>
      </c>
      <c r="J12" s="81"/>
      <c r="K12" s="66"/>
    </row>
    <row r="13" spans="1:11" ht="15.75" thickBot="1" x14ac:dyDescent="0.3">
      <c r="A13" s="67" t="s">
        <v>22</v>
      </c>
      <c r="B13" s="68"/>
      <c r="C13" s="68"/>
      <c r="D13" s="68"/>
      <c r="E13" s="68"/>
      <c r="F13" s="68"/>
      <c r="G13" s="68"/>
      <c r="H13" s="68"/>
      <c r="I13" s="68"/>
      <c r="J13" s="69"/>
      <c r="K13" s="9"/>
    </row>
    <row r="14" spans="1:11" ht="30.75" customHeight="1" x14ac:dyDescent="0.25">
      <c r="A14" s="10" t="s">
        <v>24</v>
      </c>
      <c r="B14" s="20"/>
      <c r="C14" s="21"/>
      <c r="D14" s="21"/>
      <c r="E14" s="20"/>
      <c r="F14" s="20"/>
      <c r="G14" s="20"/>
      <c r="H14" s="12">
        <f>B14</f>
        <v>0</v>
      </c>
      <c r="I14" s="12">
        <f>C14</f>
        <v>0</v>
      </c>
      <c r="J14" s="13">
        <f>SUM(H14:I14)</f>
        <v>0</v>
      </c>
    </row>
    <row r="15" spans="1:11" ht="34.5" customHeight="1" x14ac:dyDescent="0.25">
      <c r="A15" s="10" t="s">
        <v>31</v>
      </c>
      <c r="B15" s="20"/>
      <c r="C15" s="21"/>
      <c r="D15" s="11"/>
      <c r="E15" s="5"/>
      <c r="F15" s="5"/>
      <c r="G15" s="5"/>
      <c r="H15" s="15">
        <f>H14-F15-D15+B15</f>
        <v>0</v>
      </c>
      <c r="I15" s="15">
        <f>I14-E15+C15</f>
        <v>0</v>
      </c>
      <c r="J15" s="16">
        <f>SUM(H15:I15)</f>
        <v>0</v>
      </c>
    </row>
    <row r="16" spans="1:11" ht="25.5" customHeight="1" x14ac:dyDescent="0.25">
      <c r="A16" s="10" t="s">
        <v>25</v>
      </c>
      <c r="B16" s="20"/>
      <c r="C16" s="21"/>
      <c r="D16" s="11"/>
      <c r="E16" s="5"/>
      <c r="F16" s="5"/>
      <c r="G16" s="5"/>
      <c r="H16" s="15">
        <f t="shared" ref="H16:H46" si="0">H15-F16-D16+B16</f>
        <v>0</v>
      </c>
      <c r="I16" s="15">
        <f t="shared" ref="I16:I46" si="1">I15-E16+C16</f>
        <v>0</v>
      </c>
      <c r="J16" s="16">
        <f t="shared" ref="J16:J46" si="2">SUM(H16:I16)</f>
        <v>0</v>
      </c>
    </row>
    <row r="17" spans="1:10" ht="30.75" customHeight="1" x14ac:dyDescent="0.25">
      <c r="A17" s="10" t="s">
        <v>26</v>
      </c>
      <c r="B17" s="5"/>
      <c r="C17" s="11"/>
      <c r="D17" s="11"/>
      <c r="E17" s="5"/>
      <c r="F17" s="5"/>
      <c r="G17" s="5"/>
      <c r="H17" s="15">
        <f t="shared" si="0"/>
        <v>0</v>
      </c>
      <c r="I17" s="15">
        <f t="shared" si="1"/>
        <v>0</v>
      </c>
      <c r="J17" s="16">
        <f t="shared" si="2"/>
        <v>0</v>
      </c>
    </row>
    <row r="18" spans="1:10" ht="34.5" customHeight="1" x14ac:dyDescent="0.25">
      <c r="A18" s="10" t="s">
        <v>27</v>
      </c>
      <c r="B18" s="5"/>
      <c r="C18" s="11"/>
      <c r="D18" s="11"/>
      <c r="E18" s="5"/>
      <c r="F18" s="22"/>
      <c r="G18" s="5"/>
      <c r="H18" s="15">
        <f t="shared" si="0"/>
        <v>0</v>
      </c>
      <c r="I18" s="15">
        <f t="shared" si="1"/>
        <v>0</v>
      </c>
      <c r="J18" s="16">
        <f t="shared" si="2"/>
        <v>0</v>
      </c>
    </row>
    <row r="19" spans="1:10" ht="29.25" customHeight="1" x14ac:dyDescent="0.25">
      <c r="A19" s="10" t="s">
        <v>28</v>
      </c>
      <c r="B19" s="15"/>
      <c r="C19" s="23"/>
      <c r="D19" s="11"/>
      <c r="E19" s="5"/>
      <c r="F19" s="22"/>
      <c r="G19" s="5"/>
      <c r="H19" s="15">
        <f t="shared" si="0"/>
        <v>0</v>
      </c>
      <c r="I19" s="15">
        <f t="shared" si="1"/>
        <v>0</v>
      </c>
      <c r="J19" s="16">
        <f t="shared" si="2"/>
        <v>0</v>
      </c>
    </row>
    <row r="20" spans="1:10" ht="35.25" customHeight="1" x14ac:dyDescent="0.25">
      <c r="A20" s="10" t="s">
        <v>29</v>
      </c>
      <c r="B20" s="5"/>
      <c r="C20" s="11"/>
      <c r="D20" s="11"/>
      <c r="E20" s="5"/>
      <c r="F20" s="22"/>
      <c r="G20" s="5"/>
      <c r="H20" s="15">
        <f t="shared" si="0"/>
        <v>0</v>
      </c>
      <c r="I20" s="15">
        <f t="shared" si="1"/>
        <v>0</v>
      </c>
      <c r="J20" s="16">
        <f t="shared" si="2"/>
        <v>0</v>
      </c>
    </row>
    <row r="21" spans="1:10" ht="31.5" customHeight="1" x14ac:dyDescent="0.25">
      <c r="A21" s="10" t="s">
        <v>30</v>
      </c>
      <c r="B21" s="5"/>
      <c r="C21" s="11"/>
      <c r="D21" s="11"/>
      <c r="E21" s="5"/>
      <c r="F21" s="5"/>
      <c r="G21" s="5"/>
      <c r="H21" s="15">
        <f t="shared" si="0"/>
        <v>0</v>
      </c>
      <c r="I21" s="15">
        <f t="shared" si="1"/>
        <v>0</v>
      </c>
      <c r="J21" s="16">
        <f t="shared" si="2"/>
        <v>0</v>
      </c>
    </row>
    <row r="22" spans="1:10" ht="35.25" customHeight="1" thickBot="1" x14ac:dyDescent="0.3">
      <c r="A22" s="10" t="s">
        <v>23</v>
      </c>
      <c r="B22" s="5">
        <v>17.390999999999998</v>
      </c>
      <c r="C22" s="11">
        <v>17.390999999999998</v>
      </c>
      <c r="D22" s="11"/>
      <c r="E22" s="5"/>
      <c r="F22" s="5"/>
      <c r="G22" s="5"/>
      <c r="H22" s="15">
        <f t="shared" si="0"/>
        <v>17.390999999999998</v>
      </c>
      <c r="I22" s="15">
        <f t="shared" si="1"/>
        <v>17.390999999999998</v>
      </c>
      <c r="J22" s="16">
        <f t="shared" si="2"/>
        <v>34.781999999999996</v>
      </c>
    </row>
    <row r="23" spans="1:10" ht="12" hidden="1" customHeight="1" x14ac:dyDescent="0.25">
      <c r="A23" s="10"/>
      <c r="B23" s="5"/>
      <c r="C23" s="11"/>
      <c r="D23" s="11"/>
      <c r="E23" s="5"/>
      <c r="F23" s="5"/>
      <c r="G23" s="5"/>
      <c r="H23" s="15">
        <f t="shared" si="0"/>
        <v>17.390999999999998</v>
      </c>
      <c r="I23" s="15">
        <f t="shared" si="1"/>
        <v>17.390999999999998</v>
      </c>
      <c r="J23" s="16">
        <f t="shared" si="2"/>
        <v>34.781999999999996</v>
      </c>
    </row>
    <row r="24" spans="1:10" ht="12" hidden="1" customHeight="1" x14ac:dyDescent="0.25">
      <c r="A24" s="10"/>
      <c r="B24" s="5"/>
      <c r="C24" s="11"/>
      <c r="D24" s="11"/>
      <c r="E24" s="5"/>
      <c r="F24" s="5"/>
      <c r="G24" s="5"/>
      <c r="H24" s="15">
        <f t="shared" si="0"/>
        <v>17.390999999999998</v>
      </c>
      <c r="I24" s="15">
        <f t="shared" si="1"/>
        <v>17.390999999999998</v>
      </c>
      <c r="J24" s="16">
        <f t="shared" si="2"/>
        <v>34.781999999999996</v>
      </c>
    </row>
    <row r="25" spans="1:10" ht="12" hidden="1" customHeight="1" x14ac:dyDescent="0.25">
      <c r="A25" s="10"/>
      <c r="B25" s="5"/>
      <c r="C25" s="11"/>
      <c r="D25" s="11"/>
      <c r="E25" s="5"/>
      <c r="F25" s="5"/>
      <c r="G25" s="5"/>
      <c r="H25" s="15">
        <f t="shared" si="0"/>
        <v>17.390999999999998</v>
      </c>
      <c r="I25" s="15">
        <f t="shared" si="1"/>
        <v>17.390999999999998</v>
      </c>
      <c r="J25" s="16">
        <f t="shared" si="2"/>
        <v>34.781999999999996</v>
      </c>
    </row>
    <row r="26" spans="1:10" ht="12" hidden="1" customHeight="1" x14ac:dyDescent="0.25">
      <c r="A26" s="10"/>
      <c r="B26" s="5"/>
      <c r="C26" s="11"/>
      <c r="D26" s="11"/>
      <c r="E26" s="5"/>
      <c r="F26" s="5"/>
      <c r="G26" s="5"/>
      <c r="H26" s="15">
        <f t="shared" si="0"/>
        <v>17.390999999999998</v>
      </c>
      <c r="I26" s="15">
        <f t="shared" si="1"/>
        <v>17.390999999999998</v>
      </c>
      <c r="J26" s="16">
        <f t="shared" si="2"/>
        <v>34.781999999999996</v>
      </c>
    </row>
    <row r="27" spans="1:10" ht="12" hidden="1" customHeight="1" x14ac:dyDescent="0.25">
      <c r="A27" s="10"/>
      <c r="B27" s="5"/>
      <c r="C27" s="11"/>
      <c r="D27" s="11"/>
      <c r="E27" s="5"/>
      <c r="F27" s="5"/>
      <c r="G27" s="5"/>
      <c r="H27" s="15">
        <f t="shared" si="0"/>
        <v>17.390999999999998</v>
      </c>
      <c r="I27" s="15">
        <f t="shared" si="1"/>
        <v>17.390999999999998</v>
      </c>
      <c r="J27" s="16">
        <f t="shared" si="2"/>
        <v>34.781999999999996</v>
      </c>
    </row>
    <row r="28" spans="1:10" ht="16.5" hidden="1" customHeight="1" x14ac:dyDescent="0.25">
      <c r="A28" s="10"/>
      <c r="B28" s="5"/>
      <c r="C28" s="11"/>
      <c r="D28" s="11"/>
      <c r="E28" s="5"/>
      <c r="F28" s="5"/>
      <c r="G28" s="5"/>
      <c r="H28" s="15">
        <f t="shared" si="0"/>
        <v>17.390999999999998</v>
      </c>
      <c r="I28" s="15">
        <f t="shared" si="1"/>
        <v>17.390999999999998</v>
      </c>
      <c r="J28" s="16">
        <f t="shared" si="2"/>
        <v>34.781999999999996</v>
      </c>
    </row>
    <row r="29" spans="1:10" ht="12" hidden="1" customHeight="1" x14ac:dyDescent="0.25">
      <c r="A29" s="10"/>
      <c r="B29" s="5"/>
      <c r="C29" s="11"/>
      <c r="D29" s="11"/>
      <c r="E29" s="5"/>
      <c r="F29" s="5"/>
      <c r="G29" s="5"/>
      <c r="H29" s="15">
        <f t="shared" si="0"/>
        <v>17.390999999999998</v>
      </c>
      <c r="I29" s="15">
        <f t="shared" si="1"/>
        <v>17.390999999999998</v>
      </c>
      <c r="J29" s="16">
        <f t="shared" si="2"/>
        <v>34.781999999999996</v>
      </c>
    </row>
    <row r="30" spans="1:10" ht="12" hidden="1" customHeight="1" x14ac:dyDescent="0.25">
      <c r="A30" s="10"/>
      <c r="B30" s="5"/>
      <c r="C30" s="11"/>
      <c r="D30" s="11"/>
      <c r="E30" s="5"/>
      <c r="F30" s="5"/>
      <c r="G30" s="5"/>
      <c r="H30" s="15">
        <f t="shared" si="0"/>
        <v>17.390999999999998</v>
      </c>
      <c r="I30" s="15">
        <f t="shared" si="1"/>
        <v>17.390999999999998</v>
      </c>
      <c r="J30" s="16">
        <f t="shared" si="2"/>
        <v>34.781999999999996</v>
      </c>
    </row>
    <row r="31" spans="1:10" ht="12" hidden="1" customHeight="1" x14ac:dyDescent="0.25">
      <c r="A31" s="10"/>
      <c r="B31" s="5"/>
      <c r="C31" s="11"/>
      <c r="D31" s="11"/>
      <c r="E31" s="5"/>
      <c r="F31" s="5"/>
      <c r="G31" s="5"/>
      <c r="H31" s="15">
        <f t="shared" si="0"/>
        <v>17.390999999999998</v>
      </c>
      <c r="I31" s="15">
        <f t="shared" si="1"/>
        <v>17.390999999999998</v>
      </c>
      <c r="J31" s="16">
        <f t="shared" si="2"/>
        <v>34.781999999999996</v>
      </c>
    </row>
    <row r="32" spans="1:10" ht="12" hidden="1" customHeight="1" x14ac:dyDescent="0.25">
      <c r="A32" s="10"/>
      <c r="B32" s="5"/>
      <c r="C32" s="11"/>
      <c r="D32" s="11"/>
      <c r="E32" s="5"/>
      <c r="F32" s="5"/>
      <c r="G32" s="5"/>
      <c r="H32" s="15">
        <f t="shared" si="0"/>
        <v>17.390999999999998</v>
      </c>
      <c r="I32" s="15">
        <f t="shared" si="1"/>
        <v>17.390999999999998</v>
      </c>
      <c r="J32" s="16">
        <f t="shared" si="2"/>
        <v>34.781999999999996</v>
      </c>
    </row>
    <row r="33" spans="1:11" ht="12" hidden="1" customHeight="1" x14ac:dyDescent="0.25">
      <c r="A33" s="10"/>
      <c r="B33" s="5"/>
      <c r="C33" s="11"/>
      <c r="D33" s="11"/>
      <c r="E33" s="5"/>
      <c r="F33" s="5"/>
      <c r="G33" s="5"/>
      <c r="H33" s="15">
        <f t="shared" si="0"/>
        <v>17.390999999999998</v>
      </c>
      <c r="I33" s="15">
        <f t="shared" si="1"/>
        <v>17.390999999999998</v>
      </c>
      <c r="J33" s="16">
        <f t="shared" si="2"/>
        <v>34.781999999999996</v>
      </c>
    </row>
    <row r="34" spans="1:11" ht="12" hidden="1" customHeight="1" x14ac:dyDescent="0.25">
      <c r="A34" s="10"/>
      <c r="B34" s="5"/>
      <c r="C34" s="5"/>
      <c r="D34" s="11"/>
      <c r="E34" s="5"/>
      <c r="F34" s="5"/>
      <c r="G34" s="5"/>
      <c r="H34" s="15">
        <f t="shared" si="0"/>
        <v>17.390999999999998</v>
      </c>
      <c r="I34" s="15">
        <f t="shared" si="1"/>
        <v>17.390999999999998</v>
      </c>
      <c r="J34" s="16">
        <f t="shared" si="2"/>
        <v>34.781999999999996</v>
      </c>
    </row>
    <row r="35" spans="1:11" s="4" customFormat="1" ht="12" hidden="1" customHeight="1" x14ac:dyDescent="0.25">
      <c r="A35" s="10"/>
      <c r="B35" s="5"/>
      <c r="C35" s="11"/>
      <c r="D35" s="11"/>
      <c r="E35" s="5"/>
      <c r="F35" s="5"/>
      <c r="G35" s="5"/>
      <c r="H35" s="15">
        <f t="shared" si="0"/>
        <v>17.390999999999998</v>
      </c>
      <c r="I35" s="15">
        <f t="shared" si="1"/>
        <v>17.390999999999998</v>
      </c>
      <c r="J35" s="16">
        <f t="shared" si="2"/>
        <v>34.781999999999996</v>
      </c>
      <c r="K35" s="17"/>
    </row>
    <row r="36" spans="1:11" s="4" customFormat="1" ht="12" hidden="1" customHeight="1" x14ac:dyDescent="0.25">
      <c r="A36" s="10"/>
      <c r="B36" s="5"/>
      <c r="C36" s="5"/>
      <c r="D36" s="11"/>
      <c r="E36" s="5"/>
      <c r="F36" s="5"/>
      <c r="G36" s="5"/>
      <c r="H36" s="15">
        <f t="shared" si="0"/>
        <v>17.390999999999998</v>
      </c>
      <c r="I36" s="15">
        <f t="shared" si="1"/>
        <v>17.390999999999998</v>
      </c>
      <c r="J36" s="16">
        <f t="shared" si="2"/>
        <v>34.781999999999996</v>
      </c>
      <c r="K36" s="17"/>
    </row>
    <row r="37" spans="1:11" s="4" customFormat="1" ht="12" hidden="1" customHeight="1" x14ac:dyDescent="0.25">
      <c r="A37" s="10"/>
      <c r="B37" s="5"/>
      <c r="C37" s="11"/>
      <c r="D37" s="11"/>
      <c r="E37" s="5"/>
      <c r="F37" s="5"/>
      <c r="G37" s="5"/>
      <c r="H37" s="15">
        <f t="shared" si="0"/>
        <v>17.390999999999998</v>
      </c>
      <c r="I37" s="15">
        <f t="shared" si="1"/>
        <v>17.390999999999998</v>
      </c>
      <c r="J37" s="16">
        <f t="shared" si="2"/>
        <v>34.781999999999996</v>
      </c>
      <c r="K37" s="17"/>
    </row>
    <row r="38" spans="1:11" s="4" customFormat="1" ht="12.75" hidden="1" customHeight="1" x14ac:dyDescent="0.25">
      <c r="A38" s="10"/>
      <c r="B38" s="5"/>
      <c r="C38" s="11"/>
      <c r="D38" s="11"/>
      <c r="E38" s="5"/>
      <c r="F38" s="5"/>
      <c r="G38" s="5"/>
      <c r="H38" s="15">
        <f t="shared" si="0"/>
        <v>17.390999999999998</v>
      </c>
      <c r="I38" s="15">
        <f t="shared" si="1"/>
        <v>17.390999999999998</v>
      </c>
      <c r="J38" s="16">
        <f t="shared" si="2"/>
        <v>34.781999999999996</v>
      </c>
      <c r="K38" s="17"/>
    </row>
    <row r="39" spans="1:11" ht="12" hidden="1" customHeight="1" x14ac:dyDescent="0.25">
      <c r="A39" s="10"/>
      <c r="B39" s="5"/>
      <c r="C39" s="11"/>
      <c r="D39" s="11"/>
      <c r="E39" s="5"/>
      <c r="F39" s="5"/>
      <c r="G39" s="5"/>
      <c r="H39" s="15">
        <f t="shared" si="0"/>
        <v>17.390999999999998</v>
      </c>
      <c r="I39" s="15">
        <f t="shared" si="1"/>
        <v>17.390999999999998</v>
      </c>
      <c r="J39" s="16">
        <f t="shared" si="2"/>
        <v>34.781999999999996</v>
      </c>
    </row>
    <row r="40" spans="1:11" s="4" customFormat="1" ht="12" hidden="1" customHeight="1" x14ac:dyDescent="0.25">
      <c r="A40" s="10"/>
      <c r="B40" s="5"/>
      <c r="C40" s="11"/>
      <c r="D40" s="11"/>
      <c r="E40" s="5"/>
      <c r="F40" s="5"/>
      <c r="G40" s="5"/>
      <c r="H40" s="15">
        <f t="shared" si="0"/>
        <v>17.390999999999998</v>
      </c>
      <c r="I40" s="15">
        <f t="shared" si="1"/>
        <v>17.390999999999998</v>
      </c>
      <c r="J40" s="16">
        <f t="shared" si="2"/>
        <v>34.781999999999996</v>
      </c>
      <c r="K40" s="17"/>
    </row>
    <row r="41" spans="1:11" s="4" customFormat="1" ht="15" hidden="1" customHeight="1" x14ac:dyDescent="0.25">
      <c r="A41" s="10"/>
      <c r="B41" s="5"/>
      <c r="C41" s="11"/>
      <c r="D41" s="11"/>
      <c r="E41" s="5"/>
      <c r="F41" s="5"/>
      <c r="G41" s="5"/>
      <c r="H41" s="15">
        <f t="shared" si="0"/>
        <v>17.390999999999998</v>
      </c>
      <c r="I41" s="15">
        <f t="shared" si="1"/>
        <v>17.390999999999998</v>
      </c>
      <c r="J41" s="16">
        <f t="shared" si="2"/>
        <v>34.781999999999996</v>
      </c>
      <c r="K41" s="17"/>
    </row>
    <row r="42" spans="1:11" s="4" customFormat="1" ht="16.5" hidden="1" customHeight="1" x14ac:dyDescent="0.25">
      <c r="A42" s="10"/>
      <c r="B42" s="5"/>
      <c r="C42" s="11"/>
      <c r="D42" s="11"/>
      <c r="E42" s="5"/>
      <c r="F42" s="5"/>
      <c r="G42" s="5"/>
      <c r="H42" s="15">
        <f t="shared" si="0"/>
        <v>17.390999999999998</v>
      </c>
      <c r="I42" s="15">
        <f t="shared" si="1"/>
        <v>17.390999999999998</v>
      </c>
      <c r="J42" s="16">
        <f t="shared" si="2"/>
        <v>34.781999999999996</v>
      </c>
      <c r="K42" s="17"/>
    </row>
    <row r="43" spans="1:11" s="4" customFormat="1" ht="16.5" hidden="1" customHeight="1" x14ac:dyDescent="0.25">
      <c r="A43" s="10"/>
      <c r="B43" s="5"/>
      <c r="C43" s="11"/>
      <c r="D43" s="11"/>
      <c r="E43" s="5"/>
      <c r="F43" s="5"/>
      <c r="G43" s="5"/>
      <c r="H43" s="15">
        <f t="shared" si="0"/>
        <v>17.390999999999998</v>
      </c>
      <c r="I43" s="15">
        <f t="shared" si="1"/>
        <v>17.390999999999998</v>
      </c>
      <c r="J43" s="16">
        <f t="shared" si="2"/>
        <v>34.781999999999996</v>
      </c>
      <c r="K43" s="17"/>
    </row>
    <row r="44" spans="1:11" hidden="1" x14ac:dyDescent="0.25">
      <c r="A44" s="10"/>
      <c r="B44" s="5"/>
      <c r="C44" s="11"/>
      <c r="D44" s="11"/>
      <c r="E44" s="5"/>
      <c r="F44" s="5"/>
      <c r="G44" s="5"/>
      <c r="H44" s="15">
        <f t="shared" si="0"/>
        <v>17.390999999999998</v>
      </c>
      <c r="I44" s="15">
        <f t="shared" si="1"/>
        <v>17.390999999999998</v>
      </c>
      <c r="J44" s="16">
        <f t="shared" si="2"/>
        <v>34.781999999999996</v>
      </c>
    </row>
    <row r="45" spans="1:11" hidden="1" x14ac:dyDescent="0.25">
      <c r="A45" s="10"/>
      <c r="B45" s="5"/>
      <c r="C45" s="11"/>
      <c r="D45" s="11"/>
      <c r="E45" s="5"/>
      <c r="F45" s="5"/>
      <c r="G45" s="5"/>
      <c r="H45" s="15">
        <f t="shared" si="0"/>
        <v>17.390999999999998</v>
      </c>
      <c r="I45" s="15">
        <f t="shared" si="1"/>
        <v>17.390999999999998</v>
      </c>
      <c r="J45" s="16">
        <f t="shared" si="2"/>
        <v>34.781999999999996</v>
      </c>
    </row>
    <row r="46" spans="1:11" hidden="1" x14ac:dyDescent="0.25">
      <c r="A46" s="56"/>
      <c r="B46" s="57"/>
      <c r="C46" s="58"/>
      <c r="D46" s="58"/>
      <c r="E46" s="57"/>
      <c r="F46" s="57"/>
      <c r="G46" s="57"/>
      <c r="H46" s="59">
        <f t="shared" si="0"/>
        <v>17.390999999999998</v>
      </c>
      <c r="I46" s="59">
        <f t="shared" si="1"/>
        <v>17.390999999999998</v>
      </c>
      <c r="J46" s="60">
        <f t="shared" si="2"/>
        <v>34.781999999999996</v>
      </c>
    </row>
    <row r="47" spans="1:11" ht="27" customHeight="1" thickBot="1" x14ac:dyDescent="0.3">
      <c r="A47" s="63" t="s">
        <v>65</v>
      </c>
      <c r="B47" s="64"/>
      <c r="C47" s="64"/>
      <c r="D47" s="64"/>
      <c r="E47" s="64"/>
      <c r="F47" s="64"/>
      <c r="G47" s="64"/>
      <c r="H47" s="64"/>
      <c r="I47" s="64"/>
      <c r="J47" s="65"/>
    </row>
    <row r="48" spans="1:11" x14ac:dyDescent="0.25">
      <c r="H48" s="19"/>
      <c r="I48" s="19"/>
      <c r="J48" s="19"/>
    </row>
    <row r="52" spans="6:6" x14ac:dyDescent="0.25">
      <c r="F52" s="18" t="s">
        <v>21</v>
      </c>
    </row>
  </sheetData>
  <mergeCells count="15">
    <mergeCell ref="A47:J47"/>
    <mergeCell ref="K11:K12"/>
    <mergeCell ref="A13:J13"/>
    <mergeCell ref="A10:J10"/>
    <mergeCell ref="A11:A12"/>
    <mergeCell ref="B11:C11"/>
    <mergeCell ref="D11:G11"/>
    <mergeCell ref="H11:I11"/>
    <mergeCell ref="J11:J12"/>
    <mergeCell ref="B9:D9"/>
    <mergeCell ref="A2:J2"/>
    <mergeCell ref="A3:J3"/>
    <mergeCell ref="A4:J4"/>
    <mergeCell ref="A5:J5"/>
    <mergeCell ref="B7:D7"/>
  </mergeCells>
  <printOptions horizontalCentered="1"/>
  <pageMargins left="0.25" right="0.25" top="0.25" bottom="0.25" header="0.3" footer="0.3"/>
  <pageSetup paperSize="9" scale="68" fitToHeight="0"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C3521-57E9-4573-BC03-918CCA8BD41A}">
  <sheetPr>
    <pageSetUpPr fitToPage="1"/>
  </sheetPr>
  <dimension ref="A1:L61"/>
  <sheetViews>
    <sheetView view="pageBreakPreview" topLeftCell="A10" zoomScale="118" zoomScaleNormal="29" zoomScaleSheetLayoutView="118" workbookViewId="0">
      <selection activeCell="A20" sqref="A20"/>
    </sheetView>
  </sheetViews>
  <sheetFormatPr defaultRowHeight="15" x14ac:dyDescent="0.25"/>
  <cols>
    <col min="1" max="1" width="38.7109375" style="25" customWidth="1"/>
    <col min="2" max="2" width="8.5703125" style="36" customWidth="1"/>
    <col min="3" max="3" width="7.5703125" style="36" customWidth="1"/>
    <col min="4" max="5" width="7.42578125" style="36" customWidth="1"/>
    <col min="6" max="6" width="7.28515625" style="25" customWidth="1"/>
    <col min="7" max="7" width="6.85546875" style="36" customWidth="1"/>
    <col min="8" max="8" width="8.85546875" style="36" customWidth="1"/>
    <col min="9" max="9" width="10.28515625" style="36" customWidth="1"/>
    <col min="10" max="10" width="9" style="36" customWidth="1"/>
    <col min="11" max="11" width="14.42578125" style="36" customWidth="1"/>
    <col min="12" max="16384" width="9.140625" style="25"/>
  </cols>
  <sheetData>
    <row r="1" spans="1:12" x14ac:dyDescent="0.25">
      <c r="A1" s="94" t="s">
        <v>32</v>
      </c>
      <c r="B1" s="94"/>
      <c r="C1" s="94"/>
      <c r="D1" s="94"/>
      <c r="E1" s="94"/>
      <c r="F1" s="94"/>
      <c r="G1" s="94"/>
      <c r="H1" s="94"/>
      <c r="I1" s="94"/>
      <c r="J1" s="94"/>
      <c r="K1" s="24"/>
    </row>
    <row r="2" spans="1:12" x14ac:dyDescent="0.25">
      <c r="A2" s="94" t="s">
        <v>33</v>
      </c>
      <c r="B2" s="94"/>
      <c r="C2" s="94"/>
      <c r="D2" s="94"/>
      <c r="E2" s="94"/>
      <c r="F2" s="94"/>
      <c r="G2" s="94"/>
      <c r="H2" s="94"/>
      <c r="I2" s="94"/>
      <c r="J2" s="94"/>
      <c r="K2" s="24"/>
    </row>
    <row r="3" spans="1:12" x14ac:dyDescent="0.25">
      <c r="A3" s="94" t="s">
        <v>34</v>
      </c>
      <c r="B3" s="94"/>
      <c r="C3" s="94"/>
      <c r="D3" s="94"/>
      <c r="E3" s="94"/>
      <c r="F3" s="94"/>
      <c r="G3" s="94"/>
      <c r="H3" s="94"/>
      <c r="I3" s="94"/>
      <c r="J3" s="94"/>
      <c r="K3" s="24"/>
    </row>
    <row r="4" spans="1:12" x14ac:dyDescent="0.25">
      <c r="A4" s="24"/>
      <c r="B4" s="24"/>
      <c r="C4" s="24"/>
      <c r="D4" s="24"/>
      <c r="E4" s="24"/>
      <c r="F4" s="24"/>
      <c r="G4" s="24"/>
      <c r="H4" s="24"/>
      <c r="I4" s="24"/>
      <c r="J4" s="24"/>
      <c r="K4" s="24"/>
    </row>
    <row r="5" spans="1:12" ht="8.1" customHeight="1" x14ac:dyDescent="0.25">
      <c r="A5" s="24"/>
      <c r="B5" s="24"/>
      <c r="C5" s="24"/>
      <c r="D5" s="24"/>
      <c r="E5" s="24"/>
      <c r="F5" s="24"/>
      <c r="G5" s="24"/>
      <c r="H5" s="24"/>
      <c r="I5" s="24"/>
      <c r="J5" s="24"/>
      <c r="K5" s="24"/>
      <c r="L5" s="25" t="s">
        <v>35</v>
      </c>
    </row>
    <row r="6" spans="1:12" x14ac:dyDescent="0.25">
      <c r="A6" s="26" t="s">
        <v>61</v>
      </c>
      <c r="B6" s="24"/>
      <c r="C6" s="24"/>
      <c r="D6" s="24"/>
      <c r="E6" s="24"/>
      <c r="F6" s="24"/>
      <c r="G6" s="24"/>
      <c r="H6" s="24"/>
      <c r="I6" s="24"/>
      <c r="J6" s="24"/>
      <c r="K6" s="24"/>
    </row>
    <row r="7" spans="1:12" ht="15.75" thickBot="1" x14ac:dyDescent="0.3">
      <c r="A7" s="26" t="s">
        <v>36</v>
      </c>
      <c r="B7" s="24"/>
      <c r="C7" s="24"/>
      <c r="D7" s="24"/>
      <c r="E7" s="24"/>
      <c r="F7" s="24"/>
      <c r="G7" s="24"/>
      <c r="H7" s="24"/>
      <c r="I7" s="24"/>
      <c r="J7" s="24"/>
      <c r="K7" s="24"/>
    </row>
    <row r="8" spans="1:12" ht="15.95" customHeight="1" x14ac:dyDescent="0.25">
      <c r="A8" s="48"/>
      <c r="B8" s="95" t="s">
        <v>5</v>
      </c>
      <c r="C8" s="95"/>
      <c r="D8" s="96" t="s">
        <v>14</v>
      </c>
      <c r="E8" s="96"/>
      <c r="F8" s="96"/>
      <c r="G8" s="96"/>
      <c r="H8" s="97" t="s">
        <v>15</v>
      </c>
      <c r="I8" s="97"/>
      <c r="J8" s="98" t="s">
        <v>6</v>
      </c>
      <c r="K8" s="87" t="s">
        <v>58</v>
      </c>
    </row>
    <row r="9" spans="1:12" ht="15.95" customHeight="1" x14ac:dyDescent="0.25">
      <c r="A9" s="49"/>
      <c r="B9" s="101" t="s">
        <v>37</v>
      </c>
      <c r="C9" s="101" t="s">
        <v>38</v>
      </c>
      <c r="D9" s="103" t="s">
        <v>39</v>
      </c>
      <c r="E9" s="103"/>
      <c r="F9" s="103" t="s">
        <v>38</v>
      </c>
      <c r="G9" s="103"/>
      <c r="H9" s="101" t="s">
        <v>39</v>
      </c>
      <c r="I9" s="101" t="s">
        <v>38</v>
      </c>
      <c r="J9" s="99"/>
      <c r="K9" s="88"/>
    </row>
    <row r="10" spans="1:12" ht="15.95" customHeight="1" thickBot="1" x14ac:dyDescent="0.3">
      <c r="A10" s="50"/>
      <c r="B10" s="102"/>
      <c r="C10" s="102"/>
      <c r="D10" s="51"/>
      <c r="E10" s="51" t="s">
        <v>40</v>
      </c>
      <c r="F10" s="52"/>
      <c r="G10" s="51" t="s">
        <v>40</v>
      </c>
      <c r="H10" s="102"/>
      <c r="I10" s="102"/>
      <c r="J10" s="100"/>
      <c r="K10" s="89"/>
    </row>
    <row r="11" spans="1:12" ht="27.75" customHeight="1" x14ac:dyDescent="0.25">
      <c r="A11" s="27" t="s">
        <v>50</v>
      </c>
      <c r="B11" s="28"/>
      <c r="C11" s="28"/>
      <c r="D11" s="45"/>
      <c r="E11" s="45"/>
      <c r="F11" s="45"/>
      <c r="G11" s="46"/>
      <c r="H11" s="47">
        <f>B11</f>
        <v>0</v>
      </c>
      <c r="I11" s="47">
        <f>C11</f>
        <v>0</v>
      </c>
      <c r="J11" s="54">
        <f>SUM(H11:I11)</f>
        <v>0</v>
      </c>
      <c r="K11" s="90" t="s">
        <v>59</v>
      </c>
    </row>
    <row r="12" spans="1:12" ht="43.5" customHeight="1" x14ac:dyDescent="0.25">
      <c r="A12" s="43" t="s">
        <v>57</v>
      </c>
      <c r="B12" s="31"/>
      <c r="C12" s="31"/>
      <c r="D12" s="29"/>
      <c r="E12" s="29"/>
      <c r="F12" s="29"/>
      <c r="G12" s="30"/>
      <c r="H12" s="32">
        <f>H11-E12-D12+B12</f>
        <v>0</v>
      </c>
      <c r="I12" s="32">
        <f>I11-G12-F12+C12</f>
        <v>0</v>
      </c>
      <c r="J12" s="55">
        <f t="shared" ref="J12" si="0">SUM(H12:I12)</f>
        <v>0</v>
      </c>
      <c r="K12" s="91"/>
    </row>
    <row r="13" spans="1:12" ht="28.5" customHeight="1" x14ac:dyDescent="0.25">
      <c r="A13" s="33" t="s">
        <v>51</v>
      </c>
      <c r="B13" s="31"/>
      <c r="C13" s="31"/>
      <c r="D13" s="29"/>
      <c r="E13" s="29"/>
      <c r="F13" s="29"/>
      <c r="G13" s="30"/>
      <c r="H13" s="32">
        <f t="shared" ref="H13:H19" si="1">H12-E13-D13+B13</f>
        <v>0</v>
      </c>
      <c r="I13" s="32">
        <f t="shared" ref="I13:I19" si="2">I12-G13-F13+C13</f>
        <v>0</v>
      </c>
      <c r="J13" s="55">
        <f t="shared" ref="J13:J19" si="3">SUM(H13:I13)</f>
        <v>0</v>
      </c>
      <c r="K13" s="91"/>
    </row>
    <row r="14" spans="1:12" ht="26.25" customHeight="1" x14ac:dyDescent="0.25">
      <c r="A14" s="33" t="s">
        <v>52</v>
      </c>
      <c r="B14" s="31"/>
      <c r="C14" s="31"/>
      <c r="D14" s="29"/>
      <c r="E14" s="29"/>
      <c r="F14" s="29"/>
      <c r="G14" s="30"/>
      <c r="H14" s="32">
        <f t="shared" si="1"/>
        <v>0</v>
      </c>
      <c r="I14" s="32">
        <f t="shared" si="2"/>
        <v>0</v>
      </c>
      <c r="J14" s="55">
        <f t="shared" si="3"/>
        <v>0</v>
      </c>
      <c r="K14" s="91"/>
    </row>
    <row r="15" spans="1:12" ht="34.5" customHeight="1" x14ac:dyDescent="0.25">
      <c r="A15" s="33" t="s">
        <v>53</v>
      </c>
      <c r="B15" s="31"/>
      <c r="C15" s="31"/>
      <c r="D15" s="29"/>
      <c r="E15" s="29"/>
      <c r="F15" s="29"/>
      <c r="G15" s="30"/>
      <c r="H15" s="32">
        <f t="shared" si="1"/>
        <v>0</v>
      </c>
      <c r="I15" s="32">
        <f t="shared" si="2"/>
        <v>0</v>
      </c>
      <c r="J15" s="55">
        <f t="shared" si="3"/>
        <v>0</v>
      </c>
      <c r="K15" s="91"/>
    </row>
    <row r="16" spans="1:12" ht="33" customHeight="1" x14ac:dyDescent="0.25">
      <c r="A16" s="33" t="s">
        <v>54</v>
      </c>
      <c r="B16" s="31"/>
      <c r="C16" s="31"/>
      <c r="D16" s="29"/>
      <c r="E16" s="29"/>
      <c r="F16" s="29"/>
      <c r="G16" s="30"/>
      <c r="H16" s="32">
        <f t="shared" si="1"/>
        <v>0</v>
      </c>
      <c r="I16" s="32">
        <f t="shared" si="2"/>
        <v>0</v>
      </c>
      <c r="J16" s="55">
        <f t="shared" si="3"/>
        <v>0</v>
      </c>
      <c r="K16" s="91"/>
    </row>
    <row r="17" spans="1:11" ht="34.5" customHeight="1" x14ac:dyDescent="0.25">
      <c r="A17" s="33" t="s">
        <v>55</v>
      </c>
      <c r="B17" s="31"/>
      <c r="C17" s="31"/>
      <c r="D17" s="29"/>
      <c r="E17" s="29"/>
      <c r="F17" s="29"/>
      <c r="G17" s="30"/>
      <c r="H17" s="32">
        <f t="shared" si="1"/>
        <v>0</v>
      </c>
      <c r="I17" s="32">
        <f t="shared" si="2"/>
        <v>0</v>
      </c>
      <c r="J17" s="55">
        <f t="shared" si="3"/>
        <v>0</v>
      </c>
      <c r="K17" s="91"/>
    </row>
    <row r="18" spans="1:11" ht="39" customHeight="1" x14ac:dyDescent="0.25">
      <c r="A18" s="33" t="s">
        <v>56</v>
      </c>
      <c r="B18" s="31"/>
      <c r="C18" s="31"/>
      <c r="D18" s="29"/>
      <c r="E18" s="29"/>
      <c r="F18" s="29"/>
      <c r="G18" s="30"/>
      <c r="H18" s="32">
        <f t="shared" si="1"/>
        <v>0</v>
      </c>
      <c r="I18" s="32">
        <f t="shared" si="2"/>
        <v>0</v>
      </c>
      <c r="J18" s="55">
        <f t="shared" si="3"/>
        <v>0</v>
      </c>
      <c r="K18" s="91"/>
    </row>
    <row r="19" spans="1:11" ht="39" customHeight="1" thickBot="1" x14ac:dyDescent="0.3">
      <c r="A19" s="43" t="s">
        <v>64</v>
      </c>
      <c r="B19" s="31">
        <v>17.390999999999998</v>
      </c>
      <c r="C19" s="31">
        <v>17.390999999999998</v>
      </c>
      <c r="D19" s="29"/>
      <c r="E19" s="29"/>
      <c r="F19" s="29"/>
      <c r="G19" s="30"/>
      <c r="H19" s="32">
        <f t="shared" si="1"/>
        <v>17.390999999999998</v>
      </c>
      <c r="I19" s="32">
        <f t="shared" si="2"/>
        <v>17.390999999999998</v>
      </c>
      <c r="J19" s="55">
        <f t="shared" si="3"/>
        <v>34.781999999999996</v>
      </c>
      <c r="K19" s="91"/>
    </row>
    <row r="20" spans="1:11" ht="15.95" customHeight="1" thickBot="1" x14ac:dyDescent="0.3">
      <c r="A20" s="34" t="s">
        <v>60</v>
      </c>
      <c r="B20" s="82">
        <f>B19+C19</f>
        <v>34.781999999999996</v>
      </c>
      <c r="C20" s="83"/>
      <c r="D20" s="84">
        <f>SUM(D11:G19)</f>
        <v>0</v>
      </c>
      <c r="E20" s="85"/>
      <c r="F20" s="85"/>
      <c r="G20" s="85"/>
      <c r="H20" s="35">
        <f>SUM(H11:H19)</f>
        <v>17.390999999999998</v>
      </c>
      <c r="I20" s="35">
        <f>SUM(I11:I19)</f>
        <v>17.390999999999998</v>
      </c>
      <c r="J20" s="44">
        <f>H20+I20</f>
        <v>34.781999999999996</v>
      </c>
      <c r="K20" s="53"/>
    </row>
    <row r="21" spans="1:11" ht="14.25" customHeight="1" x14ac:dyDescent="0.25"/>
    <row r="22" spans="1:11" x14ac:dyDescent="0.25">
      <c r="A22" s="25" t="s">
        <v>41</v>
      </c>
      <c r="G22" s="93" t="s">
        <v>42</v>
      </c>
      <c r="H22" s="93"/>
      <c r="I22" s="93"/>
      <c r="J22" s="93"/>
      <c r="K22" s="37"/>
    </row>
    <row r="23" spans="1:11" ht="24.6" customHeight="1" x14ac:dyDescent="0.25"/>
    <row r="24" spans="1:11" x14ac:dyDescent="0.25">
      <c r="H24" s="92" t="s">
        <v>43</v>
      </c>
      <c r="I24" s="92"/>
      <c r="J24" s="92"/>
      <c r="K24" s="38"/>
    </row>
    <row r="25" spans="1:11" x14ac:dyDescent="0.25">
      <c r="A25" s="39" t="s">
        <v>62</v>
      </c>
      <c r="H25" s="86" t="s">
        <v>44</v>
      </c>
      <c r="I25" s="86"/>
      <c r="J25" s="86"/>
      <c r="K25" s="40"/>
    </row>
    <row r="26" spans="1:11" ht="6.95" customHeight="1" x14ac:dyDescent="0.25">
      <c r="H26" s="41"/>
      <c r="I26" s="41"/>
      <c r="J26" s="41"/>
      <c r="K26" s="41"/>
    </row>
    <row r="27" spans="1:11" ht="24" customHeight="1" x14ac:dyDescent="0.25">
      <c r="A27" s="42" t="s">
        <v>63</v>
      </c>
    </row>
    <row r="28" spans="1:11" x14ac:dyDescent="0.25">
      <c r="H28" s="92" t="s">
        <v>45</v>
      </c>
      <c r="I28" s="92"/>
      <c r="J28" s="92"/>
      <c r="K28" s="38"/>
    </row>
    <row r="29" spans="1:11" x14ac:dyDescent="0.25">
      <c r="H29" s="86" t="s">
        <v>46</v>
      </c>
      <c r="I29" s="86"/>
      <c r="J29" s="86"/>
      <c r="K29" s="40"/>
    </row>
    <row r="30" spans="1:11" ht="9" customHeight="1" x14ac:dyDescent="0.25"/>
    <row r="31" spans="1:11" ht="22.5" customHeight="1" x14ac:dyDescent="0.25"/>
    <row r="32" spans="1:11" x14ac:dyDescent="0.25">
      <c r="H32" s="92" t="s">
        <v>47</v>
      </c>
      <c r="I32" s="92"/>
      <c r="J32" s="92"/>
      <c r="K32" s="38"/>
    </row>
    <row r="33" spans="8:11" x14ac:dyDescent="0.25">
      <c r="H33" s="86" t="s">
        <v>48</v>
      </c>
      <c r="I33" s="86"/>
      <c r="J33" s="86"/>
      <c r="K33" s="40"/>
    </row>
    <row r="34" spans="8:11" x14ac:dyDescent="0.25">
      <c r="H34" s="86" t="s">
        <v>49</v>
      </c>
      <c r="I34" s="86"/>
      <c r="J34" s="86"/>
      <c r="K34" s="40"/>
    </row>
    <row r="35" spans="8:11"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t="14.45" hidden="1" customHeight="1" x14ac:dyDescent="0.25"/>
    <row r="61" ht="14.25" customHeight="1" x14ac:dyDescent="0.25"/>
  </sheetData>
  <mergeCells count="25">
    <mergeCell ref="A1:J1"/>
    <mergeCell ref="A2:J2"/>
    <mergeCell ref="A3:J3"/>
    <mergeCell ref="B8:C8"/>
    <mergeCell ref="D8:G8"/>
    <mergeCell ref="H8:I8"/>
    <mergeCell ref="J8:J10"/>
    <mergeCell ref="B9:B10"/>
    <mergeCell ref="C9:C10"/>
    <mergeCell ref="D9:E9"/>
    <mergeCell ref="F9:G9"/>
    <mergeCell ref="H9:H10"/>
    <mergeCell ref="I9:I10"/>
    <mergeCell ref="B20:C20"/>
    <mergeCell ref="D20:G20"/>
    <mergeCell ref="H34:J34"/>
    <mergeCell ref="K8:K10"/>
    <mergeCell ref="K11:K19"/>
    <mergeCell ref="H24:J24"/>
    <mergeCell ref="H25:J25"/>
    <mergeCell ref="H28:J28"/>
    <mergeCell ref="H29:J29"/>
    <mergeCell ref="H32:J32"/>
    <mergeCell ref="H33:J33"/>
    <mergeCell ref="G22:J22"/>
  </mergeCells>
  <printOptions horizontalCentered="1"/>
  <pageMargins left="0.45" right="0.45" top="0.5" bottom="0.5" header="0.3" footer="0.3"/>
  <pageSetup paperSize="9" scale="74" fitToHeight="0" orientation="portrait" horizontalDpi="0" verticalDpi="0" r:id="rId1"/>
  <rowBreaks count="1" manualBreakCount="1">
    <brk id="34" max="10"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Leave Card as TIC</vt:lpstr>
      <vt:lpstr>statement</vt:lpstr>
      <vt:lpstr>'Leave Card as TIC'!Print_Area</vt:lpstr>
      <vt:lpstr>statement!Print_Area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JOCELYN MAMUGAY</cp:lastModifiedBy>
  <cp:lastPrinted>2025-07-01T02:30:38Z</cp:lastPrinted>
  <dcterms:created xsi:type="dcterms:W3CDTF">2022-11-24T07:01:13Z</dcterms:created>
  <dcterms:modified xsi:type="dcterms:W3CDTF">2025-09-30T06:31:29Z</dcterms:modified>
</cp:coreProperties>
</file>