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EFA6005-E65E-49DB-93E8-AB251E36F6E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Leave Card as TIC" sheetId="2" r:id="rId2"/>
  </sheets>
  <definedNames>
    <definedName name="_xlnm.Print_Area" localSheetId="1">'Leave Card as TIC'!$A$1:$J$41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2" l="1"/>
  <c r="H27" i="2" s="1"/>
  <c r="I26" i="2"/>
  <c r="I27" i="2" s="1"/>
  <c r="I28" i="2" s="1"/>
  <c r="I29" i="2" s="1"/>
  <c r="I30" i="2" s="1"/>
  <c r="I31" i="2" s="1"/>
  <c r="J26" i="2"/>
  <c r="I13" i="2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H13" i="2"/>
  <c r="J27" i="2" l="1"/>
  <c r="H28" i="2"/>
  <c r="J13" i="2"/>
  <c r="H14" i="2"/>
  <c r="H29" i="2" l="1"/>
  <c r="J28" i="2"/>
  <c r="H15" i="2"/>
  <c r="J14" i="2"/>
  <c r="J29" i="2" l="1"/>
  <c r="H30" i="2"/>
  <c r="H16" i="2"/>
  <c r="J15" i="2"/>
  <c r="H31" i="2" l="1"/>
  <c r="J31" i="2" s="1"/>
  <c r="J30" i="2"/>
  <c r="H17" i="2"/>
  <c r="H18" i="2" s="1"/>
  <c r="J16" i="2"/>
  <c r="H19" i="2" l="1"/>
  <c r="J18" i="2"/>
  <c r="J17" i="2"/>
  <c r="J19" i="2" l="1"/>
  <c r="H20" i="2"/>
  <c r="J20" i="2" l="1"/>
  <c r="H21" i="2"/>
  <c r="J21" i="2" l="1"/>
  <c r="H22" i="2"/>
  <c r="J22" i="2" l="1"/>
  <c r="H23" i="2"/>
  <c r="J23" i="2" l="1"/>
  <c r="H24" i="2"/>
  <c r="J24" i="2" l="1"/>
  <c r="H25" i="2"/>
  <c r="J25" i="2" l="1"/>
</calcChain>
</file>

<file path=xl/sharedStrings.xml><?xml version="1.0" encoding="utf-8"?>
<sst xmlns="http://schemas.openxmlformats.org/spreadsheetml/2006/main" count="100" uniqueCount="75">
  <si>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</si>
  <si>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</si>
  <si>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</si>
  <si>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</si>
  <si>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</si>
  <si>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</si>
  <si>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</si>
  <si>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</si>
  <si>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</si>
  <si>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</si>
  <si>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</si>
  <si>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</si>
  <si>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</si>
  <si>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</si>
  <si>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</si>
  <si>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</si>
  <si>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</si>
  <si>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MISA, JENELIE</t>
  </si>
  <si>
    <t>SCHOOL/OFFICE : BANAG PS</t>
  </si>
  <si>
    <t>ADD: 10/17/2023</t>
  </si>
  <si>
    <t>S.O. # 116, S. 2023. NLC 2023</t>
  </si>
  <si>
    <t>LESS: 08/05/2024</t>
  </si>
  <si>
    <t>LESS: 08/16/2024</t>
  </si>
  <si>
    <t>LESS: 09/27/2024</t>
  </si>
  <si>
    <t>LESS: 10/11/2024</t>
  </si>
  <si>
    <t>LESS: 10/15/2024</t>
  </si>
  <si>
    <t>LESS: 10/21/2024</t>
  </si>
  <si>
    <t>LESS: 11/28-29/2024</t>
  </si>
  <si>
    <t>VSC</t>
  </si>
  <si>
    <t>LESS: 12/13/2024</t>
  </si>
  <si>
    <t>LESS:01/20/2025</t>
  </si>
  <si>
    <t>LESS:02/17/2025</t>
  </si>
  <si>
    <t>LESS: 03/28/2025</t>
  </si>
  <si>
    <t>LESS: 06/27/2025</t>
  </si>
  <si>
    <t>LESS: 07/25/2025</t>
  </si>
  <si>
    <t>ADD: 09/24/2024</t>
  </si>
  <si>
    <t>S.O. # 029, S. 2024 NLC 2024</t>
  </si>
  <si>
    <t>LESS: 08/05/2025</t>
  </si>
  <si>
    <t>LESS: 08/15/2025</t>
  </si>
  <si>
    <t>NEGROS ISLAND REGION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</si>
  <si>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</si>
  <si>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</si>
  <si>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</si>
  <si>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</si>
  <si>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</si>
  <si>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</si>
  <si>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</si>
  <si>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</si>
  <si>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</si>
  <si>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</si>
  <si>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</si>
  <si>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</si>
  <si>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</si>
  <si>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</si>
  <si>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>LESS: MONETIZATION 2018</t>
  </si>
  <si>
    <t xml:space="preserve">  </t>
  </si>
  <si>
    <t>ADD: 11/7-30/2016</t>
  </si>
  <si>
    <t>ADD: 12/1-31/2016</t>
  </si>
  <si>
    <t>ADD: 01/01/2017-12/31/2017</t>
  </si>
  <si>
    <t>LESS: FL 2017</t>
  </si>
  <si>
    <t>ADD: 01/01/2018-06/30/2018</t>
  </si>
  <si>
    <t>ADD: 07/1/2018-12/31/2018</t>
  </si>
  <si>
    <t>LESS: MONETIZATION (ADDT'L)</t>
  </si>
  <si>
    <t>LESS: FL 2018</t>
  </si>
  <si>
    <t>ADD: 01/01/2019-12/31/2019</t>
  </si>
  <si>
    <t>LESS: MONETIZATION 2019</t>
  </si>
  <si>
    <t>LESS: MONETIZATION 2020</t>
  </si>
  <si>
    <t>LESS: FL 2019</t>
  </si>
  <si>
    <t>LESS: FL 2020</t>
  </si>
  <si>
    <t>ADD: 01/01/2021-04/30/2021</t>
  </si>
  <si>
    <t>ADD: 05/1-16/2021</t>
  </si>
  <si>
    <t>PROMOTED TO TEACHER I EFFECTIVE MAY 17, 2021</t>
  </si>
  <si>
    <t>ADD: 01/01-31/2020</t>
  </si>
  <si>
    <t>LESS: 02/13/2020</t>
  </si>
  <si>
    <t>ADD: 02/1/2020-12/31/2020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</si>
</sst>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1" applyFill="1"/>
    <xf numFmtId="0" fontId="6" fillId="2" borderId="0" xfId="1" applyFill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2" borderId="0" xfId="1" applyFont="1" applyFill="1" applyAlignment="1">
      <alignment vertical="center"/>
    </xf>
    <xf numFmtId="0" fontId="1" fillId="2" borderId="12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12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0" xfId="1"/>
    <xf numFmtId="0" fontId="1" fillId="9" borderId="2" xfId="1" applyFont="1" applyFill="1" applyBorder="1" applyAlignment="1">
      <alignment horizontal="center" vertical="center"/>
    </xf>
    <xf numFmtId="0" fontId="1" fillId="10" borderId="3" xfId="1" applyFont="1" applyFill="1" applyBorder="1" applyAlignment="1">
      <alignment horizontal="center" vertical="center"/>
    </xf>
    <xf numFmtId="0" fontId="1" fillId="10" borderId="4" xfId="1" applyFont="1" applyFill="1" applyBorder="1" applyAlignment="1">
      <alignment horizontal="center" vertical="center"/>
    </xf>
    <xf numFmtId="0" fontId="1" fillId="11" borderId="3" xfId="1" applyFont="1" applyFill="1" applyBorder="1" applyAlignment="1">
      <alignment horizontal="center" vertical="center"/>
    </xf>
    <xf numFmtId="0" fontId="1" fillId="11" borderId="4" xfId="1" applyFont="1" applyFill="1" applyBorder="1" applyAlignment="1">
      <alignment horizontal="center" vertical="center"/>
    </xf>
    <xf numFmtId="0" fontId="1" fillId="11" borderId="13" xfId="1" applyFont="1" applyFill="1" applyBorder="1" applyAlignment="1">
      <alignment horizontal="center" vertical="center"/>
    </xf>
    <xf numFmtId="0" fontId="1" fillId="12" borderId="3" xfId="1" applyFont="1" applyFill="1" applyBorder="1" applyAlignment="1">
      <alignment horizontal="center" vertical="center"/>
    </xf>
    <xf numFmtId="0" fontId="1" fillId="12" borderId="4" xfId="1" applyFont="1" applyFill="1" applyBorder="1" applyAlignment="1">
      <alignment horizontal="center" vertical="center"/>
    </xf>
    <xf numFmtId="0" fontId="1" fillId="9" borderId="5" xfId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1" fillId="9" borderId="14" xfId="1" applyFont="1" applyFill="1" applyBorder="1" applyAlignment="1">
      <alignment horizontal="center" vertical="center"/>
    </xf>
    <xf numFmtId="0" fontId="1" fillId="2" borderId="15" xfId="1" applyFont="1" applyFill="1" applyBorder="1" applyAlignment="1">
      <alignment horizontal="center" vertical="center"/>
    </xf>
    <xf numFmtId="0" fontId="1" fillId="9" borderId="16" xfId="1" applyFont="1" applyFill="1" applyBorder="1" applyAlignment="1">
      <alignment horizontal="center" vertical="center"/>
    </xf>
    <xf numFmtId="0" fontId="6" fillId="2" borderId="17" xfId="1" applyFill="1" applyBorder="1" applyAlignment="1">
      <alignment horizontal="center" vertical="center" wrapText="1"/>
    </xf>
    <xf numFmtId="164" fontId="6" fillId="2" borderId="17" xfId="1" applyNumberFormat="1" applyFill="1" applyBorder="1" applyAlignment="1">
      <alignment horizontal="center" vertical="center"/>
    </xf>
    <xf numFmtId="164" fontId="6" fillId="2" borderId="17" xfId="1" applyNumberFormat="1" applyFill="1" applyBorder="1" applyAlignment="1">
      <alignment horizontal="center" vertical="center" wrapText="1"/>
    </xf>
    <xf numFmtId="0" fontId="6" fillId="2" borderId="17" xfId="1" applyFill="1" applyBorder="1" applyAlignment="1">
      <alignment horizontal="center" vertical="center"/>
    </xf>
    <xf numFmtId="0" fontId="8" fillId="0" borderId="0" xfId="1" applyFont="1"/>
    <xf numFmtId="2" fontId="6" fillId="2" borderId="17" xfId="1" applyNumberFormat="1" applyFill="1" applyBorder="1" applyAlignment="1">
      <alignment horizontal="center" vertical="center"/>
    </xf>
    <xf numFmtId="2" fontId="6" fillId="2" borderId="17" xfId="1" applyNumberFormat="1" applyFill="1" applyBorder="1" applyAlignment="1">
      <alignment horizontal="center" vertical="center" wrapText="1"/>
    </xf>
    <xf numFmtId="0" fontId="6" fillId="0" borderId="17" xfId="1" applyBorder="1" applyAlignment="1">
      <alignment horizontal="center" vertical="center"/>
    </xf>
    <xf numFmtId="164" fontId="9" fillId="13" borderId="17" xfId="1" applyNumberFormat="1" applyFont="1" applyFill="1" applyBorder="1" applyAlignment="1">
      <alignment horizontal="center" vertical="center"/>
    </xf>
    <xf numFmtId="0" fontId="1" fillId="2" borderId="7" xfId="1" applyFont="1" applyFill="1" applyBorder="1" applyAlignment="1">
      <alignment horizontal="center" vertical="center" wrapText="1"/>
    </xf>
    <xf numFmtId="0" fontId="1" fillId="2" borderId="8" xfId="1" applyFont="1" applyFill="1" applyBorder="1" applyAlignment="1">
      <alignment horizontal="center" vertical="center" wrapText="1"/>
    </xf>
    <xf numFmtId="0" fontId="1" fillId="2" borderId="9" xfId="1" applyFont="1" applyFill="1" applyBorder="1" applyAlignment="1">
      <alignment horizontal="center" vertical="center" wrapText="1"/>
    </xf>
    <xf numFmtId="0" fontId="6" fillId="0" borderId="0" xfId="1" applyAlignment="1">
      <alignment horizontal="center"/>
    </xf>
    <xf numFmtId="0" fontId="6" fillId="0" borderId="0" xfId="1" applyAlignment="1">
      <alignment horizontal="center" vertical="center"/>
    </xf>
    <xf numFmtId="164" fontId="6" fillId="2" borderId="0" xfId="1" applyNumberFormat="1" applyFill="1" applyAlignment="1">
      <alignment horizontal="center" vertical="center"/>
    </xf>
    <xf numFmtId="0" fontId="0" fillId="2" borderId="17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5DB67390-135B-4D8B-A84A-EFD63412A4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554525</xdr:colOff>
      <xdr:row>1</xdr:row>
      <xdr:rowOff>66870</xdr:rowOff>
    </xdr:from>
    <xdr:to>
      <xdr:col>4</xdr:col>
      <xdr:colOff>523875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CE897-38A5-46C3-8745-36BEF279426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93025" y="257370"/>
          <a:ext cx="57895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400050</xdr:colOff>
      <xdr:row>35</xdr:row>
      <xdr:rowOff>152400</xdr:rowOff>
    </xdr:from>
    <xdr:to>
      <xdr:col>12</xdr:col>
      <xdr:colOff>304800</xdr:colOff>
      <xdr:row>54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362D78-4DDD-45D8-9326-900582DA877E}"/>
            </a:ext>
          </a:extLst>
        </xdr:cNvPr>
        <xdr:cNvSpPr txBox="1"/>
      </xdr:nvSpPr>
      <xdr:spPr>
        <a:xfrm>
          <a:off x="5534025" y="5772150"/>
          <a:ext cx="3076575" cy="3495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219075</xdr:rowOff>
    </xdr:from>
    <xdr:to>
      <xdr:col>1</xdr:col>
      <xdr:colOff>28575</xdr:colOff>
      <xdr:row>13</xdr:row>
      <xdr:rowOff>219075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9C05F8C-445F-416B-90C4-D46ADE682CC5}"/>
            </a:ext>
          </a:extLst>
        </xdr:cNvPr>
        <xdr:cNvCxnSpPr/>
      </xdr:nvCxnSpPr>
      <xdr:spPr>
        <a:xfrm>
          <a:off x="752475" y="26955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413348</xdr:colOff>
      <xdr:row>0</xdr:row>
      <xdr:rowOff>89858</xdr:rowOff>
    </xdr:from>
    <xdr:to>
      <xdr:col>4</xdr:col>
      <xdr:colOff>224646</xdr:colOff>
      <xdr:row>0</xdr:row>
      <xdr:rowOff>655967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A35CC-447D-467F-8839-26048F1E017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2848" y="89858"/>
          <a:ext cx="582823" cy="5661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BB1690-5721-4B9D-A313-8AEAC1BFF084}"/>
            </a:ext>
          </a:extLst>
        </xdr:cNvPr>
        <xdr:cNvSpPr txBox="1"/>
      </xdr:nvSpPr>
      <xdr:spPr>
        <a:xfrm>
          <a:off x="573942" y="1371111"/>
          <a:ext cx="150397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JENELIE T. MISA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7FA385C-ABF4-407B-8564-D39692FDFCBA}"/>
            </a:ext>
          </a:extLst>
        </xdr:cNvPr>
        <xdr:cNvSpPr txBox="1"/>
      </xdr:nvSpPr>
      <xdr:spPr>
        <a:xfrm>
          <a:off x="616683" y="1718407"/>
          <a:ext cx="145634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ADAS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38CD6C-0FD8-4865-A210-7697CD245289}"/>
            </a:ext>
          </a:extLst>
        </xdr:cNvPr>
        <xdr:cNvSpPr txBox="1"/>
      </xdr:nvSpPr>
      <xdr:spPr>
        <a:xfrm>
          <a:off x="3263168" y="1700091"/>
          <a:ext cx="1899382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NABULAO NHS</a:t>
          </a:r>
        </a:p>
      </xdr:txBody>
    </xdr:sp>
    <xdr:clientData/>
  </xdr:twoCellAnchor>
  <xdr:twoCellAnchor>
    <xdr:from>
      <xdr:col>5</xdr:col>
      <xdr:colOff>347452</xdr:colOff>
      <xdr:row>34</xdr:row>
      <xdr:rowOff>71886</xdr:rowOff>
    </xdr:from>
    <xdr:to>
      <xdr:col>9</xdr:col>
      <xdr:colOff>672043</xdr:colOff>
      <xdr:row>40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903924-619A-42F2-912F-8B08FA726027}"/>
            </a:ext>
          </a:extLst>
        </xdr:cNvPr>
        <xdr:cNvSpPr txBox="1"/>
      </xdr:nvSpPr>
      <xdr:spPr>
        <a:xfrm>
          <a:off x="5510002" y="5339211"/>
          <a:ext cx="3410691" cy="10711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opLeftCell="A5" workbookViewId="0">
      <selection activeCell="L34" sqref="L34"/>
    </sheetView>
  </sheetViews>
  <sheetFormatPr defaultRowHeight="15" x14ac:dyDescent="0.25"/>
  <cols>
    <col min="1" max="1" width="29.85546875" customWidth="1"/>
    <col min="2" max="2" width="9.42578125" style="10" customWidth="1"/>
    <col min="3" max="3" width="9.28515625" style="11" customWidth="1"/>
    <col min="5" max="5" width="8.42578125" style="10" customWidth="1"/>
    <col min="6" max="6" width="10.85546875" style="12" customWidth="1"/>
    <col min="7" max="7" width="7" style="13" customWidth="1"/>
    <col min="8" max="8" width="10.85546875" customWidth="1"/>
    <col min="9" max="9" width="6.5703125" style="10" customWidth="1"/>
    <col min="10" max="10" width="10" style="12" customWidth="1"/>
    <col min="11" max="11" width="5.5703125" style="13" customWidth="1"/>
    <col min="12" max="12" width="7.5703125" customWidth="1"/>
  </cols>
  <sheetData>
    <row r="1" spans="1:12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</row>
    <row r="6" spans="1:12" x14ac:dyDescent="0.25">
      <c r="A6" s="33" t="s">
        <v>0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2" x14ac:dyDescent="0.25">
      <c r="A7" s="33" t="s">
        <v>1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 x14ac:dyDescent="0.25">
      <c r="A8" s="33" t="s">
        <v>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2" x14ac:dyDescent="0.25">
      <c r="A9" s="33" t="s">
        <v>3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</row>
    <row r="10" spans="1:12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</row>
    <row r="12" spans="1:12" x14ac:dyDescent="0.25">
      <c r="A12" s="5" t="s">
        <v>17</v>
      </c>
      <c r="B12" s="5"/>
      <c r="C12" s="21" t="s">
        <v>4</v>
      </c>
      <c r="D12" s="21"/>
      <c r="E12" s="21"/>
      <c r="F12" s="21"/>
      <c r="G12" s="21"/>
      <c r="H12" s="1"/>
      <c r="I12" s="21" t="s">
        <v>5</v>
      </c>
      <c r="J12" s="21"/>
      <c r="K12" s="21"/>
      <c r="L12" s="5"/>
    </row>
    <row r="13" spans="1:12" x14ac:dyDescent="0.25">
      <c r="A13" s="1"/>
      <c r="B13" s="6"/>
      <c r="C13" s="21" t="s">
        <v>18</v>
      </c>
      <c r="D13" s="21"/>
      <c r="E13" s="21"/>
      <c r="F13" s="21"/>
      <c r="G13" s="21"/>
      <c r="H13" s="1"/>
      <c r="I13" s="22" t="s">
        <v>6</v>
      </c>
      <c r="J13" s="22"/>
      <c r="K13" s="22"/>
      <c r="L13" s="6"/>
    </row>
    <row r="14" spans="1:12" ht="19.5" customHeight="1" x14ac:dyDescent="0.25">
      <c r="A14" s="5" t="s">
        <v>7</v>
      </c>
      <c r="B14" s="5"/>
      <c r="C14" s="7"/>
      <c r="D14" s="6"/>
      <c r="E14" s="6"/>
      <c r="F14" s="1"/>
      <c r="G14" s="1"/>
      <c r="H14" s="1"/>
      <c r="I14" s="21" t="s">
        <v>8</v>
      </c>
      <c r="J14" s="21"/>
      <c r="K14" s="21"/>
      <c r="L14" s="5"/>
    </row>
    <row r="15" spans="1:12" ht="21.75" thickBot="1" x14ac:dyDescent="0.3">
      <c r="A15" s="23" t="s">
        <v>28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 x14ac:dyDescent="0.25">
      <c r="A16" s="24" t="s">
        <v>9</v>
      </c>
      <c r="B16" s="26" t="s">
        <v>10</v>
      </c>
      <c r="C16" s="27"/>
      <c r="D16" s="27"/>
      <c r="E16" s="27"/>
      <c r="F16" s="27"/>
      <c r="G16" s="27"/>
      <c r="H16" s="27"/>
      <c r="I16" s="27"/>
      <c r="J16" s="27"/>
      <c r="K16" s="27"/>
      <c r="L16" s="28" t="s">
        <v>11</v>
      </c>
    </row>
    <row r="17" spans="1:12" x14ac:dyDescent="0.25">
      <c r="A17" s="25"/>
      <c r="B17" s="30" t="s">
        <v>12</v>
      </c>
      <c r="C17" s="31"/>
      <c r="D17" s="31"/>
      <c r="E17" s="32"/>
      <c r="F17" s="30" t="s">
        <v>13</v>
      </c>
      <c r="G17" s="32"/>
      <c r="H17" s="30" t="s">
        <v>14</v>
      </c>
      <c r="I17" s="32"/>
      <c r="J17" s="30" t="s">
        <v>15</v>
      </c>
      <c r="K17" s="32"/>
      <c r="L17" s="29"/>
    </row>
    <row r="18" spans="1:12" ht="30.75" customHeight="1" x14ac:dyDescent="0.25">
      <c r="A18" s="8" t="s">
        <v>19</v>
      </c>
      <c r="B18" s="16" t="s">
        <v>20</v>
      </c>
      <c r="C18" s="17"/>
      <c r="D18" s="17"/>
      <c r="E18" s="18"/>
      <c r="F18" s="16">
        <v>15</v>
      </c>
      <c r="G18" s="18"/>
      <c r="H18" s="16">
        <v>0</v>
      </c>
      <c r="I18" s="18"/>
      <c r="J18" s="16">
        <v>15</v>
      </c>
      <c r="K18" s="18"/>
      <c r="L18" s="9">
        <v>15</v>
      </c>
    </row>
    <row r="19" spans="1:12" ht="28.5" customHeight="1" x14ac:dyDescent="0.25">
      <c r="A19" s="14" t="s">
        <v>21</v>
      </c>
      <c r="B19" s="16" t="s">
        <v>20</v>
      </c>
      <c r="C19" s="17"/>
      <c r="D19" s="17"/>
      <c r="E19" s="18"/>
      <c r="F19" s="19"/>
      <c r="G19" s="20"/>
      <c r="H19" s="19">
        <v>1</v>
      </c>
      <c r="I19" s="20"/>
      <c r="J19" s="19">
        <v>14</v>
      </c>
      <c r="K19" s="20"/>
      <c r="L19" s="15">
        <v>14</v>
      </c>
    </row>
    <row r="20" spans="1:12" ht="23.25" customHeight="1" x14ac:dyDescent="0.25">
      <c r="A20" s="14" t="s">
        <v>22</v>
      </c>
      <c r="B20" s="16" t="s">
        <v>20</v>
      </c>
      <c r="C20" s="17"/>
      <c r="D20" s="17"/>
      <c r="E20" s="18"/>
      <c r="F20" s="19"/>
      <c r="G20" s="20"/>
      <c r="H20" s="19">
        <v>1</v>
      </c>
      <c r="I20" s="20"/>
      <c r="J20" s="19">
        <v>13</v>
      </c>
      <c r="K20" s="20"/>
      <c r="L20" s="15">
        <v>13</v>
      </c>
    </row>
    <row r="21" spans="1:12" ht="24" customHeight="1" x14ac:dyDescent="0.25">
      <c r="A21" s="14" t="s">
        <v>23</v>
      </c>
      <c r="B21" s="16" t="s">
        <v>20</v>
      </c>
      <c r="C21" s="17"/>
      <c r="D21" s="17"/>
      <c r="E21" s="18"/>
      <c r="F21" s="19"/>
      <c r="G21" s="20"/>
      <c r="H21" s="19">
        <v>1</v>
      </c>
      <c r="I21" s="20"/>
      <c r="J21" s="19">
        <v>12</v>
      </c>
      <c r="K21" s="20"/>
      <c r="L21" s="15">
        <v>12</v>
      </c>
    </row>
    <row r="22" spans="1:12" ht="24" customHeight="1" x14ac:dyDescent="0.25">
      <c r="A22" s="14" t="s">
        <v>24</v>
      </c>
      <c r="B22" s="16" t="s">
        <v>20</v>
      </c>
      <c r="C22" s="17"/>
      <c r="D22" s="17"/>
      <c r="E22" s="18"/>
      <c r="F22" s="19"/>
      <c r="G22" s="20"/>
      <c r="H22" s="19">
        <v>1</v>
      </c>
      <c r="I22" s="20"/>
      <c r="J22" s="19">
        <v>11</v>
      </c>
      <c r="K22" s="20"/>
      <c r="L22" s="15">
        <v>11</v>
      </c>
    </row>
    <row r="23" spans="1:12" ht="24" customHeight="1" x14ac:dyDescent="0.25">
      <c r="A23" s="14" t="s">
        <v>25</v>
      </c>
      <c r="B23" s="16" t="s">
        <v>20</v>
      </c>
      <c r="C23" s="17"/>
      <c r="D23" s="17"/>
      <c r="E23" s="18"/>
      <c r="F23" s="19"/>
      <c r="G23" s="20"/>
      <c r="H23" s="19">
        <v>1</v>
      </c>
      <c r="I23" s="20"/>
      <c r="J23" s="19">
        <v>10</v>
      </c>
      <c r="K23" s="20"/>
      <c r="L23" s="15">
        <v>10</v>
      </c>
    </row>
    <row r="24" spans="1:12" ht="24" customHeight="1" x14ac:dyDescent="0.25">
      <c r="A24" s="14" t="s">
        <v>26</v>
      </c>
      <c r="B24" s="16" t="s">
        <v>20</v>
      </c>
      <c r="C24" s="17"/>
      <c r="D24" s="17"/>
      <c r="E24" s="18"/>
      <c r="F24" s="19"/>
      <c r="G24" s="20"/>
      <c r="H24" s="19">
        <v>1</v>
      </c>
      <c r="I24" s="20"/>
      <c r="J24" s="19">
        <v>9</v>
      </c>
      <c r="K24" s="20"/>
      <c r="L24" s="15">
        <v>9</v>
      </c>
    </row>
    <row r="25" spans="1:12" ht="24" customHeight="1" x14ac:dyDescent="0.25">
      <c r="A25" s="14" t="s">
        <v>27</v>
      </c>
      <c r="B25" s="16" t="s">
        <v>20</v>
      </c>
      <c r="C25" s="17"/>
      <c r="D25" s="17"/>
      <c r="E25" s="18"/>
      <c r="F25" s="19"/>
      <c r="G25" s="20"/>
      <c r="H25" s="19">
        <v>2</v>
      </c>
      <c r="I25" s="20"/>
      <c r="J25" s="19">
        <v>7</v>
      </c>
      <c r="K25" s="20"/>
      <c r="L25" s="15">
        <v>7</v>
      </c>
    </row>
    <row r="26" spans="1:12" ht="24" customHeight="1" x14ac:dyDescent="0.25">
      <c r="A26" s="14" t="s">
        <v>29</v>
      </c>
      <c r="B26" s="16" t="s">
        <v>20</v>
      </c>
      <c r="C26" s="17"/>
      <c r="D26" s="17"/>
      <c r="E26" s="18"/>
      <c r="F26" s="19"/>
      <c r="G26" s="20"/>
      <c r="H26" s="19">
        <v>1</v>
      </c>
      <c r="I26" s="20"/>
      <c r="J26" s="19">
        <v>6</v>
      </c>
      <c r="K26" s="20"/>
      <c r="L26" s="15">
        <v>6</v>
      </c>
    </row>
    <row r="27" spans="1:12" ht="24" customHeight="1" x14ac:dyDescent="0.25">
      <c r="A27" s="14" t="s">
        <v>30</v>
      </c>
      <c r="B27" s="16" t="s">
        <v>20</v>
      </c>
      <c r="C27" s="17"/>
      <c r="D27" s="17"/>
      <c r="E27" s="18"/>
      <c r="F27" s="19"/>
      <c r="G27" s="20"/>
      <c r="H27" s="19">
        <v>1</v>
      </c>
      <c r="I27" s="20"/>
      <c r="J27" s="19">
        <v>5</v>
      </c>
      <c r="K27" s="20"/>
      <c r="L27" s="15">
        <v>5</v>
      </c>
    </row>
    <row r="28" spans="1:12" ht="24" customHeight="1" x14ac:dyDescent="0.25">
      <c r="A28" s="14" t="s">
        <v>31</v>
      </c>
      <c r="B28" s="16" t="s">
        <v>20</v>
      </c>
      <c r="C28" s="17"/>
      <c r="D28" s="17"/>
      <c r="E28" s="18"/>
      <c r="F28" s="19"/>
      <c r="G28" s="20"/>
      <c r="H28" s="19">
        <v>1</v>
      </c>
      <c r="I28" s="20"/>
      <c r="J28" s="19">
        <v>4</v>
      </c>
      <c r="K28" s="20"/>
      <c r="L28" s="15">
        <v>4</v>
      </c>
    </row>
    <row r="29" spans="1:12" ht="24" customHeight="1" x14ac:dyDescent="0.25">
      <c r="A29" s="14" t="s">
        <v>32</v>
      </c>
      <c r="B29" s="16" t="s">
        <v>20</v>
      </c>
      <c r="C29" s="17"/>
      <c r="D29" s="17"/>
      <c r="E29" s="18"/>
      <c r="F29" s="19"/>
      <c r="G29" s="20"/>
      <c r="H29" s="19">
        <v>1</v>
      </c>
      <c r="I29" s="20"/>
      <c r="J29" s="19">
        <v>3</v>
      </c>
      <c r="K29" s="20"/>
      <c r="L29" s="15">
        <v>3</v>
      </c>
    </row>
    <row r="30" spans="1:12" ht="24" customHeight="1" x14ac:dyDescent="0.25">
      <c r="A30" s="14" t="s">
        <v>33</v>
      </c>
      <c r="B30" s="16" t="s">
        <v>20</v>
      </c>
      <c r="C30" s="17"/>
      <c r="D30" s="17"/>
      <c r="E30" s="18"/>
      <c r="F30" s="19"/>
      <c r="G30" s="20"/>
      <c r="H30" s="19">
        <v>1</v>
      </c>
      <c r="I30" s="20"/>
      <c r="J30" s="19">
        <v>2</v>
      </c>
      <c r="K30" s="20"/>
      <c r="L30" s="15">
        <v>2</v>
      </c>
    </row>
    <row r="31" spans="1:12" ht="24" customHeight="1" x14ac:dyDescent="0.25">
      <c r="A31" s="14" t="s">
        <v>34</v>
      </c>
      <c r="B31" s="16" t="s">
        <v>20</v>
      </c>
      <c r="C31" s="17"/>
      <c r="D31" s="17"/>
      <c r="E31" s="18"/>
      <c r="F31" s="19"/>
      <c r="G31" s="20"/>
      <c r="H31" s="19">
        <v>1</v>
      </c>
      <c r="I31" s="20"/>
      <c r="J31" s="19">
        <v>1</v>
      </c>
      <c r="K31" s="20"/>
      <c r="L31" s="15">
        <v>1</v>
      </c>
    </row>
    <row r="32" spans="1:12" ht="30.75" customHeight="1" x14ac:dyDescent="0.25">
      <c r="A32" s="8" t="s">
        <v>35</v>
      </c>
      <c r="B32" s="16" t="s">
        <v>36</v>
      </c>
      <c r="C32" s="17"/>
      <c r="D32" s="17"/>
      <c r="E32" s="18"/>
      <c r="F32" s="16">
        <v>13</v>
      </c>
      <c r="G32" s="18"/>
      <c r="H32" s="16">
        <v>0</v>
      </c>
      <c r="I32" s="18"/>
      <c r="J32" s="16">
        <v>13</v>
      </c>
      <c r="K32" s="18"/>
      <c r="L32" s="9">
        <v>13</v>
      </c>
    </row>
    <row r="33" spans="1:12" ht="28.5" customHeight="1" x14ac:dyDescent="0.25">
      <c r="A33" s="14" t="s">
        <v>37</v>
      </c>
      <c r="B33" s="16" t="s">
        <v>36</v>
      </c>
      <c r="C33" s="17"/>
      <c r="D33" s="17"/>
      <c r="E33" s="18"/>
      <c r="F33" s="19"/>
      <c r="G33" s="20"/>
      <c r="H33" s="19">
        <v>1</v>
      </c>
      <c r="I33" s="20"/>
      <c r="J33" s="19">
        <v>12</v>
      </c>
      <c r="K33" s="20"/>
      <c r="L33" s="15">
        <v>12</v>
      </c>
    </row>
    <row r="34" spans="1:12" ht="28.5" customHeight="1" x14ac:dyDescent="0.25">
      <c r="A34" s="14" t="s">
        <v>38</v>
      </c>
      <c r="B34" s="16" t="s">
        <v>36</v>
      </c>
      <c r="C34" s="17"/>
      <c r="D34" s="17"/>
      <c r="E34" s="18"/>
      <c r="F34" s="19"/>
      <c r="G34" s="20"/>
      <c r="H34" s="19">
        <v>1</v>
      </c>
      <c r="I34" s="20"/>
      <c r="J34" s="19">
        <v>11</v>
      </c>
      <c r="K34" s="20"/>
      <c r="L34" s="15">
        <v>11</v>
      </c>
    </row>
    <row r="35" spans="1:12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50" spans="7:7" x14ac:dyDescent="0.25">
      <c r="G50" s="13" t="s">
        <v>16</v>
      </c>
    </row>
  </sheetData>
  <mergeCells count="85">
    <mergeCell ref="F23:G23"/>
    <mergeCell ref="H23:I23"/>
    <mergeCell ref="J23:K23"/>
    <mergeCell ref="B27:E27"/>
    <mergeCell ref="F27:G27"/>
    <mergeCell ref="H27:I27"/>
    <mergeCell ref="J27:K27"/>
    <mergeCell ref="J25:K25"/>
    <mergeCell ref="B26:E26"/>
    <mergeCell ref="F26:G26"/>
    <mergeCell ref="H26:I26"/>
    <mergeCell ref="J26:K26"/>
    <mergeCell ref="B25:E25"/>
    <mergeCell ref="F25:G25"/>
    <mergeCell ref="H25:I25"/>
    <mergeCell ref="J24:K24"/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J17:K17"/>
    <mergeCell ref="F18:G18"/>
    <mergeCell ref="H18:I18"/>
    <mergeCell ref="J18:K18"/>
    <mergeCell ref="B19:E19"/>
    <mergeCell ref="F19:G19"/>
    <mergeCell ref="H19:I19"/>
    <mergeCell ref="J19:K19"/>
    <mergeCell ref="B18:E18"/>
    <mergeCell ref="B20:E20"/>
    <mergeCell ref="F20:G20"/>
    <mergeCell ref="H20:I20"/>
    <mergeCell ref="J20:K20"/>
    <mergeCell ref="B24:E24"/>
    <mergeCell ref="B21:E21"/>
    <mergeCell ref="F21:G21"/>
    <mergeCell ref="H21:I21"/>
    <mergeCell ref="J21:K21"/>
    <mergeCell ref="F24:G24"/>
    <mergeCell ref="B22:E22"/>
    <mergeCell ref="H24:I24"/>
    <mergeCell ref="F22:G22"/>
    <mergeCell ref="H22:I22"/>
    <mergeCell ref="J22:K22"/>
    <mergeCell ref="B23:E23"/>
    <mergeCell ref="B30:E30"/>
    <mergeCell ref="F30:G30"/>
    <mergeCell ref="H30:I30"/>
    <mergeCell ref="J30:K30"/>
    <mergeCell ref="B28:E28"/>
    <mergeCell ref="F28:G28"/>
    <mergeCell ref="H28:I28"/>
    <mergeCell ref="J28:K28"/>
    <mergeCell ref="B29:E29"/>
    <mergeCell ref="F29:G29"/>
    <mergeCell ref="H29:I29"/>
    <mergeCell ref="J29:K29"/>
    <mergeCell ref="B34:E34"/>
    <mergeCell ref="F34:G34"/>
    <mergeCell ref="H34:I34"/>
    <mergeCell ref="J34:K34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</mergeCells>
  <phoneticPr fontId="5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186B-D33B-437D-973E-77C00E2C3746}">
  <dimension ref="A1:K39"/>
  <sheetViews>
    <sheetView tabSelected="1" view="pageBreakPreview" topLeftCell="A13" zoomScale="106" zoomScaleNormal="100" zoomScaleSheetLayoutView="106" workbookViewId="0">
      <selection activeCell="L27" sqref="L27"/>
    </sheetView>
  </sheetViews>
  <sheetFormatPr defaultRowHeight="15" x14ac:dyDescent="0.25"/>
  <cols>
    <col min="1" max="1" width="31.140625" style="42" customWidth="1"/>
    <col min="2" max="5" width="11.5703125" style="42" customWidth="1"/>
    <col min="6" max="7" width="11.5703125" style="69" customWidth="1"/>
    <col min="8" max="10" width="11.5703125" style="42" customWidth="1"/>
    <col min="11" max="11" width="26.42578125" style="60" customWidth="1"/>
    <col min="12" max="16384" width="9.140625" style="42"/>
  </cols>
  <sheetData>
    <row r="1" spans="1:11" s="34" customFormat="1" ht="52.5" customHeight="1" x14ac:dyDescent="0.25"/>
    <row r="2" spans="1:11" s="34" customFormat="1" ht="10.5" customHeight="1" x14ac:dyDescent="0.25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</row>
    <row r="3" spans="1:11" s="34" customFormat="1" ht="15.95" customHeight="1" x14ac:dyDescent="0.25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</row>
    <row r="4" spans="1:11" s="34" customFormat="1" ht="15.95" customHeight="1" x14ac:dyDescent="0.25">
      <c r="A4" s="35" t="s">
        <v>39</v>
      </c>
      <c r="B4" s="35"/>
      <c r="C4" s="35"/>
      <c r="D4" s="35"/>
      <c r="E4" s="35"/>
      <c r="F4" s="35"/>
      <c r="G4" s="35"/>
      <c r="H4" s="35"/>
      <c r="I4" s="35"/>
      <c r="J4" s="35"/>
    </row>
    <row r="5" spans="1:11" s="34" customFormat="1" ht="15.95" customHeight="1" x14ac:dyDescent="0.25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</row>
    <row r="6" spans="1:11" s="34" customFormat="1" ht="8.25" customHeight="1" x14ac:dyDescent="0.25"/>
    <row r="7" spans="1:11" s="34" customFormat="1" ht="12" customHeight="1" x14ac:dyDescent="0.25">
      <c r="A7" s="34" t="s">
        <v>40</v>
      </c>
      <c r="B7" s="36" t="s">
        <v>41</v>
      </c>
      <c r="C7" s="36"/>
      <c r="D7" s="36"/>
      <c r="H7" s="37" t="s">
        <v>42</v>
      </c>
      <c r="I7" s="38"/>
      <c r="J7" s="37"/>
    </row>
    <row r="8" spans="1:11" s="34" customFormat="1" ht="12" customHeight="1" x14ac:dyDescent="0.25">
      <c r="B8" s="39"/>
      <c r="C8" s="39"/>
      <c r="H8" s="39"/>
      <c r="I8" s="39"/>
      <c r="J8" s="39"/>
    </row>
    <row r="9" spans="1:11" s="34" customFormat="1" ht="12" customHeight="1" x14ac:dyDescent="0.25">
      <c r="A9" s="34" t="s">
        <v>43</v>
      </c>
      <c r="B9" s="36" t="s">
        <v>44</v>
      </c>
      <c r="C9" s="36"/>
      <c r="D9" s="36"/>
      <c r="H9" s="37" t="s">
        <v>45</v>
      </c>
      <c r="I9" s="40"/>
      <c r="J9" s="37"/>
    </row>
    <row r="10" spans="1:11" ht="23.25" customHeight="1" thickBot="1" x14ac:dyDescent="0.3">
      <c r="A10" s="41" t="s">
        <v>46</v>
      </c>
      <c r="B10" s="41"/>
      <c r="C10" s="41"/>
      <c r="D10" s="41"/>
      <c r="E10" s="41"/>
      <c r="F10" s="41"/>
      <c r="G10" s="41"/>
      <c r="H10" s="41"/>
      <c r="I10" s="41"/>
      <c r="J10" s="41"/>
      <c r="K10" s="42"/>
    </row>
    <row r="11" spans="1:11" ht="18.75" customHeight="1" x14ac:dyDescent="0.25">
      <c r="A11" s="43" t="s">
        <v>9</v>
      </c>
      <c r="B11" s="44" t="s">
        <v>10</v>
      </c>
      <c r="C11" s="45"/>
      <c r="D11" s="46" t="s">
        <v>47</v>
      </c>
      <c r="E11" s="47"/>
      <c r="F11" s="47"/>
      <c r="G11" s="48"/>
      <c r="H11" s="49" t="s">
        <v>48</v>
      </c>
      <c r="I11" s="50"/>
      <c r="J11" s="51" t="s">
        <v>11</v>
      </c>
      <c r="K11" s="52" t="s">
        <v>49</v>
      </c>
    </row>
    <row r="12" spans="1:11" x14ac:dyDescent="0.25">
      <c r="A12" s="53"/>
      <c r="B12" s="54" t="s">
        <v>50</v>
      </c>
      <c r="C12" s="54" t="s">
        <v>51</v>
      </c>
      <c r="D12" s="54" t="s">
        <v>50</v>
      </c>
      <c r="E12" s="54" t="s">
        <v>51</v>
      </c>
      <c r="F12" s="54" t="s">
        <v>52</v>
      </c>
      <c r="G12" s="54" t="s">
        <v>53</v>
      </c>
      <c r="H12" s="54" t="s">
        <v>50</v>
      </c>
      <c r="I12" s="54" t="s">
        <v>51</v>
      </c>
      <c r="J12" s="55"/>
      <c r="K12" s="52"/>
    </row>
    <row r="13" spans="1:11" ht="28.5" customHeight="1" x14ac:dyDescent="0.25">
      <c r="A13" s="71" t="s">
        <v>56</v>
      </c>
      <c r="B13" s="57">
        <v>1</v>
      </c>
      <c r="C13" s="58">
        <v>1</v>
      </c>
      <c r="D13" s="56"/>
      <c r="E13" s="59"/>
      <c r="F13" s="59"/>
      <c r="G13" s="59"/>
      <c r="H13" s="57">
        <f>B13</f>
        <v>1</v>
      </c>
      <c r="I13" s="57">
        <f>C13</f>
        <v>1</v>
      </c>
      <c r="J13" s="57">
        <f>SUM(H13:I13)</f>
        <v>2</v>
      </c>
    </row>
    <row r="14" spans="1:11" ht="17.25" customHeight="1" x14ac:dyDescent="0.25">
      <c r="A14" s="71" t="s">
        <v>57</v>
      </c>
      <c r="B14" s="61">
        <v>1.25</v>
      </c>
      <c r="C14" s="62">
        <v>1.25</v>
      </c>
      <c r="D14" s="56"/>
      <c r="E14" s="59"/>
      <c r="F14" s="59"/>
      <c r="G14" s="59"/>
      <c r="H14" s="57">
        <f>H13-F14-D14+B14</f>
        <v>2.25</v>
      </c>
      <c r="I14" s="57">
        <f>I13-E14+C14</f>
        <v>2.25</v>
      </c>
      <c r="J14" s="57">
        <f>SUM(H14:I14)</f>
        <v>4.5</v>
      </c>
    </row>
    <row r="15" spans="1:11" ht="17.25" customHeight="1" x14ac:dyDescent="0.25">
      <c r="A15" s="71" t="s">
        <v>58</v>
      </c>
      <c r="B15" s="61">
        <v>15</v>
      </c>
      <c r="C15" s="62">
        <v>15</v>
      </c>
      <c r="D15" s="56"/>
      <c r="E15" s="59"/>
      <c r="F15" s="59"/>
      <c r="G15" s="59"/>
      <c r="H15" s="57">
        <f t="shared" ref="H15:H17" si="0">H14-F15-D15+B15</f>
        <v>17.25</v>
      </c>
      <c r="I15" s="57">
        <f t="shared" ref="I15:I17" si="1">I14-E15+C15</f>
        <v>17.25</v>
      </c>
      <c r="J15" s="57">
        <f t="shared" ref="J15:J17" si="2">SUM(H15:I15)</f>
        <v>34.5</v>
      </c>
    </row>
    <row r="16" spans="1:11" s="60" customFormat="1" ht="15.75" customHeight="1" x14ac:dyDescent="0.25">
      <c r="A16" s="71" t="s">
        <v>59</v>
      </c>
      <c r="B16" s="61"/>
      <c r="C16" s="62"/>
      <c r="D16" s="56"/>
      <c r="E16" s="59"/>
      <c r="F16" s="59">
        <v>5</v>
      </c>
      <c r="G16" s="59"/>
      <c r="H16" s="57">
        <f t="shared" si="0"/>
        <v>12.25</v>
      </c>
      <c r="I16" s="57">
        <f t="shared" si="1"/>
        <v>17.25</v>
      </c>
      <c r="J16" s="57">
        <f t="shared" si="2"/>
        <v>29.5</v>
      </c>
    </row>
    <row r="17" spans="1:10" s="60" customFormat="1" ht="15.75" customHeight="1" x14ac:dyDescent="0.25">
      <c r="A17" s="71" t="s">
        <v>60</v>
      </c>
      <c r="B17" s="61">
        <v>7.5</v>
      </c>
      <c r="C17" s="62">
        <v>7.5</v>
      </c>
      <c r="D17" s="56"/>
      <c r="E17" s="59"/>
      <c r="F17" s="63"/>
      <c r="G17" s="59"/>
      <c r="H17" s="57">
        <f t="shared" si="0"/>
        <v>19.75</v>
      </c>
      <c r="I17" s="57">
        <f t="shared" si="1"/>
        <v>24.75</v>
      </c>
      <c r="J17" s="57">
        <f t="shared" si="2"/>
        <v>44.5</v>
      </c>
    </row>
    <row r="18" spans="1:10" s="60" customFormat="1" ht="17.25" customHeight="1" x14ac:dyDescent="0.25">
      <c r="A18" s="56" t="s">
        <v>54</v>
      </c>
      <c r="B18" s="61"/>
      <c r="C18" s="62"/>
      <c r="D18" s="56">
        <v>14</v>
      </c>
      <c r="E18" s="59"/>
      <c r="F18" s="63"/>
      <c r="G18" s="59"/>
      <c r="H18" s="57">
        <f t="shared" ref="H18:H19" si="3">H17-F18-D18+B18</f>
        <v>5.75</v>
      </c>
      <c r="I18" s="57">
        <f t="shared" ref="I18:I19" si="4">I17-E18+C18</f>
        <v>24.75</v>
      </c>
      <c r="J18" s="57">
        <f t="shared" ref="J18:J19" si="5">SUM(H18:I18)</f>
        <v>30.5</v>
      </c>
    </row>
    <row r="19" spans="1:10" s="60" customFormat="1" ht="17.25" customHeight="1" x14ac:dyDescent="0.25">
      <c r="A19" s="71" t="s">
        <v>61</v>
      </c>
      <c r="B19" s="61">
        <v>7.5</v>
      </c>
      <c r="C19" s="62">
        <v>7.5</v>
      </c>
      <c r="D19" s="56"/>
      <c r="E19" s="59"/>
      <c r="F19" s="59"/>
      <c r="G19" s="59"/>
      <c r="H19" s="57">
        <f t="shared" si="3"/>
        <v>13.25</v>
      </c>
      <c r="I19" s="57">
        <f t="shared" si="4"/>
        <v>32.25</v>
      </c>
      <c r="J19" s="57">
        <f t="shared" si="5"/>
        <v>45.5</v>
      </c>
    </row>
    <row r="20" spans="1:10" s="60" customFormat="1" ht="17.25" customHeight="1" x14ac:dyDescent="0.25">
      <c r="A20" s="71" t="s">
        <v>62</v>
      </c>
      <c r="B20" s="61"/>
      <c r="C20" s="62"/>
      <c r="D20" s="56"/>
      <c r="E20" s="59">
        <v>20</v>
      </c>
      <c r="F20" s="59"/>
      <c r="G20" s="59"/>
      <c r="H20" s="57">
        <f t="shared" ref="H20:H23" si="6">H19-F20-D20+B20</f>
        <v>13.25</v>
      </c>
      <c r="I20" s="57">
        <f t="shared" ref="I20:I23" si="7">I19-E20+C20</f>
        <v>12.25</v>
      </c>
      <c r="J20" s="57">
        <f t="shared" ref="J20:J23" si="8">SUM(H20:I20)</f>
        <v>25.5</v>
      </c>
    </row>
    <row r="21" spans="1:10" s="60" customFormat="1" ht="17.25" customHeight="1" x14ac:dyDescent="0.25">
      <c r="A21" s="71" t="s">
        <v>63</v>
      </c>
      <c r="B21" s="61"/>
      <c r="C21" s="62"/>
      <c r="D21" s="56"/>
      <c r="E21" s="59"/>
      <c r="F21" s="59">
        <v>5</v>
      </c>
      <c r="G21" s="59"/>
      <c r="H21" s="57">
        <f t="shared" si="6"/>
        <v>8.25</v>
      </c>
      <c r="I21" s="57">
        <f t="shared" si="7"/>
        <v>12.25</v>
      </c>
      <c r="J21" s="57">
        <f t="shared" si="8"/>
        <v>20.5</v>
      </c>
    </row>
    <row r="22" spans="1:10" s="60" customFormat="1" ht="17.25" customHeight="1" x14ac:dyDescent="0.25">
      <c r="A22" s="71" t="s">
        <v>64</v>
      </c>
      <c r="B22" s="61">
        <v>15</v>
      </c>
      <c r="C22" s="62">
        <v>15</v>
      </c>
      <c r="D22" s="56"/>
      <c r="E22" s="59"/>
      <c r="F22" s="59"/>
      <c r="G22" s="59"/>
      <c r="H22" s="57">
        <f t="shared" si="6"/>
        <v>23.25</v>
      </c>
      <c r="I22" s="57">
        <f t="shared" si="7"/>
        <v>27.25</v>
      </c>
      <c r="J22" s="57">
        <f t="shared" si="8"/>
        <v>50.5</v>
      </c>
    </row>
    <row r="23" spans="1:10" s="60" customFormat="1" ht="17.25" customHeight="1" x14ac:dyDescent="0.25">
      <c r="A23" s="71" t="s">
        <v>65</v>
      </c>
      <c r="B23" s="61"/>
      <c r="C23" s="62"/>
      <c r="D23" s="56">
        <v>5</v>
      </c>
      <c r="E23" s="59">
        <v>15</v>
      </c>
      <c r="F23" s="59"/>
      <c r="G23" s="59"/>
      <c r="H23" s="57">
        <f t="shared" si="6"/>
        <v>18.25</v>
      </c>
      <c r="I23" s="57">
        <f t="shared" si="7"/>
        <v>12.25</v>
      </c>
      <c r="J23" s="57">
        <f t="shared" si="8"/>
        <v>30.5</v>
      </c>
    </row>
    <row r="24" spans="1:10" s="60" customFormat="1" ht="17.25" customHeight="1" x14ac:dyDescent="0.25">
      <c r="A24" s="71" t="s">
        <v>67</v>
      </c>
      <c r="B24" s="61"/>
      <c r="C24" s="62"/>
      <c r="D24" s="56"/>
      <c r="E24" s="59"/>
      <c r="F24" s="59">
        <v>5</v>
      </c>
      <c r="G24" s="59"/>
      <c r="H24" s="57">
        <f t="shared" ref="H24:H29" si="9">H23-F24-D24+B24</f>
        <v>13.25</v>
      </c>
      <c r="I24" s="57">
        <f t="shared" ref="I24:I29" si="10">I23-E24+C24</f>
        <v>12.25</v>
      </c>
      <c r="J24" s="57">
        <f t="shared" ref="J24:J29" si="11">SUM(H24:I24)</f>
        <v>25.5</v>
      </c>
    </row>
    <row r="25" spans="1:10" s="60" customFormat="1" ht="17.25" customHeight="1" x14ac:dyDescent="0.25">
      <c r="A25" s="71" t="s">
        <v>72</v>
      </c>
      <c r="B25" s="61">
        <v>1.25</v>
      </c>
      <c r="C25" s="62">
        <v>1.25</v>
      </c>
      <c r="D25" s="56"/>
      <c r="E25" s="59"/>
      <c r="F25" s="59"/>
      <c r="G25" s="59"/>
      <c r="H25" s="57">
        <f t="shared" si="9"/>
        <v>14.5</v>
      </c>
      <c r="I25" s="57">
        <f t="shared" si="10"/>
        <v>13.5</v>
      </c>
      <c r="J25" s="57">
        <f t="shared" si="11"/>
        <v>28</v>
      </c>
    </row>
    <row r="26" spans="1:10" s="60" customFormat="1" ht="17.25" customHeight="1" x14ac:dyDescent="0.25">
      <c r="A26" s="71" t="s">
        <v>73</v>
      </c>
      <c r="B26" s="61"/>
      <c r="C26" s="62"/>
      <c r="D26" s="56"/>
      <c r="E26" s="59"/>
      <c r="F26" s="59">
        <v>1</v>
      </c>
      <c r="G26" s="59"/>
      <c r="H26" s="57">
        <f t="shared" ref="H26:H31" si="12">H25-F26-D26+B26</f>
        <v>13.5</v>
      </c>
      <c r="I26" s="57">
        <f t="shared" ref="I26:I31" si="13">I25-E26+C26</f>
        <v>13.5</v>
      </c>
      <c r="J26" s="57">
        <f t="shared" ref="J26:J31" si="14">SUM(H26:I26)</f>
        <v>27</v>
      </c>
    </row>
    <row r="27" spans="1:10" s="60" customFormat="1" ht="17.25" customHeight="1" x14ac:dyDescent="0.25">
      <c r="A27" s="71" t="s">
        <v>74</v>
      </c>
      <c r="B27" s="61">
        <v>13.75</v>
      </c>
      <c r="C27" s="62">
        <v>13.75</v>
      </c>
      <c r="D27" s="56"/>
      <c r="E27" s="59"/>
      <c r="F27" s="59"/>
      <c r="G27" s="59"/>
      <c r="H27" s="57">
        <f t="shared" si="12"/>
        <v>27.25</v>
      </c>
      <c r="I27" s="57">
        <f t="shared" si="13"/>
        <v>27.25</v>
      </c>
      <c r="J27" s="57">
        <f t="shared" si="14"/>
        <v>54.5</v>
      </c>
    </row>
    <row r="28" spans="1:10" s="60" customFormat="1" ht="17.25" customHeight="1" x14ac:dyDescent="0.25">
      <c r="A28" s="71" t="s">
        <v>66</v>
      </c>
      <c r="B28" s="61"/>
      <c r="C28" s="62"/>
      <c r="D28" s="56">
        <v>10</v>
      </c>
      <c r="E28" s="59"/>
      <c r="F28" s="59"/>
      <c r="G28" s="59"/>
      <c r="H28" s="57">
        <f t="shared" si="12"/>
        <v>17.25</v>
      </c>
      <c r="I28" s="57">
        <f t="shared" si="13"/>
        <v>27.25</v>
      </c>
      <c r="J28" s="57">
        <f t="shared" si="14"/>
        <v>44.5</v>
      </c>
    </row>
    <row r="29" spans="1:10" s="60" customFormat="1" ht="17.25" customHeight="1" x14ac:dyDescent="0.25">
      <c r="A29" s="71" t="s">
        <v>68</v>
      </c>
      <c r="B29" s="61"/>
      <c r="C29" s="62"/>
      <c r="D29" s="56"/>
      <c r="E29" s="59"/>
      <c r="F29" s="59">
        <v>4</v>
      </c>
      <c r="G29" s="59"/>
      <c r="H29" s="57">
        <f t="shared" si="12"/>
        <v>13.25</v>
      </c>
      <c r="I29" s="57">
        <f t="shared" si="13"/>
        <v>27.25</v>
      </c>
      <c r="J29" s="57">
        <f t="shared" si="14"/>
        <v>40.5</v>
      </c>
    </row>
    <row r="30" spans="1:10" s="60" customFormat="1" ht="17.25" customHeight="1" x14ac:dyDescent="0.25">
      <c r="A30" s="71" t="s">
        <v>69</v>
      </c>
      <c r="B30" s="61">
        <v>5</v>
      </c>
      <c r="C30" s="62">
        <v>5</v>
      </c>
      <c r="D30" s="56"/>
      <c r="E30" s="59"/>
      <c r="F30" s="59"/>
      <c r="G30" s="59"/>
      <c r="H30" s="57">
        <f t="shared" si="12"/>
        <v>18.25</v>
      </c>
      <c r="I30" s="57">
        <f t="shared" si="13"/>
        <v>32.25</v>
      </c>
      <c r="J30" s="57">
        <f t="shared" si="14"/>
        <v>50.5</v>
      </c>
    </row>
    <row r="31" spans="1:10" s="60" customFormat="1" ht="17.25" customHeight="1" x14ac:dyDescent="0.25">
      <c r="A31" s="71" t="s">
        <v>70</v>
      </c>
      <c r="B31" s="57">
        <v>0.66700000000000004</v>
      </c>
      <c r="C31" s="58">
        <v>0.66700000000000004</v>
      </c>
      <c r="D31" s="56"/>
      <c r="E31" s="59"/>
      <c r="F31" s="59"/>
      <c r="G31" s="59"/>
      <c r="H31" s="57">
        <f t="shared" si="12"/>
        <v>18.917000000000002</v>
      </c>
      <c r="I31" s="57">
        <f t="shared" si="13"/>
        <v>32.917000000000002</v>
      </c>
      <c r="J31" s="64">
        <f t="shared" si="14"/>
        <v>51.834000000000003</v>
      </c>
    </row>
    <row r="32" spans="1:10" s="60" customFormat="1" ht="23.25" customHeight="1" x14ac:dyDescent="0.25">
      <c r="A32" s="65" t="s">
        <v>71</v>
      </c>
      <c r="B32" s="66"/>
      <c r="C32" s="66"/>
      <c r="D32" s="66"/>
      <c r="E32" s="66"/>
      <c r="F32" s="66"/>
      <c r="G32" s="66"/>
      <c r="H32" s="66"/>
      <c r="I32" s="66"/>
      <c r="J32" s="67"/>
    </row>
    <row r="33" spans="1:10" s="60" customFormat="1" ht="18.75" customHeight="1" x14ac:dyDescent="0.25">
      <c r="A33" s="68"/>
      <c r="B33" s="68"/>
      <c r="C33" s="68"/>
      <c r="D33" s="68"/>
      <c r="E33" s="68"/>
      <c r="F33" s="69"/>
      <c r="G33" s="69"/>
      <c r="H33" s="70"/>
      <c r="I33" s="70"/>
      <c r="J33" s="70"/>
    </row>
    <row r="34" spans="1:10" s="60" customFormat="1" x14ac:dyDescent="0.25">
      <c r="A34" s="68"/>
      <c r="B34" s="68"/>
      <c r="C34" s="68"/>
      <c r="D34" s="68"/>
      <c r="E34" s="68"/>
      <c r="F34" s="69"/>
      <c r="G34" s="69"/>
      <c r="H34" s="70"/>
      <c r="I34" s="70"/>
      <c r="J34" s="70"/>
    </row>
    <row r="35" spans="1:10" s="60" customFormat="1" x14ac:dyDescent="0.25">
      <c r="A35" s="42"/>
      <c r="B35" s="42"/>
      <c r="C35" s="42"/>
      <c r="D35" s="42"/>
      <c r="E35" s="42"/>
      <c r="F35" s="69"/>
      <c r="G35" s="69"/>
      <c r="H35" s="70"/>
      <c r="I35" s="70"/>
      <c r="J35" s="70"/>
    </row>
    <row r="39" spans="1:10" s="60" customFormat="1" x14ac:dyDescent="0.25">
      <c r="A39" s="42"/>
      <c r="B39" s="42"/>
      <c r="C39" s="42"/>
      <c r="D39" s="42"/>
      <c r="E39" s="42"/>
      <c r="F39" s="69" t="s">
        <v>55</v>
      </c>
      <c r="G39" s="69"/>
      <c r="H39" s="42"/>
      <c r="I39" s="42"/>
      <c r="J39" s="42"/>
    </row>
  </sheetData>
  <mergeCells count="14">
    <mergeCell ref="K11:K12"/>
    <mergeCell ref="A32:J32"/>
    <mergeCell ref="A10:J10"/>
    <mergeCell ref="A11:A12"/>
    <mergeCell ref="B11:C11"/>
    <mergeCell ref="D11:G11"/>
    <mergeCell ref="H11:I11"/>
    <mergeCell ref="J11:J12"/>
    <mergeCell ref="A2:J2"/>
    <mergeCell ref="A3:J3"/>
    <mergeCell ref="A4:J4"/>
    <mergeCell ref="A5:J5"/>
    <mergeCell ref="B7:D7"/>
    <mergeCell ref="B9:D9"/>
  </mergeCells>
  <phoneticPr fontId="5" type="noConversion"/>
  <printOptions horizontalCentered="1"/>
  <pageMargins left="0.23622047244094491" right="0.23622047244094491" top="0.23622047244094491" bottom="0.23622047244094491" header="0.31496062992125984" footer="0.31496062992125984"/>
  <pageSetup paperSize="9" scale="7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Leave Card as TIC</vt:lpstr>
      <vt:lpstr>'Leave Card as TIC'!Print_Area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2025-11-06T03:46:25Z</cp:lastPrinted>
  <dcterms:created xsi:type="dcterms:W3CDTF">2023-11-30T05:38:34Z</dcterms:created>
  <dcterms:modified xsi:type="dcterms:W3CDTF">2025-11-06T03:50:03Z</dcterms:modified>
</cp:coreProperties>
</file>