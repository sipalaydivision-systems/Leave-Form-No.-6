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A6834DD-D461-42A0-8FD8-249F5A0A5C05}" xr6:coauthVersionLast="47" xr6:coauthVersionMax="47" xr10:uidLastSave="{00000000-0000-0000-0000-000000000000}"/>
  <bookViews>
    <workbookView xWindow="-120" yWindow="-120" windowWidth="29040" windowHeight="15720" activeTab="1" xr2:uid="{C532281A-DA89-4ACA-8363-B39317021647}"/>
  </bookViews>
  <sheets>
    <sheet name="Leave Card (NE)" sheetId="6" r:id="rId1"/>
    <sheet name="ELECTION" sheetId="13" r:id="rId2"/>
    <sheet name="CTO" sheetId="12" r:id="rId3"/>
    <sheet name="OTHER TYPES OF LEAVE" sheetId="11" r:id="rId4"/>
  </sheets>
  <definedNames>
    <definedName name="_xlnm.Print_Area" localSheetId="0">'Leave Card (NE)'!$A$1:$J$89</definedName>
    <definedName name="_xlnm.Print_Area" localSheetId="3">'OTHER TYPES OF LEAVE'!$A$1:$L$24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6" i="6" l="1"/>
  <c r="H87" i="6" s="1"/>
  <c r="I86" i="6"/>
  <c r="J86" i="6" s="1"/>
  <c r="C14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B14" i="6"/>
  <c r="H14" i="6" s="1"/>
  <c r="H15" i="6" s="1"/>
  <c r="H16" i="6" s="1"/>
  <c r="H17" i="6" s="1"/>
  <c r="H18" i="6" s="1"/>
  <c r="I87" i="6" l="1"/>
  <c r="J87" i="6" s="1"/>
  <c r="J18" i="6"/>
  <c r="H19" i="6"/>
  <c r="J19" i="6"/>
  <c r="H20" i="6"/>
  <c r="J17" i="6"/>
  <c r="J20" i="6" l="1"/>
  <c r="H21" i="6"/>
  <c r="J16" i="6"/>
  <c r="J21" i="6" l="1"/>
  <c r="H22" i="6"/>
  <c r="J22" i="6" l="1"/>
  <c r="H23" i="6"/>
  <c r="J14" i="6"/>
  <c r="J15" i="6"/>
  <c r="J23" i="6" l="1"/>
  <c r="H24" i="6"/>
  <c r="J24" i="6" l="1"/>
  <c r="H25" i="6"/>
  <c r="J25" i="6" l="1"/>
  <c r="H26" i="6"/>
  <c r="J26" i="6" l="1"/>
  <c r="H27" i="6"/>
  <c r="J27" i="6" l="1"/>
  <c r="H28" i="6"/>
  <c r="J28" i="6" l="1"/>
  <c r="H29" i="6"/>
  <c r="J29" i="6" l="1"/>
  <c r="H30" i="6"/>
  <c r="J30" i="6" l="1"/>
  <c r="H31" i="6"/>
  <c r="J31" i="6" l="1"/>
  <c r="H32" i="6"/>
  <c r="J32" i="6" l="1"/>
  <c r="H33" i="6"/>
  <c r="J33" i="6" l="1"/>
  <c r="H34" i="6"/>
  <c r="J34" i="6" l="1"/>
  <c r="H35" i="6"/>
  <c r="J35" i="6" l="1"/>
  <c r="H36" i="6"/>
  <c r="J36" i="6" l="1"/>
  <c r="H37" i="6"/>
  <c r="J37" i="6" l="1"/>
  <c r="H38" i="6"/>
  <c r="H39" i="6" s="1"/>
  <c r="J39" i="6" l="1"/>
  <c r="H40" i="6"/>
  <c r="J38" i="6"/>
  <c r="H41" i="6" l="1"/>
  <c r="J40" i="6"/>
  <c r="J41" i="6" l="1"/>
  <c r="H42" i="6"/>
  <c r="J42" i="6" l="1"/>
  <c r="H43" i="6"/>
  <c r="J43" i="6" l="1"/>
  <c r="H44" i="6"/>
  <c r="J44" i="6" l="1"/>
  <c r="H45" i="6"/>
  <c r="J45" i="6" l="1"/>
  <c r="H46" i="6"/>
  <c r="J46" i="6" l="1"/>
  <c r="H47" i="6"/>
  <c r="J47" i="6" l="1"/>
  <c r="H48" i="6"/>
  <c r="J48" i="6" l="1"/>
  <c r="H49" i="6"/>
  <c r="J49" i="6" l="1"/>
  <c r="H50" i="6"/>
  <c r="J50" i="6" l="1"/>
  <c r="H51" i="6"/>
  <c r="J51" i="6" l="1"/>
  <c r="H52" i="6"/>
  <c r="H53" i="6" l="1"/>
  <c r="J52" i="6"/>
  <c r="J53" i="6" l="1"/>
  <c r="H54" i="6"/>
  <c r="H55" i="6" l="1"/>
  <c r="J54" i="6"/>
  <c r="J55" i="6" l="1"/>
  <c r="H56" i="6"/>
  <c r="H57" i="6" l="1"/>
  <c r="J56" i="6"/>
  <c r="J57" i="6" l="1"/>
  <c r="H58" i="6"/>
  <c r="H59" i="6" l="1"/>
  <c r="J58" i="6"/>
  <c r="H60" i="6" l="1"/>
  <c r="J59" i="6"/>
  <c r="J60" i="6" l="1"/>
  <c r="H61" i="6"/>
  <c r="J61" i="6" l="1"/>
  <c r="H62" i="6"/>
  <c r="H63" i="6" l="1"/>
  <c r="J62" i="6"/>
  <c r="J63" i="6" l="1"/>
  <c r="H64" i="6"/>
  <c r="H65" i="6" l="1"/>
  <c r="J64" i="6"/>
  <c r="J65" i="6" l="1"/>
  <c r="H66" i="6"/>
  <c r="H67" i="6" l="1"/>
  <c r="J66" i="6"/>
  <c r="H68" i="6" l="1"/>
  <c r="J67" i="6"/>
  <c r="H69" i="6" l="1"/>
  <c r="J68" i="6"/>
  <c r="J69" i="6" l="1"/>
  <c r="H70" i="6"/>
  <c r="H71" i="6" l="1"/>
  <c r="J70" i="6"/>
  <c r="J71" i="6" l="1"/>
  <c r="H72" i="6"/>
  <c r="J72" i="6" l="1"/>
  <c r="H73" i="6"/>
  <c r="J73" i="6" l="1"/>
  <c r="H74" i="6"/>
  <c r="H75" i="6" l="1"/>
  <c r="J74" i="6"/>
  <c r="J75" i="6" l="1"/>
  <c r="H76" i="6"/>
  <c r="J76" i="6" l="1"/>
  <c r="H77" i="6"/>
  <c r="J77" i="6" l="1"/>
  <c r="H78" i="6"/>
  <c r="J78" i="6" l="1"/>
  <c r="H79" i="6"/>
  <c r="J79" i="6" l="1"/>
  <c r="H80" i="6"/>
  <c r="J80" i="6" l="1"/>
  <c r="H81" i="6"/>
  <c r="J81" i="6" l="1"/>
  <c r="H82" i="6"/>
  <c r="J82" i="6" l="1"/>
  <c r="H83" i="6"/>
  <c r="H84" i="6" l="1"/>
  <c r="J83" i="6"/>
  <c r="H85" i="6" l="1"/>
  <c r="J85" i="6" s="1"/>
  <c r="J84" i="6"/>
</calcChain>
</file>

<file path=xl/sharedStrings.xml><?xml version="1.0" encoding="utf-8"?>
<sst xmlns="http://schemas.openxmlformats.org/spreadsheetml/2006/main" count="179" uniqueCount="145">
  <si>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</si>
  <si>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</si>
  <si>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</si>
  <si>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</si>
  <si>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</si>
  <si>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</si>
  <si>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</si>
  <si>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</si>
  <si>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</si>
  <si>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</si>
  <si>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</si>
  <si>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ADD: 05/01/22 - 05/31/22</t>
  </si>
  <si>
    <t>SPECIAL PRIVILEGE</t>
  </si>
  <si>
    <t>Republic of the Philippines</t>
  </si>
  <si>
    <t>Department of Education</t>
  </si>
  <si>
    <t>REGION VI-WESTERN VISAYAS</t>
  </si>
  <si>
    <t>SCHOOLS DIVISION OF SIPALAY CITY</t>
  </si>
  <si>
    <t>ADD: 12/01/2021 - 12/31/2021</t>
  </si>
  <si>
    <t>ADD: 06/01/22 - 06/30/22</t>
  </si>
  <si>
    <t>LESS: 01/24/22</t>
  </si>
  <si>
    <t>ADD: 01/01/22 - 01/31/22</t>
  </si>
  <si>
    <t>LESS: 02/18/22</t>
  </si>
  <si>
    <t>ADD: 02/01/22 - 04/30/22</t>
  </si>
  <si>
    <t>LESS: 05/13/22 PM</t>
  </si>
  <si>
    <t>LESS: 06/10/22</t>
  </si>
  <si>
    <t>LESS: 06/17/22</t>
  </si>
  <si>
    <t>LESS: 07/06 &amp; 07/22</t>
  </si>
  <si>
    <t>DATE OF ORIGINAL APPOINTMENT: MARCH 27, 2019</t>
  </si>
  <si>
    <t>ADD: 04/01/2019 - 12/31/2019</t>
  </si>
  <si>
    <t>ADD: 03/27/2019 - 03/31/2019</t>
  </si>
  <si>
    <t>LESS: 12/26 &amp; 27/2019</t>
  </si>
  <si>
    <t>LESS: 11/06/2019</t>
  </si>
  <si>
    <t>ADD: 01/01/2020 - 06/30/2020</t>
  </si>
  <si>
    <t>ADD: 07/01/2020 - 12/31/2020</t>
  </si>
  <si>
    <t>LESS: MONETIZATION 2020</t>
  </si>
  <si>
    <t>LESS: 12/28 &amp; 29/2020</t>
  </si>
  <si>
    <t>ADD: 01/01/2021 - 07/31/2021</t>
  </si>
  <si>
    <t>LESS: 05/24/2021</t>
  </si>
  <si>
    <t>LESS: 08/5 &amp; 6/2021</t>
  </si>
  <si>
    <t>LESS: 08/26/2022</t>
  </si>
  <si>
    <t>ADD: 08/01/2021 - 11/30/2021</t>
  </si>
  <si>
    <t>LESS: MONETIZATION 2021</t>
  </si>
  <si>
    <t>LESS: 12/09/2021</t>
  </si>
  <si>
    <t>LESS: 12/21,22,23,24,29(.5),31(.5)</t>
  </si>
  <si>
    <t>LESS:01/05/2022</t>
  </si>
  <si>
    <t>LESS:01/06/2022</t>
  </si>
  <si>
    <t>ADD: 07/01/22 - 08/31/22</t>
  </si>
  <si>
    <t>LESS: MONETIZATION 2022</t>
  </si>
  <si>
    <t>LESS: 09/16/22</t>
  </si>
  <si>
    <t>ADD: 09/01/22 - 10/31/22</t>
  </si>
  <si>
    <t>LESS: 11/07/2022</t>
  </si>
  <si>
    <t>LESS: 11/08 &amp; 09/2022</t>
  </si>
  <si>
    <t>Name: _____________________________</t>
  </si>
  <si>
    <t>DISTRICT: ___________________________</t>
  </si>
  <si>
    <t>POSITION: __________________________</t>
  </si>
  <si>
    <t>SCHOOL/OFFICE:_____________________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</si>
  <si>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</si>
  <si>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</si>
  <si>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</si>
  <si>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</si>
  <si>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</si>
  <si>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</si>
  <si>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</si>
  <si>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</si>
  <si>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</si>
  <si>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</si>
  <si>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</si>
  <si>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</si>
  <si>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</si>
  <si>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</si>
  <si>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</si>
  <si>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</si>
  <si>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</si>
  <si>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</si>
  <si>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ADD: 11/01/22 - 11/30/22</t>
  </si>
  <si>
    <t>LESS: 12/26/2022</t>
  </si>
  <si>
    <t>LESS: 12/19/2022</t>
  </si>
  <si>
    <t>ADD: 12/01/22 - 12/31/22</t>
  </si>
  <si>
    <t>LESS: 01/05/23</t>
  </si>
  <si>
    <t>LESS: 01/12/23</t>
  </si>
  <si>
    <t>ADD: 01/01/23 - 01/31/23</t>
  </si>
  <si>
    <t>LESS: 02/2 &amp; 6/23</t>
  </si>
  <si>
    <t>ADD: 02/01/23 - 02/28/23</t>
  </si>
  <si>
    <t>LESS: 02/28/23 (pm)</t>
  </si>
  <si>
    <t>ADD: 03/01/23 - 04/30/23</t>
  </si>
  <si>
    <t>LESS: 05/29/23</t>
  </si>
  <si>
    <t>ADD: 05/01/23 - 06/30/23</t>
  </si>
  <si>
    <t>LESS: 07/14/23</t>
  </si>
  <si>
    <t>ADD: 07/01/23 - 08/31/23</t>
  </si>
  <si>
    <t>LESS: 08/11/23</t>
  </si>
  <si>
    <t>COMPENSATORY TIME OFF (CTO)</t>
  </si>
  <si>
    <t>Special Order No. and Date Issued</t>
  </si>
  <si>
    <t>No. of Days Granted</t>
  </si>
  <si>
    <t>No. of Days Used</t>
  </si>
  <si>
    <t>Balance</t>
  </si>
  <si>
    <t>ADD: JAN 18, 2023</t>
  </si>
  <si>
    <t>S.O. # 001, S. 2023. 126TH ANNIVERSARY OF THE MARTYRDOM OF DR. JOSE P. RIZAL</t>
  </si>
  <si>
    <t>NOTE:  Valid for one (1) year only</t>
  </si>
  <si>
    <t>Certified Correct:</t>
  </si>
  <si>
    <t>MA. LUISA B. CATIGAN</t>
  </si>
  <si>
    <t>Administrative Officer IV</t>
  </si>
  <si>
    <t>HRMO</t>
  </si>
  <si>
    <t>LESS: MONETIZATION 2023</t>
  </si>
  <si>
    <t>LESS:09/22/2023</t>
  </si>
  <si>
    <t>ADD: 09/01/2023-09/30/2023</t>
  </si>
  <si>
    <t>LESS: 09/29/2023&amp;10/10/2023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</si>
  <si>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</si>
  <si>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</si>
  <si>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</si>
  <si>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</si>
  <si>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</si>
  <si>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10/17/2023</t>
  </si>
  <si>
    <t>LESS: 11/28/2023</t>
  </si>
  <si>
    <t>ADD: 10/01/2023-11/30/2023</t>
  </si>
  <si>
    <t>LESS: 12/28-29/2023</t>
  </si>
  <si>
    <t>ADD:12/01/2023-12/31/2023</t>
  </si>
  <si>
    <t>LESS: 01/05/2024</t>
  </si>
  <si>
    <t>ADD: 01/01/2024-01/31/2024</t>
  </si>
  <si>
    <t>LESS: 01/31/2024</t>
  </si>
  <si>
    <t>ADD: 02/01/2024-02/29/2024</t>
  </si>
  <si>
    <t>LESS: 02/19-20/2024</t>
  </si>
  <si>
    <t>ADD: 03/1-31/2024</t>
  </si>
  <si>
    <t>LESS: 04/16/2024</t>
  </si>
  <si>
    <t>ADD: 04/1-30/2024</t>
  </si>
  <si>
    <t>LESS: 05/6,13/2024</t>
  </si>
  <si>
    <t>LESS: 05/21/2024</t>
  </si>
  <si>
    <t>LESS: 05/23/2024</t>
  </si>
  <si>
    <t>SO# 010, S. 2024</t>
  </si>
  <si>
    <t>ADD: APRIL 30, 2024</t>
  </si>
  <si>
    <t>OCTOBER 30, 2023 BRGY &amp; SK ELECTION</t>
  </si>
  <si>
    <t>ADD: 05/1/2024 - 06/30/2024</t>
  </si>
  <si>
    <t>LESS: 06/4/2024</t>
  </si>
  <si>
    <t>S.O. # 159, S. 2023.125TH PHILIPPINE INDEPENDENCE DAY CELEBRATION</t>
  </si>
  <si>
    <t>ADD: 06/26/2024</t>
  </si>
  <si>
    <t>S.O. # 024, S. 2024.126TH PHILIPPINE INDEPENDENCE DAY CELEBRATION</t>
  </si>
  <si>
    <t>LESS: 07/08/2024</t>
  </si>
  <si>
    <t>ADD: 07/1-31/2024</t>
  </si>
  <si>
    <t>LESS: MONETIZATION 2024</t>
  </si>
  <si>
    <t>LESS: FL 2019</t>
  </si>
  <si>
    <t>LESS: 08/16/2024</t>
  </si>
  <si>
    <t>ADD: 08/1-31/2024</t>
  </si>
  <si>
    <t>RELEASED DATE</t>
  </si>
  <si>
    <t>NAME          : MUEDA, MA. THERESA C.</t>
  </si>
  <si>
    <t>POSITION   :TEACHER II</t>
  </si>
  <si>
    <t>SCHOOL/OFFICE : SCNHS-SHS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</si>
</sst>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4" fillId="0" borderId="0"/>
    <xf numFmtId="0" fontId="14" fillId="0" borderId="0"/>
  </cellStyleXfs>
  <cellXfs count="12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6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3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10" fillId="8" borderId="8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/>
    </xf>
    <xf numFmtId="0" fontId="12" fillId="0" borderId="0" xfId="0" applyFont="1"/>
    <xf numFmtId="0" fontId="0" fillId="0" borderId="6" xfId="0" applyBorder="1" applyAlignment="1">
      <alignment horizontal="center" vertical="center"/>
    </xf>
    <xf numFmtId="0" fontId="13" fillId="0" borderId="0" xfId="0" applyFont="1"/>
    <xf numFmtId="0" fontId="0" fillId="0" borderId="6" xfId="0" applyBorder="1" applyAlignment="1">
      <alignment vertical="center"/>
    </xf>
    <xf numFmtId="164" fontId="0" fillId="2" borderId="1" xfId="0" applyNumberForma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0" fontId="14" fillId="2" borderId="0" xfId="1" applyFill="1"/>
    <xf numFmtId="0" fontId="1" fillId="2" borderId="0" xfId="1" applyFont="1" applyFill="1" applyAlignment="1">
      <alignment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14" fillId="0" borderId="0" xfId="1"/>
    <xf numFmtId="0" fontId="12" fillId="0" borderId="0" xfId="1" applyFont="1"/>
    <xf numFmtId="0" fontId="14" fillId="2" borderId="2" xfId="1" applyFill="1" applyBorder="1" applyAlignment="1">
      <alignment horizontal="center" vertical="center" wrapText="1"/>
    </xf>
    <xf numFmtId="0" fontId="0" fillId="2" borderId="5" xfId="1" applyFont="1" applyFill="1" applyBorder="1" applyAlignment="1">
      <alignment horizontal="center" vertical="center" wrapText="1"/>
    </xf>
    <xf numFmtId="0" fontId="13" fillId="0" borderId="0" xfId="1" applyFont="1"/>
    <xf numFmtId="0" fontId="7" fillId="0" borderId="0" xfId="1" applyFont="1"/>
    <xf numFmtId="0" fontId="6" fillId="0" borderId="0" xfId="1" applyFont="1"/>
    <xf numFmtId="0" fontId="14" fillId="0" borderId="0" xfId="1" applyAlignment="1">
      <alignment vertical="center"/>
    </xf>
    <xf numFmtId="0" fontId="11" fillId="2" borderId="0" xfId="1" applyFont="1" applyFill="1" applyAlignment="1">
      <alignment horizontal="center" vertical="center" wrapText="1"/>
    </xf>
    <xf numFmtId="0" fontId="14" fillId="2" borderId="0" xfId="1" applyFill="1" applyAlignment="1">
      <alignment horizontal="center" vertical="center" wrapText="1"/>
    </xf>
    <xf numFmtId="0" fontId="14" fillId="2" borderId="0" xfId="1" applyFill="1" applyAlignment="1">
      <alignment horizontal="center"/>
    </xf>
    <xf numFmtId="0" fontId="14" fillId="2" borderId="0" xfId="2" applyFill="1"/>
    <xf numFmtId="0" fontId="1" fillId="2" borderId="0" xfId="2" applyFont="1" applyFill="1" applyAlignment="1">
      <alignment horizontal="center" wrapText="1"/>
    </xf>
    <xf numFmtId="0" fontId="1" fillId="2" borderId="0" xfId="2" applyFont="1" applyFill="1" applyAlignment="1">
      <alignment wrapText="1"/>
    </xf>
    <xf numFmtId="0" fontId="14" fillId="2" borderId="0" xfId="2" applyFill="1" applyAlignment="1">
      <alignment horizontal="center"/>
    </xf>
    <xf numFmtId="0" fontId="1" fillId="2" borderId="0" xfId="2" applyFont="1" applyFill="1" applyAlignment="1">
      <alignment vertical="center"/>
    </xf>
    <xf numFmtId="0" fontId="1" fillId="2" borderId="0" xfId="2" applyFont="1" applyFill="1"/>
    <xf numFmtId="0" fontId="1" fillId="2" borderId="0" xfId="2" applyFont="1" applyFill="1" applyAlignment="1">
      <alignment horizontal="center"/>
    </xf>
    <xf numFmtId="0" fontId="14" fillId="0" borderId="0" xfId="2"/>
    <xf numFmtId="0" fontId="7" fillId="0" borderId="0" xfId="2" applyFont="1"/>
    <xf numFmtId="0" fontId="0" fillId="2" borderId="1" xfId="1" applyFont="1" applyFill="1" applyBorder="1" applyAlignment="1">
      <alignment horizontal="center" vertical="center" wrapText="1"/>
    </xf>
    <xf numFmtId="0" fontId="14" fillId="2" borderId="1" xfId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center" vertical="center"/>
    </xf>
    <xf numFmtId="164" fontId="6" fillId="12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1" fillId="0" borderId="0" xfId="0" applyFont="1"/>
    <xf numFmtId="0" fontId="1" fillId="0" borderId="4" xfId="0" applyFont="1" applyBorder="1" applyAlignment="1">
      <alignment vertical="center"/>
    </xf>
    <xf numFmtId="0" fontId="0" fillId="2" borderId="0" xfId="1" applyFont="1" applyFill="1" applyAlignment="1">
      <alignment horizontal="center" vertical="center" wrapText="1"/>
    </xf>
    <xf numFmtId="0" fontId="15" fillId="2" borderId="0" xfId="1" applyFont="1" applyFill="1" applyAlignment="1">
      <alignment horizontal="center" vertical="center" wrapText="1"/>
    </xf>
    <xf numFmtId="0" fontId="14" fillId="13" borderId="2" xfId="1" applyFill="1" applyBorder="1" applyAlignment="1">
      <alignment horizontal="center" vertical="center" wrapText="1"/>
    </xf>
    <xf numFmtId="0" fontId="14" fillId="13" borderId="1" xfId="1" applyFill="1" applyBorder="1" applyAlignment="1">
      <alignment horizontal="center" vertical="center" wrapText="1"/>
    </xf>
    <xf numFmtId="0" fontId="14" fillId="0" borderId="1" xfId="1" applyBorder="1" applyAlignment="1">
      <alignment horizontal="center" vertical="center" wrapText="1"/>
    </xf>
    <xf numFmtId="0" fontId="14" fillId="0" borderId="0" xfId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164" fontId="6" fillId="0" borderId="1" xfId="0" applyNumberFormat="1" applyFont="1" applyBorder="1" applyAlignment="1">
      <alignment vertical="center"/>
    </xf>
    <xf numFmtId="164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0" xfId="2" applyFont="1" applyFill="1" applyAlignment="1">
      <alignment horizontal="left" vertical="center"/>
    </xf>
    <xf numFmtId="0" fontId="1" fillId="2" borderId="0" xfId="2" applyFont="1" applyFill="1" applyAlignment="1">
      <alignment horizontal="left"/>
    </xf>
    <xf numFmtId="0" fontId="2" fillId="2" borderId="7" xfId="2" applyFont="1" applyFill="1" applyBorder="1" applyAlignment="1">
      <alignment horizontal="center" vertical="center"/>
    </xf>
    <xf numFmtId="0" fontId="3" fillId="8" borderId="9" xfId="2" applyFont="1" applyFill="1" applyBorder="1" applyAlignment="1">
      <alignment horizontal="center" vertical="center" wrapText="1"/>
    </xf>
    <xf numFmtId="0" fontId="3" fillId="8" borderId="18" xfId="2" applyFont="1" applyFill="1" applyBorder="1" applyAlignment="1">
      <alignment horizontal="center" vertical="center" wrapText="1"/>
    </xf>
    <xf numFmtId="0" fontId="3" fillId="8" borderId="9" xfId="2" applyFont="1" applyFill="1" applyBorder="1" applyAlignment="1">
      <alignment horizontal="center" vertical="center"/>
    </xf>
    <xf numFmtId="0" fontId="3" fillId="8" borderId="18" xfId="2" applyFont="1" applyFill="1" applyBorder="1" applyAlignment="1">
      <alignment horizontal="center" vertical="center"/>
    </xf>
    <xf numFmtId="0" fontId="11" fillId="9" borderId="16" xfId="2" applyFont="1" applyFill="1" applyBorder="1" applyAlignment="1">
      <alignment horizontal="center" vertical="center" wrapText="1"/>
    </xf>
    <xf numFmtId="0" fontId="11" fillId="9" borderId="17" xfId="2" applyFont="1" applyFill="1" applyBorder="1" applyAlignment="1">
      <alignment horizontal="center" vertical="center" wrapText="1"/>
    </xf>
    <xf numFmtId="0" fontId="11" fillId="9" borderId="19" xfId="2" applyFont="1" applyFill="1" applyBorder="1" applyAlignment="1">
      <alignment horizontal="center" vertical="center" wrapText="1"/>
    </xf>
    <xf numFmtId="0" fontId="11" fillId="9" borderId="20" xfId="2" applyFont="1" applyFill="1" applyBorder="1" applyAlignment="1">
      <alignment horizontal="center" vertical="center" wrapText="1"/>
    </xf>
    <xf numFmtId="0" fontId="3" fillId="8" borderId="12" xfId="2" applyFont="1" applyFill="1" applyBorder="1" applyAlignment="1">
      <alignment horizontal="center" vertical="center"/>
    </xf>
    <xf numFmtId="0" fontId="3" fillId="8" borderId="21" xfId="2" applyFont="1" applyFill="1" applyBorder="1" applyAlignment="1">
      <alignment horizontal="center" vertical="center"/>
    </xf>
    <xf numFmtId="0" fontId="14" fillId="2" borderId="0" xfId="2" applyFill="1" applyAlignment="1">
      <alignment horizontal="center" vertical="center"/>
    </xf>
    <xf numFmtId="0" fontId="11" fillId="9" borderId="13" xfId="1" applyFont="1" applyFill="1" applyBorder="1" applyAlignment="1">
      <alignment horizontal="center" vertical="center" wrapText="1"/>
    </xf>
    <xf numFmtId="0" fontId="11" fillId="9" borderId="15" xfId="1" applyFont="1" applyFill="1" applyBorder="1" applyAlignment="1">
      <alignment horizontal="center" vertical="center" wrapText="1"/>
    </xf>
    <xf numFmtId="0" fontId="14" fillId="2" borderId="0" xfId="1" applyFill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10" fillId="8" borderId="9" xfId="1" applyFont="1" applyFill="1" applyBorder="1" applyAlignment="1">
      <alignment horizontal="center" vertical="center"/>
    </xf>
    <xf numFmtId="0" fontId="10" fillId="8" borderId="5" xfId="1" applyFont="1" applyFill="1" applyBorder="1" applyAlignment="1">
      <alignment horizontal="center" vertical="center"/>
    </xf>
    <xf numFmtId="0" fontId="10" fillId="10" borderId="10" xfId="1" applyFont="1" applyFill="1" applyBorder="1" applyAlignment="1">
      <alignment horizontal="center" vertical="center"/>
    </xf>
    <xf numFmtId="0" fontId="10" fillId="10" borderId="11" xfId="1" applyFont="1" applyFill="1" applyBorder="1" applyAlignment="1">
      <alignment horizontal="center" vertical="center"/>
    </xf>
    <xf numFmtId="0" fontId="10" fillId="8" borderId="12" xfId="1" applyFont="1" applyFill="1" applyBorder="1" applyAlignment="1">
      <alignment horizontal="center" vertical="center"/>
    </xf>
    <xf numFmtId="0" fontId="10" fillId="8" borderId="3" xfId="1" applyFont="1" applyFill="1" applyBorder="1" applyAlignment="1">
      <alignment horizontal="center" vertical="center"/>
    </xf>
    <xf numFmtId="0" fontId="11" fillId="9" borderId="14" xfId="1" applyFont="1" applyFill="1" applyBorder="1" applyAlignment="1">
      <alignment horizontal="center" vertical="center" wrapText="1"/>
    </xf>
    <xf numFmtId="0" fontId="15" fillId="2" borderId="13" xfId="1" applyFont="1" applyFill="1" applyBorder="1" applyAlignment="1">
      <alignment horizontal="center" vertical="center" wrapText="1"/>
    </xf>
    <xf numFmtId="0" fontId="15" fillId="2" borderId="15" xfId="1" applyFont="1" applyFill="1" applyBorder="1" applyAlignment="1">
      <alignment horizontal="center" vertical="center" wrapText="1"/>
    </xf>
    <xf numFmtId="0" fontId="13" fillId="2" borderId="0" xfId="1" applyFont="1" applyFill="1" applyAlignment="1">
      <alignment horizontal="center" vertical="center"/>
    </xf>
    <xf numFmtId="0" fontId="15" fillId="2" borderId="14" xfId="1" applyFont="1" applyFill="1" applyBorder="1" applyAlignment="1">
      <alignment horizontal="center" vertical="center" wrapText="1"/>
    </xf>
    <xf numFmtId="0" fontId="14" fillId="0" borderId="0" xfId="1" applyAlignment="1">
      <alignment horizontal="center" vertical="center"/>
    </xf>
    <xf numFmtId="0" fontId="11" fillId="2" borderId="13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2" borderId="22" xfId="2" applyFont="1" applyFill="1" applyBorder="1" applyAlignment="1">
      <alignment horizontal="center" vertical="center" wrapText="1"/>
    </xf>
    <xf numFmtId="0" fontId="11" fillId="2" borderId="22" xfId="2" applyFont="1" applyFill="1" applyBorder="1" applyAlignment="1">
      <alignment horizontal="center" vertical="center" wrapText="1"/>
    </xf>
    <xf numFmtId="0" fontId="14" fillId="0" borderId="22" xfId="2" applyBorder="1" applyAlignment="1">
      <alignment horizontal="center" vertical="center" wrapText="1"/>
    </xf>
    <xf numFmtId="0" fontId="3" fillId="8" borderId="23" xfId="2" applyFont="1" applyFill="1" applyBorder="1" applyAlignment="1">
      <alignment horizontal="center" vertical="center" wrapText="1"/>
    </xf>
    <xf numFmtId="0" fontId="3" fillId="8" borderId="23" xfId="2" applyFont="1" applyFill="1" applyBorder="1" applyAlignment="1">
      <alignment horizontal="center" vertical="center"/>
    </xf>
    <xf numFmtId="0" fontId="11" fillId="9" borderId="24" xfId="2" applyFont="1" applyFill="1" applyBorder="1" applyAlignment="1">
      <alignment horizontal="center" vertical="center" wrapText="1"/>
    </xf>
    <xf numFmtId="0" fontId="11" fillId="9" borderId="25" xfId="2" applyFont="1" applyFill="1" applyBorder="1" applyAlignment="1">
      <alignment horizontal="center" vertical="center" wrapText="1"/>
    </xf>
    <xf numFmtId="0" fontId="3" fillId="8" borderId="26" xfId="2" applyFont="1" applyFill="1" applyBorder="1" applyAlignment="1">
      <alignment horizontal="center" vertical="center"/>
    </xf>
  </cellXfs>
  <cellStyles count="3">
    <cellStyle name="Normal" xfId="0" builtinId="0"/>
    <cellStyle name="Normal 2 2" xfId="1" xr:uid="{AD1F96C5-09AE-4668-BB73-28DD025198CC}"/>
    <cellStyle name="Normal 3" xfId="2" xr:uid="{A2E1A6DB-8371-4317-B08D-8CE886F336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387220</xdr:colOff>
      <xdr:row>88</xdr:row>
      <xdr:rowOff>48598</xdr:rowOff>
    </xdr:from>
    <xdr:to>
      <xdr:col>9</xdr:col>
      <xdr:colOff>495689</xdr:colOff>
      <xdr:row>88</xdr:row>
      <xdr:rowOff>1088572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34C7E5-6C84-4F93-BEF2-1DDD7DEFBB10}"/>
            </a:ext>
          </a:extLst>
        </xdr:cNvPr>
        <xdr:cNvSpPr txBox="1"/>
      </xdr:nvSpPr>
      <xdr:spPr>
        <a:xfrm>
          <a:off x="6821455" y="17941991"/>
          <a:ext cx="3179795" cy="10399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207348</xdr:colOff>
      <xdr:row>0</xdr:row>
      <xdr:rowOff>25400</xdr:rowOff>
    </xdr:from>
    <xdr:to>
      <xdr:col>3</xdr:col>
      <xdr:colOff>262425</xdr:colOff>
      <xdr:row>0</xdr:row>
      <xdr:rowOff>647960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FD2860-CB12-453F-8505-664CF8BA5F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2195" y="25400"/>
          <a:ext cx="865026" cy="62256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85FC36-F619-4C7D-A342-5EE31DE6C94C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ROSE ANN ARRIESGADO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6FEECF-C916-4325-8CAA-256E7B5CB270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2</xdr:col>
      <xdr:colOff>415193</xdr:colOff>
      <xdr:row>7</xdr:row>
      <xdr:rowOff>6481</xdr:rowOff>
    </xdr:from>
    <xdr:to>
      <xdr:col>4</xdr:col>
      <xdr:colOff>453571</xdr:colOff>
      <xdr:row>8</xdr:row>
      <xdr:rowOff>140435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BF85C9B-9671-4E5A-BE74-EB9541C8235C}"/>
            </a:ext>
          </a:extLst>
        </xdr:cNvPr>
        <xdr:cNvSpPr txBox="1"/>
      </xdr:nvSpPr>
      <xdr:spPr>
        <a:xfrm>
          <a:off x="4750040" y="1671736"/>
          <a:ext cx="1658276" cy="2894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180975</xdr:colOff>
      <xdr:row>0</xdr:row>
      <xdr:rowOff>126401</xdr:rowOff>
    </xdr:from>
    <xdr:ext cx="707496" cy="633218"/>
    <xdr:pic>
      <xdr:nvPicPr>
        <xdr:cNvPr id="2" name="Picture 1">
          <a:extLst>
            <a:ext uri="{FF2B5EF4-FFF2-40B4-BE49-F238E27FC236}">
              <a16:creationId xmlns:a16="http://schemas.microsoft.com/office/drawing/2014/main" id="{653F5384-E41F-4B29-9613-87E1575E17F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8125" y="126401"/>
          <a:ext cx="707496" cy="633218"/>
        </a:xfrm>
        <a:prstGeom prst="rect">
          <a:avLst/>
        </a:prstGeom>
        <a:noFill/>
      </xdr:spPr>
    </xdr:pic>
    <xdr:clientData/>
  </xdr:oneCellAnchor>
  <xdr:twoCellAnchor>
    <xdr:from>
      <xdr:col>8</xdr:col>
      <xdr:colOff>5027</xdr:colOff>
      <xdr:row>18</xdr:row>
      <xdr:rowOff>180445</xdr:rowOff>
    </xdr:from>
    <xdr:to>
      <xdr:col>13</xdr:col>
      <xdr:colOff>228600</xdr:colOff>
      <xdr:row>24</xdr:row>
      <xdr:rowOff>56091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91E4157-E526-455A-B4B0-07C49698440D}"/>
            </a:ext>
          </a:extLst>
        </xdr:cNvPr>
        <xdr:cNvSpPr txBox="1"/>
      </xdr:nvSpPr>
      <xdr:spPr>
        <a:xfrm>
          <a:off x="5986727" y="3999970"/>
          <a:ext cx="2966773" cy="10186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769408</xdr:colOff>
      <xdr:row>11</xdr:row>
      <xdr:rowOff>16140</xdr:rowOff>
    </xdr:from>
    <xdr:to>
      <xdr:col>2</xdr:col>
      <xdr:colOff>45508</xdr:colOff>
      <xdr:row>11</xdr:row>
      <xdr:rowOff>16140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8093F79-E1B1-4080-8B44-77E39CC01257}"/>
            </a:ext>
          </a:extLst>
        </xdr:cNvPr>
        <xdr:cNvCxnSpPr/>
      </xdr:nvCxnSpPr>
      <xdr:spPr>
        <a:xfrm>
          <a:off x="769408" y="1778265"/>
          <a:ext cx="1981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762000</xdr:colOff>
      <xdr:row>13</xdr:row>
      <xdr:rowOff>9525</xdr:rowOff>
    </xdr:from>
    <xdr:to>
      <xdr:col>2</xdr:col>
      <xdr:colOff>38100</xdr:colOff>
      <xdr:row>13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D89C649-0E81-48BC-9CBD-2C32886FC6AA}"/>
            </a:ext>
          </a:extLst>
        </xdr:cNvPr>
        <xdr:cNvCxnSpPr/>
      </xdr:nvCxnSpPr>
      <xdr:spPr>
        <a:xfrm>
          <a:off x="762000" y="1914525"/>
          <a:ext cx="1981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521597-8B14-4B2E-A76B-FE7169A8E6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4315" y="40369"/>
          <a:ext cx="701448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F06267-CA07-42EC-BA5E-CB363E0296A1}"/>
            </a:ext>
          </a:extLst>
        </xdr:cNvPr>
        <xdr:cNvSpPr txBox="1"/>
      </xdr:nvSpPr>
      <xdr:spPr>
        <a:xfrm>
          <a:off x="573942" y="1377461"/>
          <a:ext cx="237880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ROSE ANN L. ARRIESGADO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E002D12-157F-4F2C-B812-12C5F13B1C17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</a:t>
          </a:r>
          <a:r>
            <a:rPr lang="en-US" sz="1100" baseline="0"/>
            <a:t>S III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9EE093-1760-40A5-A4DA-94713F8A2F58}"/>
            </a:ext>
          </a:extLst>
        </xdr:cNvPr>
        <xdr:cNvSpPr txBox="1"/>
      </xdr:nvSpPr>
      <xdr:spPr>
        <a:xfrm>
          <a:off x="40891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6414</xdr:colOff>
      <xdr:row>0</xdr:row>
      <xdr:rowOff>41597</xdr:rowOff>
    </xdr:from>
    <xdr:ext cx="773490" cy="606231"/>
    <xdr:pic>
      <xdr:nvPicPr>
        <xdr:cNvPr id="2" name="Picture 1">
          <a:extLst>
            <a:ext uri="{FF2B5EF4-FFF2-40B4-BE49-F238E27FC236}">
              <a16:creationId xmlns:a16="http://schemas.microsoft.com/office/drawing/2014/main" id="{86DE3358-5A7B-46CA-9BEB-42D1DCA8067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43464" y="41597"/>
          <a:ext cx="773490" cy="606231"/>
        </a:xfrm>
        <a:prstGeom prst="rect">
          <a:avLst/>
        </a:prstGeom>
        <a:noFill/>
      </xdr:spPr>
    </xdr:pic>
    <xdr:clientData/>
  </xdr:one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5D4867-CFFC-43B6-B521-021BDB7F14FD}"/>
            </a:ext>
          </a:extLst>
        </xdr:cNvPr>
        <xdr:cNvSpPr txBox="1"/>
      </xdr:nvSpPr>
      <xdr:spPr>
        <a:xfrm>
          <a:off x="76200" y="4756150"/>
          <a:ext cx="357505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795353</xdr:colOff>
      <xdr:row>5</xdr:row>
      <xdr:rowOff>51314</xdr:rowOff>
    </xdr:from>
    <xdr:to>
      <xdr:col>1</xdr:col>
      <xdr:colOff>296223</xdr:colOff>
      <xdr:row>7</xdr:row>
      <xdr:rowOff>95651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8F490B1-5233-4224-8F53-75A0BF05EC2B}"/>
            </a:ext>
          </a:extLst>
        </xdr:cNvPr>
        <xdr:cNvSpPr txBox="1"/>
      </xdr:nvSpPr>
      <xdr:spPr>
        <a:xfrm>
          <a:off x="795353" y="1461014"/>
          <a:ext cx="2009120" cy="2475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ARRIESGADO, ROSE ANN</a:t>
          </a:r>
        </a:p>
      </xdr:txBody>
    </xdr:sp>
    <xdr:clientData/>
  </xdr:twoCellAnchor>
  <xdr:twoCellAnchor>
    <xdr:from>
      <xdr:col>0</xdr:col>
      <xdr:colOff>859495</xdr:colOff>
      <xdr:row>8</xdr:row>
      <xdr:rowOff>32071</xdr:rowOff>
    </xdr:from>
    <xdr:to>
      <xdr:col>1</xdr:col>
      <xdr:colOff>360365</xdr:colOff>
      <xdr:row>9</xdr:row>
      <xdr:rowOff>134200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5C8D19D-EDEE-4D1F-806B-954162B82FF8}"/>
            </a:ext>
          </a:extLst>
        </xdr:cNvPr>
        <xdr:cNvSpPr txBox="1"/>
      </xdr:nvSpPr>
      <xdr:spPr>
        <a:xfrm>
          <a:off x="859495" y="1797371"/>
          <a:ext cx="2009120" cy="254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602929</xdr:colOff>
      <xdr:row>7</xdr:row>
      <xdr:rowOff>102626</xdr:rowOff>
    </xdr:from>
    <xdr:to>
      <xdr:col>6</xdr:col>
      <xdr:colOff>433175</xdr:colOff>
      <xdr:row>9</xdr:row>
      <xdr:rowOff>84211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5E8E22-9AE9-4A95-938B-27EA414E2CE1}"/>
            </a:ext>
          </a:extLst>
        </xdr:cNvPr>
        <xdr:cNvSpPr txBox="1"/>
      </xdr:nvSpPr>
      <xdr:spPr>
        <a:xfrm>
          <a:off x="4330379" y="1715526"/>
          <a:ext cx="1659046" cy="2863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sheetPr>
    <pageSetUpPr fitToPage="1"/>
  </sheetPr>
  <dimension ref="A1:J89"/>
  <sheetViews>
    <sheetView view="pageBreakPreview" topLeftCell="A59" zoomScale="98" zoomScaleNormal="100" zoomScaleSheetLayoutView="98" workbookViewId="0">
      <selection activeCell="E87" sqref="E87"/>
    </sheetView>
  </sheetViews>
  <sheetFormatPr defaultRowHeight="15" x14ac:dyDescent="0.25"/>
  <cols>
    <col min="1" max="1" width="50.42578125" customWidth="1"/>
    <col min="2" max="2" width="11.5703125" style="14" customWidth="1"/>
    <col min="3" max="3" width="11.5703125" style="15" customWidth="1"/>
    <col min="4" max="4" width="11.5703125" style="14" customWidth="1"/>
    <col min="5" max="5" width="11.5703125" style="15" customWidth="1"/>
    <col min="6" max="10" width="11.5703125" customWidth="1"/>
  </cols>
  <sheetData>
    <row r="1" spans="1:10" s="1" customFormat="1" ht="52.5" customHeight="1" x14ac:dyDescent="0.25">
      <c r="F1"/>
      <c r="H1"/>
      <c r="I1"/>
    </row>
    <row r="2" spans="1:10" s="1" customFormat="1" ht="10.5" customHeight="1" x14ac:dyDescent="0.25">
      <c r="A2" s="80" t="s">
        <v>13</v>
      </c>
      <c r="B2" s="80"/>
      <c r="C2" s="80"/>
      <c r="D2" s="80"/>
      <c r="E2" s="80"/>
      <c r="F2" s="80"/>
      <c r="G2" s="80"/>
      <c r="H2" s="80"/>
      <c r="I2" s="80"/>
    </row>
    <row r="3" spans="1:10" s="1" customFormat="1" ht="15.95" customHeight="1" x14ac:dyDescent="0.25">
      <c r="A3" s="80" t="s">
        <v>14</v>
      </c>
      <c r="B3" s="80"/>
      <c r="C3" s="80"/>
      <c r="D3" s="80"/>
      <c r="E3" s="80"/>
      <c r="F3" s="80"/>
      <c r="G3" s="80"/>
      <c r="H3" s="80"/>
      <c r="I3" s="80"/>
    </row>
    <row r="4" spans="1:10" s="1" customFormat="1" ht="15.95" customHeight="1" x14ac:dyDescent="0.25">
      <c r="A4" s="80" t="s">
        <v>15</v>
      </c>
      <c r="B4" s="80"/>
      <c r="C4" s="80"/>
      <c r="D4" s="80"/>
      <c r="E4" s="80"/>
      <c r="F4" s="80"/>
      <c r="G4" s="80"/>
      <c r="H4" s="80"/>
      <c r="I4" s="80"/>
    </row>
    <row r="5" spans="1:10" s="1" customFormat="1" ht="15.95" customHeight="1" x14ac:dyDescent="0.25">
      <c r="A5" s="80" t="s">
        <v>16</v>
      </c>
      <c r="B5" s="80"/>
      <c r="C5" s="80"/>
      <c r="D5" s="80"/>
      <c r="E5" s="80"/>
      <c r="F5" s="80"/>
      <c r="G5" s="80"/>
      <c r="H5" s="80"/>
      <c r="I5" s="80"/>
    </row>
    <row r="6" spans="1:10" s="1" customFormat="1" ht="8.25" customHeight="1" x14ac:dyDescent="0.25">
      <c r="F6"/>
      <c r="H6"/>
      <c r="I6"/>
    </row>
    <row r="7" spans="1:10" s="1" customFormat="1" ht="12" customHeight="1" x14ac:dyDescent="0.25">
      <c r="A7" s="1" t="s">
        <v>52</v>
      </c>
      <c r="B7" s="3" t="s">
        <v>53</v>
      </c>
      <c r="C7" s="3"/>
      <c r="F7"/>
      <c r="G7" s="3" t="s">
        <v>9</v>
      </c>
      <c r="H7" s="81"/>
      <c r="I7" s="81"/>
    </row>
    <row r="8" spans="1:10" s="1" customFormat="1" ht="12" customHeight="1" x14ac:dyDescent="0.25">
      <c r="B8" s="2"/>
      <c r="C8" s="2"/>
      <c r="F8"/>
      <c r="G8" s="2"/>
      <c r="H8" s="66"/>
      <c r="I8" s="66"/>
    </row>
    <row r="9" spans="1:10" s="1" customFormat="1" ht="12" customHeight="1" x14ac:dyDescent="0.25">
      <c r="A9" s="1" t="s">
        <v>54</v>
      </c>
      <c r="B9" s="3" t="s">
        <v>55</v>
      </c>
      <c r="C9" s="3"/>
      <c r="F9"/>
      <c r="G9" s="3" t="s">
        <v>10</v>
      </c>
      <c r="H9" s="67"/>
      <c r="I9" s="67"/>
    </row>
    <row r="10" spans="1:10" ht="16.5" customHeight="1" thickBot="1" x14ac:dyDescent="0.3">
      <c r="A10" s="79" t="s">
        <v>0</v>
      </c>
      <c r="B10" s="79"/>
      <c r="C10" s="79"/>
      <c r="D10" s="79"/>
      <c r="E10" s="79"/>
      <c r="F10" s="79"/>
      <c r="G10" s="79"/>
      <c r="H10" s="79"/>
      <c r="I10" s="79"/>
    </row>
    <row r="11" spans="1:10" s="5" customFormat="1" ht="18.75" customHeight="1" x14ac:dyDescent="0.2">
      <c r="A11" s="82" t="s">
        <v>4</v>
      </c>
      <c r="B11" s="83" t="s">
        <v>5</v>
      </c>
      <c r="C11" s="83"/>
      <c r="D11" s="84" t="s">
        <v>6</v>
      </c>
      <c r="E11" s="84"/>
      <c r="F11" s="84"/>
      <c r="G11" s="84"/>
      <c r="H11" s="85" t="s">
        <v>7</v>
      </c>
      <c r="I11" s="85"/>
      <c r="J11" s="82" t="s">
        <v>8</v>
      </c>
    </row>
    <row r="12" spans="1:10" s="5" customFormat="1" ht="28.5" customHeight="1" x14ac:dyDescent="0.2">
      <c r="A12" s="82"/>
      <c r="B12" s="13" t="s">
        <v>1</v>
      </c>
      <c r="C12" s="16" t="s">
        <v>2</v>
      </c>
      <c r="D12" s="13" t="s">
        <v>1</v>
      </c>
      <c r="E12" s="16" t="s">
        <v>2</v>
      </c>
      <c r="F12" s="63" t="s">
        <v>3</v>
      </c>
      <c r="G12" s="6" t="s">
        <v>12</v>
      </c>
      <c r="H12" s="63" t="s">
        <v>1</v>
      </c>
      <c r="I12" s="63" t="s">
        <v>2</v>
      </c>
      <c r="J12" s="82"/>
    </row>
    <row r="13" spans="1:10" s="5" customFormat="1" ht="18.75" customHeight="1" x14ac:dyDescent="0.2">
      <c r="A13" s="78" t="s">
        <v>27</v>
      </c>
      <c r="B13" s="78"/>
      <c r="C13" s="78"/>
      <c r="D13" s="78"/>
      <c r="E13" s="78"/>
      <c r="F13" s="78"/>
      <c r="G13" s="78"/>
      <c r="H13" s="78"/>
      <c r="I13" s="78"/>
      <c r="J13" s="78"/>
    </row>
    <row r="14" spans="1:10" s="5" customFormat="1" ht="15.95" customHeight="1" x14ac:dyDescent="0.2">
      <c r="A14" s="8" t="s">
        <v>29</v>
      </c>
      <c r="B14" s="64">
        <f>SUM(1.25/30)*5</f>
        <v>0.20833333333333331</v>
      </c>
      <c r="C14" s="64">
        <f>SUM(1.25/30)*5</f>
        <v>0.20833333333333331</v>
      </c>
      <c r="D14" s="64"/>
      <c r="E14" s="64"/>
      <c r="F14" s="64"/>
      <c r="G14" s="31"/>
      <c r="H14" s="64">
        <f>B14</f>
        <v>0.20833333333333331</v>
      </c>
      <c r="I14" s="64">
        <f>C14</f>
        <v>0.20833333333333331</v>
      </c>
      <c r="J14" s="31">
        <f>H14+I14</f>
        <v>0.41666666666666663</v>
      </c>
    </row>
    <row r="15" spans="1:10" s="4" customFormat="1" ht="15.95" customHeight="1" x14ac:dyDescent="0.2">
      <c r="A15" s="9" t="s">
        <v>28</v>
      </c>
      <c r="B15" s="64">
        <v>11.25</v>
      </c>
      <c r="C15" s="64">
        <v>11.25</v>
      </c>
      <c r="D15" s="64"/>
      <c r="E15" s="64"/>
      <c r="F15" s="64"/>
      <c r="G15" s="31"/>
      <c r="H15" s="64">
        <f>H14-F15-D15+B15</f>
        <v>11.458333333333334</v>
      </c>
      <c r="I15" s="64">
        <f>I14-E15+C15</f>
        <v>11.458333333333334</v>
      </c>
      <c r="J15" s="31">
        <f>H15+I15</f>
        <v>22.916666666666668</v>
      </c>
    </row>
    <row r="16" spans="1:10" s="4" customFormat="1" ht="15.95" customHeight="1" x14ac:dyDescent="0.2">
      <c r="A16" s="9" t="s">
        <v>31</v>
      </c>
      <c r="B16" s="64"/>
      <c r="C16" s="64"/>
      <c r="D16" s="64"/>
      <c r="E16" s="64"/>
      <c r="F16" s="64">
        <v>1</v>
      </c>
      <c r="G16" s="31"/>
      <c r="H16" s="64">
        <f t="shared" ref="H16:H17" si="0">H15-F16-D16+B16</f>
        <v>10.458333333333334</v>
      </c>
      <c r="I16" s="64">
        <f t="shared" ref="I16:I17" si="1">I15-E16+C16</f>
        <v>11.458333333333334</v>
      </c>
      <c r="J16" s="31">
        <f>H16+I16</f>
        <v>21.916666666666668</v>
      </c>
    </row>
    <row r="17" spans="1:10" s="4" customFormat="1" ht="15.95" customHeight="1" x14ac:dyDescent="0.2">
      <c r="A17" s="9" t="s">
        <v>30</v>
      </c>
      <c r="B17" s="64"/>
      <c r="C17" s="64"/>
      <c r="D17" s="64"/>
      <c r="E17" s="64"/>
      <c r="F17" s="64">
        <v>2</v>
      </c>
      <c r="G17" s="31"/>
      <c r="H17" s="64">
        <f t="shared" si="0"/>
        <v>8.4583333333333339</v>
      </c>
      <c r="I17" s="64">
        <f t="shared" si="1"/>
        <v>11.458333333333334</v>
      </c>
      <c r="J17" s="31">
        <f>H17+I17</f>
        <v>19.916666666666668</v>
      </c>
    </row>
    <row r="18" spans="1:10" s="4" customFormat="1" ht="15.95" customHeight="1" x14ac:dyDescent="0.2">
      <c r="A18" s="9" t="s">
        <v>138</v>
      </c>
      <c r="B18" s="64"/>
      <c r="C18" s="64"/>
      <c r="D18" s="64"/>
      <c r="E18" s="64"/>
      <c r="F18" s="64">
        <v>2</v>
      </c>
      <c r="G18" s="31"/>
      <c r="H18" s="64">
        <f t="shared" ref="H18:H39" si="2">H17-F18-D18+B18</f>
        <v>6.4583333333333339</v>
      </c>
      <c r="I18" s="64">
        <f t="shared" ref="I18:I39" si="3">I17-E18+C18</f>
        <v>11.458333333333334</v>
      </c>
      <c r="J18" s="31">
        <f t="shared" ref="J18:J38" si="4">H18+I18</f>
        <v>17.916666666666668</v>
      </c>
    </row>
    <row r="19" spans="1:10" s="4" customFormat="1" ht="15.95" customHeight="1" x14ac:dyDescent="0.2">
      <c r="A19" s="9" t="s">
        <v>32</v>
      </c>
      <c r="B19" s="64">
        <v>7.5</v>
      </c>
      <c r="C19" s="64">
        <v>7.5</v>
      </c>
      <c r="D19" s="64"/>
      <c r="E19" s="64"/>
      <c r="F19" s="64"/>
      <c r="G19" s="31"/>
      <c r="H19" s="64">
        <f t="shared" si="2"/>
        <v>13.958333333333334</v>
      </c>
      <c r="I19" s="64">
        <f t="shared" si="3"/>
        <v>18.958333333333336</v>
      </c>
      <c r="J19" s="31">
        <f t="shared" si="4"/>
        <v>32.916666666666671</v>
      </c>
    </row>
    <row r="20" spans="1:10" s="4" customFormat="1" ht="15.95" customHeight="1" x14ac:dyDescent="0.2">
      <c r="A20" s="9" t="s">
        <v>33</v>
      </c>
      <c r="B20" s="64">
        <v>7.5</v>
      </c>
      <c r="C20" s="64">
        <v>7.5</v>
      </c>
      <c r="D20" s="64"/>
      <c r="E20" s="64"/>
      <c r="F20" s="64"/>
      <c r="G20" s="31"/>
      <c r="H20" s="64">
        <f t="shared" si="2"/>
        <v>21.458333333333336</v>
      </c>
      <c r="I20" s="64">
        <f t="shared" si="3"/>
        <v>26.458333333333336</v>
      </c>
      <c r="J20" s="31">
        <f t="shared" si="4"/>
        <v>47.916666666666671</v>
      </c>
    </row>
    <row r="21" spans="1:10" s="4" customFormat="1" ht="15.95" customHeight="1" x14ac:dyDescent="0.2">
      <c r="A21" s="9" t="s">
        <v>34</v>
      </c>
      <c r="B21" s="64"/>
      <c r="C21" s="64"/>
      <c r="D21" s="64">
        <v>10</v>
      </c>
      <c r="E21" s="64"/>
      <c r="F21" s="64"/>
      <c r="G21" s="31"/>
      <c r="H21" s="64">
        <f t="shared" si="2"/>
        <v>11.458333333333336</v>
      </c>
      <c r="I21" s="64">
        <f t="shared" si="3"/>
        <v>26.458333333333336</v>
      </c>
      <c r="J21" s="31">
        <f t="shared" si="4"/>
        <v>37.916666666666671</v>
      </c>
    </row>
    <row r="22" spans="1:10" s="4" customFormat="1" ht="15.95" customHeight="1" x14ac:dyDescent="0.2">
      <c r="A22" s="17" t="s">
        <v>35</v>
      </c>
      <c r="B22" s="64"/>
      <c r="C22" s="64"/>
      <c r="D22" s="64"/>
      <c r="E22" s="64"/>
      <c r="F22" s="64">
        <v>2</v>
      </c>
      <c r="G22" s="31"/>
      <c r="H22" s="64">
        <f t="shared" si="2"/>
        <v>9.4583333333333357</v>
      </c>
      <c r="I22" s="64">
        <f t="shared" si="3"/>
        <v>26.458333333333336</v>
      </c>
      <c r="J22" s="31">
        <f t="shared" si="4"/>
        <v>35.916666666666671</v>
      </c>
    </row>
    <row r="23" spans="1:10" s="4" customFormat="1" ht="15.95" customHeight="1" x14ac:dyDescent="0.2">
      <c r="A23" s="9" t="s">
        <v>36</v>
      </c>
      <c r="B23" s="64">
        <v>8.75</v>
      </c>
      <c r="C23" s="64">
        <v>8.75</v>
      </c>
      <c r="D23" s="64"/>
      <c r="E23" s="64"/>
      <c r="F23" s="64"/>
      <c r="G23" s="31"/>
      <c r="H23" s="64">
        <f t="shared" si="2"/>
        <v>18.208333333333336</v>
      </c>
      <c r="I23" s="64">
        <f t="shared" si="3"/>
        <v>35.208333333333336</v>
      </c>
      <c r="J23" s="31">
        <f t="shared" si="4"/>
        <v>53.416666666666671</v>
      </c>
    </row>
    <row r="24" spans="1:10" s="4" customFormat="1" ht="15.95" customHeight="1" x14ac:dyDescent="0.2">
      <c r="A24" s="17" t="s">
        <v>37</v>
      </c>
      <c r="B24" s="64"/>
      <c r="C24" s="64"/>
      <c r="D24" s="64"/>
      <c r="E24" s="64"/>
      <c r="F24" s="64">
        <v>1</v>
      </c>
      <c r="G24" s="31"/>
      <c r="H24" s="64">
        <f t="shared" si="2"/>
        <v>17.208333333333336</v>
      </c>
      <c r="I24" s="64">
        <f t="shared" si="3"/>
        <v>35.208333333333336</v>
      </c>
      <c r="J24" s="31">
        <f t="shared" si="4"/>
        <v>52.416666666666671</v>
      </c>
    </row>
    <row r="25" spans="1:10" s="4" customFormat="1" ht="15.95" customHeight="1" x14ac:dyDescent="0.2">
      <c r="A25" s="17" t="s">
        <v>38</v>
      </c>
      <c r="B25" s="64"/>
      <c r="C25" s="64"/>
      <c r="D25" s="64"/>
      <c r="E25" s="64"/>
      <c r="F25" s="64">
        <v>2</v>
      </c>
      <c r="G25" s="31"/>
      <c r="H25" s="64">
        <f t="shared" si="2"/>
        <v>15.208333333333336</v>
      </c>
      <c r="I25" s="64">
        <f t="shared" si="3"/>
        <v>35.208333333333336</v>
      </c>
      <c r="J25" s="31">
        <f t="shared" si="4"/>
        <v>50.416666666666671</v>
      </c>
    </row>
    <row r="26" spans="1:10" s="4" customFormat="1" ht="15.95" customHeight="1" x14ac:dyDescent="0.2">
      <c r="A26" s="17" t="s">
        <v>39</v>
      </c>
      <c r="B26" s="64"/>
      <c r="C26" s="64"/>
      <c r="D26" s="64"/>
      <c r="E26" s="64"/>
      <c r="F26" s="64">
        <v>1</v>
      </c>
      <c r="G26" s="31"/>
      <c r="H26" s="64">
        <f t="shared" si="2"/>
        <v>14.208333333333336</v>
      </c>
      <c r="I26" s="64">
        <f t="shared" si="3"/>
        <v>35.208333333333336</v>
      </c>
      <c r="J26" s="31">
        <f t="shared" si="4"/>
        <v>49.416666666666671</v>
      </c>
    </row>
    <row r="27" spans="1:10" s="4" customFormat="1" ht="15.95" customHeight="1" x14ac:dyDescent="0.2">
      <c r="A27" s="17" t="s">
        <v>40</v>
      </c>
      <c r="B27" s="64">
        <v>5</v>
      </c>
      <c r="C27" s="64">
        <v>5</v>
      </c>
      <c r="D27" s="64"/>
      <c r="E27" s="64"/>
      <c r="F27" s="64"/>
      <c r="G27" s="31"/>
      <c r="H27" s="64">
        <f t="shared" si="2"/>
        <v>19.208333333333336</v>
      </c>
      <c r="I27" s="64">
        <f t="shared" si="3"/>
        <v>40.208333333333336</v>
      </c>
      <c r="J27" s="31">
        <f t="shared" si="4"/>
        <v>59.416666666666671</v>
      </c>
    </row>
    <row r="28" spans="1:10" s="4" customFormat="1" ht="15.95" customHeight="1" x14ac:dyDescent="0.2">
      <c r="A28" s="9" t="s">
        <v>41</v>
      </c>
      <c r="B28" s="64"/>
      <c r="C28" s="64"/>
      <c r="D28" s="64">
        <v>14</v>
      </c>
      <c r="E28" s="64">
        <v>15</v>
      </c>
      <c r="F28" s="64"/>
      <c r="G28" s="31"/>
      <c r="H28" s="64">
        <f t="shared" si="2"/>
        <v>5.2083333333333357</v>
      </c>
      <c r="I28" s="64">
        <f t="shared" si="3"/>
        <v>25.208333333333336</v>
      </c>
      <c r="J28" s="31">
        <f t="shared" si="4"/>
        <v>30.416666666666671</v>
      </c>
    </row>
    <row r="29" spans="1:10" s="4" customFormat="1" ht="15.95" customHeight="1" x14ac:dyDescent="0.2">
      <c r="A29" s="17" t="s">
        <v>42</v>
      </c>
      <c r="B29" s="64"/>
      <c r="C29" s="64"/>
      <c r="D29" s="64"/>
      <c r="E29" s="64"/>
      <c r="F29" s="64"/>
      <c r="G29" s="31">
        <v>1</v>
      </c>
      <c r="H29" s="64">
        <f t="shared" si="2"/>
        <v>5.2083333333333357</v>
      </c>
      <c r="I29" s="64">
        <f t="shared" si="3"/>
        <v>25.208333333333336</v>
      </c>
      <c r="J29" s="31">
        <f t="shared" si="4"/>
        <v>30.416666666666671</v>
      </c>
    </row>
    <row r="30" spans="1:10" s="4" customFormat="1" ht="15.95" customHeight="1" x14ac:dyDescent="0.2">
      <c r="A30" s="17" t="s">
        <v>17</v>
      </c>
      <c r="B30" s="64">
        <v>1.25</v>
      </c>
      <c r="C30" s="64">
        <v>1.25</v>
      </c>
      <c r="D30" s="64"/>
      <c r="E30" s="64"/>
      <c r="F30" s="64"/>
      <c r="G30" s="31"/>
      <c r="H30" s="64">
        <f t="shared" si="2"/>
        <v>6.4583333333333357</v>
      </c>
      <c r="I30" s="64">
        <f t="shared" si="3"/>
        <v>26.458333333333336</v>
      </c>
      <c r="J30" s="31">
        <f t="shared" si="4"/>
        <v>32.916666666666671</v>
      </c>
    </row>
    <row r="31" spans="1:10" s="4" customFormat="1" ht="15.95" customHeight="1" x14ac:dyDescent="0.2">
      <c r="A31" s="18" t="s">
        <v>44</v>
      </c>
      <c r="B31" s="65"/>
      <c r="C31" s="64"/>
      <c r="D31" s="64"/>
      <c r="E31" s="64"/>
      <c r="F31" s="64"/>
      <c r="G31" s="31">
        <v>1</v>
      </c>
      <c r="H31" s="64">
        <f t="shared" si="2"/>
        <v>6.4583333333333357</v>
      </c>
      <c r="I31" s="64">
        <f t="shared" si="3"/>
        <v>26.458333333333336</v>
      </c>
      <c r="J31" s="31">
        <f t="shared" si="4"/>
        <v>32.916666666666671</v>
      </c>
    </row>
    <row r="32" spans="1:10" s="4" customFormat="1" ht="15.95" customHeight="1" x14ac:dyDescent="0.2">
      <c r="A32" s="18" t="s">
        <v>45</v>
      </c>
      <c r="B32" s="65"/>
      <c r="C32" s="64"/>
      <c r="D32" s="64"/>
      <c r="E32" s="64"/>
      <c r="F32" s="64">
        <v>1</v>
      </c>
      <c r="G32" s="31"/>
      <c r="H32" s="64">
        <f t="shared" si="2"/>
        <v>5.4583333333333357</v>
      </c>
      <c r="I32" s="64">
        <f t="shared" si="3"/>
        <v>26.458333333333336</v>
      </c>
      <c r="J32" s="31">
        <f t="shared" si="4"/>
        <v>31.916666666666671</v>
      </c>
    </row>
    <row r="33" spans="1:10" s="4" customFormat="1" ht="15.95" customHeight="1" x14ac:dyDescent="0.2">
      <c r="A33" s="17" t="s">
        <v>19</v>
      </c>
      <c r="B33" s="64"/>
      <c r="C33" s="64"/>
      <c r="D33" s="64"/>
      <c r="E33" s="64">
        <v>1</v>
      </c>
      <c r="F33" s="64"/>
      <c r="G33" s="31"/>
      <c r="H33" s="64">
        <f t="shared" si="2"/>
        <v>5.4583333333333357</v>
      </c>
      <c r="I33" s="64">
        <f t="shared" si="3"/>
        <v>25.458333333333336</v>
      </c>
      <c r="J33" s="31">
        <f t="shared" si="4"/>
        <v>30.916666666666671</v>
      </c>
    </row>
    <row r="34" spans="1:10" s="4" customFormat="1" ht="15.95" customHeight="1" x14ac:dyDescent="0.2">
      <c r="A34" s="17" t="s">
        <v>20</v>
      </c>
      <c r="B34" s="64">
        <v>1.25</v>
      </c>
      <c r="C34" s="64">
        <v>1.25</v>
      </c>
      <c r="D34" s="64"/>
      <c r="E34" s="64"/>
      <c r="F34" s="64"/>
      <c r="G34" s="31"/>
      <c r="H34" s="64">
        <f t="shared" si="2"/>
        <v>6.7083333333333357</v>
      </c>
      <c r="I34" s="64">
        <f t="shared" si="3"/>
        <v>26.708333333333336</v>
      </c>
      <c r="J34" s="31">
        <f t="shared" si="4"/>
        <v>33.416666666666671</v>
      </c>
    </row>
    <row r="35" spans="1:10" ht="15.95" customHeight="1" x14ac:dyDescent="0.25">
      <c r="A35" s="17" t="s">
        <v>21</v>
      </c>
      <c r="B35" s="64"/>
      <c r="C35" s="64"/>
      <c r="D35" s="64"/>
      <c r="E35" s="64"/>
      <c r="F35" s="64">
        <v>1</v>
      </c>
      <c r="G35" s="31"/>
      <c r="H35" s="64">
        <f t="shared" si="2"/>
        <v>5.7083333333333357</v>
      </c>
      <c r="I35" s="64">
        <f t="shared" si="3"/>
        <v>26.708333333333336</v>
      </c>
      <c r="J35" s="31">
        <f t="shared" si="4"/>
        <v>32.416666666666671</v>
      </c>
    </row>
    <row r="36" spans="1:10" ht="15.95" customHeight="1" x14ac:dyDescent="0.25">
      <c r="A36" s="17" t="s">
        <v>22</v>
      </c>
      <c r="B36" s="64">
        <v>3.75</v>
      </c>
      <c r="C36" s="64">
        <v>3.75</v>
      </c>
      <c r="D36" s="65"/>
      <c r="E36" s="65"/>
      <c r="F36" s="65"/>
      <c r="G36" s="12"/>
      <c r="H36" s="64">
        <f t="shared" si="2"/>
        <v>9.4583333333333357</v>
      </c>
      <c r="I36" s="64">
        <f t="shared" si="3"/>
        <v>30.458333333333336</v>
      </c>
      <c r="J36" s="31">
        <f t="shared" si="4"/>
        <v>39.916666666666671</v>
      </c>
    </row>
    <row r="37" spans="1:10" ht="15.95" customHeight="1" x14ac:dyDescent="0.25">
      <c r="A37" s="17" t="s">
        <v>23</v>
      </c>
      <c r="B37" s="64"/>
      <c r="C37" s="64"/>
      <c r="D37" s="65"/>
      <c r="E37" s="64"/>
      <c r="F37" s="64">
        <v>0.5</v>
      </c>
      <c r="G37" s="12"/>
      <c r="H37" s="64">
        <f t="shared" si="2"/>
        <v>8.9583333333333357</v>
      </c>
      <c r="I37" s="64">
        <f t="shared" si="3"/>
        <v>30.458333333333336</v>
      </c>
      <c r="J37" s="31">
        <f t="shared" si="4"/>
        <v>39.416666666666671</v>
      </c>
    </row>
    <row r="38" spans="1:10" ht="15.95" customHeight="1" x14ac:dyDescent="0.25">
      <c r="A38" s="17" t="s">
        <v>11</v>
      </c>
      <c r="B38" s="64">
        <v>1.25</v>
      </c>
      <c r="C38" s="64">
        <v>1.25</v>
      </c>
      <c r="D38" s="76"/>
      <c r="E38" s="62"/>
      <c r="F38" s="62"/>
      <c r="G38" s="32"/>
      <c r="H38" s="64">
        <f t="shared" si="2"/>
        <v>10.208333333333336</v>
      </c>
      <c r="I38" s="64">
        <f t="shared" si="3"/>
        <v>31.708333333333336</v>
      </c>
      <c r="J38" s="31">
        <f t="shared" si="4"/>
        <v>41.916666666666671</v>
      </c>
    </row>
    <row r="39" spans="1:10" ht="15.95" customHeight="1" x14ac:dyDescent="0.25">
      <c r="A39" s="17" t="s">
        <v>24</v>
      </c>
      <c r="B39" s="62"/>
      <c r="C39" s="62"/>
      <c r="D39" s="62"/>
      <c r="E39" s="62">
        <v>1</v>
      </c>
      <c r="F39" s="62"/>
      <c r="G39" s="32"/>
      <c r="H39" s="64">
        <f t="shared" si="2"/>
        <v>10.208333333333336</v>
      </c>
      <c r="I39" s="64">
        <f t="shared" si="3"/>
        <v>30.708333333333336</v>
      </c>
      <c r="J39" s="31">
        <f>H39+I39</f>
        <v>40.916666666666671</v>
      </c>
    </row>
    <row r="40" spans="1:10" ht="15.95" customHeight="1" x14ac:dyDescent="0.25">
      <c r="A40" s="17" t="s">
        <v>25</v>
      </c>
      <c r="B40" s="62"/>
      <c r="C40" s="62"/>
      <c r="D40" s="62"/>
      <c r="E40" s="62">
        <v>1</v>
      </c>
      <c r="F40" s="62"/>
      <c r="G40" s="32"/>
      <c r="H40" s="64">
        <f t="shared" ref="H40:H73" si="5">H39-F40-D40+B40</f>
        <v>10.208333333333336</v>
      </c>
      <c r="I40" s="64">
        <f t="shared" ref="I40:I73" si="6">I39-E40+C40</f>
        <v>29.708333333333336</v>
      </c>
      <c r="J40" s="31">
        <f t="shared" ref="J40:J50" si="7">H40+I40</f>
        <v>39.916666666666671</v>
      </c>
    </row>
    <row r="41" spans="1:10" ht="15.95" customHeight="1" x14ac:dyDescent="0.25">
      <c r="A41" s="17" t="s">
        <v>18</v>
      </c>
      <c r="B41" s="64">
        <v>1.25</v>
      </c>
      <c r="C41" s="64">
        <v>1.25</v>
      </c>
      <c r="D41" s="62"/>
      <c r="E41" s="62"/>
      <c r="F41" s="62"/>
      <c r="G41" s="32"/>
      <c r="H41" s="64">
        <f t="shared" si="5"/>
        <v>11.458333333333336</v>
      </c>
      <c r="I41" s="64">
        <f t="shared" si="6"/>
        <v>30.958333333333336</v>
      </c>
      <c r="J41" s="31">
        <f t="shared" si="7"/>
        <v>42.416666666666671</v>
      </c>
    </row>
    <row r="42" spans="1:10" ht="15.95" customHeight="1" x14ac:dyDescent="0.25">
      <c r="A42" s="17" t="s">
        <v>26</v>
      </c>
      <c r="B42" s="64"/>
      <c r="C42" s="64"/>
      <c r="D42" s="76"/>
      <c r="E42" s="62"/>
      <c r="F42" s="62">
        <v>2</v>
      </c>
      <c r="G42" s="32"/>
      <c r="H42" s="64">
        <f t="shared" si="5"/>
        <v>9.4583333333333357</v>
      </c>
      <c r="I42" s="64">
        <f t="shared" si="6"/>
        <v>30.958333333333336</v>
      </c>
      <c r="J42" s="31">
        <f t="shared" si="7"/>
        <v>40.416666666666671</v>
      </c>
    </row>
    <row r="43" spans="1:10" ht="15.95" customHeight="1" x14ac:dyDescent="0.25">
      <c r="A43" s="17" t="s">
        <v>46</v>
      </c>
      <c r="B43" s="64">
        <v>2.5</v>
      </c>
      <c r="C43" s="64">
        <v>2.5</v>
      </c>
      <c r="D43" s="76"/>
      <c r="E43" s="62"/>
      <c r="F43" s="62"/>
      <c r="G43" s="32"/>
      <c r="H43" s="64">
        <f t="shared" si="5"/>
        <v>11.958333333333336</v>
      </c>
      <c r="I43" s="64">
        <f t="shared" si="6"/>
        <v>33.458333333333336</v>
      </c>
      <c r="J43" s="31">
        <f t="shared" si="7"/>
        <v>45.416666666666671</v>
      </c>
    </row>
    <row r="44" spans="1:10" ht="15.95" customHeight="1" x14ac:dyDescent="0.25">
      <c r="A44" s="17" t="s">
        <v>47</v>
      </c>
      <c r="B44" s="64"/>
      <c r="C44" s="64"/>
      <c r="D44" s="62">
        <v>8</v>
      </c>
      <c r="E44" s="62">
        <v>21</v>
      </c>
      <c r="F44" s="62"/>
      <c r="G44" s="32"/>
      <c r="H44" s="64">
        <f t="shared" si="5"/>
        <v>3.9583333333333357</v>
      </c>
      <c r="I44" s="64">
        <f t="shared" si="6"/>
        <v>12.458333333333336</v>
      </c>
      <c r="J44" s="31">
        <f t="shared" si="7"/>
        <v>16.416666666666671</v>
      </c>
    </row>
    <row r="45" spans="1:10" ht="15.95" customHeight="1" x14ac:dyDescent="0.25">
      <c r="A45" s="17" t="s">
        <v>48</v>
      </c>
      <c r="B45" s="64"/>
      <c r="C45" s="64"/>
      <c r="D45" s="76"/>
      <c r="E45" s="62"/>
      <c r="F45" s="62"/>
      <c r="G45" s="32">
        <v>1</v>
      </c>
      <c r="H45" s="64">
        <f t="shared" si="5"/>
        <v>3.9583333333333357</v>
      </c>
      <c r="I45" s="64">
        <f t="shared" si="6"/>
        <v>12.458333333333336</v>
      </c>
      <c r="J45" s="31">
        <f t="shared" si="7"/>
        <v>16.416666666666671</v>
      </c>
    </row>
    <row r="46" spans="1:10" ht="15.95" customHeight="1" x14ac:dyDescent="0.25">
      <c r="A46" s="17" t="s">
        <v>49</v>
      </c>
      <c r="B46" s="64">
        <v>2.5</v>
      </c>
      <c r="C46" s="64">
        <v>2.5</v>
      </c>
      <c r="D46" s="76"/>
      <c r="E46" s="62"/>
      <c r="F46" s="62"/>
      <c r="G46" s="32"/>
      <c r="H46" s="64">
        <f t="shared" si="5"/>
        <v>6.4583333333333357</v>
      </c>
      <c r="I46" s="64">
        <f t="shared" si="6"/>
        <v>14.958333333333336</v>
      </c>
      <c r="J46" s="31">
        <f t="shared" si="7"/>
        <v>21.416666666666671</v>
      </c>
    </row>
    <row r="47" spans="1:10" ht="15.95" customHeight="1" x14ac:dyDescent="0.25">
      <c r="A47" s="17" t="s">
        <v>50</v>
      </c>
      <c r="B47" s="64"/>
      <c r="C47" s="64"/>
      <c r="D47" s="76"/>
      <c r="E47" s="62"/>
      <c r="F47" s="62">
        <v>0.5</v>
      </c>
      <c r="G47" s="32"/>
      <c r="H47" s="64">
        <f t="shared" si="5"/>
        <v>5.9583333333333357</v>
      </c>
      <c r="I47" s="64">
        <f t="shared" si="6"/>
        <v>14.958333333333336</v>
      </c>
      <c r="J47" s="31">
        <f t="shared" si="7"/>
        <v>20.916666666666671</v>
      </c>
    </row>
    <row r="48" spans="1:10" ht="15.95" customHeight="1" x14ac:dyDescent="0.25">
      <c r="A48" s="17" t="s">
        <v>51</v>
      </c>
      <c r="B48" s="64"/>
      <c r="C48" s="64"/>
      <c r="D48" s="76"/>
      <c r="E48" s="62">
        <v>1.5</v>
      </c>
      <c r="F48" s="62"/>
      <c r="G48" s="32"/>
      <c r="H48" s="64">
        <f t="shared" si="5"/>
        <v>5.9583333333333357</v>
      </c>
      <c r="I48" s="64">
        <f t="shared" si="6"/>
        <v>13.458333333333336</v>
      </c>
      <c r="J48" s="31">
        <f t="shared" si="7"/>
        <v>19.416666666666671</v>
      </c>
    </row>
    <row r="49" spans="1:10" ht="15.95" customHeight="1" x14ac:dyDescent="0.25">
      <c r="A49" s="17" t="s">
        <v>74</v>
      </c>
      <c r="B49" s="64">
        <v>1.25</v>
      </c>
      <c r="C49" s="64">
        <v>1.25</v>
      </c>
      <c r="D49" s="76"/>
      <c r="E49" s="62"/>
      <c r="F49" s="62"/>
      <c r="G49" s="32"/>
      <c r="H49" s="64">
        <f t="shared" si="5"/>
        <v>7.2083333333333357</v>
      </c>
      <c r="I49" s="64">
        <f t="shared" si="6"/>
        <v>14.708333333333336</v>
      </c>
      <c r="J49" s="31">
        <f t="shared" si="7"/>
        <v>21.916666666666671</v>
      </c>
    </row>
    <row r="50" spans="1:10" ht="15.95" customHeight="1" x14ac:dyDescent="0.25">
      <c r="A50" s="17" t="s">
        <v>75</v>
      </c>
      <c r="B50" s="64"/>
      <c r="C50" s="64"/>
      <c r="D50" s="76"/>
      <c r="E50" s="62"/>
      <c r="F50" s="62"/>
      <c r="G50" s="32">
        <v>1</v>
      </c>
      <c r="H50" s="64">
        <f t="shared" si="5"/>
        <v>7.2083333333333357</v>
      </c>
      <c r="I50" s="64">
        <f t="shared" si="6"/>
        <v>14.708333333333336</v>
      </c>
      <c r="J50" s="31">
        <f t="shared" si="7"/>
        <v>21.916666666666671</v>
      </c>
    </row>
    <row r="51" spans="1:10" ht="15.95" customHeight="1" x14ac:dyDescent="0.25">
      <c r="A51" s="17" t="s">
        <v>76</v>
      </c>
      <c r="B51" s="64"/>
      <c r="C51" s="64"/>
      <c r="D51" s="76"/>
      <c r="E51" s="62">
        <v>1</v>
      </c>
      <c r="F51" s="62"/>
      <c r="G51" s="32"/>
      <c r="H51" s="64">
        <f t="shared" si="5"/>
        <v>7.2083333333333357</v>
      </c>
      <c r="I51" s="64">
        <f t="shared" si="6"/>
        <v>13.708333333333336</v>
      </c>
      <c r="J51" s="31">
        <f>H51+I51</f>
        <v>20.916666666666671</v>
      </c>
    </row>
    <row r="52" spans="1:10" ht="15.95" customHeight="1" x14ac:dyDescent="0.25">
      <c r="A52" s="17" t="s">
        <v>77</v>
      </c>
      <c r="B52" s="64">
        <v>1.25</v>
      </c>
      <c r="C52" s="64">
        <v>1.25</v>
      </c>
      <c r="D52" s="76"/>
      <c r="E52" s="62"/>
      <c r="F52" s="62"/>
      <c r="G52" s="32"/>
      <c r="H52" s="64">
        <f t="shared" si="5"/>
        <v>8.4583333333333357</v>
      </c>
      <c r="I52" s="64">
        <f t="shared" si="6"/>
        <v>14.958333333333336</v>
      </c>
      <c r="J52" s="31">
        <f t="shared" ref="J52:J72" si="8">H52+I52</f>
        <v>23.416666666666671</v>
      </c>
    </row>
    <row r="53" spans="1:10" ht="15.95" customHeight="1" x14ac:dyDescent="0.25">
      <c r="A53" s="17" t="s">
        <v>78</v>
      </c>
      <c r="B53" s="64"/>
      <c r="C53" s="64"/>
      <c r="D53" s="76"/>
      <c r="E53" s="62"/>
      <c r="F53" s="62"/>
      <c r="G53" s="32">
        <v>0.5</v>
      </c>
      <c r="H53" s="64">
        <f t="shared" si="5"/>
        <v>8.4583333333333357</v>
      </c>
      <c r="I53" s="64">
        <f t="shared" si="6"/>
        <v>14.958333333333336</v>
      </c>
      <c r="J53" s="31">
        <f t="shared" si="8"/>
        <v>23.416666666666671</v>
      </c>
    </row>
    <row r="54" spans="1:10" ht="15.95" customHeight="1" x14ac:dyDescent="0.25">
      <c r="A54" s="17" t="s">
        <v>79</v>
      </c>
      <c r="B54" s="64"/>
      <c r="C54" s="64"/>
      <c r="D54" s="76"/>
      <c r="E54" s="62">
        <v>0.5</v>
      </c>
      <c r="F54" s="62"/>
      <c r="G54" s="32"/>
      <c r="H54" s="64">
        <f t="shared" si="5"/>
        <v>8.4583333333333357</v>
      </c>
      <c r="I54" s="64">
        <f t="shared" si="6"/>
        <v>14.458333333333336</v>
      </c>
      <c r="J54" s="31">
        <f t="shared" si="8"/>
        <v>22.916666666666671</v>
      </c>
    </row>
    <row r="55" spans="1:10" ht="15.95" customHeight="1" x14ac:dyDescent="0.25">
      <c r="A55" s="17" t="s">
        <v>80</v>
      </c>
      <c r="B55" s="64">
        <v>1.25</v>
      </c>
      <c r="C55" s="64">
        <v>1.25</v>
      </c>
      <c r="D55" s="76"/>
      <c r="E55" s="62"/>
      <c r="F55" s="62"/>
      <c r="G55" s="32"/>
      <c r="H55" s="64">
        <f t="shared" si="5"/>
        <v>9.7083333333333357</v>
      </c>
      <c r="I55" s="64">
        <f t="shared" si="6"/>
        <v>15.708333333333336</v>
      </c>
      <c r="J55" s="31">
        <f t="shared" si="8"/>
        <v>25.416666666666671</v>
      </c>
    </row>
    <row r="56" spans="1:10" ht="15.95" customHeight="1" x14ac:dyDescent="0.25">
      <c r="A56" s="17" t="s">
        <v>81</v>
      </c>
      <c r="B56" s="64"/>
      <c r="C56" s="64"/>
      <c r="D56" s="76"/>
      <c r="E56" s="62"/>
      <c r="F56" s="62">
        <v>2</v>
      </c>
      <c r="G56" s="32"/>
      <c r="H56" s="64">
        <f t="shared" si="5"/>
        <v>7.7083333333333357</v>
      </c>
      <c r="I56" s="64">
        <f t="shared" si="6"/>
        <v>15.708333333333336</v>
      </c>
      <c r="J56" s="31">
        <f t="shared" si="8"/>
        <v>23.416666666666671</v>
      </c>
    </row>
    <row r="57" spans="1:10" ht="15.95" customHeight="1" x14ac:dyDescent="0.25">
      <c r="A57" s="17" t="s">
        <v>82</v>
      </c>
      <c r="B57" s="64">
        <v>1.25</v>
      </c>
      <c r="C57" s="64">
        <v>1.25</v>
      </c>
      <c r="D57" s="76"/>
      <c r="E57" s="62"/>
      <c r="F57" s="62"/>
      <c r="G57" s="32"/>
      <c r="H57" s="64">
        <f t="shared" si="5"/>
        <v>8.9583333333333357</v>
      </c>
      <c r="I57" s="64">
        <f t="shared" si="6"/>
        <v>16.958333333333336</v>
      </c>
      <c r="J57" s="31">
        <f t="shared" si="8"/>
        <v>25.916666666666671</v>
      </c>
    </row>
    <row r="58" spans="1:10" ht="15.95" customHeight="1" x14ac:dyDescent="0.25">
      <c r="A58" s="17" t="s">
        <v>83</v>
      </c>
      <c r="B58" s="64"/>
      <c r="C58" s="64"/>
      <c r="D58" s="76"/>
      <c r="E58" s="62"/>
      <c r="F58" s="62"/>
      <c r="G58" s="32">
        <v>0.5</v>
      </c>
      <c r="H58" s="64">
        <f t="shared" si="5"/>
        <v>8.9583333333333357</v>
      </c>
      <c r="I58" s="64">
        <f t="shared" si="6"/>
        <v>16.958333333333336</v>
      </c>
      <c r="J58" s="31">
        <f t="shared" si="8"/>
        <v>25.916666666666671</v>
      </c>
    </row>
    <row r="59" spans="1:10" ht="15.95" customHeight="1" x14ac:dyDescent="0.25">
      <c r="A59" s="17" t="s">
        <v>84</v>
      </c>
      <c r="B59" s="64"/>
      <c r="C59" s="64"/>
      <c r="D59" s="76"/>
      <c r="E59" s="62"/>
      <c r="F59" s="62"/>
      <c r="G59" s="32"/>
      <c r="H59" s="64">
        <f t="shared" si="5"/>
        <v>8.9583333333333357</v>
      </c>
      <c r="I59" s="64">
        <f t="shared" si="6"/>
        <v>16.958333333333336</v>
      </c>
      <c r="J59" s="31">
        <f t="shared" si="8"/>
        <v>25.916666666666671</v>
      </c>
    </row>
    <row r="60" spans="1:10" ht="15.95" customHeight="1" x14ac:dyDescent="0.25">
      <c r="A60" s="17" t="s">
        <v>85</v>
      </c>
      <c r="B60" s="64"/>
      <c r="C60" s="64"/>
      <c r="D60" s="76"/>
      <c r="E60" s="62">
        <v>1</v>
      </c>
      <c r="F60" s="62"/>
      <c r="G60" s="32"/>
      <c r="H60" s="64">
        <f t="shared" si="5"/>
        <v>8.9583333333333357</v>
      </c>
      <c r="I60" s="64">
        <f t="shared" si="6"/>
        <v>15.958333333333336</v>
      </c>
      <c r="J60" s="31">
        <f t="shared" si="8"/>
        <v>24.916666666666671</v>
      </c>
    </row>
    <row r="61" spans="1:10" ht="15.95" customHeight="1" x14ac:dyDescent="0.25">
      <c r="A61" s="17" t="s">
        <v>86</v>
      </c>
      <c r="B61" s="64">
        <v>2.5</v>
      </c>
      <c r="C61" s="64">
        <v>2.5</v>
      </c>
      <c r="D61" s="76"/>
      <c r="E61" s="62"/>
      <c r="F61" s="62"/>
      <c r="G61" s="32"/>
      <c r="H61" s="64">
        <f t="shared" si="5"/>
        <v>11.458333333333336</v>
      </c>
      <c r="I61" s="64">
        <f t="shared" si="6"/>
        <v>18.458333333333336</v>
      </c>
      <c r="J61" s="31">
        <f t="shared" si="8"/>
        <v>29.916666666666671</v>
      </c>
    </row>
    <row r="62" spans="1:10" ht="15.95" customHeight="1" x14ac:dyDescent="0.25">
      <c r="A62" s="17" t="s">
        <v>87</v>
      </c>
      <c r="B62" s="64"/>
      <c r="C62" s="64"/>
      <c r="D62" s="76"/>
      <c r="E62" s="62"/>
      <c r="F62" s="62">
        <v>1</v>
      </c>
      <c r="G62" s="32"/>
      <c r="H62" s="64">
        <f t="shared" si="5"/>
        <v>10.458333333333336</v>
      </c>
      <c r="I62" s="64">
        <f t="shared" si="6"/>
        <v>18.458333333333336</v>
      </c>
      <c r="J62" s="31">
        <f t="shared" si="8"/>
        <v>28.916666666666671</v>
      </c>
    </row>
    <row r="63" spans="1:10" ht="15.95" customHeight="1" x14ac:dyDescent="0.25">
      <c r="A63" s="17" t="s">
        <v>88</v>
      </c>
      <c r="B63" s="64">
        <v>2.5</v>
      </c>
      <c r="C63" s="64">
        <v>2.5</v>
      </c>
      <c r="D63" s="76"/>
      <c r="E63" s="62"/>
      <c r="F63" s="62"/>
      <c r="G63" s="32"/>
      <c r="H63" s="64">
        <f t="shared" si="5"/>
        <v>12.958333333333336</v>
      </c>
      <c r="I63" s="64">
        <f t="shared" si="6"/>
        <v>20.958333333333336</v>
      </c>
      <c r="J63" s="31">
        <f t="shared" si="8"/>
        <v>33.916666666666671</v>
      </c>
    </row>
    <row r="64" spans="1:10" ht="15.95" customHeight="1" x14ac:dyDescent="0.25">
      <c r="A64" s="17" t="s">
        <v>102</v>
      </c>
      <c r="B64" s="64"/>
      <c r="C64" s="64"/>
      <c r="D64" s="62">
        <v>7</v>
      </c>
      <c r="E64" s="62">
        <v>13</v>
      </c>
      <c r="F64" s="62"/>
      <c r="G64" s="32"/>
      <c r="H64" s="64">
        <f t="shared" si="5"/>
        <v>5.9583333333333357</v>
      </c>
      <c r="I64" s="64">
        <f t="shared" si="6"/>
        <v>7.9583333333333357</v>
      </c>
      <c r="J64" s="31">
        <f t="shared" si="8"/>
        <v>13.916666666666671</v>
      </c>
    </row>
    <row r="65" spans="1:10" ht="15.95" customHeight="1" x14ac:dyDescent="0.25">
      <c r="A65" s="17" t="s">
        <v>103</v>
      </c>
      <c r="B65" s="64"/>
      <c r="C65" s="64"/>
      <c r="D65" s="62"/>
      <c r="E65" s="62">
        <v>1</v>
      </c>
      <c r="F65" s="62"/>
      <c r="G65" s="32"/>
      <c r="H65" s="64">
        <f t="shared" si="5"/>
        <v>5.9583333333333357</v>
      </c>
      <c r="I65" s="64">
        <f t="shared" si="6"/>
        <v>6.9583333333333357</v>
      </c>
      <c r="J65" s="31">
        <f t="shared" si="8"/>
        <v>12.916666666666671</v>
      </c>
    </row>
    <row r="66" spans="1:10" ht="15.95" customHeight="1" x14ac:dyDescent="0.25">
      <c r="A66" s="17" t="s">
        <v>104</v>
      </c>
      <c r="B66" s="64">
        <v>1.25</v>
      </c>
      <c r="C66" s="64">
        <v>1.25</v>
      </c>
      <c r="D66" s="62"/>
      <c r="E66" s="62"/>
      <c r="F66" s="62"/>
      <c r="G66" s="32"/>
      <c r="H66" s="64">
        <f t="shared" si="5"/>
        <v>7.2083333333333357</v>
      </c>
      <c r="I66" s="64">
        <f t="shared" si="6"/>
        <v>8.2083333333333357</v>
      </c>
      <c r="J66" s="31">
        <f t="shared" si="8"/>
        <v>15.416666666666671</v>
      </c>
    </row>
    <row r="67" spans="1:10" ht="15.95" customHeight="1" x14ac:dyDescent="0.25">
      <c r="A67" s="17" t="s">
        <v>105</v>
      </c>
      <c r="B67" s="64"/>
      <c r="C67" s="64"/>
      <c r="D67" s="62"/>
      <c r="E67" s="62"/>
      <c r="F67" s="62">
        <v>2</v>
      </c>
      <c r="G67" s="32"/>
      <c r="H67" s="64">
        <f t="shared" si="5"/>
        <v>5.2083333333333357</v>
      </c>
      <c r="I67" s="64">
        <f t="shared" si="6"/>
        <v>8.2083333333333357</v>
      </c>
      <c r="J67" s="31">
        <f t="shared" si="8"/>
        <v>13.416666666666671</v>
      </c>
    </row>
    <row r="68" spans="1:10" ht="15.95" customHeight="1" x14ac:dyDescent="0.25">
      <c r="A68" s="17" t="s">
        <v>113</v>
      </c>
      <c r="B68" s="64">
        <v>2.5</v>
      </c>
      <c r="C68" s="64">
        <v>2.5</v>
      </c>
      <c r="D68" s="62"/>
      <c r="E68" s="62"/>
      <c r="F68" s="62"/>
      <c r="G68" s="32"/>
      <c r="H68" s="64">
        <f t="shared" si="5"/>
        <v>7.7083333333333357</v>
      </c>
      <c r="I68" s="64">
        <f t="shared" si="6"/>
        <v>10.708333333333336</v>
      </c>
      <c r="J68" s="31">
        <f t="shared" si="8"/>
        <v>18.416666666666671</v>
      </c>
    </row>
    <row r="69" spans="1:10" ht="15.95" customHeight="1" x14ac:dyDescent="0.25">
      <c r="A69" s="17" t="s">
        <v>114</v>
      </c>
      <c r="B69" s="64"/>
      <c r="C69" s="64"/>
      <c r="D69" s="62"/>
      <c r="E69" s="62"/>
      <c r="F69" s="62"/>
      <c r="G69" s="32">
        <v>2</v>
      </c>
      <c r="H69" s="64">
        <f t="shared" si="5"/>
        <v>7.7083333333333357</v>
      </c>
      <c r="I69" s="64">
        <f t="shared" si="6"/>
        <v>10.708333333333336</v>
      </c>
      <c r="J69" s="31">
        <f t="shared" si="8"/>
        <v>18.416666666666671</v>
      </c>
    </row>
    <row r="70" spans="1:10" ht="15.95" customHeight="1" x14ac:dyDescent="0.25">
      <c r="A70" s="17" t="s">
        <v>115</v>
      </c>
      <c r="B70" s="64">
        <v>1.25</v>
      </c>
      <c r="C70" s="64">
        <v>1.25</v>
      </c>
      <c r="D70" s="62"/>
      <c r="E70" s="62"/>
      <c r="F70" s="62"/>
      <c r="G70" s="32"/>
      <c r="H70" s="64">
        <f t="shared" si="5"/>
        <v>8.9583333333333357</v>
      </c>
      <c r="I70" s="64">
        <f t="shared" si="6"/>
        <v>11.958333333333336</v>
      </c>
      <c r="J70" s="31">
        <f t="shared" si="8"/>
        <v>20.916666666666671</v>
      </c>
    </row>
    <row r="71" spans="1:10" ht="15.95" customHeight="1" x14ac:dyDescent="0.25">
      <c r="A71" s="17" t="s">
        <v>116</v>
      </c>
      <c r="B71" s="64"/>
      <c r="C71" s="64"/>
      <c r="D71" s="62"/>
      <c r="E71" s="62"/>
      <c r="F71" s="62"/>
      <c r="G71" s="60">
        <v>1</v>
      </c>
      <c r="H71" s="64">
        <f t="shared" si="5"/>
        <v>8.9583333333333357</v>
      </c>
      <c r="I71" s="64">
        <f t="shared" si="6"/>
        <v>11.958333333333336</v>
      </c>
      <c r="J71" s="31">
        <f t="shared" si="8"/>
        <v>20.916666666666671</v>
      </c>
    </row>
    <row r="72" spans="1:10" ht="15.95" customHeight="1" x14ac:dyDescent="0.25">
      <c r="A72" s="17" t="s">
        <v>117</v>
      </c>
      <c r="B72" s="64">
        <v>1.25</v>
      </c>
      <c r="C72" s="64">
        <v>1.25</v>
      </c>
      <c r="D72" s="62"/>
      <c r="E72" s="62"/>
      <c r="F72" s="62"/>
      <c r="G72" s="32"/>
      <c r="H72" s="64">
        <f t="shared" si="5"/>
        <v>10.208333333333336</v>
      </c>
      <c r="I72" s="64">
        <f t="shared" si="6"/>
        <v>13.208333333333336</v>
      </c>
      <c r="J72" s="31">
        <f t="shared" si="8"/>
        <v>23.416666666666671</v>
      </c>
    </row>
    <row r="73" spans="1:10" ht="15.95" customHeight="1" x14ac:dyDescent="0.25">
      <c r="A73" s="17" t="s">
        <v>118</v>
      </c>
      <c r="B73" s="64"/>
      <c r="C73" s="64"/>
      <c r="D73" s="62"/>
      <c r="E73" s="62"/>
      <c r="F73" s="61">
        <v>1</v>
      </c>
      <c r="G73" s="32"/>
      <c r="H73" s="64">
        <f t="shared" si="5"/>
        <v>9.2083333333333357</v>
      </c>
      <c r="I73" s="64">
        <f t="shared" si="6"/>
        <v>13.208333333333336</v>
      </c>
      <c r="J73" s="31">
        <f>H73+I73</f>
        <v>22.416666666666671</v>
      </c>
    </row>
    <row r="74" spans="1:10" ht="15.95" customHeight="1" x14ac:dyDescent="0.25">
      <c r="A74" s="17" t="s">
        <v>119</v>
      </c>
      <c r="B74" s="64">
        <v>1.25</v>
      </c>
      <c r="C74" s="64">
        <v>1.25</v>
      </c>
      <c r="D74" s="62"/>
      <c r="E74" s="62"/>
      <c r="F74" s="62"/>
      <c r="G74" s="32"/>
      <c r="H74" s="64">
        <f t="shared" ref="H74:H85" si="9">H73-F74-D74+B74</f>
        <v>10.458333333333336</v>
      </c>
      <c r="I74" s="64">
        <f t="shared" ref="I74:I85" si="10">I73-E74+C74</f>
        <v>14.458333333333336</v>
      </c>
      <c r="J74" s="31">
        <f t="shared" ref="J74:J75" si="11">H74+I74</f>
        <v>24.916666666666671</v>
      </c>
    </row>
    <row r="75" spans="1:10" ht="15.95" customHeight="1" x14ac:dyDescent="0.25">
      <c r="A75" s="17" t="s">
        <v>120</v>
      </c>
      <c r="B75" s="64"/>
      <c r="C75" s="64"/>
      <c r="D75" s="62"/>
      <c r="E75" s="62">
        <v>2</v>
      </c>
      <c r="F75" s="62"/>
      <c r="G75" s="32"/>
      <c r="H75" s="64">
        <f t="shared" si="9"/>
        <v>10.458333333333336</v>
      </c>
      <c r="I75" s="64">
        <f t="shared" si="10"/>
        <v>12.458333333333336</v>
      </c>
      <c r="J75" s="31">
        <f t="shared" si="11"/>
        <v>22.916666666666671</v>
      </c>
    </row>
    <row r="76" spans="1:10" ht="15.95" customHeight="1" x14ac:dyDescent="0.25">
      <c r="A76" s="17" t="s">
        <v>121</v>
      </c>
      <c r="B76" s="64">
        <v>1.25</v>
      </c>
      <c r="C76" s="64">
        <v>1.25</v>
      </c>
      <c r="D76" s="62"/>
      <c r="E76" s="62"/>
      <c r="F76" s="62"/>
      <c r="G76" s="32"/>
      <c r="H76" s="64">
        <f t="shared" si="9"/>
        <v>11.708333333333336</v>
      </c>
      <c r="I76" s="64">
        <f t="shared" si="10"/>
        <v>13.708333333333336</v>
      </c>
      <c r="J76" s="31">
        <f>H76+I76</f>
        <v>25.416666666666671</v>
      </c>
    </row>
    <row r="77" spans="1:10" s="1" customFormat="1" ht="18" customHeight="1" x14ac:dyDescent="0.25">
      <c r="A77" s="17" t="s">
        <v>122</v>
      </c>
      <c r="B77" s="64"/>
      <c r="C77" s="64"/>
      <c r="D77" s="62"/>
      <c r="E77" s="62">
        <v>1</v>
      </c>
      <c r="F77" s="62"/>
      <c r="G77" s="32"/>
      <c r="H77" s="64">
        <f t="shared" si="9"/>
        <v>11.708333333333336</v>
      </c>
      <c r="I77" s="64">
        <f t="shared" si="10"/>
        <v>12.708333333333336</v>
      </c>
      <c r="J77" s="31">
        <f t="shared" ref="J77:J85" si="12">H77+I77</f>
        <v>24.416666666666671</v>
      </c>
    </row>
    <row r="78" spans="1:10" s="1" customFormat="1" ht="18" customHeight="1" x14ac:dyDescent="0.25">
      <c r="A78" s="17" t="s">
        <v>123</v>
      </c>
      <c r="B78" s="64">
        <v>1.25</v>
      </c>
      <c r="C78" s="64">
        <v>1.25</v>
      </c>
      <c r="D78" s="62"/>
      <c r="E78" s="62"/>
      <c r="F78" s="62"/>
      <c r="G78" s="32"/>
      <c r="H78" s="64">
        <f t="shared" si="9"/>
        <v>12.958333333333336</v>
      </c>
      <c r="I78" s="64">
        <f t="shared" si="10"/>
        <v>13.958333333333336</v>
      </c>
      <c r="J78" s="31">
        <f t="shared" si="12"/>
        <v>26.916666666666671</v>
      </c>
    </row>
    <row r="79" spans="1:10" s="1" customFormat="1" ht="18" customHeight="1" x14ac:dyDescent="0.25">
      <c r="A79" s="17" t="s">
        <v>124</v>
      </c>
      <c r="B79" s="64"/>
      <c r="C79" s="64"/>
      <c r="D79" s="62"/>
      <c r="E79" s="62">
        <v>2</v>
      </c>
      <c r="F79" s="62"/>
      <c r="G79" s="32"/>
      <c r="H79" s="64">
        <f t="shared" si="9"/>
        <v>12.958333333333336</v>
      </c>
      <c r="I79" s="64">
        <f t="shared" si="10"/>
        <v>11.958333333333336</v>
      </c>
      <c r="J79" s="31">
        <f t="shared" si="12"/>
        <v>24.916666666666671</v>
      </c>
    </row>
    <row r="80" spans="1:10" s="1" customFormat="1" ht="18" customHeight="1" x14ac:dyDescent="0.25">
      <c r="A80" s="17" t="s">
        <v>125</v>
      </c>
      <c r="B80" s="64"/>
      <c r="C80" s="64"/>
      <c r="D80" s="62"/>
      <c r="E80" s="62"/>
      <c r="F80" s="62"/>
      <c r="G80" s="60">
        <v>1</v>
      </c>
      <c r="H80" s="64">
        <f t="shared" si="9"/>
        <v>12.958333333333336</v>
      </c>
      <c r="I80" s="64">
        <f t="shared" si="10"/>
        <v>11.958333333333336</v>
      </c>
      <c r="J80" s="31">
        <f t="shared" si="12"/>
        <v>24.916666666666671</v>
      </c>
    </row>
    <row r="81" spans="1:10" s="1" customFormat="1" ht="18" customHeight="1" x14ac:dyDescent="0.25">
      <c r="A81" s="17" t="s">
        <v>126</v>
      </c>
      <c r="B81" s="64"/>
      <c r="C81" s="64"/>
      <c r="D81" s="62"/>
      <c r="E81" s="62"/>
      <c r="F81" s="61">
        <v>1</v>
      </c>
      <c r="G81" s="62"/>
      <c r="H81" s="64">
        <f t="shared" si="9"/>
        <v>11.958333333333336</v>
      </c>
      <c r="I81" s="64">
        <f t="shared" si="10"/>
        <v>11.958333333333336</v>
      </c>
      <c r="J81" s="31">
        <f t="shared" si="12"/>
        <v>23.916666666666671</v>
      </c>
    </row>
    <row r="82" spans="1:10" s="1" customFormat="1" ht="18" customHeight="1" x14ac:dyDescent="0.25">
      <c r="A82" s="17" t="s">
        <v>130</v>
      </c>
      <c r="B82" s="64">
        <v>2.5</v>
      </c>
      <c r="C82" s="64">
        <v>2.5</v>
      </c>
      <c r="D82" s="62"/>
      <c r="E82" s="62"/>
      <c r="F82" s="62"/>
      <c r="G82" s="62"/>
      <c r="H82" s="64">
        <f t="shared" si="9"/>
        <v>14.458333333333336</v>
      </c>
      <c r="I82" s="64">
        <f t="shared" si="10"/>
        <v>14.458333333333336</v>
      </c>
      <c r="J82" s="31">
        <f t="shared" si="12"/>
        <v>28.916666666666671</v>
      </c>
    </row>
    <row r="83" spans="1:10" s="1" customFormat="1" ht="18" customHeight="1" x14ac:dyDescent="0.25">
      <c r="A83" s="17" t="s">
        <v>131</v>
      </c>
      <c r="B83" s="64"/>
      <c r="C83" s="64"/>
      <c r="D83" s="62"/>
      <c r="E83" s="62"/>
      <c r="F83" s="62"/>
      <c r="G83" s="60">
        <v>1</v>
      </c>
      <c r="H83" s="64">
        <f t="shared" si="9"/>
        <v>14.458333333333336</v>
      </c>
      <c r="I83" s="64">
        <f t="shared" si="10"/>
        <v>14.458333333333336</v>
      </c>
      <c r="J83" s="31">
        <f t="shared" si="12"/>
        <v>28.916666666666671</v>
      </c>
    </row>
    <row r="84" spans="1:10" s="1" customFormat="1" ht="18" customHeight="1" x14ac:dyDescent="0.25">
      <c r="A84" s="17" t="s">
        <v>136</v>
      </c>
      <c r="B84" s="64">
        <v>1.25</v>
      </c>
      <c r="C84" s="64">
        <v>1.25</v>
      </c>
      <c r="D84" s="62"/>
      <c r="E84" s="62"/>
      <c r="F84" s="62"/>
      <c r="G84" s="62"/>
      <c r="H84" s="64">
        <f t="shared" si="9"/>
        <v>15.708333333333336</v>
      </c>
      <c r="I84" s="64">
        <f t="shared" si="10"/>
        <v>15.708333333333336</v>
      </c>
      <c r="J84" s="31">
        <f t="shared" si="12"/>
        <v>31.416666666666671</v>
      </c>
    </row>
    <row r="85" spans="1:10" s="1" customFormat="1" ht="18" customHeight="1" x14ac:dyDescent="0.25">
      <c r="A85" s="17" t="s">
        <v>137</v>
      </c>
      <c r="B85" s="64"/>
      <c r="C85" s="64"/>
      <c r="D85" s="64">
        <v>10</v>
      </c>
      <c r="E85" s="62"/>
      <c r="F85" s="62"/>
      <c r="G85" s="62"/>
      <c r="H85" s="64">
        <f t="shared" si="9"/>
        <v>5.7083333333333357</v>
      </c>
      <c r="I85" s="64">
        <f t="shared" si="10"/>
        <v>15.708333333333336</v>
      </c>
      <c r="J85" s="77">
        <f t="shared" si="12"/>
        <v>21.416666666666671</v>
      </c>
    </row>
    <row r="86" spans="1:10" s="1" customFormat="1" ht="18" customHeight="1" x14ac:dyDescent="0.25">
      <c r="A86" s="17" t="s">
        <v>140</v>
      </c>
      <c r="B86" s="64">
        <v>1.25</v>
      </c>
      <c r="C86" s="64">
        <v>1.25</v>
      </c>
      <c r="D86" s="62"/>
      <c r="E86" s="62"/>
      <c r="F86" s="62"/>
      <c r="G86" s="62"/>
      <c r="H86" s="64">
        <f t="shared" ref="H86:H87" si="13">H85-F86-D86+B86</f>
        <v>6.9583333333333357</v>
      </c>
      <c r="I86" s="64">
        <f t="shared" ref="I86:I87" si="14">I85-E86+C86</f>
        <v>16.958333333333336</v>
      </c>
      <c r="J86" s="77">
        <f t="shared" ref="J86:J87" si="15">H86+I86</f>
        <v>23.916666666666671</v>
      </c>
    </row>
    <row r="87" spans="1:10" s="1" customFormat="1" ht="18" customHeight="1" x14ac:dyDescent="0.25">
      <c r="A87" s="17" t="s">
        <v>139</v>
      </c>
      <c r="B87" s="64"/>
      <c r="C87" s="64"/>
      <c r="D87" s="62"/>
      <c r="E87" s="64">
        <v>1</v>
      </c>
      <c r="F87" s="62"/>
      <c r="G87" s="62"/>
      <c r="H87" s="64">
        <f t="shared" si="13"/>
        <v>6.9583333333333357</v>
      </c>
      <c r="I87" s="64">
        <f t="shared" si="14"/>
        <v>15.958333333333336</v>
      </c>
      <c r="J87" s="77">
        <f t="shared" si="15"/>
        <v>22.916666666666671</v>
      </c>
    </row>
    <row r="88" spans="1:10" s="1" customFormat="1" ht="25.5" customHeight="1" x14ac:dyDescent="0.25">
      <c r="F88"/>
      <c r="H88"/>
      <c r="I88"/>
    </row>
    <row r="89" spans="1:10" ht="87.75" customHeight="1" x14ac:dyDescent="0.25">
      <c r="A89" s="1"/>
      <c r="B89" s="1"/>
      <c r="C89" s="1"/>
      <c r="D89" s="1"/>
      <c r="E89" s="1"/>
      <c r="G89" s="1"/>
      <c r="J89" s="1"/>
    </row>
  </sheetData>
  <mergeCells count="12">
    <mergeCell ref="A13:J13"/>
    <mergeCell ref="A10:I10"/>
    <mergeCell ref="A2:I2"/>
    <mergeCell ref="A3:I3"/>
    <mergeCell ref="A4:I4"/>
    <mergeCell ref="A5:I5"/>
    <mergeCell ref="H7:I7"/>
    <mergeCell ref="A11:A12"/>
    <mergeCell ref="J11:J12"/>
    <mergeCell ref="B11:C11"/>
    <mergeCell ref="D11:G11"/>
    <mergeCell ref="H11:I11"/>
  </mergeCells>
  <phoneticPr fontId="5" type="noConversion"/>
  <printOptions horizontalCentered="1"/>
  <pageMargins left="0.23622047244094491" right="0.23622047244094491" top="0.23622047244094491" bottom="0.23622047244094491" header="0.31496062992125984" footer="0.31496062992125984"/>
  <pageSetup paperSize="14" scale="6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DA9F-A8A1-42BC-BF65-136AB9021EFD}">
  <dimension ref="A1:N20"/>
  <sheetViews>
    <sheetView tabSelected="1" workbookViewId="0">
      <selection activeCell="A14" sqref="A14:M14"/>
    </sheetView>
  </sheetViews>
  <sheetFormatPr defaultRowHeight="15" x14ac:dyDescent="0.25"/>
  <cols>
    <col min="1" max="1" width="21.85546875" style="56" customWidth="1"/>
    <col min="2" max="2" width="18.7109375" style="56" customWidth="1"/>
    <col min="3" max="5" width="8.7109375" style="56"/>
    <col min="6" max="6" width="6.85546875" style="56" customWidth="1"/>
    <col min="7" max="7" width="8.7109375" style="56"/>
    <col min="8" max="8" width="7.42578125" style="56" customWidth="1"/>
    <col min="9" max="9" width="8.7109375" style="56"/>
    <col min="10" max="10" width="7" style="56" customWidth="1"/>
    <col min="11" max="11" width="9.140625" style="56"/>
    <col min="12" max="12" width="7.140625" style="56" customWidth="1"/>
    <col min="13" max="14" width="9.140625" style="56"/>
  </cols>
  <sheetData>
    <row r="1" spans="1:14" x14ac:dyDescent="0.25">
      <c r="A1" s="49"/>
      <c r="B1" s="49"/>
      <c r="C1" s="49"/>
      <c r="D1" s="50"/>
      <c r="E1" s="51"/>
      <c r="F1" s="49"/>
      <c r="G1" s="49"/>
      <c r="H1" s="49"/>
      <c r="I1" s="52"/>
      <c r="J1" s="49"/>
      <c r="K1" s="49"/>
      <c r="L1" s="49"/>
      <c r="M1" s="49"/>
      <c r="N1" s="49"/>
    </row>
    <row r="2" spans="1:14" x14ac:dyDescent="0.25">
      <c r="A2" s="49"/>
      <c r="B2" s="49"/>
      <c r="C2" s="49"/>
      <c r="D2" s="50"/>
      <c r="E2" s="51"/>
      <c r="F2" s="49"/>
      <c r="G2" s="49"/>
      <c r="H2" s="49"/>
      <c r="I2" s="52"/>
      <c r="J2" s="49"/>
      <c r="K2" s="49"/>
      <c r="L2" s="49"/>
      <c r="M2" s="49"/>
      <c r="N2" s="49"/>
    </row>
    <row r="3" spans="1:14" x14ac:dyDescent="0.25">
      <c r="A3" s="49"/>
      <c r="B3" s="49"/>
      <c r="C3" s="49"/>
      <c r="D3" s="50"/>
      <c r="E3" s="51"/>
      <c r="F3" s="49"/>
      <c r="G3" s="49"/>
      <c r="H3" s="49"/>
      <c r="I3" s="52"/>
      <c r="J3" s="49"/>
      <c r="K3" s="49"/>
      <c r="L3" s="49"/>
      <c r="M3" s="49"/>
      <c r="N3" s="49"/>
    </row>
    <row r="4" spans="1:14" x14ac:dyDescent="0.25">
      <c r="A4" s="49"/>
      <c r="B4" s="49"/>
      <c r="C4" s="49"/>
      <c r="D4" s="50"/>
      <c r="E4" s="51"/>
      <c r="F4" s="49"/>
      <c r="G4" s="49"/>
      <c r="H4" s="49"/>
      <c r="I4" s="52"/>
      <c r="J4" s="49"/>
      <c r="K4" s="49"/>
      <c r="L4" s="49"/>
      <c r="M4" s="49"/>
      <c r="N4" s="49"/>
    </row>
    <row r="5" spans="1:14" x14ac:dyDescent="0.25">
      <c r="A5" s="99" t="s">
        <v>13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49"/>
    </row>
    <row r="6" spans="1:14" x14ac:dyDescent="0.25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49"/>
    </row>
    <row r="7" spans="1:14" x14ac:dyDescent="0.25">
      <c r="A7" s="99" t="s">
        <v>15</v>
      </c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49"/>
    </row>
    <row r="8" spans="1:14" x14ac:dyDescent="0.25">
      <c r="A8" s="99" t="s">
        <v>16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49"/>
    </row>
    <row r="9" spans="1:14" x14ac:dyDescent="0.25">
      <c r="A9" s="49"/>
      <c r="B9" s="49"/>
      <c r="C9" s="49"/>
      <c r="D9" s="52"/>
      <c r="E9" s="49"/>
      <c r="F9" s="49"/>
      <c r="G9" s="49"/>
      <c r="H9" s="49"/>
      <c r="I9" s="52"/>
      <c r="J9" s="49"/>
      <c r="K9" s="49"/>
      <c r="L9" s="49"/>
      <c r="M9" s="49"/>
      <c r="N9" s="49"/>
    </row>
    <row r="10" spans="1:14" x14ac:dyDescent="0.25">
      <c r="A10" s="49"/>
      <c r="B10" s="49"/>
      <c r="C10" s="49"/>
      <c r="D10" s="52"/>
      <c r="E10" s="49"/>
      <c r="F10" s="49"/>
      <c r="G10" s="49"/>
      <c r="H10" s="49"/>
      <c r="I10" s="52"/>
      <c r="J10" s="49"/>
      <c r="K10" s="49"/>
      <c r="L10" s="49"/>
      <c r="M10" s="49"/>
      <c r="N10" s="49"/>
    </row>
    <row r="11" spans="1:14" x14ac:dyDescent="0.25">
      <c r="A11" s="53" t="s">
        <v>142</v>
      </c>
      <c r="B11" s="53"/>
      <c r="C11" s="53"/>
      <c r="D11" s="86" t="s">
        <v>57</v>
      </c>
      <c r="E11" s="86"/>
      <c r="F11" s="86"/>
      <c r="G11" s="86"/>
      <c r="H11" s="86"/>
      <c r="I11" s="49"/>
      <c r="J11" s="86" t="s">
        <v>106</v>
      </c>
      <c r="K11" s="86"/>
      <c r="L11" s="86"/>
      <c r="M11" s="53"/>
      <c r="N11" s="49"/>
    </row>
    <row r="12" spans="1:14" x14ac:dyDescent="0.25">
      <c r="A12" s="49"/>
      <c r="B12" s="49"/>
      <c r="C12" s="54"/>
      <c r="D12" s="86" t="s">
        <v>144</v>
      </c>
      <c r="E12" s="86"/>
      <c r="F12" s="86"/>
      <c r="G12" s="86"/>
      <c r="H12" s="86"/>
      <c r="I12" s="49"/>
      <c r="J12" s="87" t="s">
        <v>60</v>
      </c>
      <c r="K12" s="87"/>
      <c r="L12" s="87"/>
      <c r="M12" s="54"/>
      <c r="N12" s="49"/>
    </row>
    <row r="13" spans="1:14" x14ac:dyDescent="0.25">
      <c r="A13" s="53" t="s">
        <v>143</v>
      </c>
      <c r="B13" s="53"/>
      <c r="C13" s="53"/>
      <c r="D13" s="55"/>
      <c r="E13" s="54"/>
      <c r="F13" s="54"/>
      <c r="G13" s="49"/>
      <c r="H13" s="49"/>
      <c r="I13" s="49"/>
      <c r="J13" s="86" t="s">
        <v>62</v>
      </c>
      <c r="K13" s="86"/>
      <c r="L13" s="86"/>
      <c r="M13" s="53"/>
      <c r="N13" s="49"/>
    </row>
    <row r="14" spans="1:14" ht="21.75" thickBot="1" x14ac:dyDescent="0.3">
      <c r="A14" s="88" t="s">
        <v>107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</row>
    <row r="15" spans="1:14" x14ac:dyDescent="0.25">
      <c r="A15" s="89" t="s">
        <v>108</v>
      </c>
      <c r="B15" s="91" t="s">
        <v>141</v>
      </c>
      <c r="C15" s="93" t="s">
        <v>109</v>
      </c>
      <c r="D15" s="94"/>
      <c r="E15" s="93" t="s">
        <v>110</v>
      </c>
      <c r="F15" s="94"/>
      <c r="G15" s="93" t="s">
        <v>92</v>
      </c>
      <c r="H15" s="94"/>
      <c r="I15" s="93" t="s">
        <v>93</v>
      </c>
      <c r="J15" s="94"/>
      <c r="K15" s="93" t="s">
        <v>94</v>
      </c>
      <c r="L15" s="94"/>
      <c r="M15" s="97" t="s">
        <v>8</v>
      </c>
      <c r="N15" s="57"/>
    </row>
    <row r="16" spans="1:14" x14ac:dyDescent="0.25">
      <c r="A16" s="90"/>
      <c r="B16" s="92"/>
      <c r="C16" s="95"/>
      <c r="D16" s="96"/>
      <c r="E16" s="95"/>
      <c r="F16" s="96"/>
      <c r="G16" s="95"/>
      <c r="H16" s="96"/>
      <c r="I16" s="95"/>
      <c r="J16" s="96"/>
      <c r="K16" s="95"/>
      <c r="L16" s="96"/>
      <c r="M16" s="98"/>
      <c r="N16" s="57"/>
    </row>
    <row r="17" spans="1:14" ht="15.75" thickBot="1" x14ac:dyDescent="0.3">
      <c r="A17" s="124"/>
      <c r="B17" s="125"/>
      <c r="C17" s="126"/>
      <c r="D17" s="127"/>
      <c r="E17" s="126"/>
      <c r="F17" s="127"/>
      <c r="G17" s="126"/>
      <c r="H17" s="127"/>
      <c r="I17" s="126"/>
      <c r="J17" s="127"/>
      <c r="K17" s="126"/>
      <c r="L17" s="127"/>
      <c r="M17" s="128"/>
      <c r="N17" s="57"/>
    </row>
    <row r="18" spans="1:14" ht="38.25" customHeight="1" x14ac:dyDescent="0.25">
      <c r="A18" s="121" t="s">
        <v>127</v>
      </c>
      <c r="B18" s="121" t="s">
        <v>128</v>
      </c>
      <c r="C18" s="122"/>
      <c r="D18" s="122"/>
      <c r="E18" s="122" t="s">
        <v>129</v>
      </c>
      <c r="F18" s="122"/>
      <c r="G18" s="122">
        <v>5</v>
      </c>
      <c r="H18" s="122"/>
      <c r="I18" s="122">
        <v>0</v>
      </c>
      <c r="J18" s="122"/>
      <c r="K18" s="122">
        <v>5</v>
      </c>
      <c r="L18" s="122"/>
      <c r="M18" s="123">
        <v>5</v>
      </c>
      <c r="N18" s="49"/>
    </row>
    <row r="19" spans="1:14" x14ac:dyDescent="0.25">
      <c r="A19" s="49"/>
      <c r="B19" s="49"/>
      <c r="C19" s="49"/>
      <c r="D19" s="52"/>
      <c r="E19" s="49"/>
      <c r="F19" s="49"/>
      <c r="G19" s="49"/>
      <c r="H19" s="49"/>
      <c r="I19" s="49"/>
      <c r="J19" s="49"/>
      <c r="K19" s="49"/>
      <c r="L19" s="49"/>
      <c r="M19" s="49"/>
      <c r="N19" s="49"/>
    </row>
    <row r="20" spans="1:14" x14ac:dyDescent="0.25">
      <c r="A20" s="49"/>
      <c r="B20" s="49"/>
      <c r="C20" s="49"/>
      <c r="D20" s="52"/>
      <c r="E20" s="49"/>
      <c r="F20" s="49"/>
      <c r="G20" s="49"/>
      <c r="H20" s="49"/>
      <c r="I20" s="49"/>
      <c r="J20" s="49"/>
      <c r="K20" s="49"/>
      <c r="L20" s="49"/>
      <c r="M20" s="49"/>
      <c r="N20" s="49"/>
    </row>
  </sheetData>
  <mergeCells count="23">
    <mergeCell ref="C18:D18"/>
    <mergeCell ref="E18:F18"/>
    <mergeCell ref="G18:H18"/>
    <mergeCell ref="I18:J18"/>
    <mergeCell ref="K18:L18"/>
    <mergeCell ref="A5:M5"/>
    <mergeCell ref="A6:M6"/>
    <mergeCell ref="A7:M7"/>
    <mergeCell ref="A8:M8"/>
    <mergeCell ref="D11:H11"/>
    <mergeCell ref="J11:L11"/>
    <mergeCell ref="D12:H12"/>
    <mergeCell ref="J12:L12"/>
    <mergeCell ref="J13:L13"/>
    <mergeCell ref="A14:M14"/>
    <mergeCell ref="A15:A17"/>
    <mergeCell ref="B15:B17"/>
    <mergeCell ref="C15:D17"/>
    <mergeCell ref="E15:F17"/>
    <mergeCell ref="G15:H17"/>
    <mergeCell ref="I15:J17"/>
    <mergeCell ref="K15:L17"/>
    <mergeCell ref="M15:M17"/>
  </mergeCells>
  <phoneticPr fontId="5" type="noConversion"/>
  <pageMargins left="0.23622047244094491" right="0.23622047244094491" top="0.74803149606299213" bottom="0.74803149606299213" header="0.31496062992125984" footer="0.31496062992125984"/>
  <pageSetup paperSize="9" scale="75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76B0-E8F5-4294-870B-ADE44712E7B7}">
  <sheetPr>
    <pageSetUpPr fitToPage="1"/>
  </sheetPr>
  <dimension ref="A1:L26"/>
  <sheetViews>
    <sheetView view="pageBreakPreview" zoomScale="112" zoomScaleNormal="100" zoomScaleSheetLayoutView="112" workbookViewId="0">
      <selection activeCell="J20" sqref="J20"/>
    </sheetView>
  </sheetViews>
  <sheetFormatPr defaultColWidth="8.7109375" defaultRowHeight="15" x14ac:dyDescent="0.25"/>
  <cols>
    <col min="1" max="1" width="33.5703125" style="38" customWidth="1"/>
    <col min="2" max="16384" width="8.7109375" style="38"/>
  </cols>
  <sheetData>
    <row r="1" spans="1:12" s="33" customFormat="1" ht="52.5" customHeight="1" x14ac:dyDescent="0.25"/>
    <row r="2" spans="1:12" s="33" customFormat="1" ht="10.5" customHeight="1" x14ac:dyDescent="0.25">
      <c r="A2" s="102" t="s">
        <v>13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2" s="33" customFormat="1" ht="15.95" customHeight="1" x14ac:dyDescent="0.25">
      <c r="A3" s="102" t="s">
        <v>14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1:12" s="33" customFormat="1" ht="15.95" customHeight="1" x14ac:dyDescent="0.25">
      <c r="A4" s="102" t="s">
        <v>15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 s="33" customFormat="1" ht="15.95" customHeight="1" x14ac:dyDescent="0.25">
      <c r="A5" s="102" t="s">
        <v>16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</row>
    <row r="6" spans="1:12" s="33" customFormat="1" ht="8.25" customHeight="1" x14ac:dyDescent="0.25"/>
    <row r="7" spans="1:12" s="33" customFormat="1" ht="12" customHeight="1" x14ac:dyDescent="0.25">
      <c r="A7" s="33" t="s">
        <v>52</v>
      </c>
      <c r="C7" s="34" t="s">
        <v>53</v>
      </c>
      <c r="D7" s="34"/>
      <c r="G7" s="34" t="s">
        <v>9</v>
      </c>
      <c r="H7" s="35"/>
    </row>
    <row r="8" spans="1:12" s="33" customFormat="1" ht="12" customHeight="1" x14ac:dyDescent="0.25">
      <c r="C8" s="36"/>
      <c r="G8" s="36"/>
      <c r="H8" s="36"/>
    </row>
    <row r="9" spans="1:12" s="33" customFormat="1" ht="12" customHeight="1" x14ac:dyDescent="0.25">
      <c r="A9" s="33" t="s">
        <v>54</v>
      </c>
      <c r="C9" s="34" t="s">
        <v>55</v>
      </c>
      <c r="D9" s="34"/>
      <c r="G9" s="34" t="s">
        <v>10</v>
      </c>
      <c r="H9" s="37"/>
    </row>
    <row r="10" spans="1:12" ht="16.5" customHeight="1" thickBot="1" x14ac:dyDescent="0.3">
      <c r="A10" s="103" t="s">
        <v>90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</row>
    <row r="11" spans="1:12" s="39" customFormat="1" ht="18.75" customHeight="1" x14ac:dyDescent="0.2">
      <c r="A11" s="104" t="s">
        <v>4</v>
      </c>
      <c r="B11" s="106" t="s">
        <v>5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8" t="s">
        <v>8</v>
      </c>
    </row>
    <row r="12" spans="1:12" s="39" customFormat="1" ht="24" customHeight="1" x14ac:dyDescent="0.2">
      <c r="A12" s="105"/>
      <c r="B12" s="100" t="s">
        <v>91</v>
      </c>
      <c r="C12" s="110"/>
      <c r="D12" s="110"/>
      <c r="E12" s="101"/>
      <c r="F12" s="100" t="s">
        <v>92</v>
      </c>
      <c r="G12" s="101"/>
      <c r="H12" s="100" t="s">
        <v>93</v>
      </c>
      <c r="I12" s="101"/>
      <c r="J12" s="100" t="s">
        <v>94</v>
      </c>
      <c r="K12" s="101"/>
      <c r="L12" s="109"/>
    </row>
    <row r="13" spans="1:12" s="43" customFormat="1" ht="24.95" customHeight="1" x14ac:dyDescent="0.2">
      <c r="A13" s="41" t="s">
        <v>95</v>
      </c>
      <c r="B13" s="111" t="s">
        <v>96</v>
      </c>
      <c r="C13" s="114"/>
      <c r="D13" s="114"/>
      <c r="E13" s="112"/>
      <c r="F13" s="111">
        <v>1</v>
      </c>
      <c r="G13" s="112"/>
      <c r="H13" s="111">
        <v>0</v>
      </c>
      <c r="I13" s="112"/>
      <c r="J13" s="111">
        <v>1</v>
      </c>
      <c r="K13" s="112"/>
      <c r="L13" s="40">
        <v>1</v>
      </c>
    </row>
    <row r="14" spans="1:12" s="44" customFormat="1" ht="25.5" customHeight="1" x14ac:dyDescent="0.2">
      <c r="A14" s="41" t="s">
        <v>89</v>
      </c>
      <c r="B14" s="111"/>
      <c r="C14" s="114"/>
      <c r="D14" s="114"/>
      <c r="E14" s="112"/>
      <c r="F14" s="111"/>
      <c r="G14" s="112"/>
      <c r="H14" s="111">
        <v>1</v>
      </c>
      <c r="I14" s="112"/>
      <c r="J14" s="111">
        <v>0</v>
      </c>
      <c r="K14" s="112"/>
      <c r="L14" s="70">
        <v>0</v>
      </c>
    </row>
    <row r="15" spans="1:12" s="44" customFormat="1" ht="25.5" customHeight="1" x14ac:dyDescent="0.2">
      <c r="A15" s="58" t="s">
        <v>111</v>
      </c>
      <c r="B15" s="116" t="s">
        <v>132</v>
      </c>
      <c r="C15" s="114"/>
      <c r="D15" s="114"/>
      <c r="E15" s="112"/>
      <c r="F15" s="111">
        <v>1</v>
      </c>
      <c r="G15" s="112"/>
      <c r="H15" s="111">
        <v>0</v>
      </c>
      <c r="I15" s="112"/>
      <c r="J15" s="111">
        <v>1</v>
      </c>
      <c r="K15" s="112"/>
      <c r="L15" s="59">
        <v>1</v>
      </c>
    </row>
    <row r="16" spans="1:12" s="44" customFormat="1" ht="25.5" customHeight="1" x14ac:dyDescent="0.2">
      <c r="A16" s="58" t="s">
        <v>112</v>
      </c>
      <c r="B16" s="116"/>
      <c r="C16" s="114"/>
      <c r="D16" s="114"/>
      <c r="E16" s="112"/>
      <c r="F16" s="111"/>
      <c r="G16" s="112"/>
      <c r="H16" s="111">
        <v>1</v>
      </c>
      <c r="I16" s="112"/>
      <c r="J16" s="111">
        <v>0</v>
      </c>
      <c r="K16" s="112"/>
      <c r="L16" s="71">
        <v>0</v>
      </c>
    </row>
    <row r="17" spans="1:12" s="44" customFormat="1" ht="25.5" customHeight="1" x14ac:dyDescent="0.2">
      <c r="A17" s="58" t="s">
        <v>133</v>
      </c>
      <c r="B17" s="116" t="s">
        <v>134</v>
      </c>
      <c r="C17" s="114"/>
      <c r="D17" s="114"/>
      <c r="E17" s="112"/>
      <c r="F17" s="111">
        <v>1</v>
      </c>
      <c r="G17" s="112"/>
      <c r="H17" s="111">
        <v>1</v>
      </c>
      <c r="I17" s="112"/>
      <c r="J17" s="111">
        <v>0</v>
      </c>
      <c r="K17" s="112"/>
      <c r="L17" s="72">
        <v>0</v>
      </c>
    </row>
    <row r="18" spans="1:12" s="44" customFormat="1" ht="25.5" customHeight="1" x14ac:dyDescent="0.2">
      <c r="A18" s="58" t="s">
        <v>135</v>
      </c>
      <c r="B18" s="116"/>
      <c r="C18" s="114"/>
      <c r="D18" s="114"/>
      <c r="E18" s="112"/>
      <c r="F18" s="111"/>
      <c r="G18" s="112"/>
      <c r="H18" s="111">
        <v>1</v>
      </c>
      <c r="I18" s="112"/>
      <c r="J18" s="111">
        <v>0</v>
      </c>
      <c r="K18" s="112"/>
      <c r="L18" s="71">
        <v>0</v>
      </c>
    </row>
    <row r="19" spans="1:12" s="44" customFormat="1" ht="25.5" customHeight="1" x14ac:dyDescent="0.2">
      <c r="A19" s="68"/>
      <c r="B19" s="46"/>
      <c r="C19" s="69"/>
      <c r="D19" s="69"/>
      <c r="E19" s="69"/>
      <c r="F19" s="69"/>
      <c r="G19" s="69"/>
      <c r="H19" s="69"/>
      <c r="I19" s="69"/>
      <c r="J19" s="69"/>
      <c r="K19" s="69"/>
      <c r="L19" s="73"/>
    </row>
    <row r="20" spans="1:12" s="42" customFormat="1" ht="15" customHeight="1" x14ac:dyDescent="0.2">
      <c r="A20" s="45" t="s">
        <v>97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ht="18.95" customHeight="1" x14ac:dyDescent="0.25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</row>
    <row r="22" spans="1:12" s="33" customFormat="1" x14ac:dyDescent="0.25">
      <c r="C22" s="48"/>
      <c r="G22" s="33" t="s">
        <v>98</v>
      </c>
    </row>
    <row r="23" spans="1:12" s="33" customFormat="1" x14ac:dyDescent="0.25">
      <c r="C23" s="48"/>
    </row>
    <row r="24" spans="1:12" x14ac:dyDescent="0.25">
      <c r="G24" s="75" t="s">
        <v>99</v>
      </c>
      <c r="H24" s="74"/>
    </row>
    <row r="25" spans="1:12" x14ac:dyDescent="0.25">
      <c r="G25" s="38" t="s">
        <v>100</v>
      </c>
    </row>
    <row r="26" spans="1:12" x14ac:dyDescent="0.25">
      <c r="G26" s="115" t="s">
        <v>101</v>
      </c>
      <c r="H26" s="115"/>
    </row>
  </sheetData>
  <mergeCells count="38">
    <mergeCell ref="G26:H26"/>
    <mergeCell ref="B14:E14"/>
    <mergeCell ref="F14:G14"/>
    <mergeCell ref="H14:I14"/>
    <mergeCell ref="B15:E15"/>
    <mergeCell ref="F15:G15"/>
    <mergeCell ref="H15:I15"/>
    <mergeCell ref="B16:E16"/>
    <mergeCell ref="F16:G16"/>
    <mergeCell ref="H16:I16"/>
    <mergeCell ref="B17:E17"/>
    <mergeCell ref="F17:G17"/>
    <mergeCell ref="H17:I17"/>
    <mergeCell ref="B18:E18"/>
    <mergeCell ref="F18:G18"/>
    <mergeCell ref="J14:K14"/>
    <mergeCell ref="A21:L21"/>
    <mergeCell ref="B13:E13"/>
    <mergeCell ref="F13:G13"/>
    <mergeCell ref="H13:I13"/>
    <mergeCell ref="J13:K13"/>
    <mergeCell ref="J15:K15"/>
    <mergeCell ref="J16:K16"/>
    <mergeCell ref="J17:K17"/>
    <mergeCell ref="H18:I18"/>
    <mergeCell ref="J18:K18"/>
    <mergeCell ref="H12:I12"/>
    <mergeCell ref="J12:K12"/>
    <mergeCell ref="A2:L2"/>
    <mergeCell ref="A3:L3"/>
    <mergeCell ref="A4:L4"/>
    <mergeCell ref="A5:L5"/>
    <mergeCell ref="A10:L10"/>
    <mergeCell ref="A11:A12"/>
    <mergeCell ref="B11:K11"/>
    <mergeCell ref="L11:L12"/>
    <mergeCell ref="B12:E12"/>
    <mergeCell ref="F12:G12"/>
  </mergeCells>
  <phoneticPr fontId="5" type="noConversion"/>
  <pageMargins left="0.7" right="0.7" top="0.75" bottom="0.75" header="0.3" footer="0.3"/>
  <pageSetup paperSize="9" scale="68" fitToHeight="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1201-FA0E-44A1-B65D-F885E0D1C928}">
  <dimension ref="A1:L24"/>
  <sheetViews>
    <sheetView view="pageBreakPreview" zoomScale="99" zoomScaleNormal="100" zoomScaleSheetLayoutView="99" workbookViewId="0">
      <selection sqref="A1:A1048576"/>
    </sheetView>
  </sheetViews>
  <sheetFormatPr defaultRowHeight="15" x14ac:dyDescent="0.25"/>
  <cols>
    <col min="1" max="1" width="35.85546875" customWidth="1"/>
  </cols>
  <sheetData>
    <row r="1" spans="1:12" s="1" customFormat="1" ht="52.5" customHeight="1" x14ac:dyDescent="0.25">
      <c r="C1" s="19"/>
      <c r="D1" s="20"/>
      <c r="H1" s="7"/>
    </row>
    <row r="2" spans="1:12" s="1" customFormat="1" ht="10.5" customHeight="1" x14ac:dyDescent="0.25">
      <c r="A2" s="80" t="s">
        <v>13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 s="1" customFormat="1" ht="15.95" customHeight="1" x14ac:dyDescent="0.25">
      <c r="A3" s="80" t="s">
        <v>14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2" s="1" customFormat="1" ht="15.95" customHeight="1" x14ac:dyDescent="0.25">
      <c r="A4" s="80" t="s">
        <v>15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</row>
    <row r="5" spans="1:12" s="1" customFormat="1" ht="15.95" customHeight="1" x14ac:dyDescent="0.25">
      <c r="A5" s="80" t="s">
        <v>16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s="1" customFormat="1" ht="8.25" customHeight="1" x14ac:dyDescent="0.25">
      <c r="C6" s="7"/>
      <c r="H6" s="7"/>
    </row>
    <row r="7" spans="1:12" s="1" customFormat="1" ht="8.25" customHeight="1" x14ac:dyDescent="0.25">
      <c r="C7" s="7"/>
      <c r="H7" s="7"/>
    </row>
    <row r="8" spans="1:12" s="1" customFormat="1" ht="12" customHeight="1" x14ac:dyDescent="0.25">
      <c r="A8" s="21" t="s">
        <v>56</v>
      </c>
      <c r="B8" s="21"/>
      <c r="C8" s="117" t="s">
        <v>57</v>
      </c>
      <c r="D8" s="117"/>
      <c r="E8" s="117"/>
      <c r="F8" s="117"/>
      <c r="G8" s="117"/>
      <c r="I8" s="117" t="s">
        <v>58</v>
      </c>
      <c r="J8" s="117"/>
      <c r="K8" s="117"/>
      <c r="L8" s="21"/>
    </row>
    <row r="9" spans="1:12" s="1" customFormat="1" ht="12" customHeight="1" x14ac:dyDescent="0.25">
      <c r="B9" s="22"/>
      <c r="C9" s="117" t="s">
        <v>59</v>
      </c>
      <c r="D9" s="117"/>
      <c r="E9" s="117"/>
      <c r="F9" s="117"/>
      <c r="G9" s="117"/>
      <c r="I9" s="118" t="s">
        <v>60</v>
      </c>
      <c r="J9" s="118"/>
      <c r="K9" s="118"/>
      <c r="L9" s="22"/>
    </row>
    <row r="10" spans="1:12" s="1" customFormat="1" ht="12" customHeight="1" x14ac:dyDescent="0.25">
      <c r="A10" s="21" t="s">
        <v>61</v>
      </c>
      <c r="B10" s="21"/>
      <c r="C10" s="23"/>
      <c r="D10" s="22"/>
      <c r="E10" s="22"/>
      <c r="I10" s="117" t="s">
        <v>62</v>
      </c>
      <c r="J10" s="117"/>
      <c r="K10" s="117"/>
      <c r="L10" s="21"/>
    </row>
    <row r="11" spans="1:12" ht="16.5" customHeight="1" thickBot="1" x14ac:dyDescent="0.3">
      <c r="A11" s="119" t="s">
        <v>63</v>
      </c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</row>
    <row r="12" spans="1:12" s="27" customFormat="1" ht="48" x14ac:dyDescent="0.2">
      <c r="A12" s="24" t="s">
        <v>4</v>
      </c>
      <c r="B12" s="25" t="s">
        <v>64</v>
      </c>
      <c r="C12" s="25" t="s">
        <v>65</v>
      </c>
      <c r="D12" s="25" t="s">
        <v>66</v>
      </c>
      <c r="E12" s="25" t="s">
        <v>67</v>
      </c>
      <c r="F12" s="25" t="s">
        <v>68</v>
      </c>
      <c r="G12" s="25" t="s">
        <v>69</v>
      </c>
      <c r="H12" s="25" t="s">
        <v>70</v>
      </c>
      <c r="I12" s="25" t="s">
        <v>71</v>
      </c>
      <c r="J12" s="25" t="s">
        <v>72</v>
      </c>
      <c r="K12" s="25" t="s">
        <v>73</v>
      </c>
      <c r="L12" s="26" t="s">
        <v>8</v>
      </c>
    </row>
    <row r="13" spans="1:12" s="27" customFormat="1" x14ac:dyDescent="0.2">
      <c r="A13" s="11" t="s">
        <v>43</v>
      </c>
      <c r="B13" s="8"/>
      <c r="C13" s="9"/>
      <c r="D13" s="9"/>
      <c r="E13" s="8"/>
      <c r="F13" s="8"/>
      <c r="G13" s="8"/>
      <c r="H13" s="9"/>
      <c r="I13" s="8"/>
      <c r="J13" s="8">
        <v>5</v>
      </c>
      <c r="K13" s="8"/>
      <c r="L13" s="10">
        <v>5</v>
      </c>
    </row>
    <row r="14" spans="1:12" s="27" customFormat="1" x14ac:dyDescent="0.2">
      <c r="A14" s="11"/>
      <c r="B14" s="8"/>
      <c r="C14" s="9"/>
      <c r="D14" s="9"/>
      <c r="E14" s="8"/>
      <c r="F14" s="8"/>
      <c r="G14" s="8"/>
      <c r="H14" s="9"/>
      <c r="I14" s="8"/>
      <c r="J14" s="8"/>
      <c r="K14" s="8"/>
      <c r="L14" s="10"/>
    </row>
    <row r="15" spans="1:12" s="29" customFormat="1" x14ac:dyDescent="0.2">
      <c r="A15" s="28"/>
      <c r="B15" s="8"/>
      <c r="C15" s="9"/>
      <c r="D15" s="9"/>
      <c r="E15" s="8"/>
      <c r="F15" s="8"/>
      <c r="G15" s="8"/>
      <c r="H15" s="9"/>
      <c r="I15" s="8"/>
      <c r="J15" s="8"/>
      <c r="K15" s="8"/>
      <c r="L15" s="10"/>
    </row>
    <row r="16" spans="1:12" s="29" customFormat="1" x14ac:dyDescent="0.2">
      <c r="A16" s="17"/>
      <c r="B16" s="8"/>
      <c r="C16" s="9"/>
      <c r="D16" s="9"/>
      <c r="E16" s="8"/>
      <c r="F16" s="8"/>
      <c r="G16" s="8"/>
      <c r="H16" s="9"/>
      <c r="I16" s="8"/>
      <c r="J16" s="8"/>
      <c r="K16" s="8"/>
      <c r="L16" s="10"/>
    </row>
    <row r="17" spans="1:12" s="29" customFormat="1" x14ac:dyDescent="0.2">
      <c r="A17" s="9"/>
      <c r="B17" s="8"/>
      <c r="C17" s="9"/>
      <c r="D17" s="9"/>
      <c r="E17" s="8"/>
      <c r="F17" s="8"/>
      <c r="G17" s="8"/>
      <c r="H17" s="9"/>
      <c r="I17" s="8"/>
      <c r="J17" s="8"/>
      <c r="K17" s="8"/>
      <c r="L17" s="10"/>
    </row>
    <row r="18" spans="1:12" s="29" customFormat="1" x14ac:dyDescent="0.2">
      <c r="A18" s="11"/>
      <c r="B18" s="8"/>
      <c r="C18" s="9"/>
      <c r="D18" s="9"/>
      <c r="E18" s="8"/>
      <c r="F18" s="8"/>
      <c r="G18" s="8"/>
      <c r="H18" s="9"/>
      <c r="I18" s="8"/>
      <c r="J18" s="8"/>
      <c r="K18" s="8"/>
      <c r="L18" s="10"/>
    </row>
    <row r="19" spans="1:12" s="29" customFormat="1" x14ac:dyDescent="0.2">
      <c r="A19" s="11"/>
      <c r="B19" s="8"/>
      <c r="C19" s="9"/>
      <c r="D19" s="9"/>
      <c r="E19" s="8"/>
      <c r="F19" s="8"/>
      <c r="G19" s="8"/>
      <c r="H19" s="9"/>
      <c r="I19" s="8"/>
      <c r="J19" s="8"/>
      <c r="K19" s="8"/>
      <c r="L19" s="10"/>
    </row>
    <row r="20" spans="1:12" s="29" customFormat="1" x14ac:dyDescent="0.2">
      <c r="A20" s="11"/>
      <c r="B20" s="8"/>
      <c r="C20" s="9"/>
      <c r="D20" s="9"/>
      <c r="E20" s="8"/>
      <c r="F20" s="8"/>
      <c r="G20" s="8"/>
      <c r="H20" s="9"/>
      <c r="I20" s="8"/>
      <c r="J20" s="8"/>
      <c r="K20" s="8"/>
      <c r="L20" s="10"/>
    </row>
    <row r="21" spans="1:12" s="29" customFormat="1" x14ac:dyDescent="0.2">
      <c r="A21" s="30"/>
      <c r="B21" s="8"/>
      <c r="C21" s="9"/>
      <c r="D21" s="9"/>
      <c r="E21" s="8"/>
      <c r="F21" s="8"/>
      <c r="G21" s="8"/>
      <c r="H21" s="9"/>
      <c r="I21" s="8"/>
      <c r="J21" s="8"/>
      <c r="K21" s="12"/>
      <c r="L21" s="10"/>
    </row>
    <row r="22" spans="1:12" ht="75.75" customHeight="1" x14ac:dyDescent="0.25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</row>
    <row r="23" spans="1:12" s="1" customFormat="1" x14ac:dyDescent="0.25">
      <c r="C23" s="7"/>
    </row>
    <row r="24" spans="1:12" s="1" customFormat="1" x14ac:dyDescent="0.25">
      <c r="C24" s="7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2:L22"/>
  </mergeCells>
  <pageMargins left="0.7" right="0.7" top="0.75" bottom="0.75" header="0.3" footer="0.3"/>
  <pageSetup paperSize="9" scale="9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Leave Card (NE)</vt:lpstr>
      <vt:lpstr>ELECTION</vt:lpstr>
      <vt:lpstr>CTO</vt:lpstr>
      <vt:lpstr>OTHER TYPES OF LEAVE</vt:lpstr>
      <vt:lpstr>'Leave Card (NE)'!Print_Area</vt:lpstr>
      <vt:lpstr>'OTHER TYPES OF LEAVE'!Print_Area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2024-09-10T04:11:51Z</cp:lastPrinted>
  <dcterms:created xsi:type="dcterms:W3CDTF">2021-10-07T06:10:16Z</dcterms:created>
  <dcterms:modified xsi:type="dcterms:W3CDTF">2024-09-10T04:18:10Z</dcterms:modified>
</cp:coreProperties>
</file>