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7C5019C-5613-4678-B77E-829AF648A38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eave Card (NE)" sheetId="6" r:id="rId1"/>
    <sheet name="CTO" sheetId="9" r:id="rId2"/>
    <sheet name="Election" sheetId="10" r:id="rId3"/>
    <sheet name="LEAVE CARD-TLB" sheetId="11" r:id="rId4"/>
    <sheet name="statement" sheetId="12" r:id="rId5"/>
  </sheets>
  <definedNames>
    <definedName name="_xlnm.Print_Area" localSheetId="1">CTO!$A$1:$L$36</definedName>
    <definedName name="_xlnm.Print_Area" localSheetId="2">Election!$A$1:$M$24</definedName>
    <definedName name="_xlnm.Print_Area" localSheetId="0">'Leave Card (NE)'!$A$1:$L$23</definedName>
    <definedName name="_xlnm.Print_Area" localSheetId="3">'LEAVE CARD-TLB'!$A$1:$J$52</definedName>
    <definedName name="_xlnm.Print_Area" localSheetId="4">statement!$A$1:$K$32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2" l="1"/>
  <c r="I16" i="12"/>
  <c r="J16" i="12"/>
  <c r="D17" i="12"/>
  <c r="B17" i="12"/>
  <c r="H12" i="12"/>
  <c r="H13" i="12" s="1"/>
  <c r="I11" i="12"/>
  <c r="H11" i="12"/>
  <c r="H14" i="12" l="1"/>
  <c r="J11" i="12"/>
  <c r="I12" i="12"/>
  <c r="I13" i="12" s="1"/>
  <c r="I14" i="12" s="1"/>
  <c r="I15" i="12" s="1"/>
  <c r="J12" i="12"/>
  <c r="H15" i="12" l="1"/>
  <c r="J14" i="12"/>
  <c r="J13" i="12"/>
  <c r="I17" i="12"/>
  <c r="J15" i="12" l="1"/>
  <c r="H17" i="12" l="1"/>
  <c r="J17" i="12" s="1"/>
  <c r="I14" i="11" l="1"/>
  <c r="I15" i="11" s="1"/>
  <c r="I16" i="11" s="1"/>
  <c r="I17" i="11" s="1"/>
  <c r="I18" i="11" s="1"/>
  <c r="I19" i="11" s="1"/>
  <c r="H14" i="11"/>
  <c r="H15" i="11" s="1"/>
  <c r="J14" i="9"/>
  <c r="J14" i="11" l="1"/>
  <c r="I20" i="1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J15" i="11"/>
  <c r="H16" i="11"/>
  <c r="J16" i="11" l="1"/>
  <c r="H17" i="11"/>
  <c r="H18" i="11" l="1"/>
  <c r="H19" i="11" s="1"/>
  <c r="J17" i="11"/>
  <c r="J19" i="11" l="1"/>
  <c r="J18" i="11"/>
  <c r="H20" i="11" l="1"/>
  <c r="H21" i="11" l="1"/>
  <c r="J20" i="11"/>
  <c r="J21" i="11" l="1"/>
  <c r="H22" i="11"/>
  <c r="J22" i="11" l="1"/>
  <c r="H23" i="11"/>
  <c r="J23" i="11" l="1"/>
  <c r="H24" i="11"/>
  <c r="J24" i="11" l="1"/>
  <c r="H25" i="11"/>
  <c r="J25" i="11" l="1"/>
  <c r="H26" i="11"/>
  <c r="H27" i="11" l="1"/>
  <c r="J26" i="11"/>
  <c r="J27" i="11" l="1"/>
  <c r="H28" i="11"/>
  <c r="J28" i="11" l="1"/>
  <c r="H29" i="11"/>
  <c r="J29" i="11" l="1"/>
  <c r="H30" i="11"/>
  <c r="J30" i="11" l="1"/>
  <c r="H31" i="11"/>
  <c r="J31" i="11" l="1"/>
  <c r="H32" i="11"/>
  <c r="J32" i="11" l="1"/>
  <c r="H33" i="11"/>
  <c r="J33" i="11" l="1"/>
  <c r="H34" i="11"/>
  <c r="J34" i="11" l="1"/>
  <c r="H35" i="11"/>
  <c r="J35" i="11" l="1"/>
  <c r="H36" i="11"/>
  <c r="J36" i="11" l="1"/>
  <c r="H37" i="11"/>
  <c r="J37" i="11" l="1"/>
  <c r="H38" i="11"/>
  <c r="H39" i="11" l="1"/>
  <c r="J38" i="11"/>
  <c r="J39" i="11" l="1"/>
  <c r="H40" i="11"/>
  <c r="J40" i="11" l="1"/>
  <c r="H41" i="11"/>
  <c r="J41" i="11" l="1"/>
  <c r="H42" i="11"/>
  <c r="H43" i="11" l="1"/>
  <c r="J43" i="11" s="1"/>
  <c r="J42" i="11"/>
</calcChain>
</file>

<file path=xl/sharedStrings.xml><?xml version="1.0" encoding="utf-8"?>
<sst xmlns="http://schemas.openxmlformats.org/spreadsheetml/2006/main" count="169" uniqueCount="112">
  <si>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</si>
  <si>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</si>
  <si>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</si>
  <si>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</si>
  <si>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</si>
  <si>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</si>
  <si>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</si>
  <si>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</si>
  <si>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</si>
  <si>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</si>
  <si>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</si>
  <si>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</si>
  <si>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</si>
  <si>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</si>
  <si>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</si>
  <si>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</si>
  <si>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</si>
  <si>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</si>
  <si>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</si>
  <si>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</si>
  <si>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</si>
  <si>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</si>
  <si>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</si>
  <si>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</si>
  <si>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</si>
  <si>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</si>
  <si>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</si>
  <si>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</si>
  <si>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</si>
  <si>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</si>
  <si>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</si>
  <si>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</si>
  <si>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</si>
  <si>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</si>
  <si>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</si>
  <si>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</si>
  <si>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</si>
  <si>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</si>
  <si>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</si>
  <si>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</si>
  <si>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</si>
  <si>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GPAES</t>
  </si>
  <si>
    <t>ADD: NOVEMBER 17, 2022</t>
  </si>
  <si>
    <t>S.O. # 108, S. 2022. BRIGADA AND OPLAN BALIK ESKWELA, 2022</t>
  </si>
  <si>
    <t>NAME         : GAROLACAN, EVELYN</t>
  </si>
  <si>
    <t>POSITION   : MASTER TEACHER II</t>
  </si>
  <si>
    <t>LESS: FEBRUARY 03, 2023</t>
  </si>
  <si>
    <t>LESS: APRIL 14, 2023</t>
  </si>
  <si>
    <t>LESS: MAY 11 &amp; 12, 2023</t>
  </si>
  <si>
    <t>LESS: JUNE 23, 2023</t>
  </si>
  <si>
    <t>ADD:10/17/2023</t>
  </si>
  <si>
    <t>S.O. # 159, S. 2023. 125TH PHILIPPINE INDEPENDENCE DAY CELEBRATION</t>
  </si>
  <si>
    <t>LESS: 11/24/2023</t>
  </si>
  <si>
    <t>ADD: 07/05/2023</t>
  </si>
  <si>
    <t>S.O. # 060, S. 2023. DIVISION SELECTION GUIDELINES FOR INCOMING GRADE 1-SSES</t>
  </si>
  <si>
    <t>LESS: 01/05/2024</t>
  </si>
  <si>
    <t>ADD: 10/27/2023</t>
  </si>
  <si>
    <t>SO # 173, S. 2023 BRIGADA ESKWELA AND OPLAN BALIK ESKWELA 2023</t>
  </si>
  <si>
    <t>LESS: 01/19/2024</t>
  </si>
  <si>
    <t>LESS: 02/23/2024</t>
  </si>
  <si>
    <t>LESS:03/05/2024</t>
  </si>
  <si>
    <t>LESS:03/06/2024</t>
  </si>
  <si>
    <t>LESS: 03/22/2024</t>
  </si>
  <si>
    <t>vsc</t>
  </si>
  <si>
    <t>Name: _____________________________</t>
  </si>
  <si>
    <t>DISTRICT: ___________________________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</si>
  <si>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</si>
  <si>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</si>
  <si>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</si>
  <si>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</si>
  <si>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</si>
  <si>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</si>
  <si>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</si>
  <si>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</si>
  <si>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</si>
  <si>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</si>
  <si>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</si>
  <si>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</si>
  <si>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EMP. NO  : 4623371</t>
  </si>
  <si>
    <t>026</t>
  </si>
  <si>
    <r>
      <t xml:space="preserve">SO # 050, S. 2022 DISTRICT PROPERTY CUSTODIAN CY 2021 </t>
    </r>
    <r>
      <rPr>
        <b/>
        <sz val="11"/>
        <color theme="1"/>
        <rFont val="Calibri"/>
        <family val="2"/>
        <scheme val="minor"/>
      </rPr>
      <t>(11 DAYS)</t>
    </r>
  </si>
  <si>
    <r>
      <t xml:space="preserve">SO # 051, S. 2022 MAY 9, 2022 NATIONAL &amp; LOCAL ELECTION </t>
    </r>
    <r>
      <rPr>
        <b/>
        <sz val="11"/>
        <color theme="1"/>
        <rFont val="Calibri"/>
        <family val="2"/>
        <scheme val="minor"/>
      </rPr>
      <t>(5 DAYS)</t>
    </r>
  </si>
  <si>
    <r>
      <t>SO # 108, S. 2022 BRIGADA ESKWELA &amp; OPLAN BALIK ESKWELA 2022</t>
    </r>
    <r>
      <rPr>
        <b/>
        <sz val="11"/>
        <color theme="1"/>
        <rFont val="Calibri"/>
        <family val="2"/>
        <scheme val="minor"/>
      </rPr>
      <t xml:space="preserve"> (10 DAYS)</t>
    </r>
  </si>
  <si>
    <r>
      <t xml:space="preserve">SO # 057, S. 2023 DISTRICT PROPERTY CUSTODIAN CY 2022 </t>
    </r>
    <r>
      <rPr>
        <b/>
        <sz val="11"/>
        <color theme="1"/>
        <rFont val="Calibri"/>
        <family val="2"/>
        <scheme val="minor"/>
      </rPr>
      <t>(15 DAYS)</t>
    </r>
  </si>
  <si>
    <r>
      <t xml:space="preserve">SO # 173, S. 2023 BRIGADA ESKWELA &amp; OPLAN BALIK ESKWELA 2023 </t>
    </r>
    <r>
      <rPr>
        <b/>
        <sz val="11"/>
        <color theme="1"/>
        <rFont val="Calibri"/>
        <family val="2"/>
        <scheme val="minor"/>
      </rPr>
      <t>(6 DAYS)</t>
    </r>
  </si>
  <si>
    <r>
      <rPr>
        <b/>
        <sz val="12"/>
        <color theme="1"/>
        <rFont val="Calibri"/>
        <family val="2"/>
        <scheme val="minor"/>
      </rPr>
      <t>TOTAL: 47 DAYS</t>
    </r>
    <r>
      <rPr>
        <sz val="11"/>
        <color theme="1"/>
        <rFont val="Calibri"/>
        <charset val="134"/>
        <scheme val="minor"/>
      </rPr>
      <t xml:space="preserve">                                                    CONVERT: 30Y/69/2</t>
    </r>
  </si>
  <si>
    <t>REMARKS</t>
  </si>
  <si>
    <t>CONVERT 47 DAYS UNUSED VACATION SERVICE CREDITS</t>
  </si>
  <si>
    <t>RETIRED EFFECTIVE 06/01/2025</t>
  </si>
  <si>
    <t>STATEMENT OF VACATION AND SICK LEAVE CREDITS</t>
  </si>
  <si>
    <t>PURSUANT TO CIVIL CERVICE COMMISSION</t>
  </si>
  <si>
    <t>RESOLUTION NO. 06- 213 DATED JUNE 6, 1986</t>
  </si>
  <si>
    <t xml:space="preserve"> </t>
  </si>
  <si>
    <t>Agency: DepEd Division of Sipalay City</t>
  </si>
  <si>
    <t xml:space="preserve">Vacation </t>
  </si>
  <si>
    <t>Sick</t>
  </si>
  <si>
    <t>Vacation</t>
  </si>
  <si>
    <t>Mon</t>
  </si>
  <si>
    <t>Conformed by:</t>
  </si>
  <si>
    <t xml:space="preserve">Certified Correct:              </t>
  </si>
  <si>
    <t>MA. LUISA B. CATIGAN</t>
  </si>
  <si>
    <t>Administrative Officer IV - HRMO</t>
  </si>
  <si>
    <t>BALTAZAR B. TABIANO</t>
  </si>
  <si>
    <t>Administrative Officer V- Admin</t>
  </si>
  <si>
    <t>Administrative Officer - V</t>
  </si>
  <si>
    <t>Name: EVELYN E. GAROLACAN</t>
  </si>
  <si>
    <r>
      <rPr>
        <b/>
        <sz val="11"/>
        <color theme="1"/>
        <rFont val="Calibri"/>
        <family val="2"/>
        <scheme val="minor"/>
      </rPr>
      <t xml:space="preserve">TOTAL: 47 DAYS     </t>
    </r>
    <r>
      <rPr>
        <sz val="11"/>
        <color theme="1"/>
        <rFont val="Calibri"/>
        <charset val="134"/>
        <scheme val="minor"/>
      </rPr>
      <t xml:space="preserve">                                               CONVERT: 30Y/69/2</t>
    </r>
  </si>
  <si>
    <r>
      <t xml:space="preserve">Section 45 of MC No. 41, s. 1998 </t>
    </r>
    <r>
      <rPr>
        <sz val="10.5"/>
        <color theme="1"/>
        <rFont val="Calibri"/>
        <family val="2"/>
        <scheme val="minor"/>
      </rPr>
      <t>(Omnibus Rule on Leave) and</t>
    </r>
    <r>
      <rPr>
        <b/>
        <sz val="10.5"/>
        <color theme="1"/>
        <rFont val="Calibri"/>
        <family val="2"/>
        <scheme val="minor"/>
      </rPr>
      <t xml:space="preserve"> DepEd Order No. 013, s. 2024 </t>
    </r>
    <r>
      <rPr>
        <sz val="10.5"/>
        <color theme="1"/>
        <rFont val="Calibri"/>
        <family val="2"/>
        <scheme val="minor"/>
      </rPr>
      <t>"Revised Guidelines on the Grant of Vacation Service Credits for Teachers" (VI. C, No. 10)</t>
    </r>
  </si>
  <si>
    <t>EVELYN E. GAROLACAN</t>
  </si>
  <si>
    <t>DATE:  _________________</t>
  </si>
  <si>
    <t>DANECA JOY M. NOARBE</t>
  </si>
  <si>
    <t>Budget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</si>
</sst>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3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0" xfId="1" applyFill="1"/>
    <xf numFmtId="0" fontId="1" fillId="2" borderId="0" xfId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0" xfId="1" applyFont="1" applyFill="1"/>
    <xf numFmtId="0" fontId="5" fillId="2" borderId="1" xfId="1" applyFont="1" applyFill="1" applyBorder="1" applyAlignment="1">
      <alignment horizontal="center" vertical="center"/>
    </xf>
    <xf numFmtId="0" fontId="1" fillId="0" borderId="0" xfId="1"/>
    <xf numFmtId="0" fontId="4" fillId="10" borderId="2" xfId="1" applyFont="1" applyFill="1" applyBorder="1" applyAlignment="1">
      <alignment horizontal="center" vertical="center"/>
    </xf>
    <xf numFmtId="0" fontId="4" fillId="11" borderId="19" xfId="1" applyFont="1" applyFill="1" applyBorder="1" applyAlignment="1">
      <alignment horizontal="center" vertical="center"/>
    </xf>
    <xf numFmtId="0" fontId="4" fillId="11" borderId="20" xfId="1" applyFont="1" applyFill="1" applyBorder="1" applyAlignment="1">
      <alignment horizontal="center" vertical="center"/>
    </xf>
    <xf numFmtId="0" fontId="4" fillId="12" borderId="19" xfId="1" applyFont="1" applyFill="1" applyBorder="1" applyAlignment="1">
      <alignment horizontal="center" vertical="center"/>
    </xf>
    <xf numFmtId="0" fontId="4" fillId="12" borderId="20" xfId="1" applyFont="1" applyFill="1" applyBorder="1" applyAlignment="1">
      <alignment horizontal="center" vertical="center"/>
    </xf>
    <xf numFmtId="0" fontId="4" fillId="12" borderId="25" xfId="1" applyFont="1" applyFill="1" applyBorder="1" applyAlignment="1">
      <alignment horizontal="center" vertical="center"/>
    </xf>
    <xf numFmtId="0" fontId="4" fillId="13" borderId="19" xfId="1" applyFont="1" applyFill="1" applyBorder="1" applyAlignment="1">
      <alignment horizontal="center" vertical="center"/>
    </xf>
    <xf numFmtId="0" fontId="4" fillId="13" borderId="20" xfId="1" applyFont="1" applyFill="1" applyBorder="1" applyAlignment="1">
      <alignment horizontal="center" vertical="center"/>
    </xf>
    <xf numFmtId="0" fontId="4" fillId="10" borderId="5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10" borderId="27" xfId="1" applyFont="1" applyFill="1" applyBorder="1" applyAlignment="1">
      <alignment horizontal="left" vertical="center"/>
    </xf>
    <xf numFmtId="0" fontId="4" fillId="10" borderId="28" xfId="1" applyFont="1" applyFill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 wrapText="1"/>
    </xf>
    <xf numFmtId="164" fontId="1" fillId="2" borderId="11" xfId="1" applyNumberFormat="1" applyFill="1" applyBorder="1" applyAlignment="1">
      <alignment horizontal="center" vertical="center"/>
    </xf>
    <xf numFmtId="0" fontId="9" fillId="0" borderId="0" xfId="1" applyFont="1"/>
    <xf numFmtId="0" fontId="1" fillId="2" borderId="22" xfId="1" applyFill="1" applyBorder="1" applyAlignment="1">
      <alignment horizontal="center" vertical="center" wrapText="1"/>
    </xf>
    <xf numFmtId="0" fontId="1" fillId="2" borderId="22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2" borderId="5" xfId="1" applyFill="1" applyBorder="1" applyAlignment="1">
      <alignment horizontal="center" vertical="center" wrapText="1"/>
    </xf>
    <xf numFmtId="0" fontId="1" fillId="2" borderId="26" xfId="1" applyFill="1" applyBorder="1" applyAlignment="1">
      <alignment horizontal="center" vertical="center"/>
    </xf>
    <xf numFmtId="0" fontId="1" fillId="2" borderId="26" xfId="1" applyFill="1" applyBorder="1" applyAlignment="1">
      <alignment horizontal="center" vertical="center" wrapText="1"/>
    </xf>
    <xf numFmtId="164" fontId="1" fillId="2" borderId="26" xfId="1" applyNumberForma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64" fontId="1" fillId="2" borderId="0" xfId="1" applyNumberFormat="1" applyFill="1" applyAlignment="1">
      <alignment horizontal="center" vertical="center"/>
    </xf>
    <xf numFmtId="0" fontId="4" fillId="2" borderId="24" xfId="1" quotePrefix="1" applyFont="1" applyFill="1" applyBorder="1" applyAlignment="1">
      <alignment vertical="center"/>
    </xf>
    <xf numFmtId="164" fontId="1" fillId="2" borderId="9" xfId="1" applyNumberFormat="1" applyFill="1" applyBorder="1" applyAlignment="1">
      <alignment horizontal="center" vertical="center"/>
    </xf>
    <xf numFmtId="164" fontId="1" fillId="2" borderId="12" xfId="1" applyNumberFormat="1" applyFill="1" applyBorder="1" applyAlignment="1">
      <alignment horizontal="center" vertical="center"/>
    </xf>
    <xf numFmtId="164" fontId="1" fillId="2" borderId="30" xfId="1" applyNumberFormat="1" applyFill="1" applyBorder="1" applyAlignment="1">
      <alignment horizontal="center" vertical="center"/>
    </xf>
    <xf numFmtId="0" fontId="4" fillId="10" borderId="3" xfId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" fillId="0" borderId="0" xfId="2" applyAlignment="1">
      <alignment horizontal="center"/>
    </xf>
    <xf numFmtId="0" fontId="1" fillId="0" borderId="0" xfId="2" applyAlignment="1">
      <alignment horizontal="center"/>
    </xf>
    <xf numFmtId="0" fontId="1" fillId="0" borderId="0" xfId="2"/>
    <xf numFmtId="0" fontId="4" fillId="0" borderId="34" xfId="2" applyFont="1" applyBorder="1" applyAlignment="1">
      <alignment horizontal="center"/>
    </xf>
    <xf numFmtId="0" fontId="10" fillId="0" borderId="34" xfId="2" applyFont="1" applyBorder="1" applyAlignment="1">
      <alignment horizontal="center"/>
    </xf>
    <xf numFmtId="0" fontId="4" fillId="0" borderId="34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/>
    </xf>
    <xf numFmtId="0" fontId="4" fillId="0" borderId="12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4" fillId="0" borderId="37" xfId="2" applyFont="1" applyBorder="1"/>
    <xf numFmtId="0" fontId="4" fillId="0" borderId="38" xfId="2" applyFont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164" fontId="3" fillId="0" borderId="11" xfId="3" applyNumberFormat="1" applyFont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2" fontId="3" fillId="2" borderId="11" xfId="2" applyNumberFormat="1" applyFont="1" applyFill="1" applyBorder="1" applyAlignment="1">
      <alignment horizontal="center" vertical="center"/>
    </xf>
    <xf numFmtId="2" fontId="1" fillId="0" borderId="11" xfId="2" applyNumberFormat="1" applyBorder="1" applyAlignment="1">
      <alignment horizontal="center" vertical="center"/>
    </xf>
    <xf numFmtId="2" fontId="1" fillId="0" borderId="9" xfId="2" applyNumberFormat="1" applyBorder="1" applyAlignment="1">
      <alignment horizontal="center" vertical="center"/>
    </xf>
    <xf numFmtId="164" fontId="3" fillId="0" borderId="22" xfId="3" applyNumberFormat="1" applyFont="1" applyBorder="1" applyAlignment="1">
      <alignment horizontal="center" vertical="center"/>
    </xf>
    <xf numFmtId="164" fontId="3" fillId="2" borderId="22" xfId="2" applyNumberFormat="1" applyFont="1" applyFill="1" applyBorder="1" applyAlignment="1">
      <alignment horizontal="center" vertical="center"/>
    </xf>
    <xf numFmtId="2" fontId="3" fillId="2" borderId="22" xfId="2" applyNumberFormat="1" applyFont="1" applyFill="1" applyBorder="1" applyAlignment="1">
      <alignment horizontal="center" vertical="center"/>
    </xf>
    <xf numFmtId="164" fontId="1" fillId="0" borderId="22" xfId="2" applyNumberFormat="1" applyBorder="1" applyAlignment="1">
      <alignment horizontal="center" vertical="center"/>
    </xf>
    <xf numFmtId="164" fontId="1" fillId="0" borderId="12" xfId="2" applyNumberForma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164" fontId="11" fillId="0" borderId="40" xfId="2" applyNumberFormat="1" applyFont="1" applyBorder="1" applyAlignment="1">
      <alignment horizontal="center" vertical="center"/>
    </xf>
    <xf numFmtId="164" fontId="11" fillId="0" borderId="41" xfId="2" applyNumberFormat="1" applyFont="1" applyBorder="1" applyAlignment="1">
      <alignment horizontal="center" vertical="center"/>
    </xf>
    <xf numFmtId="2" fontId="11" fillId="0" borderId="42" xfId="2" applyNumberFormat="1" applyFont="1" applyBorder="1" applyAlignment="1">
      <alignment horizontal="center" vertical="center"/>
    </xf>
    <xf numFmtId="2" fontId="11" fillId="0" borderId="43" xfId="2" applyNumberFormat="1" applyFont="1" applyBorder="1" applyAlignment="1">
      <alignment horizontal="center" vertical="center"/>
    </xf>
    <xf numFmtId="164" fontId="11" fillId="0" borderId="43" xfId="2" applyNumberFormat="1" applyFont="1" applyBorder="1" applyAlignment="1">
      <alignment horizontal="center" vertical="center"/>
    </xf>
    <xf numFmtId="164" fontId="11" fillId="0" borderId="44" xfId="2" applyNumberFormat="1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" fillId="0" borderId="0" xfId="2" applyFont="1"/>
    <xf numFmtId="0" fontId="1" fillId="0" borderId="23" xfId="3" applyFont="1" applyBorder="1" applyAlignment="1">
      <alignment horizontal="center" vertical="center" wrapText="1"/>
    </xf>
    <xf numFmtId="0" fontId="14" fillId="0" borderId="31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" fillId="0" borderId="45" xfId="2" applyBorder="1" applyAlignment="1">
      <alignment horizontal="center"/>
    </xf>
    <xf numFmtId="0" fontId="1" fillId="0" borderId="46" xfId="2" applyBorder="1" applyAlignment="1">
      <alignment horizontal="center"/>
    </xf>
    <xf numFmtId="0" fontId="1" fillId="0" borderId="47" xfId="2" applyBorder="1" applyAlignment="1">
      <alignment horizontal="center"/>
    </xf>
    <xf numFmtId="0" fontId="10" fillId="0" borderId="0" xfId="2" applyFont="1"/>
    <xf numFmtId="0" fontId="16" fillId="0" borderId="0" xfId="2" applyFont="1" applyAlignment="1">
      <alignment horizontal="left" vertical="center"/>
    </xf>
    <xf numFmtId="0" fontId="17" fillId="0" borderId="0" xfId="2" applyFont="1" applyAlignment="1">
      <alignment vertical="center"/>
    </xf>
    <xf numFmtId="0" fontId="17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vertical="center"/>
    </xf>
    <xf numFmtId="0" fontId="10" fillId="0" borderId="0" xfId="2" applyFont="1" applyAlignment="1">
      <alignment horizontal="left"/>
    </xf>
  </cellXfs>
  <cellStyles count="4">
    <cellStyle name="Normal" xfId="0" builtinId="0"/>
    <cellStyle name="Normal 2" xfId="1" xr:uid="{F2900DDD-F61E-4FCE-AC0B-C14CC73E63AB}"/>
    <cellStyle name="Normal 3" xfId="3" xr:uid="{25D02D82-49E1-4F59-BD84-51410DEE4E0D}"/>
    <cellStyle name="Normal 4" xfId="2" xr:uid="{B48A269B-9974-443E-B97C-1E7B0310D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887560</xdr:colOff>
      <xdr:row>0</xdr:row>
      <xdr:rowOff>37275</xdr:rowOff>
    </xdr:from>
    <xdr:to>
      <xdr:col>4</xdr:col>
      <xdr:colOff>431566</xdr:colOff>
      <xdr:row>1</xdr:row>
      <xdr:rowOff>18030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69703" y="37275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101714</xdr:colOff>
      <xdr:row>29</xdr:row>
      <xdr:rowOff>71438</xdr:rowOff>
    </xdr:from>
    <xdr:to>
      <xdr:col>2</xdr:col>
      <xdr:colOff>558914</xdr:colOff>
      <xdr:row>34</xdr:row>
      <xdr:rowOff>102055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1714" y="6177643"/>
          <a:ext cx="3493294" cy="9661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7F9A7-FFDC-4AF6-9ACD-36D3D21E248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322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AB77D4-2418-450E-8894-21C1346CB4B5}"/>
            </a:ext>
          </a:extLst>
        </xdr:cNvPr>
        <xdr:cNvSpPr txBox="1"/>
      </xdr:nvSpPr>
      <xdr:spPr>
        <a:xfrm>
          <a:off x="573942" y="137111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EVELYN</a:t>
          </a:r>
          <a:r>
            <a:rPr lang="en-US" sz="1100" baseline="0"/>
            <a:t> E. GAROLACAN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851342-A2CC-41D2-A28B-6A727C1E2A86}"/>
            </a:ext>
          </a:extLst>
        </xdr:cNvPr>
        <xdr:cNvSpPr txBox="1"/>
      </xdr:nvSpPr>
      <xdr:spPr>
        <a:xfrm>
          <a:off x="616683" y="17184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MASTER TEACHER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049ED6-6FAC-4E2D-AFC8-3FFE48F6C068}"/>
            </a:ext>
          </a:extLst>
        </xdr:cNvPr>
        <xdr:cNvSpPr txBox="1"/>
      </xdr:nvSpPr>
      <xdr:spPr>
        <a:xfrm>
          <a:off x="397754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</a:p>
      </xdr:txBody>
    </xdr:sp>
    <xdr:clientData/>
  </xdr:twoCellAnchor>
  <xdr:twoCellAnchor>
    <xdr:from>
      <xdr:col>6</xdr:col>
      <xdr:colOff>41934</xdr:colOff>
      <xdr:row>46</xdr:row>
      <xdr:rowOff>8984</xdr:rowOff>
    </xdr:from>
    <xdr:to>
      <xdr:col>9</xdr:col>
      <xdr:colOff>458278</xdr:colOff>
      <xdr:row>51</xdr:row>
      <xdr:rowOff>134788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5DB9E9-6B93-4315-9EFA-AB39416C1244}"/>
            </a:ext>
          </a:extLst>
        </xdr:cNvPr>
        <xdr:cNvSpPr txBox="1"/>
      </xdr:nvSpPr>
      <xdr:spPr>
        <a:xfrm>
          <a:off x="6700448" y="6326036"/>
          <a:ext cx="2734693" cy="10693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 sz="1200"/>
            <a:t> </a:t>
          </a:r>
          <a:endParaRPr lang="en-PH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200"/>
            <a:t>                            </a:t>
          </a:r>
          <a:r>
            <a:rPr lang="en-PH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 sz="1200"/>
            <a:t>                           </a:t>
          </a:r>
          <a:r>
            <a:rPr lang="en-PH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 sz="1200"/>
            <a:t> </a:t>
          </a:r>
        </a:p>
        <a:p>
          <a:r>
            <a:rPr lang="en-PH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 sz="1200"/>
            <a:t> </a:t>
          </a:r>
          <a:endParaRPr lang="en-US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127257</xdr:colOff>
      <xdr:row>0</xdr:row>
      <xdr:rowOff>126067</xdr:rowOff>
    </xdr:from>
    <xdr:to>
      <xdr:col>9</xdr:col>
      <xdr:colOff>137224</xdr:colOff>
      <xdr:row>4</xdr:row>
      <xdr:rowOff>40360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C54EC-1E43-4C81-ACEC-8BBDD91991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982" y="126067"/>
          <a:ext cx="695767" cy="6762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16144</xdr:colOff>
      <xdr:row>0</xdr:row>
      <xdr:rowOff>127135</xdr:rowOff>
    </xdr:from>
    <xdr:to>
      <xdr:col>8</xdr:col>
      <xdr:colOff>113637</xdr:colOff>
      <xdr:row>4</xdr:row>
      <xdr:rowOff>80722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7ACC6D-2558-4AE9-9955-08E6A820D57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319" y="127135"/>
          <a:ext cx="688043" cy="7155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7" t="s">
        <v>5</v>
      </c>
      <c r="D8" s="37"/>
      <c r="E8" s="37"/>
      <c r="F8" s="37"/>
      <c r="G8" s="37"/>
      <c r="I8" s="37" t="s">
        <v>6</v>
      </c>
      <c r="J8" s="37"/>
      <c r="K8" s="37"/>
      <c r="L8" s="11"/>
    </row>
    <row r="9" spans="1:13" s="1" customFormat="1" ht="12" customHeight="1">
      <c r="B9" s="12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view="pageBreakPreview" topLeftCell="A14" zoomScale="112" zoomScaleNormal="100" workbookViewId="0">
      <selection activeCell="B18" sqref="B18:E18"/>
    </sheetView>
  </sheetViews>
  <sheetFormatPr defaultColWidth="9" defaultRowHeight="15"/>
  <cols>
    <col min="1" max="1" width="29.85546875" customWidth="1"/>
    <col min="2" max="2" width="15.7109375" style="4" customWidth="1"/>
    <col min="3" max="3" width="15.7109375" style="5" customWidth="1"/>
    <col min="4" max="4" width="15.7109375" customWidth="1"/>
    <col min="5" max="5" width="15.710937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7" t="s">
        <v>24</v>
      </c>
      <c r="D8" s="37"/>
      <c r="E8" s="37"/>
      <c r="F8" s="37"/>
      <c r="G8" s="37"/>
      <c r="I8" s="37" t="s">
        <v>25</v>
      </c>
      <c r="J8" s="37"/>
      <c r="K8" s="37"/>
      <c r="L8" s="11"/>
    </row>
    <row r="9" spans="1:12" s="1" customFormat="1" ht="12" customHeight="1">
      <c r="B9" s="12"/>
      <c r="C9" s="37" t="s">
        <v>41</v>
      </c>
      <c r="D9" s="37"/>
      <c r="E9" s="37"/>
      <c r="F9" s="37"/>
      <c r="G9" s="37"/>
      <c r="I9" s="38" t="s">
        <v>26</v>
      </c>
      <c r="J9" s="38"/>
      <c r="K9" s="38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2" ht="16.5" customHeight="1">
      <c r="A11" s="39" t="s">
        <v>63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6" t="s">
        <v>12</v>
      </c>
      <c r="B12" s="44" t="s">
        <v>27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 ht="20.100000000000001" customHeight="1">
      <c r="A14" s="14" t="s">
        <v>42</v>
      </c>
      <c r="B14" s="41" t="s">
        <v>43</v>
      </c>
      <c r="C14" s="42"/>
      <c r="D14" s="42"/>
      <c r="E14" s="43"/>
      <c r="F14" s="21">
        <v>15</v>
      </c>
      <c r="G14" s="22"/>
      <c r="H14" s="41">
        <v>0</v>
      </c>
      <c r="I14" s="43"/>
      <c r="J14" s="41">
        <f>F14-H14</f>
        <v>15</v>
      </c>
      <c r="K14" s="43"/>
      <c r="L14" s="20">
        <v>15</v>
      </c>
    </row>
    <row r="15" spans="1:12" s="3" customFormat="1" ht="20.100000000000001" customHeight="1">
      <c r="A15" s="16" t="s">
        <v>46</v>
      </c>
      <c r="B15" s="41" t="s">
        <v>43</v>
      </c>
      <c r="C15" s="42"/>
      <c r="D15" s="42"/>
      <c r="E15" s="43"/>
      <c r="F15" s="41"/>
      <c r="G15" s="43"/>
      <c r="H15" s="41">
        <v>1</v>
      </c>
      <c r="I15" s="43"/>
      <c r="J15" s="41">
        <v>14</v>
      </c>
      <c r="K15" s="43"/>
      <c r="L15" s="28">
        <v>14</v>
      </c>
    </row>
    <row r="16" spans="1:12" s="3" customFormat="1" ht="20.100000000000001" customHeight="1">
      <c r="A16" s="16" t="s">
        <v>47</v>
      </c>
      <c r="B16" s="41" t="s">
        <v>43</v>
      </c>
      <c r="C16" s="42"/>
      <c r="D16" s="42"/>
      <c r="E16" s="43"/>
      <c r="F16" s="41"/>
      <c r="G16" s="43"/>
      <c r="H16" s="41">
        <v>1</v>
      </c>
      <c r="I16" s="43"/>
      <c r="J16" s="41">
        <v>13</v>
      </c>
      <c r="K16" s="43"/>
      <c r="L16" s="28">
        <v>13</v>
      </c>
    </row>
    <row r="17" spans="1:14" s="3" customFormat="1" ht="20.100000000000001" customHeight="1">
      <c r="A17" s="16" t="s">
        <v>48</v>
      </c>
      <c r="B17" s="41" t="s">
        <v>43</v>
      </c>
      <c r="C17" s="42"/>
      <c r="D17" s="42"/>
      <c r="E17" s="43"/>
      <c r="F17" s="41"/>
      <c r="G17" s="43"/>
      <c r="H17" s="41">
        <v>2</v>
      </c>
      <c r="I17" s="43"/>
      <c r="J17" s="41">
        <v>11</v>
      </c>
      <c r="K17" s="43"/>
      <c r="L17" s="28">
        <v>11</v>
      </c>
    </row>
    <row r="18" spans="1:14" s="3" customFormat="1" ht="20.100000000000001" customHeight="1">
      <c r="A18" s="33" t="s">
        <v>49</v>
      </c>
      <c r="B18" s="53" t="s">
        <v>43</v>
      </c>
      <c r="C18" s="54"/>
      <c r="D18" s="54"/>
      <c r="E18" s="55"/>
      <c r="F18" s="53"/>
      <c r="G18" s="55"/>
      <c r="H18" s="53">
        <v>1</v>
      </c>
      <c r="I18" s="55"/>
      <c r="J18" s="53">
        <v>10</v>
      </c>
      <c r="K18" s="55"/>
      <c r="L18" s="34">
        <v>10</v>
      </c>
    </row>
    <row r="19" spans="1:14" s="31" customFormat="1" ht="21" customHeight="1">
      <c r="A19" s="28" t="s">
        <v>50</v>
      </c>
      <c r="B19" s="41" t="s">
        <v>51</v>
      </c>
      <c r="C19" s="42"/>
      <c r="D19" s="42"/>
      <c r="E19" s="43"/>
      <c r="F19" s="41">
        <v>1</v>
      </c>
      <c r="G19" s="43"/>
      <c r="H19" s="41">
        <v>0</v>
      </c>
      <c r="I19" s="43"/>
      <c r="J19" s="41">
        <v>1</v>
      </c>
      <c r="K19" s="43"/>
      <c r="L19" s="28">
        <v>1</v>
      </c>
    </row>
    <row r="20" spans="1:14" s="31" customFormat="1" ht="21" customHeight="1">
      <c r="A20" s="28" t="s">
        <v>52</v>
      </c>
      <c r="B20" s="41" t="s">
        <v>51</v>
      </c>
      <c r="C20" s="42"/>
      <c r="D20" s="42"/>
      <c r="E20" s="43"/>
      <c r="F20" s="41"/>
      <c r="G20" s="43"/>
      <c r="H20" s="41">
        <v>1</v>
      </c>
      <c r="I20" s="43"/>
      <c r="J20" s="41">
        <v>0</v>
      </c>
      <c r="K20" s="43"/>
      <c r="L20" s="35">
        <v>0</v>
      </c>
    </row>
    <row r="21" spans="1:14" s="31" customFormat="1" ht="21" customHeight="1">
      <c r="A21" s="28" t="s">
        <v>53</v>
      </c>
      <c r="B21" s="41" t="s">
        <v>54</v>
      </c>
      <c r="C21" s="42"/>
      <c r="D21" s="42"/>
      <c r="E21" s="43"/>
      <c r="F21" s="41">
        <v>1</v>
      </c>
      <c r="G21" s="43"/>
      <c r="H21" s="41">
        <v>0</v>
      </c>
      <c r="I21" s="43"/>
      <c r="J21" s="41">
        <v>1</v>
      </c>
      <c r="K21" s="43"/>
      <c r="L21" s="28">
        <v>1</v>
      </c>
    </row>
    <row r="22" spans="1:14" s="31" customFormat="1" ht="21" customHeight="1">
      <c r="A22" s="28" t="s">
        <v>55</v>
      </c>
      <c r="B22" s="41" t="s">
        <v>54</v>
      </c>
      <c r="C22" s="42"/>
      <c r="D22" s="42"/>
      <c r="E22" s="43"/>
      <c r="F22" s="41"/>
      <c r="G22" s="43"/>
      <c r="H22" s="41">
        <v>1</v>
      </c>
      <c r="I22" s="43"/>
      <c r="J22" s="41">
        <v>0</v>
      </c>
      <c r="K22" s="43"/>
      <c r="L22" s="35">
        <v>0</v>
      </c>
    </row>
    <row r="23" spans="1:14" s="3" customFormat="1" ht="21" customHeight="1">
      <c r="A23" s="16" t="s">
        <v>56</v>
      </c>
      <c r="B23" s="41" t="s">
        <v>57</v>
      </c>
      <c r="C23" s="42"/>
      <c r="D23" s="42"/>
      <c r="E23" s="43"/>
      <c r="F23" s="41">
        <v>11</v>
      </c>
      <c r="G23" s="43"/>
      <c r="H23" s="41">
        <v>0</v>
      </c>
      <c r="I23" s="43"/>
      <c r="J23" s="41">
        <v>11</v>
      </c>
      <c r="K23" s="43"/>
      <c r="L23" s="20">
        <v>11</v>
      </c>
    </row>
    <row r="24" spans="1:14" ht="21" customHeight="1">
      <c r="A24" s="28" t="s">
        <v>58</v>
      </c>
      <c r="B24" s="41" t="s">
        <v>57</v>
      </c>
      <c r="C24" s="42"/>
      <c r="D24" s="42"/>
      <c r="E24" s="43"/>
      <c r="F24" s="41"/>
      <c r="G24" s="43"/>
      <c r="H24" s="41">
        <v>1</v>
      </c>
      <c r="I24" s="43"/>
      <c r="J24" s="41">
        <v>10</v>
      </c>
      <c r="K24" s="43"/>
      <c r="L24" s="34">
        <v>10</v>
      </c>
    </row>
    <row r="25" spans="1:14" ht="21.75" customHeight="1">
      <c r="A25" s="28" t="s">
        <v>59</v>
      </c>
      <c r="B25" s="41" t="s">
        <v>57</v>
      </c>
      <c r="C25" s="42"/>
      <c r="D25" s="42"/>
      <c r="E25" s="43"/>
      <c r="F25" s="41"/>
      <c r="G25" s="43"/>
      <c r="H25" s="41">
        <v>1</v>
      </c>
      <c r="I25" s="43"/>
      <c r="J25" s="41">
        <v>9</v>
      </c>
      <c r="K25" s="43"/>
      <c r="L25" s="34">
        <v>9</v>
      </c>
    </row>
    <row r="26" spans="1:14" ht="21.75" customHeight="1">
      <c r="A26" s="28" t="s">
        <v>60</v>
      </c>
      <c r="B26" s="41" t="s">
        <v>57</v>
      </c>
      <c r="C26" s="42"/>
      <c r="D26" s="42"/>
      <c r="E26" s="43"/>
      <c r="F26" s="41"/>
      <c r="G26" s="43"/>
      <c r="H26" s="41">
        <v>1</v>
      </c>
      <c r="I26" s="43"/>
      <c r="J26" s="41">
        <v>8</v>
      </c>
      <c r="K26" s="43"/>
      <c r="L26" s="34">
        <v>8</v>
      </c>
    </row>
    <row r="27" spans="1:14" ht="21.75" customHeight="1">
      <c r="A27" s="28" t="s">
        <v>61</v>
      </c>
      <c r="B27" s="41" t="s">
        <v>57</v>
      </c>
      <c r="C27" s="42"/>
      <c r="D27" s="42"/>
      <c r="E27" s="43"/>
      <c r="F27" s="41"/>
      <c r="G27" s="43"/>
      <c r="H27" s="41">
        <v>1</v>
      </c>
      <c r="I27" s="43"/>
      <c r="J27" s="41">
        <v>7</v>
      </c>
      <c r="K27" s="43"/>
      <c r="L27" s="34">
        <v>7</v>
      </c>
    </row>
    <row r="28" spans="1:14" ht="21.75" customHeight="1">
      <c r="A28" s="28" t="s">
        <v>62</v>
      </c>
      <c r="B28" s="41" t="s">
        <v>57</v>
      </c>
      <c r="C28" s="42"/>
      <c r="D28" s="42"/>
      <c r="E28" s="43"/>
      <c r="F28" s="41"/>
      <c r="G28" s="43"/>
      <c r="H28" s="41">
        <v>1</v>
      </c>
      <c r="I28" s="43"/>
      <c r="J28" s="41">
        <v>6</v>
      </c>
      <c r="K28" s="43"/>
      <c r="L28" s="34">
        <v>6</v>
      </c>
    </row>
    <row r="29" spans="1:14" s="1" customFormat="1">
      <c r="A29" s="32" t="s">
        <v>32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4" s="1" customForma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4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0"/>
      <c r="D34" s="1"/>
      <c r="E34" s="1"/>
      <c r="F34" s="1"/>
      <c r="G34" s="1" t="s">
        <v>33</v>
      </c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77">
    <mergeCell ref="B23:E23"/>
    <mergeCell ref="F23:G23"/>
    <mergeCell ref="H23:I23"/>
    <mergeCell ref="J23:K23"/>
    <mergeCell ref="B21:E21"/>
    <mergeCell ref="F21:G21"/>
    <mergeCell ref="H21:I21"/>
    <mergeCell ref="J21:K21"/>
    <mergeCell ref="B22:E22"/>
    <mergeCell ref="F22:G22"/>
    <mergeCell ref="H22:I22"/>
    <mergeCell ref="J22:K22"/>
    <mergeCell ref="B16:E16"/>
    <mergeCell ref="F16:G16"/>
    <mergeCell ref="H16:I16"/>
    <mergeCell ref="J16:K16"/>
    <mergeCell ref="B18:E18"/>
    <mergeCell ref="F18:G18"/>
    <mergeCell ref="H18:I18"/>
    <mergeCell ref="J18:K18"/>
    <mergeCell ref="A30:L30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  <mergeCell ref="H17:I17"/>
    <mergeCell ref="J17:K17"/>
    <mergeCell ref="B15:E15"/>
    <mergeCell ref="F15:G15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9:E19"/>
    <mergeCell ref="B20:E20"/>
    <mergeCell ref="F19:G19"/>
    <mergeCell ref="H19:I19"/>
    <mergeCell ref="J19:K19"/>
    <mergeCell ref="F20:G20"/>
    <mergeCell ref="H20:I20"/>
    <mergeCell ref="J20:K20"/>
    <mergeCell ref="B24:E24"/>
    <mergeCell ref="F24:G24"/>
    <mergeCell ref="H24:I24"/>
    <mergeCell ref="J24:K24"/>
    <mergeCell ref="B26:E26"/>
    <mergeCell ref="B25:E25"/>
    <mergeCell ref="F25:G25"/>
    <mergeCell ref="H25:I25"/>
    <mergeCell ref="J25:K25"/>
    <mergeCell ref="B27:E27"/>
    <mergeCell ref="B28:E28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</mergeCells>
  <pageMargins left="0.25" right="0.25" top="0.75" bottom="0.75" header="0.3" footer="0.3"/>
  <pageSetup paperSize="9" scale="87" orientation="landscape" r:id="rId1"/>
  <rowBreaks count="1" manualBreakCount="1">
    <brk id="35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7" t="s">
        <v>5</v>
      </c>
      <c r="E8" s="37"/>
      <c r="F8" s="37"/>
      <c r="G8" s="37"/>
      <c r="H8" s="37"/>
      <c r="J8" s="37" t="s">
        <v>34</v>
      </c>
      <c r="K8" s="37"/>
      <c r="L8" s="37"/>
      <c r="M8" s="11"/>
    </row>
    <row r="9" spans="1:13" s="1" customFormat="1" ht="12" customHeight="1">
      <c r="C9" s="12"/>
      <c r="D9" s="37" t="s">
        <v>35</v>
      </c>
      <c r="E9" s="37"/>
      <c r="F9" s="37"/>
      <c r="G9" s="37"/>
      <c r="H9" s="37"/>
      <c r="J9" s="38" t="s">
        <v>8</v>
      </c>
      <c r="K9" s="38"/>
      <c r="L9" s="38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7" t="s">
        <v>10</v>
      </c>
      <c r="K10" s="37"/>
      <c r="L10" s="37"/>
      <c r="M10" s="11"/>
    </row>
    <row r="11" spans="1:13" ht="16.5" customHeight="1">
      <c r="A11" s="39" t="s">
        <v>37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56" t="s">
        <v>38</v>
      </c>
      <c r="B12" s="46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48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9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67"/>
      <c r="D21" s="68"/>
      <c r="E21" s="67"/>
      <c r="F21" s="69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A721-2514-4BA2-A6BA-43BF783FF3F9}">
  <sheetPr>
    <pageSetUpPr fitToPage="1"/>
  </sheetPr>
  <dimension ref="A1:K50"/>
  <sheetViews>
    <sheetView view="pageBreakPreview" topLeftCell="A8" zoomScale="106" zoomScaleNormal="100" zoomScaleSheetLayoutView="106" workbookViewId="0">
      <selection activeCell="B45" sqref="B45"/>
    </sheetView>
  </sheetViews>
  <sheetFormatPr defaultRowHeight="15"/>
  <cols>
    <col min="1" max="1" width="41.85546875" style="77" customWidth="1"/>
    <col min="2" max="5" width="11.5703125" style="77" customWidth="1"/>
    <col min="6" max="7" width="11.5703125" style="109" customWidth="1"/>
    <col min="8" max="10" width="11.5703125" style="77" customWidth="1"/>
    <col min="11" max="11" width="26.42578125" style="95" customWidth="1"/>
    <col min="12" max="16384" width="9.140625" style="77"/>
  </cols>
  <sheetData>
    <row r="1" spans="1:11" s="70" customFormat="1" ht="52.5" customHeight="1"/>
    <row r="2" spans="1:11" s="70" customFormat="1" ht="10.5" customHeight="1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</row>
    <row r="3" spans="1:11" s="70" customFormat="1" ht="15.95" customHeight="1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</row>
    <row r="4" spans="1:11" s="70" customFormat="1" ht="15.95" customHeight="1">
      <c r="A4" s="71" t="s">
        <v>2</v>
      </c>
      <c r="B4" s="71"/>
      <c r="C4" s="71"/>
      <c r="D4" s="71"/>
      <c r="E4" s="71"/>
      <c r="F4" s="71"/>
      <c r="G4" s="71"/>
      <c r="H4" s="71"/>
      <c r="I4" s="71"/>
      <c r="J4" s="71"/>
    </row>
    <row r="5" spans="1:11" s="70" customFormat="1" ht="15.95" customHeight="1">
      <c r="A5" s="71" t="s">
        <v>3</v>
      </c>
      <c r="B5" s="71"/>
      <c r="C5" s="71"/>
      <c r="D5" s="71"/>
      <c r="E5" s="71"/>
      <c r="F5" s="71"/>
      <c r="G5" s="71"/>
      <c r="H5" s="71"/>
      <c r="I5" s="71"/>
      <c r="J5" s="71"/>
    </row>
    <row r="6" spans="1:11" s="70" customFormat="1" ht="8.25" customHeight="1"/>
    <row r="7" spans="1:11" s="70" customFormat="1" ht="12" customHeight="1">
      <c r="A7" s="70" t="s">
        <v>64</v>
      </c>
      <c r="B7" s="72" t="s">
        <v>65</v>
      </c>
      <c r="C7" s="72"/>
      <c r="D7" s="72"/>
      <c r="H7" s="73" t="s">
        <v>78</v>
      </c>
      <c r="I7" s="74"/>
      <c r="J7" s="73"/>
    </row>
    <row r="8" spans="1:11" s="70" customFormat="1" ht="12" customHeight="1">
      <c r="B8" s="75"/>
      <c r="C8" s="75"/>
      <c r="H8" s="75"/>
      <c r="I8" s="75"/>
      <c r="J8" s="75"/>
    </row>
    <row r="9" spans="1:11" s="70" customFormat="1" ht="12" customHeight="1">
      <c r="A9" s="70" t="s">
        <v>66</v>
      </c>
      <c r="B9" s="72" t="s">
        <v>67</v>
      </c>
      <c r="C9" s="72"/>
      <c r="D9" s="72"/>
      <c r="H9" s="73" t="s">
        <v>68</v>
      </c>
      <c r="I9" s="111" t="s">
        <v>79</v>
      </c>
      <c r="J9" s="73"/>
    </row>
    <row r="10" spans="1:11" ht="23.25" customHeight="1" thickBot="1">
      <c r="A10" s="76" t="s">
        <v>69</v>
      </c>
      <c r="B10" s="76"/>
      <c r="C10" s="76"/>
      <c r="D10" s="76"/>
      <c r="E10" s="76"/>
      <c r="F10" s="76"/>
      <c r="G10" s="76"/>
      <c r="H10" s="76"/>
      <c r="I10" s="76"/>
      <c r="J10" s="76"/>
      <c r="K10" s="77"/>
    </row>
    <row r="11" spans="1:11" ht="18.75" customHeight="1">
      <c r="A11" s="78" t="s">
        <v>12</v>
      </c>
      <c r="B11" s="79" t="s">
        <v>27</v>
      </c>
      <c r="C11" s="80"/>
      <c r="D11" s="81" t="s">
        <v>70</v>
      </c>
      <c r="E11" s="82"/>
      <c r="F11" s="82"/>
      <c r="G11" s="83"/>
      <c r="H11" s="84" t="s">
        <v>71</v>
      </c>
      <c r="I11" s="85"/>
      <c r="J11" s="115" t="s">
        <v>23</v>
      </c>
      <c r="K11" s="117" t="s">
        <v>72</v>
      </c>
    </row>
    <row r="12" spans="1:11" ht="15.75" thickBot="1">
      <c r="A12" s="86"/>
      <c r="B12" s="87" t="s">
        <v>73</v>
      </c>
      <c r="C12" s="87" t="s">
        <v>74</v>
      </c>
      <c r="D12" s="87" t="s">
        <v>73</v>
      </c>
      <c r="E12" s="87" t="s">
        <v>74</v>
      </c>
      <c r="F12" s="87" t="s">
        <v>75</v>
      </c>
      <c r="G12" s="87" t="s">
        <v>76</v>
      </c>
      <c r="H12" s="87" t="s">
        <v>73</v>
      </c>
      <c r="I12" s="87" t="s">
        <v>74</v>
      </c>
      <c r="J12" s="116"/>
      <c r="K12" s="117"/>
    </row>
    <row r="13" spans="1:11" ht="15.75" thickBot="1">
      <c r="A13" s="88" t="s">
        <v>87</v>
      </c>
      <c r="B13" s="89"/>
      <c r="C13" s="89"/>
      <c r="D13" s="89"/>
      <c r="E13" s="89"/>
      <c r="F13" s="89"/>
      <c r="G13" s="89"/>
      <c r="H13" s="89"/>
      <c r="I13" s="89"/>
      <c r="J13" s="89"/>
      <c r="K13" s="90"/>
    </row>
    <row r="14" spans="1:11" ht="30.75" customHeight="1">
      <c r="A14" s="91" t="s">
        <v>80</v>
      </c>
      <c r="B14" s="92"/>
      <c r="C14" s="93"/>
      <c r="D14" s="93"/>
      <c r="E14" s="92"/>
      <c r="F14" s="92"/>
      <c r="G14" s="92"/>
      <c r="H14" s="94">
        <f>B14</f>
        <v>0</v>
      </c>
      <c r="I14" s="94">
        <f>C14</f>
        <v>0</v>
      </c>
      <c r="J14" s="112">
        <f>SUM(H14:I14)</f>
        <v>0</v>
      </c>
    </row>
    <row r="15" spans="1:11" ht="34.5" customHeight="1">
      <c r="A15" s="91" t="s">
        <v>81</v>
      </c>
      <c r="B15" s="92"/>
      <c r="C15" s="93"/>
      <c r="D15" s="96"/>
      <c r="E15" s="97"/>
      <c r="F15" s="97"/>
      <c r="G15" s="97"/>
      <c r="H15" s="98">
        <f>H14-F15-D15+B15</f>
        <v>0</v>
      </c>
      <c r="I15" s="98">
        <f>I14-E15+C15</f>
        <v>0</v>
      </c>
      <c r="J15" s="113">
        <f>SUM(H15:I15)</f>
        <v>0</v>
      </c>
    </row>
    <row r="16" spans="1:11" ht="33.75" customHeight="1">
      <c r="A16" s="91" t="s">
        <v>82</v>
      </c>
      <c r="B16" s="92"/>
      <c r="C16" s="93"/>
      <c r="D16" s="96"/>
      <c r="E16" s="97"/>
      <c r="F16" s="97"/>
      <c r="G16" s="97"/>
      <c r="H16" s="98">
        <f t="shared" ref="H16:H43" si="0">H15-F16-D16+B16</f>
        <v>0</v>
      </c>
      <c r="I16" s="98">
        <f t="shared" ref="I16:I43" si="1">I15-E16+C16</f>
        <v>0</v>
      </c>
      <c r="J16" s="113">
        <f>SUM(H16:I16)</f>
        <v>0</v>
      </c>
    </row>
    <row r="17" spans="1:11" ht="30.75" customHeight="1">
      <c r="A17" s="91" t="s">
        <v>83</v>
      </c>
      <c r="B17" s="97"/>
      <c r="C17" s="96"/>
      <c r="D17" s="96"/>
      <c r="E17" s="97"/>
      <c r="F17" s="97"/>
      <c r="G17" s="97"/>
      <c r="H17" s="98">
        <f t="shared" si="0"/>
        <v>0</v>
      </c>
      <c r="I17" s="98">
        <f t="shared" si="1"/>
        <v>0</v>
      </c>
      <c r="J17" s="113">
        <f>SUM(H17:I17)</f>
        <v>0</v>
      </c>
    </row>
    <row r="18" spans="1:11" ht="34.5" customHeight="1">
      <c r="A18" s="91" t="s">
        <v>84</v>
      </c>
      <c r="B18" s="97"/>
      <c r="C18" s="96"/>
      <c r="D18" s="96"/>
      <c r="E18" s="97"/>
      <c r="F18" s="99"/>
      <c r="G18" s="97"/>
      <c r="H18" s="98">
        <f t="shared" si="0"/>
        <v>0</v>
      </c>
      <c r="I18" s="98">
        <f t="shared" si="1"/>
        <v>0</v>
      </c>
      <c r="J18" s="113">
        <f>SUM(H18:I18)</f>
        <v>0</v>
      </c>
    </row>
    <row r="19" spans="1:11" s="95" customFormat="1" ht="35.25" customHeight="1" thickBot="1">
      <c r="A19" s="91" t="s">
        <v>85</v>
      </c>
      <c r="B19" s="97">
        <v>10.217000000000001</v>
      </c>
      <c r="C19" s="96">
        <v>10.217000000000001</v>
      </c>
      <c r="D19" s="96"/>
      <c r="E19" s="97"/>
      <c r="F19" s="97"/>
      <c r="G19" s="97"/>
      <c r="H19" s="98">
        <f t="shared" ref="H19" si="2">H18-F19-D19+B19</f>
        <v>10.217000000000001</v>
      </c>
      <c r="I19" s="98">
        <f t="shared" ref="I19" si="3">I18-E19+C19</f>
        <v>10.217000000000001</v>
      </c>
      <c r="J19" s="113">
        <f t="shared" ref="J19" si="4">SUM(H19:I19)</f>
        <v>20.434000000000001</v>
      </c>
    </row>
    <row r="20" spans="1:11" s="95" customFormat="1" ht="12" hidden="1" customHeight="1" thickBot="1">
      <c r="A20" s="91"/>
      <c r="B20" s="97"/>
      <c r="C20" s="96"/>
      <c r="D20" s="96"/>
      <c r="E20" s="97"/>
      <c r="F20" s="97"/>
      <c r="G20" s="97"/>
      <c r="H20" s="98">
        <f t="shared" si="0"/>
        <v>10.217000000000001</v>
      </c>
      <c r="I20" s="98">
        <f t="shared" si="1"/>
        <v>10.217000000000001</v>
      </c>
      <c r="J20" s="113">
        <f>SUM(H20:I20)</f>
        <v>20.434000000000001</v>
      </c>
    </row>
    <row r="21" spans="1:11" s="95" customFormat="1" ht="12" hidden="1" customHeight="1" thickBot="1">
      <c r="A21" s="91"/>
      <c r="B21" s="97"/>
      <c r="C21" s="96"/>
      <c r="D21" s="96"/>
      <c r="E21" s="97"/>
      <c r="F21" s="97"/>
      <c r="G21" s="97"/>
      <c r="H21" s="98">
        <f t="shared" si="0"/>
        <v>10.217000000000001</v>
      </c>
      <c r="I21" s="98">
        <f t="shared" si="1"/>
        <v>10.217000000000001</v>
      </c>
      <c r="J21" s="113">
        <f>SUM(H21:I21)</f>
        <v>20.434000000000001</v>
      </c>
    </row>
    <row r="22" spans="1:11" s="95" customFormat="1" ht="12" hidden="1" customHeight="1" thickBot="1">
      <c r="A22" s="91"/>
      <c r="B22" s="97"/>
      <c r="C22" s="96"/>
      <c r="D22" s="96"/>
      <c r="E22" s="97"/>
      <c r="F22" s="97"/>
      <c r="G22" s="97"/>
      <c r="H22" s="98">
        <f t="shared" si="0"/>
        <v>10.217000000000001</v>
      </c>
      <c r="I22" s="98">
        <f t="shared" si="1"/>
        <v>10.217000000000001</v>
      </c>
      <c r="J22" s="113">
        <f>SUM(H22:I22)</f>
        <v>20.434000000000001</v>
      </c>
    </row>
    <row r="23" spans="1:11" s="95" customFormat="1" ht="12" hidden="1" customHeight="1" thickBot="1">
      <c r="A23" s="91"/>
      <c r="B23" s="97"/>
      <c r="C23" s="96"/>
      <c r="D23" s="96"/>
      <c r="E23" s="97"/>
      <c r="F23" s="97"/>
      <c r="G23" s="97"/>
      <c r="H23" s="98">
        <f t="shared" si="0"/>
        <v>10.217000000000001</v>
      </c>
      <c r="I23" s="98">
        <f t="shared" si="1"/>
        <v>10.217000000000001</v>
      </c>
      <c r="J23" s="113">
        <f>SUM(H23:I23)</f>
        <v>20.434000000000001</v>
      </c>
    </row>
    <row r="24" spans="1:11" s="95" customFormat="1" ht="12" hidden="1" customHeight="1" thickBot="1">
      <c r="A24" s="91"/>
      <c r="B24" s="97"/>
      <c r="C24" s="96"/>
      <c r="D24" s="96"/>
      <c r="E24" s="97"/>
      <c r="F24" s="97"/>
      <c r="G24" s="97"/>
      <c r="H24" s="98">
        <f t="shared" si="0"/>
        <v>10.217000000000001</v>
      </c>
      <c r="I24" s="98">
        <f t="shared" si="1"/>
        <v>10.217000000000001</v>
      </c>
      <c r="J24" s="113">
        <f>SUM(H24:I24)</f>
        <v>20.434000000000001</v>
      </c>
    </row>
    <row r="25" spans="1:11" s="95" customFormat="1" ht="16.5" hidden="1" customHeight="1" thickBot="1">
      <c r="A25" s="91"/>
      <c r="B25" s="97"/>
      <c r="C25" s="96"/>
      <c r="D25" s="96"/>
      <c r="E25" s="97"/>
      <c r="F25" s="97"/>
      <c r="G25" s="97"/>
      <c r="H25" s="98">
        <f t="shared" si="0"/>
        <v>10.217000000000001</v>
      </c>
      <c r="I25" s="98">
        <f t="shared" si="1"/>
        <v>10.217000000000001</v>
      </c>
      <c r="J25" s="113">
        <f>SUM(H25:I25)</f>
        <v>20.434000000000001</v>
      </c>
    </row>
    <row r="26" spans="1:11" s="95" customFormat="1" ht="12" hidden="1" customHeight="1" thickBot="1">
      <c r="A26" s="91"/>
      <c r="B26" s="97"/>
      <c r="C26" s="96"/>
      <c r="D26" s="96"/>
      <c r="E26" s="97"/>
      <c r="F26" s="97"/>
      <c r="G26" s="97"/>
      <c r="H26" s="98">
        <f t="shared" si="0"/>
        <v>10.217000000000001</v>
      </c>
      <c r="I26" s="98">
        <f t="shared" si="1"/>
        <v>10.217000000000001</v>
      </c>
      <c r="J26" s="113">
        <f>SUM(H26:I26)</f>
        <v>20.434000000000001</v>
      </c>
    </row>
    <row r="27" spans="1:11" s="95" customFormat="1" ht="12" hidden="1" customHeight="1" thickBot="1">
      <c r="A27" s="91"/>
      <c r="B27" s="97"/>
      <c r="C27" s="96"/>
      <c r="D27" s="96"/>
      <c r="E27" s="97"/>
      <c r="F27" s="97"/>
      <c r="G27" s="97"/>
      <c r="H27" s="98">
        <f t="shared" si="0"/>
        <v>10.217000000000001</v>
      </c>
      <c r="I27" s="98">
        <f t="shared" si="1"/>
        <v>10.217000000000001</v>
      </c>
      <c r="J27" s="113">
        <f>SUM(H27:I27)</f>
        <v>20.434000000000001</v>
      </c>
    </row>
    <row r="28" spans="1:11" s="95" customFormat="1" ht="12" hidden="1" customHeight="1" thickBot="1">
      <c r="A28" s="91"/>
      <c r="B28" s="97"/>
      <c r="C28" s="96"/>
      <c r="D28" s="96"/>
      <c r="E28" s="97"/>
      <c r="F28" s="97"/>
      <c r="G28" s="97"/>
      <c r="H28" s="98">
        <f t="shared" si="0"/>
        <v>10.217000000000001</v>
      </c>
      <c r="I28" s="98">
        <f t="shared" si="1"/>
        <v>10.217000000000001</v>
      </c>
      <c r="J28" s="113">
        <f>SUM(H28:I28)</f>
        <v>20.434000000000001</v>
      </c>
    </row>
    <row r="29" spans="1:11" s="95" customFormat="1" ht="12" hidden="1" customHeight="1" thickBot="1">
      <c r="A29" s="91"/>
      <c r="B29" s="97"/>
      <c r="C29" s="96"/>
      <c r="D29" s="96"/>
      <c r="E29" s="97"/>
      <c r="F29" s="97"/>
      <c r="G29" s="97"/>
      <c r="H29" s="98">
        <f t="shared" si="0"/>
        <v>10.217000000000001</v>
      </c>
      <c r="I29" s="98">
        <f t="shared" si="1"/>
        <v>10.217000000000001</v>
      </c>
      <c r="J29" s="113">
        <f>SUM(H29:I29)</f>
        <v>20.434000000000001</v>
      </c>
    </row>
    <row r="30" spans="1:11" ht="12" hidden="1" customHeight="1" thickBot="1">
      <c r="A30" s="91"/>
      <c r="B30" s="97"/>
      <c r="C30" s="96"/>
      <c r="D30" s="96"/>
      <c r="E30" s="97"/>
      <c r="F30" s="97"/>
      <c r="G30" s="97"/>
      <c r="H30" s="98">
        <f t="shared" si="0"/>
        <v>10.217000000000001</v>
      </c>
      <c r="I30" s="98">
        <f t="shared" si="1"/>
        <v>10.217000000000001</v>
      </c>
      <c r="J30" s="113">
        <f>SUM(H30:I30)</f>
        <v>20.434000000000001</v>
      </c>
    </row>
    <row r="31" spans="1:11" ht="12" hidden="1" customHeight="1" thickBot="1">
      <c r="A31" s="91"/>
      <c r="B31" s="97"/>
      <c r="C31" s="97"/>
      <c r="D31" s="96"/>
      <c r="E31" s="97"/>
      <c r="F31" s="97"/>
      <c r="G31" s="97"/>
      <c r="H31" s="98">
        <f t="shared" si="0"/>
        <v>10.217000000000001</v>
      </c>
      <c r="I31" s="98">
        <f t="shared" si="1"/>
        <v>10.217000000000001</v>
      </c>
      <c r="J31" s="113">
        <f>SUM(H31:I31)</f>
        <v>20.434000000000001</v>
      </c>
    </row>
    <row r="32" spans="1:11" s="101" customFormat="1" ht="12" hidden="1" customHeight="1" thickBot="1">
      <c r="A32" s="91"/>
      <c r="B32" s="97"/>
      <c r="C32" s="96"/>
      <c r="D32" s="96"/>
      <c r="E32" s="97"/>
      <c r="F32" s="97"/>
      <c r="G32" s="97"/>
      <c r="H32" s="98">
        <f t="shared" si="0"/>
        <v>10.217000000000001</v>
      </c>
      <c r="I32" s="98">
        <f t="shared" si="1"/>
        <v>10.217000000000001</v>
      </c>
      <c r="J32" s="113">
        <f>SUM(H32:I32)</f>
        <v>20.434000000000001</v>
      </c>
      <c r="K32" s="100"/>
    </row>
    <row r="33" spans="1:11" s="101" customFormat="1" ht="12" hidden="1" customHeight="1" thickBot="1">
      <c r="A33" s="91"/>
      <c r="B33" s="97"/>
      <c r="C33" s="97"/>
      <c r="D33" s="96"/>
      <c r="E33" s="97"/>
      <c r="F33" s="97"/>
      <c r="G33" s="97"/>
      <c r="H33" s="98">
        <f t="shared" si="0"/>
        <v>10.217000000000001</v>
      </c>
      <c r="I33" s="98">
        <f t="shared" si="1"/>
        <v>10.217000000000001</v>
      </c>
      <c r="J33" s="113">
        <f>SUM(H33:I33)</f>
        <v>20.434000000000001</v>
      </c>
      <c r="K33" s="100"/>
    </row>
    <row r="34" spans="1:11" s="101" customFormat="1" ht="12" hidden="1" customHeight="1" thickBot="1">
      <c r="A34" s="91"/>
      <c r="B34" s="97"/>
      <c r="C34" s="96"/>
      <c r="D34" s="96"/>
      <c r="E34" s="97"/>
      <c r="F34" s="97"/>
      <c r="G34" s="97"/>
      <c r="H34" s="98">
        <f t="shared" si="0"/>
        <v>10.217000000000001</v>
      </c>
      <c r="I34" s="98">
        <f t="shared" si="1"/>
        <v>10.217000000000001</v>
      </c>
      <c r="J34" s="113">
        <f>SUM(H34:I34)</f>
        <v>20.434000000000001</v>
      </c>
      <c r="K34" s="100"/>
    </row>
    <row r="35" spans="1:11" s="101" customFormat="1" ht="12.75" hidden="1" customHeight="1" thickBot="1">
      <c r="A35" s="91"/>
      <c r="B35" s="97"/>
      <c r="C35" s="96"/>
      <c r="D35" s="96"/>
      <c r="E35" s="97"/>
      <c r="F35" s="97"/>
      <c r="G35" s="97"/>
      <c r="H35" s="98">
        <f t="shared" si="0"/>
        <v>10.217000000000001</v>
      </c>
      <c r="I35" s="98">
        <f t="shared" si="1"/>
        <v>10.217000000000001</v>
      </c>
      <c r="J35" s="113">
        <f>SUM(H35:I35)</f>
        <v>20.434000000000001</v>
      </c>
      <c r="K35" s="100"/>
    </row>
    <row r="36" spans="1:11" ht="12" hidden="1" customHeight="1" thickBot="1">
      <c r="A36" s="91"/>
      <c r="B36" s="97"/>
      <c r="C36" s="96"/>
      <c r="D36" s="96"/>
      <c r="E36" s="97"/>
      <c r="F36" s="97"/>
      <c r="G36" s="97"/>
      <c r="H36" s="98">
        <f t="shared" si="0"/>
        <v>10.217000000000001</v>
      </c>
      <c r="I36" s="98">
        <f t="shared" si="1"/>
        <v>10.217000000000001</v>
      </c>
      <c r="J36" s="113">
        <f>SUM(H36:I36)</f>
        <v>20.434000000000001</v>
      </c>
    </row>
    <row r="37" spans="1:11" s="101" customFormat="1" ht="12" hidden="1" customHeight="1" thickBot="1">
      <c r="A37" s="91"/>
      <c r="B37" s="97"/>
      <c r="C37" s="96"/>
      <c r="D37" s="96"/>
      <c r="E37" s="97"/>
      <c r="F37" s="97"/>
      <c r="G37" s="97"/>
      <c r="H37" s="98">
        <f t="shared" si="0"/>
        <v>10.217000000000001</v>
      </c>
      <c r="I37" s="98">
        <f t="shared" si="1"/>
        <v>10.217000000000001</v>
      </c>
      <c r="J37" s="113">
        <f>SUM(H37:I37)</f>
        <v>20.434000000000001</v>
      </c>
      <c r="K37" s="100"/>
    </row>
    <row r="38" spans="1:11" s="101" customFormat="1" ht="15" hidden="1" customHeight="1" thickBot="1">
      <c r="A38" s="91"/>
      <c r="B38" s="97"/>
      <c r="C38" s="96"/>
      <c r="D38" s="96"/>
      <c r="E38" s="97"/>
      <c r="F38" s="97"/>
      <c r="G38" s="97"/>
      <c r="H38" s="98">
        <f t="shared" si="0"/>
        <v>10.217000000000001</v>
      </c>
      <c r="I38" s="98">
        <f t="shared" si="1"/>
        <v>10.217000000000001</v>
      </c>
      <c r="J38" s="113">
        <f>SUM(H38:I38)</f>
        <v>20.434000000000001</v>
      </c>
      <c r="K38" s="100"/>
    </row>
    <row r="39" spans="1:11" s="101" customFormat="1" ht="16.5" hidden="1" customHeight="1" thickBot="1">
      <c r="A39" s="91"/>
      <c r="B39" s="97"/>
      <c r="C39" s="96"/>
      <c r="D39" s="96"/>
      <c r="E39" s="97"/>
      <c r="F39" s="97"/>
      <c r="G39" s="97"/>
      <c r="H39" s="98">
        <f t="shared" si="0"/>
        <v>10.217000000000001</v>
      </c>
      <c r="I39" s="98">
        <f t="shared" si="1"/>
        <v>10.217000000000001</v>
      </c>
      <c r="J39" s="113">
        <f>SUM(H39:I39)</f>
        <v>20.434000000000001</v>
      </c>
      <c r="K39" s="100"/>
    </row>
    <row r="40" spans="1:11" s="101" customFormat="1" ht="16.5" hidden="1" customHeight="1" thickBot="1">
      <c r="A40" s="91"/>
      <c r="B40" s="97"/>
      <c r="C40" s="96"/>
      <c r="D40" s="96"/>
      <c r="E40" s="97"/>
      <c r="F40" s="97"/>
      <c r="G40" s="97"/>
      <c r="H40" s="98">
        <f t="shared" si="0"/>
        <v>10.217000000000001</v>
      </c>
      <c r="I40" s="98">
        <f t="shared" si="1"/>
        <v>10.217000000000001</v>
      </c>
      <c r="J40" s="113">
        <f>SUM(H40:I40)</f>
        <v>20.434000000000001</v>
      </c>
      <c r="K40" s="100"/>
    </row>
    <row r="41" spans="1:11" ht="15.75" hidden="1" customHeight="1" thickBot="1">
      <c r="A41" s="91"/>
      <c r="B41" s="97"/>
      <c r="C41" s="96"/>
      <c r="D41" s="96"/>
      <c r="E41" s="97"/>
      <c r="F41" s="97"/>
      <c r="G41" s="97"/>
      <c r="H41" s="98">
        <f t="shared" si="0"/>
        <v>10.217000000000001</v>
      </c>
      <c r="I41" s="98">
        <f t="shared" si="1"/>
        <v>10.217000000000001</v>
      </c>
      <c r="J41" s="113">
        <f>SUM(H41:I41)</f>
        <v>20.434000000000001</v>
      </c>
    </row>
    <row r="42" spans="1:11" ht="15.75" hidden="1" customHeight="1" thickBot="1">
      <c r="A42" s="91"/>
      <c r="B42" s="97"/>
      <c r="C42" s="96"/>
      <c r="D42" s="96"/>
      <c r="E42" s="97"/>
      <c r="F42" s="97"/>
      <c r="G42" s="97"/>
      <c r="H42" s="98">
        <f t="shared" si="0"/>
        <v>10.217000000000001</v>
      </c>
      <c r="I42" s="98">
        <f t="shared" si="1"/>
        <v>10.217000000000001</v>
      </c>
      <c r="J42" s="113">
        <f>SUM(H42:I42)</f>
        <v>20.434000000000001</v>
      </c>
    </row>
    <row r="43" spans="1:11" ht="15.75" hidden="1" customHeight="1" thickBot="1">
      <c r="A43" s="102"/>
      <c r="B43" s="103"/>
      <c r="C43" s="104"/>
      <c r="D43" s="104"/>
      <c r="E43" s="103"/>
      <c r="F43" s="103"/>
      <c r="G43" s="103"/>
      <c r="H43" s="105">
        <f t="shared" si="0"/>
        <v>10.217000000000001</v>
      </c>
      <c r="I43" s="105">
        <f t="shared" si="1"/>
        <v>10.217000000000001</v>
      </c>
      <c r="J43" s="114">
        <f>SUM(H43:I43)</f>
        <v>20.434000000000001</v>
      </c>
    </row>
    <row r="44" spans="1:11" ht="29.25" customHeight="1" thickBot="1">
      <c r="A44" s="106" t="s">
        <v>88</v>
      </c>
      <c r="B44" s="107"/>
      <c r="C44" s="107"/>
      <c r="D44" s="107"/>
      <c r="E44" s="107"/>
      <c r="F44" s="107"/>
      <c r="G44" s="107"/>
      <c r="H44" s="107"/>
      <c r="I44" s="107"/>
      <c r="J44" s="108"/>
    </row>
    <row r="45" spans="1:11">
      <c r="H45" s="110"/>
      <c r="I45" s="110"/>
      <c r="J45" s="110"/>
    </row>
    <row r="50" spans="1:11" s="109" customFormat="1">
      <c r="A50" s="77"/>
      <c r="B50" s="77"/>
      <c r="C50" s="77"/>
      <c r="D50" s="77"/>
      <c r="E50" s="77"/>
      <c r="F50" s="109" t="s">
        <v>77</v>
      </c>
      <c r="H50" s="77"/>
      <c r="I50" s="77"/>
      <c r="J50" s="77"/>
      <c r="K50" s="95"/>
    </row>
  </sheetData>
  <mergeCells count="15">
    <mergeCell ref="K11:K12"/>
    <mergeCell ref="A44:J44"/>
    <mergeCell ref="A13:J13"/>
    <mergeCell ref="A10:J10"/>
    <mergeCell ref="A11:A12"/>
    <mergeCell ref="B11:C11"/>
    <mergeCell ref="D11:G11"/>
    <mergeCell ref="H11:I11"/>
    <mergeCell ref="J11:J12"/>
    <mergeCell ref="A2:J2"/>
    <mergeCell ref="A3:J3"/>
    <mergeCell ref="A4:J4"/>
    <mergeCell ref="A5:J5"/>
    <mergeCell ref="B7:D7"/>
    <mergeCell ref="B9:D9"/>
  </mergeCells>
  <printOptions horizontalCentered="1"/>
  <pageMargins left="0.25" right="0.25" top="0.25" bottom="0.25" header="0.3" footer="0.3"/>
  <pageSetup paperSize="9" scale="68" fitToHeight="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9727-8E30-4F8F-AA91-1E31DB176B7C}">
  <sheetPr>
    <pageSetUpPr fitToPage="1"/>
  </sheetPr>
  <dimension ref="A1:L58"/>
  <sheetViews>
    <sheetView tabSelected="1" view="pageBreakPreview" zoomScale="118" zoomScaleNormal="29" zoomScaleSheetLayoutView="118" workbookViewId="0">
      <selection activeCell="I13" sqref="I13"/>
    </sheetView>
  </sheetViews>
  <sheetFormatPr defaultRowHeight="15"/>
  <cols>
    <col min="1" max="1" width="38.7109375" style="120" customWidth="1"/>
    <col min="2" max="2" width="8.5703125" style="152" customWidth="1"/>
    <col min="3" max="3" width="7.5703125" style="152" customWidth="1"/>
    <col min="4" max="5" width="7.42578125" style="152" customWidth="1"/>
    <col min="6" max="6" width="7.28515625" style="120" customWidth="1"/>
    <col min="7" max="7" width="6.85546875" style="152" customWidth="1"/>
    <col min="8" max="8" width="8.85546875" style="152" customWidth="1"/>
    <col min="9" max="9" width="10.28515625" style="152" customWidth="1"/>
    <col min="10" max="10" width="10.140625" style="152" customWidth="1"/>
    <col min="11" max="11" width="14.42578125" style="152" customWidth="1"/>
    <col min="12" max="16384" width="9.140625" style="120"/>
  </cols>
  <sheetData>
    <row r="1" spans="1:12">
      <c r="A1" s="118" t="s">
        <v>89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</row>
    <row r="2" spans="1:12">
      <c r="A2" s="118" t="s">
        <v>90</v>
      </c>
      <c r="B2" s="118"/>
      <c r="C2" s="118"/>
      <c r="D2" s="118"/>
      <c r="E2" s="118"/>
      <c r="F2" s="118"/>
      <c r="G2" s="118"/>
      <c r="H2" s="118"/>
      <c r="I2" s="118"/>
      <c r="J2" s="118"/>
      <c r="K2" s="119"/>
    </row>
    <row r="3" spans="1:12">
      <c r="A3" s="118" t="s">
        <v>91</v>
      </c>
      <c r="B3" s="118"/>
      <c r="C3" s="118"/>
      <c r="D3" s="118"/>
      <c r="E3" s="118"/>
      <c r="F3" s="118"/>
      <c r="G3" s="118"/>
      <c r="H3" s="118"/>
      <c r="I3" s="118"/>
      <c r="J3" s="118"/>
      <c r="K3" s="119"/>
    </row>
    <row r="4" spans="1:12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2" ht="8.1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 t="s">
        <v>92</v>
      </c>
    </row>
    <row r="6" spans="1:12" ht="15.75">
      <c r="A6" s="172" t="s">
        <v>105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2" ht="16.5" thickBot="1">
      <c r="A7" s="172" t="s">
        <v>93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2" ht="15.95" customHeight="1">
      <c r="A8" s="163"/>
      <c r="B8" s="121" t="s">
        <v>27</v>
      </c>
      <c r="C8" s="121"/>
      <c r="D8" s="122" t="s">
        <v>70</v>
      </c>
      <c r="E8" s="122"/>
      <c r="F8" s="122"/>
      <c r="G8" s="122"/>
      <c r="H8" s="123" t="s">
        <v>71</v>
      </c>
      <c r="I8" s="123"/>
      <c r="J8" s="124" t="s">
        <v>23</v>
      </c>
      <c r="K8" s="125" t="s">
        <v>86</v>
      </c>
    </row>
    <row r="9" spans="1:12" ht="15.95" customHeight="1">
      <c r="A9" s="164"/>
      <c r="B9" s="126" t="s">
        <v>94</v>
      </c>
      <c r="C9" s="126" t="s">
        <v>95</v>
      </c>
      <c r="D9" s="127" t="s">
        <v>96</v>
      </c>
      <c r="E9" s="127"/>
      <c r="F9" s="127" t="s">
        <v>95</v>
      </c>
      <c r="G9" s="127"/>
      <c r="H9" s="126" t="s">
        <v>96</v>
      </c>
      <c r="I9" s="126" t="s">
        <v>95</v>
      </c>
      <c r="J9" s="128"/>
      <c r="K9" s="129"/>
    </row>
    <row r="10" spans="1:12" ht="15.95" customHeight="1" thickBot="1">
      <c r="A10" s="165"/>
      <c r="B10" s="130"/>
      <c r="C10" s="130"/>
      <c r="D10" s="131"/>
      <c r="E10" s="131" t="s">
        <v>97</v>
      </c>
      <c r="F10" s="132"/>
      <c r="G10" s="131" t="s">
        <v>97</v>
      </c>
      <c r="H10" s="130"/>
      <c r="I10" s="130"/>
      <c r="J10" s="133"/>
      <c r="K10" s="134"/>
    </row>
    <row r="11" spans="1:12" ht="27.75" customHeight="1">
      <c r="A11" s="91" t="s">
        <v>80</v>
      </c>
      <c r="B11" s="135"/>
      <c r="C11" s="135"/>
      <c r="D11" s="136"/>
      <c r="E11" s="136"/>
      <c r="F11" s="136"/>
      <c r="G11" s="137"/>
      <c r="H11" s="138">
        <f>B11</f>
        <v>0</v>
      </c>
      <c r="I11" s="138">
        <f>C11</f>
        <v>0</v>
      </c>
      <c r="J11" s="139">
        <f>SUM(H11:I11)</f>
        <v>0</v>
      </c>
      <c r="K11" s="160" t="s">
        <v>107</v>
      </c>
    </row>
    <row r="12" spans="1:12" ht="43.5" customHeight="1">
      <c r="A12" s="91" t="s">
        <v>81</v>
      </c>
      <c r="B12" s="140"/>
      <c r="C12" s="140"/>
      <c r="D12" s="141"/>
      <c r="E12" s="141"/>
      <c r="F12" s="141"/>
      <c r="G12" s="142"/>
      <c r="H12" s="143">
        <f>H11-E12-D12+B12</f>
        <v>0</v>
      </c>
      <c r="I12" s="143">
        <f>I11-G12-F12+C12</f>
        <v>0</v>
      </c>
      <c r="J12" s="144">
        <f t="shared" ref="J12" si="0">SUM(H12:I12)</f>
        <v>0</v>
      </c>
      <c r="K12" s="161"/>
    </row>
    <row r="13" spans="1:12" ht="28.5" customHeight="1">
      <c r="A13" s="91" t="s">
        <v>82</v>
      </c>
      <c r="B13" s="140"/>
      <c r="C13" s="140"/>
      <c r="D13" s="141"/>
      <c r="E13" s="141"/>
      <c r="F13" s="141"/>
      <c r="G13" s="142"/>
      <c r="H13" s="143">
        <f t="shared" ref="H13:H15" si="1">H12-E13-D13+B13</f>
        <v>0</v>
      </c>
      <c r="I13" s="143">
        <f t="shared" ref="I13:I15" si="2">I12-G13-F13+C13</f>
        <v>0</v>
      </c>
      <c r="J13" s="144">
        <f t="shared" ref="J13:J16" si="3">SUM(H13:I13)</f>
        <v>0</v>
      </c>
      <c r="K13" s="161"/>
    </row>
    <row r="14" spans="1:12" ht="32.25" customHeight="1">
      <c r="A14" s="91" t="s">
        <v>83</v>
      </c>
      <c r="B14" s="140"/>
      <c r="C14" s="140"/>
      <c r="D14" s="141"/>
      <c r="E14" s="141"/>
      <c r="F14" s="141"/>
      <c r="G14" s="142"/>
      <c r="H14" s="143">
        <f t="shared" si="1"/>
        <v>0</v>
      </c>
      <c r="I14" s="143">
        <f t="shared" si="2"/>
        <v>0</v>
      </c>
      <c r="J14" s="144">
        <f t="shared" si="3"/>
        <v>0</v>
      </c>
      <c r="K14" s="161"/>
    </row>
    <row r="15" spans="1:12" ht="34.5" customHeight="1">
      <c r="A15" s="91" t="s">
        <v>84</v>
      </c>
      <c r="B15" s="140"/>
      <c r="C15" s="140"/>
      <c r="D15" s="141"/>
      <c r="E15" s="141"/>
      <c r="F15" s="141"/>
      <c r="G15" s="142"/>
      <c r="H15" s="143">
        <f t="shared" si="1"/>
        <v>0</v>
      </c>
      <c r="I15" s="143">
        <f t="shared" si="2"/>
        <v>0</v>
      </c>
      <c r="J15" s="144">
        <f t="shared" si="3"/>
        <v>0</v>
      </c>
      <c r="K15" s="161"/>
    </row>
    <row r="16" spans="1:12" ht="39" customHeight="1" thickBot="1">
      <c r="A16" s="159" t="s">
        <v>106</v>
      </c>
      <c r="B16" s="140">
        <v>10.217000000000001</v>
      </c>
      <c r="C16" s="140">
        <v>10.217000000000001</v>
      </c>
      <c r="D16" s="141"/>
      <c r="E16" s="141"/>
      <c r="F16" s="141"/>
      <c r="G16" s="142"/>
      <c r="H16" s="143">
        <f t="shared" ref="H16" si="4">H15-E16-D16+B16</f>
        <v>10.217000000000001</v>
      </c>
      <c r="I16" s="143">
        <f t="shared" ref="I16" si="5">I15-G16-F16+C16</f>
        <v>10.217000000000001</v>
      </c>
      <c r="J16" s="144">
        <f t="shared" ref="J16" si="6">SUM(H16:I16)</f>
        <v>20.434000000000001</v>
      </c>
      <c r="K16" s="161"/>
    </row>
    <row r="17" spans="1:11" ht="19.5" customHeight="1" thickBot="1">
      <c r="A17" s="145" t="s">
        <v>88</v>
      </c>
      <c r="B17" s="146">
        <f>B16+C16</f>
        <v>20.434000000000001</v>
      </c>
      <c r="C17" s="147"/>
      <c r="D17" s="148">
        <f>SUM(D11:G16)</f>
        <v>0</v>
      </c>
      <c r="E17" s="149"/>
      <c r="F17" s="149"/>
      <c r="G17" s="149"/>
      <c r="H17" s="150">
        <f>SUM(H11:H16)</f>
        <v>10.217000000000001</v>
      </c>
      <c r="I17" s="150">
        <f>SUM(I11:I16)</f>
        <v>10.217000000000001</v>
      </c>
      <c r="J17" s="151">
        <f>H17+I17</f>
        <v>20.434000000000001</v>
      </c>
      <c r="K17" s="162"/>
    </row>
    <row r="18" spans="1:11" ht="14.25" customHeight="1"/>
    <row r="19" spans="1:11">
      <c r="A19" s="120" t="s">
        <v>98</v>
      </c>
      <c r="G19" s="153" t="s">
        <v>99</v>
      </c>
      <c r="H19" s="153"/>
      <c r="I19" s="153"/>
      <c r="J19" s="153"/>
      <c r="K19" s="154"/>
    </row>
    <row r="20" spans="1:11" ht="24.6" customHeight="1"/>
    <row r="21" spans="1:11" ht="15.75">
      <c r="H21" s="167" t="s">
        <v>100</v>
      </c>
      <c r="I21" s="167"/>
      <c r="J21" s="167"/>
      <c r="K21" s="155"/>
    </row>
    <row r="22" spans="1:11" ht="15.75">
      <c r="A22" s="166" t="s">
        <v>108</v>
      </c>
      <c r="H22" s="170" t="s">
        <v>101</v>
      </c>
      <c r="I22" s="170"/>
      <c r="J22" s="170"/>
      <c r="K22" s="156"/>
    </row>
    <row r="23" spans="1:11" ht="6.95" customHeight="1">
      <c r="H23" s="168"/>
      <c r="I23" s="168"/>
      <c r="J23" s="168"/>
      <c r="K23" s="157"/>
    </row>
    <row r="24" spans="1:11" ht="24" customHeight="1">
      <c r="A24" s="158" t="s">
        <v>109</v>
      </c>
      <c r="H24" s="169"/>
      <c r="I24" s="169"/>
      <c r="J24" s="169"/>
    </row>
    <row r="25" spans="1:11" ht="15.75">
      <c r="H25" s="167" t="s">
        <v>102</v>
      </c>
      <c r="I25" s="167"/>
      <c r="J25" s="167"/>
      <c r="K25" s="155"/>
    </row>
    <row r="26" spans="1:11">
      <c r="H26" s="170" t="s">
        <v>103</v>
      </c>
      <c r="I26" s="170"/>
      <c r="J26" s="170"/>
      <c r="K26" s="156"/>
    </row>
    <row r="27" spans="1:11" ht="9" customHeight="1">
      <c r="H27" s="169"/>
      <c r="I27" s="169"/>
      <c r="J27" s="169"/>
    </row>
    <row r="28" spans="1:11" ht="20.25" customHeight="1">
      <c r="H28" s="169"/>
      <c r="I28" s="169"/>
      <c r="J28" s="169"/>
    </row>
    <row r="29" spans="1:11" ht="15.75">
      <c r="H29" s="167" t="s">
        <v>110</v>
      </c>
      <c r="I29" s="167"/>
      <c r="J29" s="167"/>
      <c r="K29" s="155"/>
    </row>
    <row r="30" spans="1:11">
      <c r="H30" s="170" t="s">
        <v>104</v>
      </c>
      <c r="I30" s="170"/>
      <c r="J30" s="170"/>
      <c r="K30" s="156"/>
    </row>
    <row r="31" spans="1:11">
      <c r="H31" s="171" t="s">
        <v>111</v>
      </c>
      <c r="I31" s="171"/>
      <c r="J31" s="171"/>
      <c r="K31" s="156"/>
    </row>
    <row r="32" spans="1:11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t="14.45" hidden="1" customHeight="1"/>
    <row r="58" ht="14.25" customHeight="1"/>
  </sheetData>
  <mergeCells count="25">
    <mergeCell ref="H25:J25"/>
    <mergeCell ref="H26:J26"/>
    <mergeCell ref="H29:J29"/>
    <mergeCell ref="H30:J30"/>
    <mergeCell ref="K11:K17"/>
    <mergeCell ref="B17:C17"/>
    <mergeCell ref="D17:G17"/>
    <mergeCell ref="G19:J19"/>
    <mergeCell ref="H21:J21"/>
    <mergeCell ref="H22:J22"/>
    <mergeCell ref="K8:K10"/>
    <mergeCell ref="B9:B10"/>
    <mergeCell ref="C9:C10"/>
    <mergeCell ref="D9:E9"/>
    <mergeCell ref="F9:G9"/>
    <mergeCell ref="H9:H10"/>
    <mergeCell ref="I9:I10"/>
    <mergeCell ref="A1:J1"/>
    <mergeCell ref="A2:J2"/>
    <mergeCell ref="A3:J3"/>
    <mergeCell ref="B8:C8"/>
    <mergeCell ref="D8:G8"/>
    <mergeCell ref="H8:I8"/>
    <mergeCell ref="J8:J10"/>
    <mergeCell ref="A8:A10"/>
  </mergeCells>
  <printOptions horizontalCentered="1"/>
  <pageMargins left="0.45" right="0.45" top="0.5" bottom="0.5" header="0.3" footer="0.3"/>
  <pageSetup paperSize="9" scale="74" fitToHeight="0" orientation="portrait" horizontalDpi="0" verticalDpi="0" r:id="rId1"/>
  <rowBreaks count="1" manualBreakCount="1">
    <brk id="3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Leave Card (NE)</vt:lpstr>
      <vt:lpstr>CTO</vt:lpstr>
      <vt:lpstr>Election</vt:lpstr>
      <vt:lpstr>LEAVE CARD-TLB</vt:lpstr>
      <vt:lpstr>statement</vt:lpstr>
      <vt:lpstr>CTO!Print_Area</vt:lpstr>
      <vt:lpstr>Election!Print_Area</vt:lpstr>
      <vt:lpstr>'Leave Card (NE)'!Print_Area</vt:lpstr>
      <vt:lpstr>'LEAVE CARD-TLB'!Print_Area</vt:lpstr>
      <vt:lpstr>statement!Print_Area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2025-11-12T05:07:31Z</cp:lastPrinted>
  <dcterms:created xsi:type="dcterms:W3CDTF">2021-10-07T06:10:00Z</dcterms:created>
  <dcterms:modified xsi:type="dcterms:W3CDTF">2025-11-12T05:29:46Z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