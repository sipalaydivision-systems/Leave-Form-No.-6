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B5A5560-9B6A-4FAC-A08F-D6F22E35975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lection &amp; NLC" sheetId="11" r:id="rId1"/>
    <sheet name="Leave Card as TIC" sheetId="12" r:id="rId2"/>
  </sheets>
  <definedNames>
    <definedName name="_xlnm.Print_Area" localSheetId="0">'Election &amp; NLC'!$A$1:$G$28</definedName>
    <definedName name="_xlnm.Print_Area" localSheetId="1">'Leave Card as TIC'!$A$1:$J$30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2" l="1"/>
  <c r="I14" i="12" s="1"/>
  <c r="I15" i="12" s="1"/>
  <c r="I16" i="12" s="1"/>
  <c r="I17" i="12" s="1"/>
  <c r="I18" i="12" s="1"/>
  <c r="I19" i="12" s="1"/>
  <c r="I20" i="12" s="1"/>
  <c r="H13" i="12"/>
  <c r="H14" i="12" s="1"/>
  <c r="H15" i="12" l="1"/>
  <c r="J14" i="12"/>
  <c r="J13" i="12"/>
  <c r="H16" i="12" l="1"/>
  <c r="J15" i="12"/>
  <c r="H17" i="12" l="1"/>
  <c r="J16" i="12"/>
  <c r="H18" i="12" l="1"/>
  <c r="J17" i="12"/>
  <c r="H19" i="12" l="1"/>
  <c r="J18" i="12"/>
  <c r="J19" i="12" l="1"/>
  <c r="H20" i="12"/>
  <c r="J20" i="12" l="1"/>
</calcChain>
</file>

<file path=xl/sharedStrings.xml><?xml version="1.0" encoding="utf-8"?>
<sst xmlns="http://schemas.openxmlformats.org/spreadsheetml/2006/main" count="79" uniqueCount="60">
  <si>
    <t>Republic of the Philippines</t>
  </si>
  <si>
    <t>Department of Education</t>
  </si>
  <si>
    <t>REGION VI-WESTERN VISAYAS</t>
  </si>
  <si>
    <t>SCHOOLS DIVISION OF SIPALAY CITY</t>
  </si>
  <si>
    <t>TOTAL</t>
  </si>
  <si>
    <t>No. of Days Granted</t>
  </si>
  <si>
    <t>No. of Days Used</t>
  </si>
  <si>
    <t>Balance</t>
  </si>
  <si>
    <t>SPECIAL ORDER NO.</t>
  </si>
  <si>
    <t>DATE RELEASED: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</si>
  <si>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</si>
  <si>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DISTRICT : </t>
  </si>
  <si>
    <t xml:space="preserve">EMPLOYEE NO.: </t>
  </si>
  <si>
    <t xml:space="preserve">STATION CODE: </t>
  </si>
  <si>
    <t xml:space="preserve">DIVISION CODE: </t>
  </si>
  <si>
    <t>10/17/2023</t>
  </si>
  <si>
    <t>NATIONAL LEARNING CAMP 2023</t>
  </si>
  <si>
    <t>SPECIAL ORDER FOR ELECTION (NATIONAL/BRGY. &amp; SK ELECTION)&amp; NATIONAL LEARNING CAMP</t>
  </si>
  <si>
    <t>NATIONAL LEARNING CAMP/NATIONAL &amp; LOCAL ELECTION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</si>
  <si>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MAE ANN D. RIVERA </t>
    </r>
  </si>
  <si>
    <t>SCHOOL/OFFICE : MAUBOY IS</t>
  </si>
  <si>
    <t>ADD: SO # 116, s. 2023</t>
  </si>
  <si>
    <t>LESS: 09/23/2024 (HALF DAY)</t>
  </si>
  <si>
    <t>LESS: 10/7/2024</t>
  </si>
  <si>
    <t>LESS: 10/28-29/2024</t>
  </si>
  <si>
    <t>LESS: 11/19/2024</t>
  </si>
  <si>
    <t>LESS:11/22/2024</t>
  </si>
  <si>
    <t>LESS:01/9/2025 PM</t>
  </si>
  <si>
    <t>LESS:01/23/2025 (PM)</t>
  </si>
  <si>
    <t>LESS: 02/26/2025</t>
  </si>
  <si>
    <t>LESS: 02/28/2025</t>
  </si>
  <si>
    <t>LESS: 07/15/2025</t>
  </si>
  <si>
    <t>LESS: 07/22/2025</t>
  </si>
  <si>
    <t>NEGROS ISLAND REGION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</si>
  <si>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</si>
  <si>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</si>
  <si>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</si>
  <si>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</si>
  <si>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</si>
  <si>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</si>
  <si>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</si>
  <si>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</si>
  <si>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</si>
  <si>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</si>
  <si>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</si>
  <si>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</si>
  <si>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</si>
  <si>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</si>
  <si>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</si>
  <si>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</si>
  <si>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</si>
  <si>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01/01/2017-11/30/2017</t>
  </si>
  <si>
    <t>LESS: 12/22, 26-29/2017</t>
  </si>
  <si>
    <t>ADD: 12/1-31/2017</t>
  </si>
  <si>
    <t>ADD: 01/01/2018/-06/30/2018</t>
  </si>
  <si>
    <t>LESS: MONETIZATION 2018</t>
  </si>
  <si>
    <t>ADD: 07/1-12/2018</t>
  </si>
  <si>
    <t>PROMOTED TO TEACHER I EFFECTIVE JULY 13, 2018</t>
  </si>
  <si>
    <t>ADD: 11/7-30/2016</t>
  </si>
  <si>
    <t>ADD: 12/1-31/2016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</si>
</sst>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9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7" fillId="5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0" fillId="2" borderId="0" xfId="0" applyFont="1" applyFill="1"/>
    <xf numFmtId="0" fontId="14" fillId="2" borderId="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" fillId="2" borderId="0" xfId="2" applyFill="1"/>
    <xf numFmtId="0" fontId="1" fillId="2" borderId="0" xfId="2" applyFill="1" applyAlignment="1">
      <alignment horizontal="center" vertical="center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vertical="center"/>
    </xf>
    <xf numFmtId="0" fontId="5" fillId="2" borderId="12" xfId="2" applyFont="1" applyFill="1" applyBorder="1" applyAlignment="1">
      <alignment horizontal="center" vertical="center"/>
    </xf>
    <xf numFmtId="0" fontId="5" fillId="2" borderId="0" xfId="2" applyFont="1" applyFill="1"/>
    <xf numFmtId="0" fontId="5" fillId="2" borderId="12" xfId="2" applyFont="1" applyFill="1" applyBorder="1" applyAlignment="1">
      <alignment vertical="center"/>
    </xf>
    <xf numFmtId="0" fontId="6" fillId="2" borderId="13" xfId="2" applyFont="1" applyFill="1" applyBorder="1" applyAlignment="1">
      <alignment horizontal="center" vertical="center"/>
    </xf>
    <xf numFmtId="0" fontId="1" fillId="0" borderId="0" xfId="2"/>
    <xf numFmtId="0" fontId="5" fillId="7" borderId="14" xfId="2" applyFont="1" applyFill="1" applyBorder="1" applyAlignment="1">
      <alignment horizontal="center" vertical="center"/>
    </xf>
    <xf numFmtId="0" fontId="5" fillId="8" borderId="15" xfId="2" applyFont="1" applyFill="1" applyBorder="1" applyAlignment="1">
      <alignment horizontal="center" vertical="center"/>
    </xf>
    <xf numFmtId="0" fontId="5" fillId="8" borderId="16" xfId="2" applyFont="1" applyFill="1" applyBorder="1" applyAlignment="1">
      <alignment horizontal="center" vertical="center"/>
    </xf>
    <xf numFmtId="0" fontId="5" fillId="9" borderId="15" xfId="2" applyFont="1" applyFill="1" applyBorder="1" applyAlignment="1">
      <alignment horizontal="center" vertical="center"/>
    </xf>
    <xf numFmtId="0" fontId="5" fillId="9" borderId="16" xfId="2" applyFont="1" applyFill="1" applyBorder="1" applyAlignment="1">
      <alignment horizontal="center" vertical="center"/>
    </xf>
    <xf numFmtId="0" fontId="5" fillId="9" borderId="17" xfId="2" applyFont="1" applyFill="1" applyBorder="1" applyAlignment="1">
      <alignment horizontal="center" vertical="center"/>
    </xf>
    <xf numFmtId="0" fontId="5" fillId="10" borderId="15" xfId="2" applyFont="1" applyFill="1" applyBorder="1" applyAlignment="1">
      <alignment horizontal="center" vertical="center"/>
    </xf>
    <xf numFmtId="0" fontId="5" fillId="10" borderId="16" xfId="2" applyFont="1" applyFill="1" applyBorder="1" applyAlignment="1">
      <alignment horizontal="center" vertical="center"/>
    </xf>
    <xf numFmtId="0" fontId="5" fillId="7" borderId="18" xfId="2" applyFont="1" applyFill="1" applyBorder="1" applyAlignment="1">
      <alignment horizontal="center" vertical="center"/>
    </xf>
    <xf numFmtId="0" fontId="16" fillId="0" borderId="19" xfId="2" applyFont="1" applyBorder="1" applyAlignment="1">
      <alignment horizontal="center" vertical="center"/>
    </xf>
    <xf numFmtId="0" fontId="5" fillId="7" borderId="19" xfId="2" applyFont="1" applyFill="1" applyBorder="1" applyAlignment="1">
      <alignment horizontal="center" vertical="center"/>
    </xf>
    <xf numFmtId="0" fontId="5" fillId="2" borderId="20" xfId="2" applyFont="1" applyFill="1" applyBorder="1" applyAlignment="1">
      <alignment horizontal="center" vertical="center"/>
    </xf>
    <xf numFmtId="0" fontId="5" fillId="7" borderId="21" xfId="2" applyFont="1" applyFill="1" applyBorder="1" applyAlignment="1">
      <alignment horizontal="center" vertical="center"/>
    </xf>
    <xf numFmtId="0" fontId="1" fillId="2" borderId="22" xfId="2" applyFill="1" applyBorder="1" applyAlignment="1">
      <alignment horizontal="center" vertical="center" wrapText="1"/>
    </xf>
    <xf numFmtId="0" fontId="1" fillId="2" borderId="22" xfId="2" applyFill="1" applyBorder="1" applyAlignment="1">
      <alignment horizontal="center" vertical="center"/>
    </xf>
    <xf numFmtId="164" fontId="1" fillId="2" borderId="22" xfId="2" applyNumberFormat="1" applyFill="1" applyBorder="1" applyAlignment="1">
      <alignment horizontal="center" vertical="center"/>
    </xf>
    <xf numFmtId="0" fontId="17" fillId="0" borderId="0" xfId="2" applyFont="1"/>
    <xf numFmtId="0" fontId="1" fillId="0" borderId="22" xfId="2" applyBorder="1" applyAlignment="1">
      <alignment horizontal="center" vertical="center"/>
    </xf>
    <xf numFmtId="0" fontId="1" fillId="0" borderId="0" xfId="2" applyAlignment="1">
      <alignment horizontal="center"/>
    </xf>
    <xf numFmtId="0" fontId="1" fillId="0" borderId="0" xfId="2" applyAlignment="1">
      <alignment horizontal="center" vertical="center"/>
    </xf>
    <xf numFmtId="164" fontId="1" fillId="2" borderId="0" xfId="2" applyNumberFormat="1" applyFill="1" applyAlignment="1">
      <alignment horizontal="center" vertical="center"/>
    </xf>
    <xf numFmtId="164" fontId="1" fillId="2" borderId="22" xfId="2" applyNumberFormat="1" applyFill="1" applyBorder="1" applyAlignment="1">
      <alignment horizontal="center" vertical="center" wrapText="1"/>
    </xf>
    <xf numFmtId="2" fontId="1" fillId="2" borderId="22" xfId="2" applyNumberFormat="1" applyFill="1" applyBorder="1" applyAlignment="1">
      <alignment horizontal="center" vertical="center"/>
    </xf>
    <xf numFmtId="2" fontId="1" fillId="2" borderId="22" xfId="2" applyNumberForma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5" fillId="2" borderId="23" xfId="2" applyFont="1" applyFill="1" applyBorder="1" applyAlignment="1">
      <alignment horizontal="center" vertical="center" wrapText="1"/>
    </xf>
    <xf numFmtId="0" fontId="5" fillId="2" borderId="24" xfId="2" applyFont="1" applyFill="1" applyBorder="1" applyAlignment="1">
      <alignment horizontal="center" vertical="center" wrapText="1"/>
    </xf>
    <xf numFmtId="164" fontId="12" fillId="11" borderId="22" xfId="2" applyNumberFormat="1" applyFont="1" applyFill="1" applyBorder="1" applyAlignment="1">
      <alignment horizontal="center" vertical="center"/>
    </xf>
    <xf numFmtId="164" fontId="1" fillId="2" borderId="22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E1043125-B080-4F89-9F49-8D029FD9D0AA}"/>
    <cellStyle name="Normal 3" xfId="2" xr:uid="{F18B5DD4-10F3-43A0-85D9-E2439D4D72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A856B-1681-47EB-964C-83B2066E7B2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25</xdr:row>
      <xdr:rowOff>236220</xdr:rowOff>
    </xdr:from>
    <xdr:to>
      <xdr:col>6</xdr:col>
      <xdr:colOff>476250</xdr:colOff>
      <xdr:row>27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4C4DA8-B7F0-437F-860A-E43CCB07D8E9}"/>
            </a:ext>
          </a:extLst>
        </xdr:cNvPr>
        <xdr:cNvSpPr txBox="1"/>
      </xdr:nvSpPr>
      <xdr:spPr>
        <a:xfrm>
          <a:off x="5238750" y="537972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566108</xdr:colOff>
      <xdr:row>0</xdr:row>
      <xdr:rowOff>89858</xdr:rowOff>
    </xdr:from>
    <xdr:to>
      <xdr:col>4</xdr:col>
      <xdr:colOff>377406</xdr:colOff>
      <xdr:row>0</xdr:row>
      <xdr:rowOff>655967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A71D31-7A40-42EC-BE53-F6B0D5A5D7A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7405" y="89858"/>
          <a:ext cx="584081" cy="5661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4F0FEC-4492-4038-9BFD-C5A5B9EFF03B}"/>
            </a:ext>
          </a:extLst>
        </xdr:cNvPr>
        <xdr:cNvSpPr txBox="1"/>
      </xdr:nvSpPr>
      <xdr:spPr>
        <a:xfrm>
          <a:off x="573942" y="1371111"/>
          <a:ext cx="150397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RIVERA,</a:t>
          </a:r>
          <a:r>
            <a:rPr lang="en-US" sz="1100" baseline="0"/>
            <a:t> MAE ANN D.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C44D87-D90F-46B6-9415-CDA5CA4BCF28}"/>
            </a:ext>
          </a:extLst>
        </xdr:cNvPr>
        <xdr:cNvSpPr txBox="1"/>
      </xdr:nvSpPr>
      <xdr:spPr>
        <a:xfrm>
          <a:off x="616683" y="1718407"/>
          <a:ext cx="145634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ADAS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E6F512-BE5B-4167-AF61-E72865E74F47}"/>
            </a:ext>
          </a:extLst>
        </xdr:cNvPr>
        <xdr:cNvSpPr txBox="1"/>
      </xdr:nvSpPr>
      <xdr:spPr>
        <a:xfrm>
          <a:off x="3263707" y="1696137"/>
          <a:ext cx="1903156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GMNHS-CAMINDANGAN EXT.</a:t>
          </a:r>
        </a:p>
      </xdr:txBody>
    </xdr:sp>
    <xdr:clientData/>
  </xdr:twoCellAnchor>
  <xdr:twoCellAnchor>
    <xdr:from>
      <xdr:col>5</xdr:col>
      <xdr:colOff>347452</xdr:colOff>
      <xdr:row>23</xdr:row>
      <xdr:rowOff>71886</xdr:rowOff>
    </xdr:from>
    <xdr:to>
      <xdr:col>9</xdr:col>
      <xdr:colOff>672043</xdr:colOff>
      <xdr:row>29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A6CA713-27FC-4D85-ADFD-B1ED2D904719}"/>
            </a:ext>
          </a:extLst>
        </xdr:cNvPr>
        <xdr:cNvSpPr txBox="1"/>
      </xdr:nvSpPr>
      <xdr:spPr>
        <a:xfrm>
          <a:off x="5514315" y="5319622"/>
          <a:ext cx="3415723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0EEA-B58A-464D-BE9D-126834EE767F}">
  <dimension ref="A1:G28"/>
  <sheetViews>
    <sheetView view="pageBreakPreview" zoomScaleNormal="100" workbookViewId="0">
      <selection activeCell="J14" sqref="J14"/>
    </sheetView>
  </sheetViews>
  <sheetFormatPr defaultColWidth="9" defaultRowHeight="15"/>
  <cols>
    <col min="1" max="1" width="29.85546875" customWidth="1"/>
    <col min="2" max="2" width="18.85546875" customWidth="1"/>
    <col min="3" max="3" width="35" style="4" customWidth="1"/>
    <col min="4" max="4" width="11.7109375" style="5" customWidth="1"/>
    <col min="5" max="5" width="11" customWidth="1"/>
    <col min="6" max="6" width="11.85546875" style="5" customWidth="1"/>
    <col min="7" max="7" width="22" customWidth="1"/>
  </cols>
  <sheetData>
    <row r="1" spans="1:7" s="1" customFormat="1" ht="52.5" customHeight="1">
      <c r="E1" s="6"/>
    </row>
    <row r="2" spans="1:7" s="1" customFormat="1" ht="10.5" customHeight="1">
      <c r="A2" s="27" t="s">
        <v>0</v>
      </c>
      <c r="B2" s="27"/>
      <c r="C2" s="27"/>
      <c r="D2" s="27"/>
      <c r="E2" s="27"/>
      <c r="F2" s="27"/>
      <c r="G2" s="27"/>
    </row>
    <row r="3" spans="1:7" s="1" customFormat="1" ht="15.95" customHeight="1">
      <c r="A3" s="27" t="s">
        <v>1</v>
      </c>
      <c r="B3" s="27"/>
      <c r="C3" s="27"/>
      <c r="D3" s="27"/>
      <c r="E3" s="27"/>
      <c r="F3" s="27"/>
      <c r="G3" s="27"/>
    </row>
    <row r="4" spans="1:7" s="1" customFormat="1" ht="15.95" customHeight="1">
      <c r="A4" s="27" t="s">
        <v>2</v>
      </c>
      <c r="B4" s="27"/>
      <c r="C4" s="27"/>
      <c r="D4" s="27"/>
      <c r="E4" s="27"/>
      <c r="F4" s="27"/>
      <c r="G4" s="27"/>
    </row>
    <row r="5" spans="1:7" s="1" customFormat="1" ht="15.95" customHeight="1">
      <c r="A5" s="27" t="s">
        <v>3</v>
      </c>
      <c r="B5" s="27"/>
      <c r="C5" s="27"/>
      <c r="D5" s="27"/>
      <c r="E5" s="27"/>
      <c r="F5" s="27"/>
      <c r="G5" s="27"/>
    </row>
    <row r="6" spans="1:7" s="1" customFormat="1" ht="8.25" customHeight="1">
      <c r="E6" s="6"/>
    </row>
    <row r="7" spans="1:7" s="1" customFormat="1" ht="8.25" customHeight="1">
      <c r="E7" s="6"/>
    </row>
    <row r="8" spans="1:7" s="1" customFormat="1" ht="17.25" customHeight="1">
      <c r="A8" s="21" t="s">
        <v>19</v>
      </c>
      <c r="B8" s="21"/>
      <c r="C8" s="21" t="s">
        <v>11</v>
      </c>
      <c r="D8" s="10"/>
      <c r="E8" s="21" t="s">
        <v>12</v>
      </c>
      <c r="F8" s="10"/>
      <c r="G8" s="7"/>
    </row>
    <row r="9" spans="1:7" s="1" customFormat="1" ht="12" customHeight="1">
      <c r="A9" s="22"/>
      <c r="B9" s="22"/>
      <c r="C9" s="8"/>
      <c r="E9" s="21" t="s">
        <v>13</v>
      </c>
      <c r="F9" s="11"/>
      <c r="G9" s="8"/>
    </row>
    <row r="10" spans="1:7" s="1" customFormat="1" ht="14.25" customHeight="1">
      <c r="A10" s="21" t="s">
        <v>10</v>
      </c>
      <c r="B10" s="21"/>
      <c r="C10" s="21" t="s">
        <v>20</v>
      </c>
      <c r="D10" s="10"/>
      <c r="E10" s="21" t="s">
        <v>14</v>
      </c>
      <c r="F10" s="10"/>
      <c r="G10" s="7"/>
    </row>
    <row r="11" spans="1:7" s="1" customFormat="1" ht="12" customHeight="1" thickBot="1">
      <c r="A11" s="7"/>
      <c r="B11" s="7"/>
      <c r="C11" s="7"/>
      <c r="F11" s="10"/>
      <c r="G11" s="7"/>
    </row>
    <row r="12" spans="1:7" ht="23.25" customHeight="1" thickBot="1">
      <c r="A12" s="28" t="s">
        <v>17</v>
      </c>
      <c r="B12" s="29"/>
      <c r="C12" s="29"/>
      <c r="D12" s="29"/>
      <c r="E12" s="29"/>
      <c r="F12" s="29"/>
      <c r="G12" s="30"/>
    </row>
    <row r="13" spans="1:7" s="2" customFormat="1" ht="37.5" customHeight="1" thickBot="1">
      <c r="A13" s="12" t="s">
        <v>8</v>
      </c>
      <c r="B13" s="13" t="s">
        <v>9</v>
      </c>
      <c r="C13" s="15" t="s">
        <v>18</v>
      </c>
      <c r="D13" s="15" t="s">
        <v>5</v>
      </c>
      <c r="E13" s="15" t="s">
        <v>6</v>
      </c>
      <c r="F13" s="15" t="s">
        <v>7</v>
      </c>
      <c r="G13" s="14" t="s">
        <v>4</v>
      </c>
    </row>
    <row r="14" spans="1:7" s="2" customFormat="1" ht="15.75">
      <c r="A14" s="16" t="s">
        <v>21</v>
      </c>
      <c r="B14" s="17" t="s">
        <v>15</v>
      </c>
      <c r="C14" s="18" t="s">
        <v>16</v>
      </c>
      <c r="D14" s="23">
        <v>15</v>
      </c>
      <c r="E14" s="23">
        <v>0</v>
      </c>
      <c r="F14" s="23">
        <v>15</v>
      </c>
      <c r="G14" s="24">
        <v>15</v>
      </c>
    </row>
    <row r="15" spans="1:7" s="3" customFormat="1" ht="15.75">
      <c r="A15" s="19" t="s">
        <v>22</v>
      </c>
      <c r="B15" s="20"/>
      <c r="C15" s="18" t="s">
        <v>16</v>
      </c>
      <c r="D15" s="25"/>
      <c r="E15" s="25">
        <v>0.5</v>
      </c>
      <c r="F15" s="25">
        <v>14.5</v>
      </c>
      <c r="G15" s="26">
        <v>14.5</v>
      </c>
    </row>
    <row r="16" spans="1:7" s="3" customFormat="1" ht="15.75">
      <c r="A16" s="19" t="s">
        <v>23</v>
      </c>
      <c r="B16" s="20"/>
      <c r="C16" s="18" t="s">
        <v>16</v>
      </c>
      <c r="D16" s="25"/>
      <c r="E16" s="25">
        <v>1</v>
      </c>
      <c r="F16" s="25">
        <v>13.5</v>
      </c>
      <c r="G16" s="26">
        <v>13.5</v>
      </c>
    </row>
    <row r="17" spans="1:7" s="3" customFormat="1" ht="15.75">
      <c r="A17" s="19" t="s">
        <v>24</v>
      </c>
      <c r="B17" s="20"/>
      <c r="C17" s="18" t="s">
        <v>16</v>
      </c>
      <c r="D17" s="25"/>
      <c r="E17" s="25">
        <v>2</v>
      </c>
      <c r="F17" s="25">
        <v>11.5</v>
      </c>
      <c r="G17" s="26">
        <v>11.5</v>
      </c>
    </row>
    <row r="18" spans="1:7" s="3" customFormat="1" ht="15.75">
      <c r="A18" s="19" t="s">
        <v>25</v>
      </c>
      <c r="B18" s="20"/>
      <c r="C18" s="18" t="s">
        <v>16</v>
      </c>
      <c r="D18" s="25"/>
      <c r="E18" s="25">
        <v>1</v>
      </c>
      <c r="F18" s="25">
        <v>10.5</v>
      </c>
      <c r="G18" s="26">
        <v>10.5</v>
      </c>
    </row>
    <row r="19" spans="1:7" s="3" customFormat="1" ht="15.75">
      <c r="A19" s="19" t="s">
        <v>26</v>
      </c>
      <c r="B19" s="20"/>
      <c r="C19" s="18" t="s">
        <v>16</v>
      </c>
      <c r="D19" s="25"/>
      <c r="E19" s="25">
        <v>1</v>
      </c>
      <c r="F19" s="25">
        <v>9.5</v>
      </c>
      <c r="G19" s="26">
        <v>9.5</v>
      </c>
    </row>
    <row r="20" spans="1:7" s="3" customFormat="1" ht="15.75">
      <c r="A20" s="19" t="s">
        <v>27</v>
      </c>
      <c r="B20" s="20"/>
      <c r="C20" s="18" t="s">
        <v>16</v>
      </c>
      <c r="D20" s="25"/>
      <c r="E20" s="25">
        <v>0.5</v>
      </c>
      <c r="F20" s="25">
        <v>9</v>
      </c>
      <c r="G20" s="26">
        <v>9</v>
      </c>
    </row>
    <row r="21" spans="1:7" s="3" customFormat="1" ht="15.75">
      <c r="A21" s="19" t="s">
        <v>28</v>
      </c>
      <c r="B21" s="20"/>
      <c r="C21" s="18" t="s">
        <v>16</v>
      </c>
      <c r="D21" s="25"/>
      <c r="E21" s="25">
        <v>0.5</v>
      </c>
      <c r="F21" s="25">
        <v>8.5</v>
      </c>
      <c r="G21" s="26">
        <v>8.5</v>
      </c>
    </row>
    <row r="22" spans="1:7" s="3" customFormat="1" ht="15.75">
      <c r="A22" s="19" t="s">
        <v>29</v>
      </c>
      <c r="B22" s="20"/>
      <c r="C22" s="18" t="s">
        <v>16</v>
      </c>
      <c r="D22" s="25"/>
      <c r="E22" s="25">
        <v>1</v>
      </c>
      <c r="F22" s="25">
        <v>7.5</v>
      </c>
      <c r="G22" s="26">
        <v>7.5</v>
      </c>
    </row>
    <row r="23" spans="1:7" s="3" customFormat="1" ht="15.75">
      <c r="A23" s="19" t="s">
        <v>30</v>
      </c>
      <c r="B23" s="20"/>
      <c r="C23" s="18" t="s">
        <v>16</v>
      </c>
      <c r="D23" s="25"/>
      <c r="E23" s="25">
        <v>1</v>
      </c>
      <c r="F23" s="25">
        <v>6.5</v>
      </c>
      <c r="G23" s="26">
        <v>6.5</v>
      </c>
    </row>
    <row r="24" spans="1:7" s="3" customFormat="1" ht="15.75">
      <c r="A24" s="19" t="s">
        <v>31</v>
      </c>
      <c r="B24" s="20"/>
      <c r="C24" s="18" t="s">
        <v>16</v>
      </c>
      <c r="D24" s="25"/>
      <c r="E24" s="25">
        <v>1</v>
      </c>
      <c r="F24" s="25">
        <v>5.5</v>
      </c>
      <c r="G24" s="26">
        <v>5.5</v>
      </c>
    </row>
    <row r="25" spans="1:7" s="3" customFormat="1" ht="15.75">
      <c r="A25" s="19" t="s">
        <v>32</v>
      </c>
      <c r="B25" s="20"/>
      <c r="C25" s="18" t="s">
        <v>16</v>
      </c>
      <c r="D25" s="25"/>
      <c r="E25" s="25">
        <v>1</v>
      </c>
      <c r="F25" s="25">
        <v>4.5</v>
      </c>
      <c r="G25" s="26">
        <v>4.5</v>
      </c>
    </row>
    <row r="26" spans="1:7" s="1" customFormat="1" ht="75.75" customHeight="1">
      <c r="A26" s="9"/>
      <c r="B26" s="9"/>
      <c r="G26" s="9"/>
    </row>
    <row r="27" spans="1:7" s="1" customFormat="1"/>
    <row r="28" spans="1:7" s="1" customFormat="1"/>
  </sheetData>
  <mergeCells count="5">
    <mergeCell ref="A2:G2"/>
    <mergeCell ref="A3:G3"/>
    <mergeCell ref="A4:G4"/>
    <mergeCell ref="A5:G5"/>
    <mergeCell ref="A12:G12"/>
  </mergeCells>
  <phoneticPr fontId="15" type="noConversion"/>
  <pageMargins left="0.25" right="0.25" top="0.75" bottom="0.75" header="0.3" footer="0.3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0BE9-A77C-4B6D-9F3A-EDA8B7C68945}">
  <dimension ref="A1:K28"/>
  <sheetViews>
    <sheetView tabSelected="1" view="pageBreakPreview" zoomScale="106" zoomScaleNormal="100" zoomScaleSheetLayoutView="106" workbookViewId="0">
      <selection activeCell="A18" sqref="A18"/>
    </sheetView>
  </sheetViews>
  <sheetFormatPr defaultRowHeight="15"/>
  <cols>
    <col min="1" max="1" width="31.140625" style="39" customWidth="1"/>
    <col min="2" max="5" width="11.5703125" style="39" customWidth="1"/>
    <col min="6" max="7" width="11.5703125" style="59" customWidth="1"/>
    <col min="8" max="10" width="11.5703125" style="39" customWidth="1"/>
    <col min="11" max="11" width="26.42578125" style="56" customWidth="1"/>
    <col min="12" max="16384" width="9.140625" style="39"/>
  </cols>
  <sheetData>
    <row r="1" spans="1:11" s="31" customFormat="1" ht="52.5" customHeight="1"/>
    <row r="2" spans="1:11" s="3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</row>
    <row r="3" spans="1:11" s="3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</row>
    <row r="4" spans="1:11" s="31" customFormat="1" ht="15.95" customHeight="1">
      <c r="A4" s="32" t="s">
        <v>33</v>
      </c>
      <c r="B4" s="32"/>
      <c r="C4" s="32"/>
      <c r="D4" s="32"/>
      <c r="E4" s="32"/>
      <c r="F4" s="32"/>
      <c r="G4" s="32"/>
      <c r="H4" s="32"/>
      <c r="I4" s="32"/>
      <c r="J4" s="32"/>
    </row>
    <row r="5" spans="1:11" s="3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</row>
    <row r="6" spans="1:11" s="31" customFormat="1" ht="8.25" customHeight="1"/>
    <row r="7" spans="1:11" s="31" customFormat="1" ht="12" customHeight="1">
      <c r="A7" s="31" t="s">
        <v>34</v>
      </c>
      <c r="B7" s="33" t="s">
        <v>35</v>
      </c>
      <c r="C7" s="33"/>
      <c r="D7" s="33"/>
      <c r="H7" s="34" t="s">
        <v>36</v>
      </c>
      <c r="I7" s="35"/>
      <c r="J7" s="34"/>
    </row>
    <row r="8" spans="1:11" s="31" customFormat="1" ht="12" customHeight="1">
      <c r="B8" s="36"/>
      <c r="C8" s="36"/>
      <c r="H8" s="36"/>
      <c r="I8" s="36"/>
      <c r="J8" s="36"/>
    </row>
    <row r="9" spans="1:11" s="31" customFormat="1" ht="12" customHeight="1">
      <c r="A9" s="31" t="s">
        <v>37</v>
      </c>
      <c r="B9" s="33" t="s">
        <v>38</v>
      </c>
      <c r="C9" s="33"/>
      <c r="D9" s="33"/>
      <c r="H9" s="34" t="s">
        <v>39</v>
      </c>
      <c r="I9" s="37"/>
      <c r="J9" s="34"/>
    </row>
    <row r="10" spans="1:11" ht="23.25" customHeight="1" thickBot="1">
      <c r="A10" s="38" t="s">
        <v>40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ht="18.75" customHeight="1">
      <c r="A11" s="40" t="s">
        <v>41</v>
      </c>
      <c r="B11" s="41" t="s">
        <v>42</v>
      </c>
      <c r="C11" s="42"/>
      <c r="D11" s="43" t="s">
        <v>43</v>
      </c>
      <c r="E11" s="44"/>
      <c r="F11" s="44"/>
      <c r="G11" s="45"/>
      <c r="H11" s="46" t="s">
        <v>44</v>
      </c>
      <c r="I11" s="47"/>
      <c r="J11" s="48" t="s">
        <v>4</v>
      </c>
      <c r="K11" s="49" t="s">
        <v>45</v>
      </c>
    </row>
    <row r="12" spans="1:11">
      <c r="A12" s="50"/>
      <c r="B12" s="51" t="s">
        <v>46</v>
      </c>
      <c r="C12" s="51" t="s">
        <v>47</v>
      </c>
      <c r="D12" s="51" t="s">
        <v>46</v>
      </c>
      <c r="E12" s="51" t="s">
        <v>47</v>
      </c>
      <c r="F12" s="51" t="s">
        <v>48</v>
      </c>
      <c r="G12" s="51" t="s">
        <v>49</v>
      </c>
      <c r="H12" s="51" t="s">
        <v>46</v>
      </c>
      <c r="I12" s="51" t="s">
        <v>47</v>
      </c>
      <c r="J12" s="52"/>
      <c r="K12" s="49"/>
    </row>
    <row r="13" spans="1:11" ht="28.5" customHeight="1">
      <c r="A13" s="53" t="s">
        <v>58</v>
      </c>
      <c r="B13" s="55">
        <v>1</v>
      </c>
      <c r="C13" s="61">
        <v>1</v>
      </c>
      <c r="D13" s="53"/>
      <c r="E13" s="54"/>
      <c r="F13" s="54"/>
      <c r="G13" s="54"/>
      <c r="H13" s="55">
        <f>B13</f>
        <v>1</v>
      </c>
      <c r="I13" s="55">
        <f>C13</f>
        <v>1</v>
      </c>
      <c r="J13" s="55">
        <f>SUM(H13:I13)</f>
        <v>2</v>
      </c>
    </row>
    <row r="14" spans="1:11" ht="17.25" customHeight="1">
      <c r="A14" s="53" t="s">
        <v>59</v>
      </c>
      <c r="B14" s="62">
        <v>1.25</v>
      </c>
      <c r="C14" s="63">
        <v>1.25</v>
      </c>
      <c r="D14" s="53"/>
      <c r="E14" s="54"/>
      <c r="F14" s="54"/>
      <c r="G14" s="54"/>
      <c r="H14" s="55">
        <f>H13-F14-D14+B14</f>
        <v>2.25</v>
      </c>
      <c r="I14" s="55">
        <f>I13-E14+C14</f>
        <v>2.25</v>
      </c>
      <c r="J14" s="55">
        <f>SUM(H14:I14)</f>
        <v>4.5</v>
      </c>
    </row>
    <row r="15" spans="1:11" ht="17.25" customHeight="1">
      <c r="A15" s="53" t="s">
        <v>51</v>
      </c>
      <c r="B15" s="62">
        <v>13.75</v>
      </c>
      <c r="C15" s="63">
        <v>13.75</v>
      </c>
      <c r="D15" s="53"/>
      <c r="E15" s="54"/>
      <c r="F15" s="54"/>
      <c r="G15" s="54"/>
      <c r="H15" s="55">
        <f t="shared" ref="H15:H21" si="0">H14-F15-D15+B15</f>
        <v>16</v>
      </c>
      <c r="I15" s="55">
        <f t="shared" ref="I15:I21" si="1">I14-E15+C15</f>
        <v>16</v>
      </c>
      <c r="J15" s="55">
        <f t="shared" ref="J15:J21" si="2">SUM(H15:I15)</f>
        <v>32</v>
      </c>
    </row>
    <row r="16" spans="1:11" s="56" customFormat="1" ht="15.75" customHeight="1">
      <c r="A16" s="53" t="s">
        <v>52</v>
      </c>
      <c r="B16" s="62"/>
      <c r="C16" s="63"/>
      <c r="D16" s="53"/>
      <c r="E16" s="54"/>
      <c r="F16" s="54">
        <v>5</v>
      </c>
      <c r="G16" s="54"/>
      <c r="H16" s="55">
        <f t="shared" si="0"/>
        <v>11</v>
      </c>
      <c r="I16" s="55">
        <f t="shared" si="1"/>
        <v>16</v>
      </c>
      <c r="J16" s="55">
        <f t="shared" si="2"/>
        <v>27</v>
      </c>
    </row>
    <row r="17" spans="1:10" s="56" customFormat="1" ht="15.75" customHeight="1">
      <c r="A17" s="53" t="s">
        <v>53</v>
      </c>
      <c r="B17" s="62">
        <v>1.25</v>
      </c>
      <c r="C17" s="63">
        <v>1.25</v>
      </c>
      <c r="D17" s="53"/>
      <c r="E17" s="54"/>
      <c r="F17" s="57"/>
      <c r="G17" s="54"/>
      <c r="H17" s="55">
        <f t="shared" si="0"/>
        <v>12.25</v>
      </c>
      <c r="I17" s="55">
        <f t="shared" si="1"/>
        <v>17.25</v>
      </c>
      <c r="J17" s="55">
        <f t="shared" si="2"/>
        <v>29.5</v>
      </c>
    </row>
    <row r="18" spans="1:10" s="56" customFormat="1" ht="17.25" customHeight="1">
      <c r="A18" s="53" t="s">
        <v>54</v>
      </c>
      <c r="B18" s="62">
        <v>7.5</v>
      </c>
      <c r="C18" s="63">
        <v>7.5</v>
      </c>
      <c r="D18" s="53"/>
      <c r="E18" s="54"/>
      <c r="F18" s="57"/>
      <c r="G18" s="54"/>
      <c r="H18" s="55">
        <f t="shared" si="0"/>
        <v>19.75</v>
      </c>
      <c r="I18" s="55">
        <f t="shared" si="1"/>
        <v>24.75</v>
      </c>
      <c r="J18" s="55">
        <f t="shared" si="2"/>
        <v>44.5</v>
      </c>
    </row>
    <row r="19" spans="1:10" s="56" customFormat="1" ht="17.25" customHeight="1">
      <c r="A19" s="53" t="s">
        <v>55</v>
      </c>
      <c r="B19" s="62"/>
      <c r="C19" s="63"/>
      <c r="D19" s="53">
        <v>14</v>
      </c>
      <c r="E19" s="54"/>
      <c r="F19" s="57"/>
      <c r="G19" s="54"/>
      <c r="H19" s="55">
        <f t="shared" si="0"/>
        <v>5.75</v>
      </c>
      <c r="I19" s="55">
        <f t="shared" si="1"/>
        <v>24.75</v>
      </c>
      <c r="J19" s="55">
        <f t="shared" si="2"/>
        <v>30.5</v>
      </c>
    </row>
    <row r="20" spans="1:10" s="56" customFormat="1" ht="17.25" customHeight="1">
      <c r="A20" s="53" t="s">
        <v>56</v>
      </c>
      <c r="B20" s="62">
        <v>0.5</v>
      </c>
      <c r="C20" s="63">
        <v>0.5</v>
      </c>
      <c r="D20" s="53"/>
      <c r="E20" s="54"/>
      <c r="F20" s="54"/>
      <c r="G20" s="54"/>
      <c r="H20" s="68">
        <f t="shared" si="0"/>
        <v>6.25</v>
      </c>
      <c r="I20" s="68">
        <f t="shared" si="1"/>
        <v>25.25</v>
      </c>
      <c r="J20" s="67">
        <f t="shared" si="2"/>
        <v>31.5</v>
      </c>
    </row>
    <row r="21" spans="1:10" s="56" customFormat="1" ht="23.25" customHeight="1">
      <c r="A21" s="64" t="s">
        <v>57</v>
      </c>
      <c r="B21" s="65"/>
      <c r="C21" s="65"/>
      <c r="D21" s="65"/>
      <c r="E21" s="65"/>
      <c r="F21" s="65"/>
      <c r="G21" s="65"/>
      <c r="H21" s="65"/>
      <c r="I21" s="65"/>
      <c r="J21" s="66"/>
    </row>
    <row r="22" spans="1:10" s="56" customFormat="1" ht="18.75" customHeight="1">
      <c r="A22" s="58"/>
      <c r="B22" s="58"/>
      <c r="C22" s="58"/>
      <c r="D22" s="58"/>
      <c r="E22" s="58"/>
      <c r="F22" s="59"/>
      <c r="G22" s="59"/>
      <c r="H22" s="60"/>
      <c r="I22" s="60"/>
      <c r="J22" s="60"/>
    </row>
    <row r="23" spans="1:10" s="56" customFormat="1">
      <c r="A23" s="58"/>
      <c r="B23" s="58"/>
      <c r="C23" s="58"/>
      <c r="D23" s="58"/>
      <c r="E23" s="58"/>
      <c r="F23" s="59"/>
      <c r="G23" s="59"/>
      <c r="H23" s="60"/>
      <c r="I23" s="60"/>
      <c r="J23" s="60"/>
    </row>
    <row r="24" spans="1:10" s="56" customFormat="1">
      <c r="A24" s="39"/>
      <c r="B24" s="39"/>
      <c r="C24" s="39"/>
      <c r="D24" s="39"/>
      <c r="E24" s="39"/>
      <c r="F24" s="59"/>
      <c r="G24" s="59"/>
      <c r="H24" s="60"/>
      <c r="I24" s="60"/>
      <c r="J24" s="60"/>
    </row>
    <row r="28" spans="1:10" s="56" customFormat="1">
      <c r="A28" s="39"/>
      <c r="B28" s="39"/>
      <c r="C28" s="39"/>
      <c r="D28" s="39"/>
      <c r="E28" s="39"/>
      <c r="F28" s="59" t="s">
        <v>50</v>
      </c>
      <c r="G28" s="59"/>
      <c r="H28" s="39"/>
      <c r="I28" s="39"/>
      <c r="J28" s="39"/>
    </row>
  </sheetData>
  <mergeCells count="14">
    <mergeCell ref="K11:K12"/>
    <mergeCell ref="A21:J21"/>
    <mergeCell ref="A10:J10"/>
    <mergeCell ref="A11:A12"/>
    <mergeCell ref="B11:C11"/>
    <mergeCell ref="D11:G11"/>
    <mergeCell ref="H11:I11"/>
    <mergeCell ref="J11:J12"/>
    <mergeCell ref="A2:J2"/>
    <mergeCell ref="A3:J3"/>
    <mergeCell ref="A4:J4"/>
    <mergeCell ref="A5:J5"/>
    <mergeCell ref="B7:D7"/>
    <mergeCell ref="B9:D9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70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Election &amp; NLC</vt:lpstr>
      <vt:lpstr>Leave Card as TIC</vt:lpstr>
      <vt:lpstr>'Election &amp; NLC'!Print_Area</vt:lpstr>
      <vt:lpstr>'Leave Card as TIC'!Print_Area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2025-11-06T03:51:52Z</cp:lastPrinted>
  <dcterms:created xsi:type="dcterms:W3CDTF">2021-10-07T06:10:00Z</dcterms:created>
  <dcterms:modified xsi:type="dcterms:W3CDTF">2025-11-06T03:53:27Z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