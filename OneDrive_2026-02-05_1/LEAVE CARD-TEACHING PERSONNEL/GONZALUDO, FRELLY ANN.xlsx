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A6BBDC7-CC24-47D7-8092-099BEA966B8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lection" sheetId="10" r:id="rId1"/>
    <sheet name="CTO" sheetId="9" r:id="rId2"/>
    <sheet name="VSC" sheetId="11" r:id="rId3"/>
  </sheets>
  <definedNames>
    <definedName name="_xlnm.Print_Area" localSheetId="1">CTO!$A$1:$L$33</definedName>
    <definedName name="_xlnm.Print_Area" localSheetId="0">Election!$A$1:$L$24</definedName>
    <definedName name="_xlnm.Print_Area" localSheetId="2">VSC!$A$1:$L$37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1" l="1"/>
  <c r="J14" i="11"/>
  <c r="L14" i="11" s="1"/>
  <c r="F15" i="11" s="1"/>
  <c r="J15" i="11" s="1"/>
  <c r="L15" i="11" s="1"/>
  <c r="F16" i="11" s="1"/>
  <c r="J16" i="11" s="1"/>
  <c r="L16" i="11" s="1"/>
  <c r="F17" i="11" s="1"/>
  <c r="J17" i="11" s="1"/>
  <c r="L17" i="11" s="1"/>
  <c r="F18" i="11" s="1"/>
  <c r="J18" i="11" s="1"/>
  <c r="L18" i="11" s="1"/>
  <c r="F19" i="11" s="1"/>
  <c r="J19" i="11" s="1"/>
  <c r="L19" i="11" s="1"/>
  <c r="F20" i="11" s="1"/>
  <c r="J20" i="11" s="1"/>
  <c r="L20" i="11" s="1"/>
  <c r="J21" i="9"/>
  <c r="J14" i="9" l="1"/>
  <c r="L14" i="9" s="1"/>
  <c r="F15" i="9" l="1"/>
  <c r="J15" i="9" l="1"/>
  <c r="L15" i="9" s="1"/>
  <c r="F16" i="9" s="1"/>
  <c r="J16" i="9" s="1"/>
  <c r="L16" i="9" s="1"/>
  <c r="F17" i="9" s="1"/>
  <c r="J17" i="9" s="1"/>
  <c r="L17" i="9" s="1"/>
  <c r="F18" i="9" s="1"/>
  <c r="J18" i="9" s="1"/>
  <c r="L18" i="9" s="1"/>
  <c r="F19" i="9" s="1"/>
  <c r="J19" i="9" s="1"/>
  <c r="L19" i="9" s="1"/>
  <c r="F20" i="9" s="1"/>
  <c r="J20" i="9" s="1"/>
  <c r="L20" i="9" s="1"/>
</calcChain>
</file>

<file path=xl/sharedStrings.xml><?xml version="1.0" encoding="utf-8"?>
<sst xmlns="http://schemas.openxmlformats.org/spreadsheetml/2006/main" count="146" uniqueCount="62">
  <si>
    <t>Republic of the Philippines</t>
  </si>
  <si>
    <t>Department of Education</t>
  </si>
  <si>
    <t>REGION VI-WESTERN VISAYAS</t>
  </si>
  <si>
    <t>SCHOOLS DIVISION OF SIPALAY CITY</t>
  </si>
  <si>
    <t>STATION CODE    : __________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</si>
  <si>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</si>
  <si>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</si>
  <si>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</si>
  <si>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</si>
  <si>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</si>
  <si>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</si>
  <si>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</si>
  <si>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</si>
  <si>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</si>
  <si>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</si>
  <si>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</si>
  <si>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</si>
  <si>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</si>
  <si>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</si>
  <si>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</si>
  <si>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</si>
  <si>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</si>
  <si>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</si>
  <si>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</si>
  <si>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</t>
  </si>
  <si>
    <t>SCHOOL/OFFICE : BANAG PS</t>
  </si>
  <si>
    <t>ADD: SEPTEMBER 02, 2022</t>
  </si>
  <si>
    <t>NAME         : GONZALUDO, FRELLY ANN</t>
  </si>
  <si>
    <t>LESS: DECEMBER 14, 2022</t>
  </si>
  <si>
    <t>LESS: MARCH 1, 2 &amp; 3, 2023</t>
  </si>
  <si>
    <t>LESS: MARCH 29 &amp; 30, 2023</t>
  </si>
  <si>
    <t>LESS: MAY 03(PM), 04 &amp; 05, 2023</t>
  </si>
  <si>
    <t>LESS: MAY 08 - 12, 2023</t>
  </si>
  <si>
    <t>S.O. # 072, S. 2022. COMPLETE PROGRESS MONITORING REPORT AND INVENTORY OF SLMs AND LAS FROM QUARTER 1-4</t>
  </si>
  <si>
    <t>LESS: June 16, 2023</t>
  </si>
  <si>
    <t>ADD: 10/11/2023</t>
  </si>
  <si>
    <t>S.O. # 082, S. 2023. BRIGADA ESKWELA AND OPLAN BALIK ESKWELA 2023</t>
  </si>
  <si>
    <t>LESS:01/04/2024</t>
  </si>
  <si>
    <t>LESS:01/8-9/2024</t>
  </si>
  <si>
    <t>LESS:02/05/2024</t>
  </si>
  <si>
    <t>LESS: 03/08/2024</t>
  </si>
  <si>
    <t>LESS: 03/12/2024</t>
  </si>
  <si>
    <t>LESS: 03/15/2024</t>
  </si>
  <si>
    <t>ADD: 10/17/2023</t>
  </si>
  <si>
    <t>S.O. # 154, S. 2023- 125TH PHIL. INDEPENDENCE DAY</t>
  </si>
  <si>
    <t>LESS: 03/18/2024</t>
  </si>
  <si>
    <t>LESS: 04/4-5/2024</t>
  </si>
  <si>
    <t>LESS: 05/24/2024</t>
  </si>
  <si>
    <t>DATE OF ELECTION</t>
  </si>
  <si>
    <t>MAY 9, 2022 ELECTION</t>
  </si>
  <si>
    <t>✓</t>
  </si>
  <si>
    <t>ADD: SO # 051, 2022</t>
  </si>
  <si>
    <t>LESS: 09/23-24/2024</t>
  </si>
  <si>
    <t>NAME          : GONZALUDO, FRELLY ANN</t>
  </si>
  <si>
    <t>ADD: SO NO. 029, 2024</t>
  </si>
  <si>
    <t>NLC 2024</t>
  </si>
  <si>
    <t>LESS: 10/21/2024</t>
  </si>
  <si>
    <t>CTO</t>
  </si>
  <si>
    <t>VSC</t>
  </si>
  <si>
    <t>LESS: 12/11/2024</t>
  </si>
  <si>
    <t>LESS: 01/15/2025 (PM)</t>
  </si>
  <si>
    <t>LESS: 11/20-21/2025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</si>
</sst>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9" fillId="0" borderId="0" xfId="0" applyFont="1"/>
    <xf numFmtId="0" fontId="10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1" fillId="2" borderId="0" xfId="0" applyFont="1" applyFill="1" applyAlignment="1">
      <alignment horizontal="center" wrapText="1"/>
    </xf>
    <xf numFmtId="0" fontId="1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1" fillId="2" borderId="0" xfId="0" applyFont="1" applyFill="1" applyAlignment="1">
      <alignment vertic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/>
    </xf>
    <xf numFmtId="0" fontId="12" fillId="2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5" fillId="9" borderId="12" xfId="0" applyFont="1" applyFill="1" applyBorder="1" applyAlignment="1">
      <alignment horizontal="center" vertical="center" wrapText="1"/>
    </xf>
    <xf numFmtId="0" fontId="15" fillId="9" borderId="13" xfId="0" applyFont="1" applyFill="1" applyBorder="1" applyAlignment="1">
      <alignment horizontal="center" vertical="center" wrapText="1"/>
    </xf>
    <xf numFmtId="0" fontId="15" fillId="9" borderId="14" xfId="0" applyFont="1" applyFill="1" applyBorder="1" applyAlignment="1">
      <alignment horizontal="center" vertical="center" wrapText="1"/>
    </xf>
    <xf numFmtId="0" fontId="14" fillId="9" borderId="12" xfId="0" applyFont="1" applyFill="1" applyBorder="1" applyAlignment="1">
      <alignment horizontal="center" vertical="center" wrapText="1"/>
    </xf>
    <xf numFmtId="0" fontId="14" fillId="9" borderId="14" xfId="0" applyFont="1" applyFill="1" applyBorder="1" applyAlignment="1">
      <alignment horizontal="center" vertical="center" wrapText="1"/>
    </xf>
    <xf numFmtId="0" fontId="13" fillId="8" borderId="19" xfId="0" applyFont="1" applyFill="1" applyBorder="1" applyAlignment="1">
      <alignment horizontal="center" vertical="center"/>
    </xf>
    <xf numFmtId="0" fontId="13" fillId="8" borderId="20" xfId="0" applyFont="1" applyFill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240200</xdr:colOff>
      <xdr:row>0</xdr:row>
      <xdr:rowOff>28770</xdr:rowOff>
    </xdr:from>
    <xdr:to>
      <xdr:col>5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4</xdr:col>
      <xdr:colOff>868128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181088</xdr:colOff>
      <xdr:row>31</xdr:row>
      <xdr:rowOff>164192</xdr:rowOff>
    </xdr:from>
    <xdr:to>
      <xdr:col>11</xdr:col>
      <xdr:colOff>400163</xdr:colOff>
      <xdr:row>32</xdr:row>
      <xdr:rowOff>958170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066177" y="7580085"/>
          <a:ext cx="2829946" cy="9810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4</xdr:col>
      <xdr:colOff>868128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911289-B1A7-47E6-A32C-801BBF24359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69225" y="28770"/>
          <a:ext cx="618403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181088</xdr:colOff>
      <xdr:row>35</xdr:row>
      <xdr:rowOff>164192</xdr:rowOff>
    </xdr:from>
    <xdr:to>
      <xdr:col>11</xdr:col>
      <xdr:colOff>400163</xdr:colOff>
      <xdr:row>36</xdr:row>
      <xdr:rowOff>958170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7E3D3CF-743E-4483-8F33-2E6AEC45EBB3}"/>
            </a:ext>
          </a:extLst>
        </xdr:cNvPr>
        <xdr:cNvSpPr txBox="1"/>
      </xdr:nvSpPr>
      <xdr:spPr>
        <a:xfrm>
          <a:off x="6067538" y="4155167"/>
          <a:ext cx="2838450" cy="9844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8BA4A75-1B7B-491F-823B-1FF632E6D1FC}"/>
            </a:ext>
          </a:extLst>
        </xdr:cNvPr>
        <xdr:cNvCxnSpPr/>
      </xdr:nvCxnSpPr>
      <xdr:spPr>
        <a:xfrm>
          <a:off x="752475" y="1952625"/>
          <a:ext cx="1047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view="pageBreakPreview" zoomScaleNormal="100" workbookViewId="0">
      <selection activeCell="H21" sqref="H21:I21"/>
    </sheetView>
  </sheetViews>
  <sheetFormatPr defaultColWidth="9" defaultRowHeight="15"/>
  <cols>
    <col min="1" max="1" width="21" customWidth="1"/>
    <col min="2" max="2" width="23.5703125" customWidth="1"/>
    <col min="3" max="3" width="9.7109375" style="4" customWidth="1"/>
    <col min="5" max="5" width="6.42578125" style="4" customWidth="1"/>
    <col min="6" max="6" width="9.42578125" style="6" customWidth="1"/>
    <col min="7" max="7" width="7" style="7" customWidth="1"/>
    <col min="8" max="8" width="8.140625" customWidth="1"/>
    <col min="9" max="9" width="6.7109375" style="4" customWidth="1"/>
    <col min="10" max="10" width="10" style="6" customWidth="1"/>
    <col min="11" max="11" width="10.28515625" style="7" customWidth="1"/>
    <col min="12" max="12" width="7.5703125" customWidth="1"/>
  </cols>
  <sheetData>
    <row r="1" spans="1:12" s="1" customFormat="1" ht="52.5" customHeight="1">
      <c r="D1" s="9"/>
      <c r="H1" s="10"/>
    </row>
    <row r="2" spans="1:12" s="1" customFormat="1" ht="10.5" customHeight="1">
      <c r="A2" s="63" t="s">
        <v>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 s="1" customFormat="1" ht="15.95" customHeight="1">
      <c r="A3" s="63" t="s">
        <v>1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</row>
    <row r="4" spans="1:12" s="1" customFormat="1" ht="15.95" customHeight="1">
      <c r="A4" s="63" t="s">
        <v>2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12" s="1" customFormat="1" ht="15.95" customHeight="1">
      <c r="A5" s="63" t="s">
        <v>3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2" s="1" customFormat="1" ht="8.25" customHeight="1">
      <c r="H6" s="10"/>
    </row>
    <row r="7" spans="1:12" s="1" customFormat="1" ht="8.25" customHeight="1">
      <c r="H7" s="10"/>
    </row>
    <row r="8" spans="1:12" s="1" customFormat="1" ht="12" customHeight="1">
      <c r="A8" s="11" t="s">
        <v>53</v>
      </c>
      <c r="B8" s="11"/>
      <c r="C8" s="11"/>
      <c r="D8" s="45"/>
      <c r="E8" s="45"/>
      <c r="F8" s="45"/>
      <c r="G8" s="45"/>
      <c r="I8" s="45" t="s">
        <v>18</v>
      </c>
      <c r="J8" s="45"/>
      <c r="K8" s="45"/>
      <c r="L8" s="11"/>
    </row>
    <row r="9" spans="1:12" s="1" customFormat="1" ht="12" customHeight="1">
      <c r="C9" s="12"/>
      <c r="D9" s="45"/>
      <c r="E9" s="45"/>
      <c r="F9" s="45"/>
      <c r="G9" s="45"/>
      <c r="I9" s="46" t="s">
        <v>4</v>
      </c>
      <c r="J9" s="46"/>
      <c r="K9" s="46"/>
      <c r="L9" s="12"/>
    </row>
    <row r="10" spans="1:12" s="1" customFormat="1" ht="12" customHeight="1">
      <c r="A10" s="11" t="s">
        <v>19</v>
      </c>
      <c r="B10" s="11"/>
      <c r="C10" s="11"/>
      <c r="D10" s="12"/>
      <c r="E10" s="12"/>
      <c r="I10" s="45" t="s">
        <v>5</v>
      </c>
      <c r="J10" s="45"/>
      <c r="K10" s="45"/>
      <c r="L10" s="11"/>
    </row>
    <row r="11" spans="1:12" ht="16.5" customHeight="1" thickBot="1">
      <c r="A11" s="47" t="s">
        <v>20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</row>
    <row r="12" spans="1:12" s="2" customFormat="1" ht="18.75" customHeight="1">
      <c r="A12" s="48" t="s">
        <v>21</v>
      </c>
      <c r="B12" s="51" t="s">
        <v>48</v>
      </c>
      <c r="C12" s="57" t="s">
        <v>22</v>
      </c>
      <c r="D12" s="57" t="s">
        <v>23</v>
      </c>
      <c r="E12" s="60"/>
      <c r="F12" s="57" t="s">
        <v>13</v>
      </c>
      <c r="G12" s="60"/>
      <c r="H12" s="57" t="s">
        <v>14</v>
      </c>
      <c r="I12" s="60"/>
      <c r="J12" s="57" t="s">
        <v>15</v>
      </c>
      <c r="K12" s="60"/>
      <c r="L12" s="54" t="s">
        <v>7</v>
      </c>
    </row>
    <row r="13" spans="1:12" s="2" customFormat="1" ht="18.75" customHeight="1">
      <c r="A13" s="49"/>
      <c r="B13" s="52"/>
      <c r="C13" s="58"/>
      <c r="D13" s="58"/>
      <c r="E13" s="61"/>
      <c r="F13" s="58"/>
      <c r="G13" s="61"/>
      <c r="H13" s="58"/>
      <c r="I13" s="61"/>
      <c r="J13" s="58"/>
      <c r="K13" s="61"/>
      <c r="L13" s="55"/>
    </row>
    <row r="14" spans="1:12" s="2" customFormat="1" ht="24" customHeight="1">
      <c r="A14" s="50"/>
      <c r="B14" s="53"/>
      <c r="C14" s="59"/>
      <c r="D14" s="59"/>
      <c r="E14" s="62"/>
      <c r="F14" s="59"/>
      <c r="G14" s="62"/>
      <c r="H14" s="59"/>
      <c r="I14" s="62"/>
      <c r="J14" s="59"/>
      <c r="K14" s="62"/>
      <c r="L14" s="56"/>
    </row>
    <row r="15" spans="1:12" s="2" customFormat="1" ht="18.75">
      <c r="A15" s="35" t="s">
        <v>51</v>
      </c>
      <c r="B15" s="15" t="s">
        <v>49</v>
      </c>
      <c r="C15" s="36" t="s">
        <v>50</v>
      </c>
      <c r="D15" s="40"/>
      <c r="E15" s="41"/>
      <c r="F15" s="40">
        <v>5</v>
      </c>
      <c r="G15" s="42"/>
      <c r="H15" s="40">
        <v>0</v>
      </c>
      <c r="I15" s="42"/>
      <c r="J15" s="40">
        <v>5</v>
      </c>
      <c r="K15" s="42"/>
      <c r="L15" s="19">
        <v>5</v>
      </c>
    </row>
    <row r="16" spans="1:12" s="3" customFormat="1" ht="18.75">
      <c r="A16" s="34" t="s">
        <v>52</v>
      </c>
      <c r="B16" s="15" t="s">
        <v>49</v>
      </c>
      <c r="C16" s="36" t="s">
        <v>50</v>
      </c>
      <c r="D16" s="40"/>
      <c r="E16" s="41"/>
      <c r="F16" s="40"/>
      <c r="G16" s="42"/>
      <c r="H16" s="40">
        <v>2</v>
      </c>
      <c r="I16" s="42"/>
      <c r="J16" s="40">
        <v>3</v>
      </c>
      <c r="K16" s="42"/>
      <c r="L16" s="19">
        <v>3</v>
      </c>
    </row>
    <row r="17" spans="1:12" s="3" customFormat="1">
      <c r="A17" s="16"/>
      <c r="B17" s="17"/>
      <c r="C17" s="32"/>
      <c r="D17" s="40"/>
      <c r="E17" s="41"/>
      <c r="F17" s="40"/>
      <c r="G17" s="42"/>
      <c r="H17" s="40"/>
      <c r="I17" s="42"/>
      <c r="J17" s="40"/>
      <c r="K17" s="42"/>
      <c r="L17" s="19"/>
    </row>
    <row r="18" spans="1:12" s="3" customFormat="1">
      <c r="A18" s="16"/>
      <c r="B18" s="17"/>
      <c r="C18" s="32"/>
      <c r="D18" s="40"/>
      <c r="E18" s="41"/>
      <c r="F18" s="40"/>
      <c r="G18" s="42"/>
      <c r="H18" s="40"/>
      <c r="I18" s="42"/>
      <c r="J18" s="40"/>
      <c r="K18" s="42"/>
      <c r="L18" s="19"/>
    </row>
    <row r="19" spans="1:12" s="3" customFormat="1">
      <c r="A19" s="16"/>
      <c r="B19" s="17"/>
      <c r="C19" s="32"/>
      <c r="D19" s="40"/>
      <c r="E19" s="41"/>
      <c r="F19" s="40"/>
      <c r="G19" s="42"/>
      <c r="H19" s="40"/>
      <c r="I19" s="42"/>
      <c r="J19" s="40"/>
      <c r="K19" s="42"/>
      <c r="L19" s="19"/>
    </row>
    <row r="20" spans="1:12" s="3" customFormat="1">
      <c r="A20" s="16"/>
      <c r="B20" s="17"/>
      <c r="C20" s="32"/>
      <c r="D20" s="40"/>
      <c r="E20" s="41"/>
      <c r="F20" s="40"/>
      <c r="G20" s="42"/>
      <c r="H20" s="40"/>
      <c r="I20" s="42"/>
      <c r="J20" s="40"/>
      <c r="K20" s="42"/>
      <c r="L20" s="19"/>
    </row>
    <row r="21" spans="1:12" s="3" customFormat="1">
      <c r="A21" s="16"/>
      <c r="B21" s="17"/>
      <c r="C21" s="33"/>
      <c r="D21" s="43"/>
      <c r="E21" s="44"/>
      <c r="F21" s="40"/>
      <c r="G21" s="42"/>
      <c r="H21" s="40"/>
      <c r="I21" s="42"/>
      <c r="J21" s="40"/>
      <c r="K21" s="42"/>
      <c r="L21" s="19"/>
    </row>
    <row r="22" spans="1:12" s="1" customFormat="1" ht="75.75" customHeight="1">
      <c r="A22" s="18"/>
      <c r="B22" s="18"/>
      <c r="L22" s="18"/>
    </row>
    <row r="23" spans="1:12" s="1" customFormat="1"/>
    <row r="24" spans="1:12" s="1" customFormat="1"/>
  </sheetData>
  <mergeCells count="46">
    <mergeCell ref="A2:L2"/>
    <mergeCell ref="A3:L3"/>
    <mergeCell ref="A4:L4"/>
    <mergeCell ref="A5:L5"/>
    <mergeCell ref="D8:G8"/>
    <mergeCell ref="I8:K8"/>
    <mergeCell ref="D9:G9"/>
    <mergeCell ref="I9:K9"/>
    <mergeCell ref="I10:K10"/>
    <mergeCell ref="A11:L11"/>
    <mergeCell ref="D15:E15"/>
    <mergeCell ref="F15:G15"/>
    <mergeCell ref="H15:I15"/>
    <mergeCell ref="J15:K15"/>
    <mergeCell ref="A12:A14"/>
    <mergeCell ref="B12:B14"/>
    <mergeCell ref="L12:L14"/>
    <mergeCell ref="C12:C14"/>
    <mergeCell ref="D12:E14"/>
    <mergeCell ref="F12:G14"/>
    <mergeCell ref="H12:I14"/>
    <mergeCell ref="J12:K14"/>
    <mergeCell ref="D17:E17"/>
    <mergeCell ref="F17:G17"/>
    <mergeCell ref="H17:I17"/>
    <mergeCell ref="J17:K17"/>
    <mergeCell ref="D16:E16"/>
    <mergeCell ref="F16:G16"/>
    <mergeCell ref="H16:I16"/>
    <mergeCell ref="J16:K16"/>
    <mergeCell ref="D21:E21"/>
    <mergeCell ref="F21:G21"/>
    <mergeCell ref="H21:I21"/>
    <mergeCell ref="J21:K21"/>
    <mergeCell ref="D20:E20"/>
    <mergeCell ref="F20:G20"/>
    <mergeCell ref="H20:I20"/>
    <mergeCell ref="J20:K20"/>
    <mergeCell ref="D19:E19"/>
    <mergeCell ref="F19:G19"/>
    <mergeCell ref="H19:I19"/>
    <mergeCell ref="J19:K19"/>
    <mergeCell ref="D18:E18"/>
    <mergeCell ref="F18:G18"/>
    <mergeCell ref="H18:I18"/>
    <mergeCell ref="J18:K18"/>
  </mergeCells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view="pageBreakPreview" topLeftCell="A4" zoomScale="112" zoomScaleNormal="100" workbookViewId="0">
      <selection activeCell="E37" sqref="E37"/>
    </sheetView>
  </sheetViews>
  <sheetFormatPr defaultColWidth="9" defaultRowHeight="15"/>
  <cols>
    <col min="1" max="1" width="26.5703125" customWidth="1"/>
    <col min="2" max="2" width="9.42578125" style="4" customWidth="1"/>
    <col min="3" max="3" width="9.28515625" style="5" customWidth="1"/>
    <col min="5" max="5" width="13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63" t="s">
        <v>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 s="1" customFormat="1" ht="15.95" customHeight="1">
      <c r="A3" s="63" t="s">
        <v>1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</row>
    <row r="4" spans="1:12" s="1" customFormat="1" ht="15.95" customHeight="1">
      <c r="A4" s="63" t="s">
        <v>2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12" s="1" customFormat="1" ht="15.95" customHeight="1">
      <c r="A5" s="63" t="s">
        <v>3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2" s="1" customFormat="1" ht="8.25" customHeight="1">
      <c r="C6" s="10"/>
      <c r="H6" s="10"/>
    </row>
    <row r="7" spans="1:12" s="1" customFormat="1" ht="0.6" customHeight="1">
      <c r="C7" s="10"/>
      <c r="H7" s="10"/>
    </row>
    <row r="8" spans="1:12" s="1" customFormat="1" ht="12" customHeight="1">
      <c r="A8" s="11" t="s">
        <v>27</v>
      </c>
      <c r="B8" s="11"/>
      <c r="C8" s="45" t="s">
        <v>8</v>
      </c>
      <c r="D8" s="45"/>
      <c r="E8" s="45"/>
      <c r="F8" s="45"/>
      <c r="G8" s="45"/>
      <c r="I8" s="45" t="s">
        <v>9</v>
      </c>
      <c r="J8" s="45"/>
      <c r="K8" s="45"/>
      <c r="L8" s="11"/>
    </row>
    <row r="9" spans="1:12" s="1" customFormat="1" ht="12" customHeight="1">
      <c r="B9" s="12"/>
      <c r="C9" s="45" t="s">
        <v>25</v>
      </c>
      <c r="D9" s="45"/>
      <c r="E9" s="45"/>
      <c r="F9" s="45"/>
      <c r="G9" s="45"/>
      <c r="I9" s="46" t="s">
        <v>10</v>
      </c>
      <c r="J9" s="46"/>
      <c r="K9" s="46"/>
      <c r="L9" s="12"/>
    </row>
    <row r="10" spans="1:12" s="1" customFormat="1" ht="12" customHeight="1">
      <c r="A10" s="11" t="s">
        <v>24</v>
      </c>
      <c r="B10" s="11"/>
      <c r="C10" s="13"/>
      <c r="D10" s="12"/>
      <c r="E10" s="12"/>
      <c r="I10" s="45" t="s">
        <v>5</v>
      </c>
      <c r="J10" s="45"/>
      <c r="K10" s="45"/>
      <c r="L10" s="11"/>
    </row>
    <row r="11" spans="1:12" ht="16.5" customHeight="1">
      <c r="A11" s="47" t="s">
        <v>57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</row>
    <row r="12" spans="1:12" s="2" customFormat="1" ht="18.75" customHeight="1">
      <c r="A12" s="51" t="s">
        <v>6</v>
      </c>
      <c r="B12" s="73" t="s">
        <v>11</v>
      </c>
      <c r="C12" s="74"/>
      <c r="D12" s="74"/>
      <c r="E12" s="74"/>
      <c r="F12" s="74"/>
      <c r="G12" s="74"/>
      <c r="H12" s="74"/>
      <c r="I12" s="74"/>
      <c r="J12" s="74"/>
      <c r="K12" s="74"/>
      <c r="L12" s="54" t="s">
        <v>7</v>
      </c>
    </row>
    <row r="13" spans="1:12" s="2" customFormat="1" ht="24" customHeight="1">
      <c r="A13" s="53"/>
      <c r="B13" s="75" t="s">
        <v>12</v>
      </c>
      <c r="C13" s="77"/>
      <c r="D13" s="77"/>
      <c r="E13" s="76"/>
      <c r="F13" s="75" t="s">
        <v>13</v>
      </c>
      <c r="G13" s="76"/>
      <c r="H13" s="75" t="s">
        <v>14</v>
      </c>
      <c r="I13" s="76"/>
      <c r="J13" s="75" t="s">
        <v>15</v>
      </c>
      <c r="K13" s="76"/>
      <c r="L13" s="56"/>
    </row>
    <row r="14" spans="1:12" s="2" customFormat="1" ht="21" hidden="1" customHeight="1">
      <c r="A14" s="14" t="s">
        <v>26</v>
      </c>
      <c r="B14" s="64" t="s">
        <v>33</v>
      </c>
      <c r="C14" s="65"/>
      <c r="D14" s="65"/>
      <c r="E14" s="66"/>
      <c r="F14" s="40">
        <v>15</v>
      </c>
      <c r="G14" s="42"/>
      <c r="H14" s="40">
        <v>0</v>
      </c>
      <c r="I14" s="42"/>
      <c r="J14" s="40">
        <f t="shared" ref="J14:J19" si="0">F14-H14</f>
        <v>15</v>
      </c>
      <c r="K14" s="42"/>
      <c r="L14" s="19">
        <f t="shared" ref="L14:L19" si="1">J14</f>
        <v>15</v>
      </c>
    </row>
    <row r="15" spans="1:12" s="3" customFormat="1" ht="21.75" hidden="1" customHeight="1">
      <c r="A15" s="16" t="s">
        <v>28</v>
      </c>
      <c r="B15" s="64" t="s">
        <v>33</v>
      </c>
      <c r="C15" s="65"/>
      <c r="D15" s="65"/>
      <c r="E15" s="66"/>
      <c r="F15" s="40">
        <f t="shared" ref="F15:F20" si="2">L14</f>
        <v>15</v>
      </c>
      <c r="G15" s="42"/>
      <c r="H15" s="40">
        <v>1</v>
      </c>
      <c r="I15" s="42"/>
      <c r="J15" s="40">
        <f t="shared" si="0"/>
        <v>14</v>
      </c>
      <c r="K15" s="42"/>
      <c r="L15" s="19">
        <f t="shared" si="1"/>
        <v>14</v>
      </c>
    </row>
    <row r="16" spans="1:12" s="3" customFormat="1" ht="19.5" hidden="1" customHeight="1">
      <c r="A16" s="16" t="s">
        <v>29</v>
      </c>
      <c r="B16" s="64" t="s">
        <v>33</v>
      </c>
      <c r="C16" s="65"/>
      <c r="D16" s="65"/>
      <c r="E16" s="66"/>
      <c r="F16" s="40">
        <f t="shared" si="2"/>
        <v>14</v>
      </c>
      <c r="G16" s="42"/>
      <c r="H16" s="40">
        <v>3</v>
      </c>
      <c r="I16" s="42"/>
      <c r="J16" s="40">
        <f t="shared" si="0"/>
        <v>11</v>
      </c>
      <c r="K16" s="42"/>
      <c r="L16" s="19">
        <f t="shared" si="1"/>
        <v>11</v>
      </c>
    </row>
    <row r="17" spans="1:12" s="3" customFormat="1" ht="21.75" hidden="1" customHeight="1">
      <c r="A17" s="16" t="s">
        <v>30</v>
      </c>
      <c r="B17" s="64" t="s">
        <v>33</v>
      </c>
      <c r="C17" s="65"/>
      <c r="D17" s="65"/>
      <c r="E17" s="66"/>
      <c r="F17" s="40">
        <f t="shared" si="2"/>
        <v>11</v>
      </c>
      <c r="G17" s="42"/>
      <c r="H17" s="40">
        <v>2</v>
      </c>
      <c r="I17" s="42"/>
      <c r="J17" s="40">
        <f t="shared" si="0"/>
        <v>9</v>
      </c>
      <c r="K17" s="42"/>
      <c r="L17" s="19">
        <f t="shared" si="1"/>
        <v>9</v>
      </c>
    </row>
    <row r="18" spans="1:12" s="3" customFormat="1" ht="21.75" hidden="1" customHeight="1">
      <c r="A18" s="24" t="s">
        <v>31</v>
      </c>
      <c r="B18" s="64" t="s">
        <v>33</v>
      </c>
      <c r="C18" s="65"/>
      <c r="D18" s="65"/>
      <c r="E18" s="66"/>
      <c r="F18" s="40">
        <f t="shared" si="2"/>
        <v>9</v>
      </c>
      <c r="G18" s="42"/>
      <c r="H18" s="40">
        <v>2.5</v>
      </c>
      <c r="I18" s="42"/>
      <c r="J18" s="40">
        <f t="shared" si="0"/>
        <v>6.5</v>
      </c>
      <c r="K18" s="42"/>
      <c r="L18" s="19">
        <f t="shared" si="1"/>
        <v>6.5</v>
      </c>
    </row>
    <row r="19" spans="1:12" s="3" customFormat="1" ht="20.25" hidden="1" customHeight="1">
      <c r="A19" s="16" t="s">
        <v>32</v>
      </c>
      <c r="B19" s="64" t="s">
        <v>33</v>
      </c>
      <c r="C19" s="65"/>
      <c r="D19" s="65"/>
      <c r="E19" s="66"/>
      <c r="F19" s="40">
        <f t="shared" si="2"/>
        <v>6.5</v>
      </c>
      <c r="G19" s="42"/>
      <c r="H19" s="40">
        <v>5</v>
      </c>
      <c r="I19" s="42"/>
      <c r="J19" s="40">
        <f t="shared" si="0"/>
        <v>1.5</v>
      </c>
      <c r="K19" s="42"/>
      <c r="L19" s="19">
        <f t="shared" si="1"/>
        <v>1.5</v>
      </c>
    </row>
    <row r="20" spans="1:12" s="3" customFormat="1" ht="21.75" hidden="1" customHeight="1">
      <c r="A20" s="25" t="s">
        <v>34</v>
      </c>
      <c r="B20" s="68" t="s">
        <v>33</v>
      </c>
      <c r="C20" s="69"/>
      <c r="D20" s="69"/>
      <c r="E20" s="70"/>
      <c r="F20" s="71">
        <f t="shared" si="2"/>
        <v>1.5</v>
      </c>
      <c r="G20" s="72"/>
      <c r="H20" s="71">
        <v>1</v>
      </c>
      <c r="I20" s="72"/>
      <c r="J20" s="71">
        <f t="shared" ref="J20:J21" si="3">F20-H20</f>
        <v>0.5</v>
      </c>
      <c r="K20" s="72"/>
      <c r="L20" s="26">
        <f t="shared" ref="L20" si="4">J20</f>
        <v>0.5</v>
      </c>
    </row>
    <row r="21" spans="1:12" s="3" customFormat="1" ht="21" hidden="1" customHeight="1">
      <c r="A21" s="23" t="s">
        <v>35</v>
      </c>
      <c r="B21" s="64" t="s">
        <v>36</v>
      </c>
      <c r="C21" s="65"/>
      <c r="D21" s="65"/>
      <c r="E21" s="66"/>
      <c r="F21" s="40">
        <v>11</v>
      </c>
      <c r="G21" s="42"/>
      <c r="H21" s="40">
        <v>0</v>
      </c>
      <c r="I21" s="42"/>
      <c r="J21" s="40">
        <f t="shared" si="3"/>
        <v>11</v>
      </c>
      <c r="K21" s="42"/>
      <c r="L21" s="23">
        <v>11</v>
      </c>
    </row>
    <row r="22" spans="1:12" s="3" customFormat="1" ht="18" hidden="1" customHeight="1">
      <c r="A22" s="23" t="s">
        <v>37</v>
      </c>
      <c r="B22" s="64" t="s">
        <v>36</v>
      </c>
      <c r="C22" s="65"/>
      <c r="D22" s="65"/>
      <c r="E22" s="66"/>
      <c r="F22" s="40"/>
      <c r="G22" s="42"/>
      <c r="H22" s="40">
        <v>1</v>
      </c>
      <c r="I22" s="42"/>
      <c r="J22" s="40">
        <v>10</v>
      </c>
      <c r="K22" s="42"/>
      <c r="L22" s="23">
        <v>10</v>
      </c>
    </row>
    <row r="23" spans="1:12" s="3" customFormat="1" ht="18" hidden="1" customHeight="1">
      <c r="A23" s="23" t="s">
        <v>38</v>
      </c>
      <c r="B23" s="64" t="s">
        <v>36</v>
      </c>
      <c r="C23" s="65"/>
      <c r="D23" s="65"/>
      <c r="E23" s="66"/>
      <c r="F23" s="40"/>
      <c r="G23" s="42"/>
      <c r="H23" s="40">
        <v>2</v>
      </c>
      <c r="I23" s="42"/>
      <c r="J23" s="40">
        <v>8</v>
      </c>
      <c r="K23" s="42"/>
      <c r="L23" s="23">
        <v>8</v>
      </c>
    </row>
    <row r="24" spans="1:12" s="3" customFormat="1" ht="21" hidden="1" customHeight="1">
      <c r="A24" s="23" t="s">
        <v>39</v>
      </c>
      <c r="B24" s="64" t="s">
        <v>36</v>
      </c>
      <c r="C24" s="65"/>
      <c r="D24" s="65"/>
      <c r="E24" s="66"/>
      <c r="F24" s="40"/>
      <c r="G24" s="42"/>
      <c r="H24" s="40">
        <v>1</v>
      </c>
      <c r="I24" s="42"/>
      <c r="J24" s="40">
        <v>7</v>
      </c>
      <c r="K24" s="42"/>
      <c r="L24" s="27">
        <v>7</v>
      </c>
    </row>
    <row r="25" spans="1:12" s="3" customFormat="1" ht="21" hidden="1" customHeight="1">
      <c r="A25" s="23" t="s">
        <v>40</v>
      </c>
      <c r="B25" s="64" t="s">
        <v>36</v>
      </c>
      <c r="C25" s="65"/>
      <c r="D25" s="65"/>
      <c r="E25" s="66"/>
      <c r="F25" s="40"/>
      <c r="G25" s="42"/>
      <c r="H25" s="40">
        <v>1</v>
      </c>
      <c r="I25" s="42"/>
      <c r="J25" s="40">
        <v>6</v>
      </c>
      <c r="K25" s="42"/>
      <c r="L25" s="27">
        <v>6</v>
      </c>
    </row>
    <row r="26" spans="1:12" s="3" customFormat="1" ht="21" hidden="1" customHeight="1">
      <c r="A26" s="23" t="s">
        <v>41</v>
      </c>
      <c r="B26" s="64" t="s">
        <v>36</v>
      </c>
      <c r="C26" s="65"/>
      <c r="D26" s="65"/>
      <c r="E26" s="66"/>
      <c r="F26" s="40"/>
      <c r="G26" s="42"/>
      <c r="H26" s="40">
        <v>1</v>
      </c>
      <c r="I26" s="42"/>
      <c r="J26" s="40">
        <v>5</v>
      </c>
      <c r="K26" s="42"/>
      <c r="L26" s="27">
        <v>5</v>
      </c>
    </row>
    <row r="27" spans="1:12" s="3" customFormat="1" ht="21" hidden="1" customHeight="1">
      <c r="A27" s="23" t="s">
        <v>42</v>
      </c>
      <c r="B27" s="64" t="s">
        <v>36</v>
      </c>
      <c r="C27" s="65"/>
      <c r="D27" s="65"/>
      <c r="E27" s="66"/>
      <c r="F27" s="40"/>
      <c r="G27" s="42"/>
      <c r="H27" s="40">
        <v>1</v>
      </c>
      <c r="I27" s="42"/>
      <c r="J27" s="78">
        <v>4</v>
      </c>
      <c r="K27" s="79"/>
      <c r="L27" s="27">
        <v>4</v>
      </c>
    </row>
    <row r="28" spans="1:12" s="3" customFormat="1" ht="21" hidden="1" customHeight="1">
      <c r="A28" s="28" t="s">
        <v>45</v>
      </c>
      <c r="B28" s="64" t="s">
        <v>36</v>
      </c>
      <c r="C28" s="65"/>
      <c r="D28" s="65"/>
      <c r="E28" s="66"/>
      <c r="F28" s="82"/>
      <c r="G28" s="82"/>
      <c r="H28" s="82">
        <v>1</v>
      </c>
      <c r="I28" s="82"/>
      <c r="J28" s="81">
        <v>3</v>
      </c>
      <c r="K28" s="81"/>
      <c r="L28" s="27">
        <v>3</v>
      </c>
    </row>
    <row r="29" spans="1:12" s="3" customFormat="1" ht="21" hidden="1" customHeight="1">
      <c r="A29" s="29" t="s">
        <v>46</v>
      </c>
      <c r="B29" s="64" t="s">
        <v>36</v>
      </c>
      <c r="C29" s="65"/>
      <c r="D29" s="65"/>
      <c r="E29" s="66"/>
      <c r="F29" s="82"/>
      <c r="G29" s="82"/>
      <c r="H29" s="82">
        <v>2</v>
      </c>
      <c r="I29" s="82"/>
      <c r="J29" s="81">
        <v>1</v>
      </c>
      <c r="K29" s="81"/>
      <c r="L29" s="27">
        <v>1</v>
      </c>
    </row>
    <row r="30" spans="1:12" s="3" customFormat="1" ht="21" hidden="1" customHeight="1">
      <c r="A30" s="30" t="s">
        <v>47</v>
      </c>
      <c r="B30" s="64" t="s">
        <v>36</v>
      </c>
      <c r="C30" s="65"/>
      <c r="D30" s="65"/>
      <c r="E30" s="66"/>
      <c r="F30" s="82"/>
      <c r="G30" s="82"/>
      <c r="H30" s="82">
        <v>1</v>
      </c>
      <c r="I30" s="82"/>
      <c r="J30" s="81">
        <v>0</v>
      </c>
      <c r="K30" s="81"/>
      <c r="L30" s="31">
        <v>0</v>
      </c>
    </row>
    <row r="31" spans="1:12" s="3" customFormat="1" ht="21" customHeight="1">
      <c r="A31" s="27" t="s">
        <v>43</v>
      </c>
      <c r="B31" s="80" t="s">
        <v>44</v>
      </c>
      <c r="C31" s="80"/>
      <c r="D31" s="80"/>
      <c r="E31" s="80"/>
      <c r="F31" s="81">
        <v>1</v>
      </c>
      <c r="G31" s="81"/>
      <c r="H31" s="81">
        <v>0</v>
      </c>
      <c r="I31" s="81"/>
      <c r="J31" s="81">
        <v>1</v>
      </c>
      <c r="K31" s="81"/>
      <c r="L31" s="27">
        <v>1</v>
      </c>
    </row>
    <row r="32" spans="1:12" s="3" customFormat="1">
      <c r="A32" s="20" t="s">
        <v>16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ht="75.75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</row>
    <row r="34" spans="1:12" s="1" customFormat="1">
      <c r="C34" s="10"/>
    </row>
    <row r="35" spans="1:12" s="1" customFormat="1">
      <c r="C35" s="10"/>
    </row>
    <row r="37" spans="1:12">
      <c r="G37" s="7" t="s">
        <v>17</v>
      </c>
    </row>
  </sheetData>
  <mergeCells count="90">
    <mergeCell ref="B31:E31"/>
    <mergeCell ref="F31:G31"/>
    <mergeCell ref="H31:I31"/>
    <mergeCell ref="J31:K31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26:E26"/>
    <mergeCell ref="F26:G26"/>
    <mergeCell ref="H26:I26"/>
    <mergeCell ref="J26:K26"/>
    <mergeCell ref="B27:E27"/>
    <mergeCell ref="F27:G27"/>
    <mergeCell ref="H27:I27"/>
    <mergeCell ref="J27:K27"/>
    <mergeCell ref="J15:K15"/>
    <mergeCell ref="B13:E13"/>
    <mergeCell ref="F13:G13"/>
    <mergeCell ref="B25:E25"/>
    <mergeCell ref="F25:G25"/>
    <mergeCell ref="H25:I25"/>
    <mergeCell ref="J25:K25"/>
    <mergeCell ref="B14:E14"/>
    <mergeCell ref="H14:I14"/>
    <mergeCell ref="J14:K14"/>
    <mergeCell ref="F15:G15"/>
    <mergeCell ref="F14:G14"/>
    <mergeCell ref="B16:E16"/>
    <mergeCell ref="F16:G16"/>
    <mergeCell ref="H16:I16"/>
    <mergeCell ref="B15:E15"/>
    <mergeCell ref="C9:G9"/>
    <mergeCell ref="I9:K9"/>
    <mergeCell ref="I10:K10"/>
    <mergeCell ref="A11:L11"/>
    <mergeCell ref="B12:K12"/>
    <mergeCell ref="A12:A13"/>
    <mergeCell ref="L12:L13"/>
    <mergeCell ref="H13:I13"/>
    <mergeCell ref="J13:K13"/>
    <mergeCell ref="A2:L2"/>
    <mergeCell ref="A3:L3"/>
    <mergeCell ref="A4:L4"/>
    <mergeCell ref="A5:L5"/>
    <mergeCell ref="C8:G8"/>
    <mergeCell ref="I8:K8"/>
    <mergeCell ref="H15:I15"/>
    <mergeCell ref="J16:K16"/>
    <mergeCell ref="A33:L33"/>
    <mergeCell ref="B18:E18"/>
    <mergeCell ref="B17:E17"/>
    <mergeCell ref="F17:G17"/>
    <mergeCell ref="F18:G18"/>
    <mergeCell ref="H18:I18"/>
    <mergeCell ref="J18:K18"/>
    <mergeCell ref="B20:E20"/>
    <mergeCell ref="F20:G20"/>
    <mergeCell ref="H20:I20"/>
    <mergeCell ref="J20:K20"/>
    <mergeCell ref="B19:E19"/>
    <mergeCell ref="F19:G19"/>
    <mergeCell ref="H19:I19"/>
    <mergeCell ref="J19:K19"/>
    <mergeCell ref="H17:I17"/>
    <mergeCell ref="J17:K17"/>
    <mergeCell ref="B21:E21"/>
    <mergeCell ref="F21:G21"/>
    <mergeCell ref="H21:I21"/>
    <mergeCell ref="J21:K21"/>
    <mergeCell ref="B22:E22"/>
    <mergeCell ref="F22:G22"/>
    <mergeCell ref="H22:I22"/>
    <mergeCell ref="J22:K22"/>
    <mergeCell ref="B24:E24"/>
    <mergeCell ref="F24:G24"/>
    <mergeCell ref="H24:I24"/>
    <mergeCell ref="J24:K24"/>
    <mergeCell ref="B23:E23"/>
    <mergeCell ref="F23:G23"/>
    <mergeCell ref="H23:I23"/>
    <mergeCell ref="J23:K23"/>
  </mergeCells>
  <phoneticPr fontId="17" type="noConversion"/>
  <pageMargins left="0.25" right="0.25" top="0.75" bottom="0.75" header="0.3" footer="0.3"/>
  <pageSetup paperSize="9" scale="9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F73C8-D81E-4380-B21A-4161A3EB047B}">
  <dimension ref="A1:L41"/>
  <sheetViews>
    <sheetView tabSelected="1" view="pageBreakPreview" zoomScale="112" zoomScaleNormal="100" workbookViewId="0">
      <selection activeCell="B34" sqref="B34:E34"/>
    </sheetView>
  </sheetViews>
  <sheetFormatPr defaultColWidth="9" defaultRowHeight="15"/>
  <cols>
    <col min="1" max="1" width="26.5703125" customWidth="1"/>
    <col min="2" max="2" width="9.42578125" style="4" customWidth="1"/>
    <col min="3" max="3" width="9.28515625" style="5" customWidth="1"/>
    <col min="5" max="5" width="13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63" t="s">
        <v>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 s="1" customFormat="1" ht="15.95" customHeight="1">
      <c r="A3" s="63" t="s">
        <v>1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</row>
    <row r="4" spans="1:12" s="1" customFormat="1" ht="15.95" customHeight="1">
      <c r="A4" s="63" t="s">
        <v>2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12" s="1" customFormat="1" ht="15.95" customHeight="1">
      <c r="A5" s="63" t="s">
        <v>3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2" s="1" customFormat="1" ht="8.25" customHeight="1">
      <c r="C6" s="10"/>
      <c r="H6" s="10"/>
    </row>
    <row r="7" spans="1:12" s="1" customFormat="1" ht="0.6" customHeight="1">
      <c r="C7" s="10"/>
      <c r="H7" s="10"/>
    </row>
    <row r="8" spans="1:12" s="1" customFormat="1" ht="12" customHeight="1">
      <c r="A8" s="11" t="s">
        <v>27</v>
      </c>
      <c r="B8" s="11"/>
      <c r="C8" s="45" t="s">
        <v>8</v>
      </c>
      <c r="D8" s="45"/>
      <c r="E8" s="45"/>
      <c r="F8" s="45"/>
      <c r="G8" s="45"/>
      <c r="I8" s="45" t="s">
        <v>9</v>
      </c>
      <c r="J8" s="45"/>
      <c r="K8" s="45"/>
      <c r="L8" s="11"/>
    </row>
    <row r="9" spans="1:12" s="1" customFormat="1" ht="12" customHeight="1">
      <c r="B9" s="12"/>
      <c r="C9" s="45" t="s">
        <v>25</v>
      </c>
      <c r="D9" s="45"/>
      <c r="E9" s="45"/>
      <c r="F9" s="45"/>
      <c r="G9" s="45"/>
      <c r="I9" s="46" t="s">
        <v>10</v>
      </c>
      <c r="J9" s="46"/>
      <c r="K9" s="46"/>
      <c r="L9" s="12"/>
    </row>
    <row r="10" spans="1:12" s="1" customFormat="1" ht="12" customHeight="1">
      <c r="A10" s="11" t="s">
        <v>24</v>
      </c>
      <c r="B10" s="11"/>
      <c r="C10" s="13"/>
      <c r="D10" s="12"/>
      <c r="E10" s="12"/>
      <c r="I10" s="45" t="s">
        <v>5</v>
      </c>
      <c r="J10" s="45"/>
      <c r="K10" s="45"/>
      <c r="L10" s="11"/>
    </row>
    <row r="11" spans="1:12" ht="16.5" customHeight="1" thickBot="1">
      <c r="A11" s="47" t="s">
        <v>58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</row>
    <row r="12" spans="1:12" s="2" customFormat="1" ht="18.75" customHeight="1">
      <c r="A12" s="51" t="s">
        <v>6</v>
      </c>
      <c r="B12" s="73" t="s">
        <v>11</v>
      </c>
      <c r="C12" s="74"/>
      <c r="D12" s="74"/>
      <c r="E12" s="74"/>
      <c r="F12" s="74"/>
      <c r="G12" s="74"/>
      <c r="H12" s="74"/>
      <c r="I12" s="74"/>
      <c r="J12" s="74"/>
      <c r="K12" s="74"/>
      <c r="L12" s="54" t="s">
        <v>7</v>
      </c>
    </row>
    <row r="13" spans="1:12" s="2" customFormat="1" ht="24" customHeight="1">
      <c r="A13" s="53"/>
      <c r="B13" s="75" t="s">
        <v>12</v>
      </c>
      <c r="C13" s="77"/>
      <c r="D13" s="77"/>
      <c r="E13" s="76"/>
      <c r="F13" s="75" t="s">
        <v>13</v>
      </c>
      <c r="G13" s="76"/>
      <c r="H13" s="75" t="s">
        <v>14</v>
      </c>
      <c r="I13" s="76"/>
      <c r="J13" s="75" t="s">
        <v>15</v>
      </c>
      <c r="K13" s="76"/>
      <c r="L13" s="56"/>
    </row>
    <row r="14" spans="1:12" s="2" customFormat="1" ht="21" hidden="1" customHeight="1">
      <c r="A14" s="14" t="s">
        <v>26</v>
      </c>
      <c r="B14" s="64" t="s">
        <v>33</v>
      </c>
      <c r="C14" s="65"/>
      <c r="D14" s="65"/>
      <c r="E14" s="66"/>
      <c r="F14" s="40">
        <v>15</v>
      </c>
      <c r="G14" s="42"/>
      <c r="H14" s="40">
        <v>0</v>
      </c>
      <c r="I14" s="42"/>
      <c r="J14" s="40">
        <f t="shared" ref="J14:J21" si="0">F14-H14</f>
        <v>15</v>
      </c>
      <c r="K14" s="42"/>
      <c r="L14" s="19">
        <f t="shared" ref="L14:L20" si="1">J14</f>
        <v>15</v>
      </c>
    </row>
    <row r="15" spans="1:12" s="3" customFormat="1" ht="21.75" hidden="1" customHeight="1">
      <c r="A15" s="16" t="s">
        <v>28</v>
      </c>
      <c r="B15" s="64" t="s">
        <v>33</v>
      </c>
      <c r="C15" s="65"/>
      <c r="D15" s="65"/>
      <c r="E15" s="66"/>
      <c r="F15" s="40">
        <f t="shared" ref="F15:F20" si="2">L14</f>
        <v>15</v>
      </c>
      <c r="G15" s="42"/>
      <c r="H15" s="40">
        <v>1</v>
      </c>
      <c r="I15" s="42"/>
      <c r="J15" s="40">
        <f t="shared" si="0"/>
        <v>14</v>
      </c>
      <c r="K15" s="42"/>
      <c r="L15" s="19">
        <f t="shared" si="1"/>
        <v>14</v>
      </c>
    </row>
    <row r="16" spans="1:12" s="3" customFormat="1" ht="19.5" hidden="1" customHeight="1">
      <c r="A16" s="16" t="s">
        <v>29</v>
      </c>
      <c r="B16" s="64" t="s">
        <v>33</v>
      </c>
      <c r="C16" s="65"/>
      <c r="D16" s="65"/>
      <c r="E16" s="66"/>
      <c r="F16" s="40">
        <f t="shared" si="2"/>
        <v>14</v>
      </c>
      <c r="G16" s="42"/>
      <c r="H16" s="40">
        <v>3</v>
      </c>
      <c r="I16" s="42"/>
      <c r="J16" s="40">
        <f t="shared" si="0"/>
        <v>11</v>
      </c>
      <c r="K16" s="42"/>
      <c r="L16" s="19">
        <f t="shared" si="1"/>
        <v>11</v>
      </c>
    </row>
    <row r="17" spans="1:12" s="3" customFormat="1" ht="21.75" hidden="1" customHeight="1">
      <c r="A17" s="16" t="s">
        <v>30</v>
      </c>
      <c r="B17" s="64" t="s">
        <v>33</v>
      </c>
      <c r="C17" s="65"/>
      <c r="D17" s="65"/>
      <c r="E17" s="66"/>
      <c r="F17" s="40">
        <f t="shared" si="2"/>
        <v>11</v>
      </c>
      <c r="G17" s="42"/>
      <c r="H17" s="40">
        <v>2</v>
      </c>
      <c r="I17" s="42"/>
      <c r="J17" s="40">
        <f t="shared" si="0"/>
        <v>9</v>
      </c>
      <c r="K17" s="42"/>
      <c r="L17" s="19">
        <f t="shared" si="1"/>
        <v>9</v>
      </c>
    </row>
    <row r="18" spans="1:12" s="3" customFormat="1" ht="21.75" hidden="1" customHeight="1">
      <c r="A18" s="24" t="s">
        <v>31</v>
      </c>
      <c r="B18" s="64" t="s">
        <v>33</v>
      </c>
      <c r="C18" s="65"/>
      <c r="D18" s="65"/>
      <c r="E18" s="66"/>
      <c r="F18" s="40">
        <f t="shared" si="2"/>
        <v>9</v>
      </c>
      <c r="G18" s="42"/>
      <c r="H18" s="40">
        <v>2.5</v>
      </c>
      <c r="I18" s="42"/>
      <c r="J18" s="40">
        <f t="shared" si="0"/>
        <v>6.5</v>
      </c>
      <c r="K18" s="42"/>
      <c r="L18" s="19">
        <f t="shared" si="1"/>
        <v>6.5</v>
      </c>
    </row>
    <row r="19" spans="1:12" s="3" customFormat="1" ht="20.25" hidden="1" customHeight="1">
      <c r="A19" s="16" t="s">
        <v>32</v>
      </c>
      <c r="B19" s="64" t="s">
        <v>33</v>
      </c>
      <c r="C19" s="65"/>
      <c r="D19" s="65"/>
      <c r="E19" s="66"/>
      <c r="F19" s="40">
        <f t="shared" si="2"/>
        <v>6.5</v>
      </c>
      <c r="G19" s="42"/>
      <c r="H19" s="40">
        <v>5</v>
      </c>
      <c r="I19" s="42"/>
      <c r="J19" s="40">
        <f t="shared" si="0"/>
        <v>1.5</v>
      </c>
      <c r="K19" s="42"/>
      <c r="L19" s="19">
        <f t="shared" si="1"/>
        <v>1.5</v>
      </c>
    </row>
    <row r="20" spans="1:12" s="3" customFormat="1" ht="21.75" hidden="1" customHeight="1">
      <c r="A20" s="25" t="s">
        <v>34</v>
      </c>
      <c r="B20" s="68" t="s">
        <v>33</v>
      </c>
      <c r="C20" s="69"/>
      <c r="D20" s="69"/>
      <c r="E20" s="70"/>
      <c r="F20" s="71">
        <f t="shared" si="2"/>
        <v>1.5</v>
      </c>
      <c r="G20" s="72"/>
      <c r="H20" s="71">
        <v>1</v>
      </c>
      <c r="I20" s="72"/>
      <c r="J20" s="71">
        <f t="shared" si="0"/>
        <v>0.5</v>
      </c>
      <c r="K20" s="72"/>
      <c r="L20" s="26">
        <f t="shared" si="1"/>
        <v>0.5</v>
      </c>
    </row>
    <row r="21" spans="1:12" s="3" customFormat="1" ht="21" hidden="1" customHeight="1">
      <c r="A21" s="23" t="s">
        <v>35</v>
      </c>
      <c r="B21" s="64" t="s">
        <v>36</v>
      </c>
      <c r="C21" s="65"/>
      <c r="D21" s="65"/>
      <c r="E21" s="66"/>
      <c r="F21" s="40">
        <v>11</v>
      </c>
      <c r="G21" s="42"/>
      <c r="H21" s="40">
        <v>0</v>
      </c>
      <c r="I21" s="42"/>
      <c r="J21" s="40">
        <f t="shared" si="0"/>
        <v>11</v>
      </c>
      <c r="K21" s="42"/>
      <c r="L21" s="23">
        <v>11</v>
      </c>
    </row>
    <row r="22" spans="1:12" s="3" customFormat="1" ht="18" hidden="1" customHeight="1">
      <c r="A22" s="23" t="s">
        <v>37</v>
      </c>
      <c r="B22" s="64" t="s">
        <v>36</v>
      </c>
      <c r="C22" s="65"/>
      <c r="D22" s="65"/>
      <c r="E22" s="66"/>
      <c r="F22" s="40"/>
      <c r="G22" s="42"/>
      <c r="H22" s="40">
        <v>1</v>
      </c>
      <c r="I22" s="42"/>
      <c r="J22" s="40">
        <v>10</v>
      </c>
      <c r="K22" s="42"/>
      <c r="L22" s="23">
        <v>10</v>
      </c>
    </row>
    <row r="23" spans="1:12" s="3" customFormat="1" ht="18" hidden="1" customHeight="1">
      <c r="A23" s="23" t="s">
        <v>38</v>
      </c>
      <c r="B23" s="64" t="s">
        <v>36</v>
      </c>
      <c r="C23" s="65"/>
      <c r="D23" s="65"/>
      <c r="E23" s="66"/>
      <c r="F23" s="40"/>
      <c r="G23" s="42"/>
      <c r="H23" s="40">
        <v>2</v>
      </c>
      <c r="I23" s="42"/>
      <c r="J23" s="40">
        <v>8</v>
      </c>
      <c r="K23" s="42"/>
      <c r="L23" s="23">
        <v>8</v>
      </c>
    </row>
    <row r="24" spans="1:12" s="3" customFormat="1" ht="21" hidden="1" customHeight="1">
      <c r="A24" s="23" t="s">
        <v>39</v>
      </c>
      <c r="B24" s="64" t="s">
        <v>36</v>
      </c>
      <c r="C24" s="65"/>
      <c r="D24" s="65"/>
      <c r="E24" s="66"/>
      <c r="F24" s="40"/>
      <c r="G24" s="42"/>
      <c r="H24" s="40">
        <v>1</v>
      </c>
      <c r="I24" s="42"/>
      <c r="J24" s="40">
        <v>7</v>
      </c>
      <c r="K24" s="42"/>
      <c r="L24" s="27">
        <v>7</v>
      </c>
    </row>
    <row r="25" spans="1:12" s="3" customFormat="1" ht="21" hidden="1" customHeight="1">
      <c r="A25" s="23" t="s">
        <v>40</v>
      </c>
      <c r="B25" s="64" t="s">
        <v>36</v>
      </c>
      <c r="C25" s="65"/>
      <c r="D25" s="65"/>
      <c r="E25" s="66"/>
      <c r="F25" s="40"/>
      <c r="G25" s="42"/>
      <c r="H25" s="40">
        <v>1</v>
      </c>
      <c r="I25" s="42"/>
      <c r="J25" s="40">
        <v>6</v>
      </c>
      <c r="K25" s="42"/>
      <c r="L25" s="27">
        <v>6</v>
      </c>
    </row>
    <row r="26" spans="1:12" s="3" customFormat="1" ht="21" hidden="1" customHeight="1">
      <c r="A26" s="23" t="s">
        <v>41</v>
      </c>
      <c r="B26" s="64" t="s">
        <v>36</v>
      </c>
      <c r="C26" s="65"/>
      <c r="D26" s="65"/>
      <c r="E26" s="66"/>
      <c r="F26" s="40"/>
      <c r="G26" s="42"/>
      <c r="H26" s="40">
        <v>1</v>
      </c>
      <c r="I26" s="42"/>
      <c r="J26" s="40">
        <v>5</v>
      </c>
      <c r="K26" s="42"/>
      <c r="L26" s="27">
        <v>5</v>
      </c>
    </row>
    <row r="27" spans="1:12" s="3" customFormat="1" ht="21" hidden="1" customHeight="1">
      <c r="A27" s="23" t="s">
        <v>42</v>
      </c>
      <c r="B27" s="64" t="s">
        <v>36</v>
      </c>
      <c r="C27" s="65"/>
      <c r="D27" s="65"/>
      <c r="E27" s="66"/>
      <c r="F27" s="40"/>
      <c r="G27" s="42"/>
      <c r="H27" s="40">
        <v>1</v>
      </c>
      <c r="I27" s="42"/>
      <c r="J27" s="78">
        <v>4</v>
      </c>
      <c r="K27" s="79"/>
      <c r="L27" s="27">
        <v>4</v>
      </c>
    </row>
    <row r="28" spans="1:12" s="3" customFormat="1" ht="21" hidden="1" customHeight="1">
      <c r="A28" s="28" t="s">
        <v>45</v>
      </c>
      <c r="B28" s="64" t="s">
        <v>36</v>
      </c>
      <c r="C28" s="65"/>
      <c r="D28" s="65"/>
      <c r="E28" s="66"/>
      <c r="F28" s="82"/>
      <c r="G28" s="82"/>
      <c r="H28" s="82">
        <v>1</v>
      </c>
      <c r="I28" s="82"/>
      <c r="J28" s="81">
        <v>3</v>
      </c>
      <c r="K28" s="81"/>
      <c r="L28" s="27">
        <v>3</v>
      </c>
    </row>
    <row r="29" spans="1:12" s="3" customFormat="1" ht="21" hidden="1" customHeight="1">
      <c r="A29" s="29" t="s">
        <v>46</v>
      </c>
      <c r="B29" s="64" t="s">
        <v>36</v>
      </c>
      <c r="C29" s="65"/>
      <c r="D29" s="65"/>
      <c r="E29" s="66"/>
      <c r="F29" s="82"/>
      <c r="G29" s="82"/>
      <c r="H29" s="82">
        <v>2</v>
      </c>
      <c r="I29" s="82"/>
      <c r="J29" s="81">
        <v>1</v>
      </c>
      <c r="K29" s="81"/>
      <c r="L29" s="27">
        <v>1</v>
      </c>
    </row>
    <row r="30" spans="1:12" s="3" customFormat="1" ht="21" hidden="1" customHeight="1">
      <c r="A30" s="30" t="s">
        <v>47</v>
      </c>
      <c r="B30" s="64" t="s">
        <v>36</v>
      </c>
      <c r="C30" s="65"/>
      <c r="D30" s="65"/>
      <c r="E30" s="66"/>
      <c r="F30" s="82"/>
      <c r="G30" s="82"/>
      <c r="H30" s="82">
        <v>1</v>
      </c>
      <c r="I30" s="82"/>
      <c r="J30" s="81">
        <v>0</v>
      </c>
      <c r="K30" s="81"/>
      <c r="L30" s="31">
        <v>0</v>
      </c>
    </row>
    <row r="31" spans="1:12" s="3" customFormat="1" ht="21" customHeight="1">
      <c r="A31" s="37" t="s">
        <v>54</v>
      </c>
      <c r="B31" s="64" t="s">
        <v>55</v>
      </c>
      <c r="C31" s="65"/>
      <c r="D31" s="65"/>
      <c r="E31" s="66"/>
      <c r="F31" s="40">
        <v>15</v>
      </c>
      <c r="G31" s="42"/>
      <c r="H31" s="40">
        <v>0</v>
      </c>
      <c r="I31" s="42"/>
      <c r="J31" s="40">
        <v>15</v>
      </c>
      <c r="K31" s="42"/>
      <c r="L31" s="23">
        <v>15</v>
      </c>
    </row>
    <row r="32" spans="1:12" s="3" customFormat="1" ht="29.25" customHeight="1">
      <c r="A32" s="37" t="s">
        <v>56</v>
      </c>
      <c r="B32" s="64" t="s">
        <v>55</v>
      </c>
      <c r="C32" s="65"/>
      <c r="D32" s="65"/>
      <c r="E32" s="66"/>
      <c r="F32" s="40"/>
      <c r="G32" s="42"/>
      <c r="H32" s="40">
        <v>0.5</v>
      </c>
      <c r="I32" s="42"/>
      <c r="J32" s="40">
        <v>14.5</v>
      </c>
      <c r="K32" s="42"/>
      <c r="L32" s="23">
        <v>14.5</v>
      </c>
    </row>
    <row r="33" spans="1:12" s="3" customFormat="1" ht="29.25" customHeight="1">
      <c r="A33" s="38" t="s">
        <v>59</v>
      </c>
      <c r="B33" s="64" t="s">
        <v>55</v>
      </c>
      <c r="C33" s="65"/>
      <c r="D33" s="65"/>
      <c r="E33" s="66"/>
      <c r="F33" s="40"/>
      <c r="G33" s="42"/>
      <c r="H33" s="40">
        <v>1</v>
      </c>
      <c r="I33" s="42"/>
      <c r="J33" s="40">
        <v>13.5</v>
      </c>
      <c r="K33" s="42"/>
      <c r="L33" s="23">
        <v>13.5</v>
      </c>
    </row>
    <row r="34" spans="1:12" s="3" customFormat="1" ht="29.25" customHeight="1">
      <c r="A34" s="39" t="s">
        <v>60</v>
      </c>
      <c r="B34" s="64" t="s">
        <v>55</v>
      </c>
      <c r="C34" s="65"/>
      <c r="D34" s="65"/>
      <c r="E34" s="66"/>
      <c r="F34" s="40"/>
      <c r="G34" s="42"/>
      <c r="H34" s="40">
        <v>0.5</v>
      </c>
      <c r="I34" s="42"/>
      <c r="J34" s="40">
        <v>13</v>
      </c>
      <c r="K34" s="42"/>
      <c r="L34" s="23">
        <v>13</v>
      </c>
    </row>
    <row r="35" spans="1:12" s="3" customFormat="1" ht="29.25" customHeight="1">
      <c r="A35" s="83" t="s">
        <v>61</v>
      </c>
      <c r="B35" s="64" t="s">
        <v>55</v>
      </c>
      <c r="C35" s="65"/>
      <c r="D35" s="65"/>
      <c r="E35" s="66"/>
      <c r="F35" s="40"/>
      <c r="G35" s="42"/>
      <c r="H35" s="40">
        <v>2</v>
      </c>
      <c r="I35" s="42"/>
      <c r="J35" s="40">
        <v>11</v>
      </c>
      <c r="K35" s="42"/>
      <c r="L35" s="23">
        <v>11</v>
      </c>
    </row>
    <row r="36" spans="1:12" s="3" customFormat="1">
      <c r="A36" s="20" t="s">
        <v>16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ht="75.7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</row>
    <row r="38" spans="1:12" s="1" customFormat="1">
      <c r="C38" s="10"/>
    </row>
    <row r="39" spans="1:12" s="1" customFormat="1">
      <c r="C39" s="10"/>
    </row>
    <row r="41" spans="1:12">
      <c r="G41" s="7" t="s">
        <v>17</v>
      </c>
    </row>
  </sheetData>
  <mergeCells count="106">
    <mergeCell ref="A37:L37"/>
    <mergeCell ref="B34:E34"/>
    <mergeCell ref="F34:G34"/>
    <mergeCell ref="H34:I34"/>
    <mergeCell ref="J34:K34"/>
    <mergeCell ref="B35:E35"/>
    <mergeCell ref="F35:G35"/>
    <mergeCell ref="H35:I35"/>
    <mergeCell ref="J35:K35"/>
    <mergeCell ref="B31:E31"/>
    <mergeCell ref="F31:G31"/>
    <mergeCell ref="H31:I31"/>
    <mergeCell ref="J31:K31"/>
    <mergeCell ref="B32:E32"/>
    <mergeCell ref="F32:G32"/>
    <mergeCell ref="H32:I32"/>
    <mergeCell ref="J32:K32"/>
    <mergeCell ref="B33:E33"/>
    <mergeCell ref="F33:G33"/>
    <mergeCell ref="H33:I33"/>
    <mergeCell ref="J33:K33"/>
    <mergeCell ref="B27:E27"/>
    <mergeCell ref="F27:G27"/>
    <mergeCell ref="H27:I27"/>
    <mergeCell ref="J27:K27"/>
    <mergeCell ref="B30:E30"/>
    <mergeCell ref="F30:G30"/>
    <mergeCell ref="H30:I30"/>
    <mergeCell ref="J30:K30"/>
    <mergeCell ref="B28:E28"/>
    <mergeCell ref="F28:G28"/>
    <mergeCell ref="H28:I28"/>
    <mergeCell ref="J28:K28"/>
    <mergeCell ref="B29:E29"/>
    <mergeCell ref="F29:G29"/>
    <mergeCell ref="H29:I29"/>
    <mergeCell ref="J29:K29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J14:K14"/>
    <mergeCell ref="B16:E16"/>
    <mergeCell ref="F16:G16"/>
    <mergeCell ref="H16:I16"/>
    <mergeCell ref="J16:K16"/>
    <mergeCell ref="B17:E17"/>
    <mergeCell ref="F17:G17"/>
    <mergeCell ref="H17:I17"/>
    <mergeCell ref="J17:K17"/>
    <mergeCell ref="A2:L2"/>
    <mergeCell ref="A3:L3"/>
    <mergeCell ref="A4:L4"/>
    <mergeCell ref="A5:L5"/>
    <mergeCell ref="C8:G8"/>
    <mergeCell ref="I8:K8"/>
    <mergeCell ref="B15:E15"/>
    <mergeCell ref="F15:G15"/>
    <mergeCell ref="H15:I15"/>
    <mergeCell ref="J15:K15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J13:K13"/>
    <mergeCell ref="B14:E14"/>
    <mergeCell ref="F14:G14"/>
    <mergeCell ref="H14:I14"/>
  </mergeCells>
  <pageMargins left="0.25" right="0.25" top="0.75" bottom="0.75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Election</vt:lpstr>
      <vt:lpstr>CTO</vt:lpstr>
      <vt:lpstr>VSC</vt:lpstr>
      <vt:lpstr>CTO!Print_Area</vt:lpstr>
      <vt:lpstr>Election!Print_Area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2024-02-15T07:48:30Z</cp:lastPrinted>
  <dcterms:created xsi:type="dcterms:W3CDTF">2021-10-07T06:10:00Z</dcterms:created>
  <dcterms:modified xsi:type="dcterms:W3CDTF">2025-12-18T02:31:14Z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