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AEC5EBC-91AD-4A0C-8EEA-B764C25D81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</sheets>
  <definedNames>
    <definedName name="_xlnm.Print_Area" localSheetId="0">'Leave Card (NE)'!$A$1:$L$47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6" l="1"/>
  <c r="K39" i="6"/>
  <c r="K40" i="6" s="1"/>
  <c r="K27" i="6"/>
  <c r="K28" i="6" s="1"/>
  <c r="C26" i="6"/>
  <c r="J39" i="6" l="1"/>
  <c r="L39" i="6" l="1"/>
  <c r="J40" i="6"/>
  <c r="L40" i="6" l="1"/>
  <c r="J27" i="6"/>
  <c r="L27" i="6" l="1"/>
  <c r="J28" i="6"/>
  <c r="L28" i="6" l="1"/>
</calcChain>
</file>

<file path=xl/sharedStrings.xml><?xml version="1.0" encoding="utf-8"?>
<sst xmlns="http://schemas.openxmlformats.org/spreadsheetml/2006/main" count="73" uniqueCount="66">
  <si>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</si>
  <si>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</si>
  <si>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</si>
  <si>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</si>
  <si>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</si>
  <si>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</si>
  <si>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</si>
  <si>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</si>
  <si>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</si>
  <si>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</si>
  <si>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</si>
  <si>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</si>
  <si>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SPECIAL</t>
  </si>
  <si>
    <t>Republic of the Philippines</t>
  </si>
  <si>
    <t>Department of Education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</si>
  <si>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</si>
  <si>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</si>
  <si>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</si>
  <si>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</si>
  <si>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</si>
  <si>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 xml:space="preserve">  </t>
  </si>
  <si>
    <t>No. 013 s, 2012/ January 11,2012</t>
  </si>
  <si>
    <t>No. 014 s, 2012/ January 11, 2012</t>
  </si>
  <si>
    <t>No. 015 s, 2012/ January 11.2012</t>
  </si>
  <si>
    <t>No. 107 s, 2012/ May 29,2012</t>
  </si>
  <si>
    <t>No. s, 2013/ September 25,2013</t>
  </si>
  <si>
    <t>No. 780 s, 2015/ January 5,2015</t>
  </si>
  <si>
    <t>No. 030 s, 2016/ January 11.2012</t>
  </si>
  <si>
    <t>No. 070 s, 2018/ February 2, 2018</t>
  </si>
  <si>
    <t>No. 287 s, 2019/ July 10,2019</t>
  </si>
  <si>
    <t>No. 153 s, 2020/ August 20,2020</t>
  </si>
  <si>
    <t>No. 053 s, 2022/ June 28,2022</t>
  </si>
  <si>
    <t>No. 1163 s,2001( National &amp; Local Election)</t>
  </si>
  <si>
    <t>No. ____ s,2002 ( Barangay &amp; SK Elections)</t>
  </si>
  <si>
    <t>No.2135 s,2004 ( National &amp; Local Election)</t>
  </si>
  <si>
    <t>SO No. 124, s. 2023 - July 24-Aug. 25,2023 (National Learning Camp)</t>
  </si>
  <si>
    <t>SO 017 s, 2025 (2025 Negros Occidental Provincial atheletic Association Meet)</t>
  </si>
  <si>
    <t># OF VSC GRANTED</t>
  </si>
  <si>
    <t>SY 2007-2008</t>
  </si>
  <si>
    <t>SY 2008-2009</t>
  </si>
  <si>
    <t>SY 2009-2010</t>
  </si>
  <si>
    <t>SY 20010-2011</t>
  </si>
  <si>
    <t>SY 2011-2012</t>
  </si>
  <si>
    <t>SY 2012-2013</t>
  </si>
  <si>
    <t>CY 2014</t>
  </si>
  <si>
    <t>CY 2015</t>
  </si>
  <si>
    <t>CY 2016-2017</t>
  </si>
  <si>
    <t>CY 2018</t>
  </si>
  <si>
    <t>CY 2019</t>
  </si>
  <si>
    <t>CY 2020</t>
  </si>
  <si>
    <t xml:space="preserve"> May 11,1998</t>
  </si>
  <si>
    <t>May 29,2001</t>
  </si>
  <si>
    <t>July 15, 2002</t>
  </si>
  <si>
    <t>May 10,2004</t>
  </si>
  <si>
    <t>October 17,2023</t>
  </si>
  <si>
    <t>April 30,2025</t>
  </si>
  <si>
    <t>PERIOD COVERED/DATE RELEASED</t>
  </si>
  <si>
    <t>No.____ s,1998 (National &amp; Local Election)</t>
  </si>
  <si>
    <t>TOTAL VSC</t>
  </si>
  <si>
    <t>Convert 87 Days to VL-SL Credits</t>
  </si>
  <si>
    <t>Convert 22.826 VL-SL Credits to VSC</t>
  </si>
  <si>
    <t>SO No. 043, s. 2024 -DepEd Activities &amp; Trainings for SY 2024-2025</t>
  </si>
  <si>
    <t>Convert 103.50 Days to VL-SL Credits</t>
  </si>
  <si>
    <t xml:space="preserve">LESS: MONETIZATION 2025 </t>
  </si>
  <si>
    <t xml:space="preserve">LESS: MONETIZATION 2023 </t>
  </si>
  <si>
    <t>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</si>
</sst>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14" fontId="0" fillId="0" borderId="5" xfId="0" applyNumberFormat="1" applyBorder="1" applyAlignment="1">
      <alignment horizontal="left" vertical="center" wrapText="1"/>
    </xf>
    <xf numFmtId="0" fontId="1" fillId="2" borderId="19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2" borderId="32" xfId="0" applyNumberForma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64" fontId="0" fillId="2" borderId="34" xfId="0" applyNumberFormat="1" applyFill="1" applyBorder="1" applyAlignment="1">
      <alignment horizontal="center" vertical="center"/>
    </xf>
    <xf numFmtId="164" fontId="0" fillId="2" borderId="22" xfId="0" applyNumberFormat="1" applyFill="1" applyBorder="1" applyAlignment="1">
      <alignment horizontal="center" vertical="center"/>
    </xf>
    <xf numFmtId="164" fontId="0" fillId="2" borderId="23" xfId="0" applyNumberFormat="1" applyFill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164" fontId="0" fillId="0" borderId="35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164" fontId="0" fillId="2" borderId="33" xfId="0" applyNumberForma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29" xfId="0" applyNumberFormat="1" applyBorder="1" applyAlignment="1">
      <alignment horizontal="center" vertical="center"/>
    </xf>
    <xf numFmtId="164" fontId="0" fillId="2" borderId="37" xfId="0" applyNumberFormat="1" applyFill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5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1" fillId="6" borderId="26" xfId="0" applyFont="1" applyFill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1" fillId="0" borderId="17" xfId="0" applyFont="1" applyBorder="1" applyAlignment="1">
      <alignment horizontal="right" vertical="center"/>
    </xf>
    <xf numFmtId="0" fontId="1" fillId="0" borderId="25" xfId="0" applyFont="1" applyBorder="1" applyAlignment="1">
      <alignment horizontal="right" vertical="center"/>
    </xf>
    <xf numFmtId="0" fontId="1" fillId="0" borderId="36" xfId="0" applyFont="1" applyBorder="1" applyAlignment="1">
      <alignment horizontal="right" vertical="center"/>
    </xf>
    <xf numFmtId="0" fontId="1" fillId="0" borderId="19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 wrapText="1"/>
    </xf>
    <xf numFmtId="0" fontId="6" fillId="0" borderId="28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15" xfId="0" applyFont="1" applyBorder="1" applyAlignment="1">
      <alignment horizontal="right" vertical="center" wrapText="1"/>
    </xf>
    <xf numFmtId="2" fontId="0" fillId="0" borderId="9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1069316</xdr:colOff>
      <xdr:row>0</xdr:row>
      <xdr:rowOff>161745</xdr:rowOff>
    </xdr:from>
    <xdr:to>
      <xdr:col>3</xdr:col>
      <xdr:colOff>508851</xdr:colOff>
      <xdr:row>0</xdr:row>
      <xdr:rowOff>646982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A70F6-71CB-453F-908E-7D5B936FB35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3373" y="161745"/>
          <a:ext cx="544794" cy="485237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9E754E-1208-48CB-8AC8-C7C3E3CD62F7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CHERRYLYN M. IBESATE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10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C5A113-872F-4E31-92C4-52743DCB84E1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MT-I</a:t>
          </a:r>
          <a:endParaRPr lang="en-US" sz="1100"/>
        </a:p>
      </xdr:txBody>
    </xdr:sp>
    <xdr:clientData/>
  </xdr:twoCellAnchor>
  <xdr:twoCellAnchor>
    <xdr:from>
      <xdr:col>4</xdr:col>
      <xdr:colOff>415193</xdr:colOff>
      <xdr:row>7</xdr:row>
      <xdr:rowOff>42741</xdr:rowOff>
    </xdr:from>
    <xdr:to>
      <xdr:col>6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3AD699B-2ADB-45A2-996A-AC19E130FA66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CANTURAY ES</a:t>
          </a:r>
        </a:p>
      </xdr:txBody>
    </xdr:sp>
    <xdr:clientData/>
  </xdr:twoCellAnchor>
  <xdr:twoCellAnchor>
    <xdr:from>
      <xdr:col>6</xdr:col>
      <xdr:colOff>215661</xdr:colOff>
      <xdr:row>41</xdr:row>
      <xdr:rowOff>53914</xdr:rowOff>
    </xdr:from>
    <xdr:to>
      <xdr:col>11</xdr:col>
      <xdr:colOff>672044</xdr:colOff>
      <xdr:row>46</xdr:row>
      <xdr:rowOff>170731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879A786-9C0D-44FC-80CB-11868F3F28AB}"/>
            </a:ext>
          </a:extLst>
        </xdr:cNvPr>
        <xdr:cNvSpPr txBox="1"/>
      </xdr:nvSpPr>
      <xdr:spPr>
        <a:xfrm>
          <a:off x="7413326" y="8815117"/>
          <a:ext cx="2774732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tabSelected="1" view="pageBreakPreview" topLeftCell="A18" zoomScale="106" zoomScaleNormal="100" zoomScaleSheetLayoutView="106" workbookViewId="0">
      <selection activeCell="G32" sqref="G32"/>
    </sheetView>
  </sheetViews>
  <sheetFormatPr defaultRowHeight="15" x14ac:dyDescent="0.25"/>
  <cols>
    <col min="1" max="1" width="39.5703125" customWidth="1"/>
    <col min="2" max="2" width="17" customWidth="1"/>
    <col min="3" max="3" width="16.5703125" style="21" customWidth="1"/>
    <col min="4" max="7" width="11.5703125" customWidth="1"/>
    <col min="8" max="9" width="11.5703125" style="6" hidden="1" customWidth="1"/>
    <col min="10" max="12" width="11.5703125" customWidth="1"/>
    <col min="13" max="13" width="26.42578125" style="5" customWidth="1"/>
  </cols>
  <sheetData>
    <row r="1" spans="1:13" s="1" customFormat="1" ht="52.5" customHeight="1" x14ac:dyDescent="0.25">
      <c r="C1" s="8"/>
    </row>
    <row r="2" spans="1:13" s="1" customFormat="1" ht="10.5" customHeight="1" x14ac:dyDescent="0.25">
      <c r="A2" s="62" t="s">
        <v>13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</row>
    <row r="3" spans="1:13" s="1" customFormat="1" ht="15.95" customHeight="1" x14ac:dyDescent="0.25">
      <c r="A3" s="62" t="s">
        <v>14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</row>
    <row r="4" spans="1:13" s="1" customFormat="1" ht="15.95" customHeight="1" x14ac:dyDescent="0.25">
      <c r="A4" s="62" t="s">
        <v>65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</row>
    <row r="5" spans="1:13" s="1" customFormat="1" ht="15.95" customHeight="1" x14ac:dyDescent="0.25">
      <c r="A5" s="62" t="s">
        <v>15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</row>
    <row r="6" spans="1:13" s="1" customFormat="1" ht="8.25" customHeight="1" x14ac:dyDescent="0.25">
      <c r="C6" s="8"/>
    </row>
    <row r="7" spans="1:13" s="1" customFormat="1" ht="12" customHeight="1" x14ac:dyDescent="0.25">
      <c r="A7" s="1" t="s">
        <v>16</v>
      </c>
      <c r="C7" s="8"/>
      <c r="D7" s="11" t="s">
        <v>17</v>
      </c>
      <c r="E7" s="11"/>
      <c r="F7" s="11"/>
      <c r="J7" s="3" t="s">
        <v>9</v>
      </c>
      <c r="K7" s="7"/>
      <c r="L7" s="3"/>
    </row>
    <row r="8" spans="1:13" s="1" customFormat="1" ht="12" customHeight="1" x14ac:dyDescent="0.25">
      <c r="C8" s="8"/>
      <c r="D8" s="2"/>
      <c r="E8" s="2"/>
      <c r="J8" s="2"/>
      <c r="K8" s="2"/>
      <c r="L8" s="2"/>
    </row>
    <row r="9" spans="1:13" s="1" customFormat="1" ht="12" customHeight="1" x14ac:dyDescent="0.25">
      <c r="A9" s="1" t="s">
        <v>18</v>
      </c>
      <c r="C9" s="8"/>
      <c r="D9" s="11" t="s">
        <v>19</v>
      </c>
      <c r="E9" s="11"/>
      <c r="F9" s="11"/>
      <c r="J9" s="3" t="s">
        <v>10</v>
      </c>
      <c r="K9" s="4"/>
      <c r="L9" s="3"/>
    </row>
    <row r="10" spans="1:13" s="1" customFormat="1" ht="12" customHeight="1" x14ac:dyDescent="0.25">
      <c r="C10" s="8"/>
      <c r="D10" s="11"/>
      <c r="E10" s="11"/>
      <c r="F10" s="11"/>
      <c r="J10" s="3"/>
      <c r="K10" s="3"/>
      <c r="L10" s="3"/>
    </row>
    <row r="11" spans="1:13" ht="23.25" customHeight="1" thickBot="1" x14ac:dyDescent="0.3">
      <c r="A11" s="60" t="s">
        <v>0</v>
      </c>
      <c r="B11" s="60"/>
      <c r="C11" s="60"/>
      <c r="D11" s="61"/>
      <c r="E11" s="61"/>
      <c r="F11" s="61"/>
      <c r="G11" s="61"/>
      <c r="H11" s="61"/>
      <c r="I11" s="61"/>
      <c r="J11" s="61"/>
      <c r="K11" s="61"/>
      <c r="L11" s="61"/>
      <c r="M11"/>
    </row>
    <row r="12" spans="1:13" ht="18.75" customHeight="1" x14ac:dyDescent="0.25">
      <c r="A12" s="56" t="s">
        <v>4</v>
      </c>
      <c r="B12" s="65" t="s">
        <v>56</v>
      </c>
      <c r="C12" s="65" t="s">
        <v>37</v>
      </c>
      <c r="D12" s="51" t="s">
        <v>5</v>
      </c>
      <c r="E12" s="51"/>
      <c r="F12" s="52" t="s">
        <v>6</v>
      </c>
      <c r="G12" s="53"/>
      <c r="H12" s="53"/>
      <c r="I12" s="53"/>
      <c r="J12" s="54" t="s">
        <v>7</v>
      </c>
      <c r="K12" s="55"/>
      <c r="L12" s="58" t="s">
        <v>8</v>
      </c>
      <c r="M12" s="50" t="s">
        <v>11</v>
      </c>
    </row>
    <row r="13" spans="1:13" ht="25.5" customHeight="1" thickBot="1" x14ac:dyDescent="0.3">
      <c r="A13" s="57"/>
      <c r="B13" s="66"/>
      <c r="C13" s="66"/>
      <c r="D13" s="17" t="s">
        <v>1</v>
      </c>
      <c r="E13" s="10" t="s">
        <v>2</v>
      </c>
      <c r="F13" s="10" t="s">
        <v>1</v>
      </c>
      <c r="G13" s="10" t="s">
        <v>2</v>
      </c>
      <c r="H13" s="10" t="s">
        <v>3</v>
      </c>
      <c r="I13" s="29" t="s">
        <v>12</v>
      </c>
      <c r="J13" s="33" t="s">
        <v>1</v>
      </c>
      <c r="K13" s="34" t="s">
        <v>2</v>
      </c>
      <c r="L13" s="59"/>
      <c r="M13" s="50"/>
    </row>
    <row r="14" spans="1:13" ht="24.75" customHeight="1" x14ac:dyDescent="0.25">
      <c r="A14" s="38" t="s">
        <v>21</v>
      </c>
      <c r="B14" s="39" t="s">
        <v>38</v>
      </c>
      <c r="C14" s="40">
        <v>3</v>
      </c>
      <c r="D14" s="41"/>
      <c r="E14" s="41"/>
      <c r="F14" s="41"/>
      <c r="G14" s="41"/>
      <c r="H14" s="41"/>
      <c r="I14" s="42"/>
      <c r="J14" s="43"/>
      <c r="K14" s="44"/>
      <c r="L14" s="45"/>
    </row>
    <row r="15" spans="1:13" ht="12" customHeight="1" x14ac:dyDescent="0.25">
      <c r="A15" s="14" t="s">
        <v>22</v>
      </c>
      <c r="B15" s="19" t="s">
        <v>39</v>
      </c>
      <c r="C15" s="23">
        <v>7</v>
      </c>
      <c r="D15" s="12"/>
      <c r="E15" s="12"/>
      <c r="F15" s="12"/>
      <c r="G15" s="12"/>
      <c r="H15" s="12"/>
      <c r="I15" s="30"/>
      <c r="J15" s="35"/>
      <c r="K15" s="9"/>
      <c r="L15" s="31"/>
    </row>
    <row r="16" spans="1:13" ht="12" customHeight="1" x14ac:dyDescent="0.25">
      <c r="A16" s="14" t="s">
        <v>23</v>
      </c>
      <c r="B16" s="19" t="s">
        <v>40</v>
      </c>
      <c r="C16" s="23">
        <v>7</v>
      </c>
      <c r="D16" s="12"/>
      <c r="E16" s="12"/>
      <c r="F16" s="12"/>
      <c r="G16" s="12"/>
      <c r="H16" s="12"/>
      <c r="I16" s="30"/>
      <c r="J16" s="35"/>
      <c r="K16" s="9"/>
      <c r="L16" s="31"/>
    </row>
    <row r="17" spans="1:12" ht="12.75" customHeight="1" x14ac:dyDescent="0.25">
      <c r="A17" s="14" t="s">
        <v>24</v>
      </c>
      <c r="B17" s="19" t="s">
        <v>41</v>
      </c>
      <c r="C17" s="23">
        <v>7</v>
      </c>
      <c r="D17" s="12"/>
      <c r="E17" s="12"/>
      <c r="F17" s="12"/>
      <c r="G17" s="12"/>
      <c r="H17" s="12"/>
      <c r="I17" s="30"/>
      <c r="J17" s="35"/>
      <c r="K17" s="9"/>
      <c r="L17" s="31"/>
    </row>
    <row r="18" spans="1:12" ht="12.75" customHeight="1" x14ac:dyDescent="0.25">
      <c r="A18" s="14" t="s">
        <v>24</v>
      </c>
      <c r="B18" s="19" t="s">
        <v>42</v>
      </c>
      <c r="C18" s="23">
        <v>7</v>
      </c>
      <c r="D18" s="12"/>
      <c r="E18" s="12"/>
      <c r="F18" s="12"/>
      <c r="G18" s="12"/>
      <c r="H18" s="12"/>
      <c r="I18" s="30"/>
      <c r="J18" s="35"/>
      <c r="K18" s="9"/>
      <c r="L18" s="31"/>
    </row>
    <row r="19" spans="1:12" ht="12" customHeight="1" x14ac:dyDescent="0.25">
      <c r="A19" s="14" t="s">
        <v>25</v>
      </c>
      <c r="B19" s="19" t="s">
        <v>43</v>
      </c>
      <c r="C19" s="23">
        <v>7</v>
      </c>
      <c r="D19" s="12"/>
      <c r="E19" s="12"/>
      <c r="F19" s="12"/>
      <c r="G19" s="12"/>
      <c r="H19" s="12"/>
      <c r="I19" s="30"/>
      <c r="J19" s="35"/>
      <c r="K19" s="9"/>
      <c r="L19" s="31"/>
    </row>
    <row r="20" spans="1:12" ht="12" customHeight="1" x14ac:dyDescent="0.25">
      <c r="A20" s="14" t="s">
        <v>26</v>
      </c>
      <c r="B20" s="19" t="s">
        <v>44</v>
      </c>
      <c r="C20" s="23">
        <v>7</v>
      </c>
      <c r="D20" s="12"/>
      <c r="E20" s="12"/>
      <c r="F20" s="12"/>
      <c r="G20" s="12"/>
      <c r="H20" s="12"/>
      <c r="I20" s="30"/>
      <c r="J20" s="35"/>
      <c r="K20" s="9"/>
      <c r="L20" s="31"/>
    </row>
    <row r="21" spans="1:12" ht="12" customHeight="1" x14ac:dyDescent="0.25">
      <c r="A21" s="14" t="s">
        <v>27</v>
      </c>
      <c r="B21" s="19" t="s">
        <v>45</v>
      </c>
      <c r="C21" s="23">
        <v>7</v>
      </c>
      <c r="D21" s="12"/>
      <c r="E21" s="12"/>
      <c r="F21" s="12"/>
      <c r="G21" s="12"/>
      <c r="H21" s="12"/>
      <c r="I21" s="30"/>
      <c r="J21" s="35"/>
      <c r="K21" s="9"/>
      <c r="L21" s="31"/>
    </row>
    <row r="22" spans="1:12" ht="12" customHeight="1" x14ac:dyDescent="0.25">
      <c r="A22" s="14" t="s">
        <v>28</v>
      </c>
      <c r="B22" s="19" t="s">
        <v>46</v>
      </c>
      <c r="C22" s="23">
        <v>14</v>
      </c>
      <c r="D22" s="12"/>
      <c r="E22" s="12"/>
      <c r="F22" s="12"/>
      <c r="G22" s="12"/>
      <c r="H22" s="12"/>
      <c r="I22" s="30"/>
      <c r="J22" s="35"/>
      <c r="K22" s="9"/>
      <c r="L22" s="31"/>
    </row>
    <row r="23" spans="1:12" ht="12" customHeight="1" x14ac:dyDescent="0.25">
      <c r="A23" s="14" t="s">
        <v>29</v>
      </c>
      <c r="B23" s="19" t="s">
        <v>47</v>
      </c>
      <c r="C23" s="23">
        <v>7</v>
      </c>
      <c r="D23" s="12"/>
      <c r="E23" s="12"/>
      <c r="F23" s="12"/>
      <c r="G23" s="12"/>
      <c r="H23" s="12"/>
      <c r="I23" s="30"/>
      <c r="J23" s="35"/>
      <c r="K23" s="9"/>
      <c r="L23" s="31"/>
    </row>
    <row r="24" spans="1:12" ht="12" customHeight="1" x14ac:dyDescent="0.25">
      <c r="A24" s="14" t="s">
        <v>30</v>
      </c>
      <c r="B24" s="19" t="s">
        <v>48</v>
      </c>
      <c r="C24" s="23">
        <v>7</v>
      </c>
      <c r="D24" s="12"/>
      <c r="E24" s="12"/>
      <c r="F24" s="12"/>
      <c r="G24" s="12"/>
      <c r="H24" s="12"/>
      <c r="I24" s="30"/>
      <c r="J24" s="35"/>
      <c r="K24" s="9"/>
      <c r="L24" s="31"/>
    </row>
    <row r="25" spans="1:12" ht="12" customHeight="1" x14ac:dyDescent="0.25">
      <c r="A25" s="14" t="s">
        <v>31</v>
      </c>
      <c r="B25" s="19" t="s">
        <v>49</v>
      </c>
      <c r="C25" s="23">
        <v>7</v>
      </c>
      <c r="D25" s="12"/>
      <c r="E25" s="12"/>
      <c r="F25" s="12"/>
      <c r="G25" s="12"/>
      <c r="H25" s="12"/>
      <c r="I25" s="30"/>
      <c r="J25" s="35"/>
      <c r="K25" s="9"/>
      <c r="L25" s="31"/>
    </row>
    <row r="26" spans="1:12" ht="15.75" customHeight="1" x14ac:dyDescent="0.25">
      <c r="A26" s="63" t="s">
        <v>58</v>
      </c>
      <c r="B26" s="64"/>
      <c r="C26" s="25">
        <f>SUM(C14:C25)</f>
        <v>87</v>
      </c>
      <c r="D26" s="12"/>
      <c r="E26" s="12"/>
      <c r="F26" s="12"/>
      <c r="G26" s="12"/>
      <c r="H26" s="12"/>
      <c r="I26" s="30"/>
      <c r="J26" s="35"/>
      <c r="K26" s="9"/>
      <c r="L26" s="31"/>
    </row>
    <row r="27" spans="1:12" ht="18" customHeight="1" x14ac:dyDescent="0.25">
      <c r="A27" s="63" t="s">
        <v>59</v>
      </c>
      <c r="B27" s="64"/>
      <c r="C27" s="23"/>
      <c r="D27" s="12">
        <v>18.913</v>
      </c>
      <c r="E27" s="12">
        <v>18.913</v>
      </c>
      <c r="F27" s="12"/>
      <c r="G27" s="12"/>
      <c r="H27" s="12"/>
      <c r="I27" s="30"/>
      <c r="J27" s="35">
        <f t="shared" ref="J27:J28" si="0">J26-H27-F27+D27</f>
        <v>18.913</v>
      </c>
      <c r="K27" s="9">
        <f t="shared" ref="K27:K28" si="1">K26-G27+E27</f>
        <v>18.913</v>
      </c>
      <c r="L27" s="31">
        <f t="shared" ref="L27:L28" si="2">SUM(J27:K27)</f>
        <v>37.826000000000001</v>
      </c>
    </row>
    <row r="28" spans="1:12" ht="20.25" customHeight="1" x14ac:dyDescent="0.25">
      <c r="A28" s="67" t="s">
        <v>64</v>
      </c>
      <c r="B28" s="68"/>
      <c r="C28" s="69"/>
      <c r="D28" s="12"/>
      <c r="E28" s="12"/>
      <c r="F28" s="13">
        <v>13</v>
      </c>
      <c r="G28" s="13">
        <v>2</v>
      </c>
      <c r="H28" s="12"/>
      <c r="I28" s="30"/>
      <c r="J28" s="35">
        <f t="shared" si="0"/>
        <v>5.9130000000000003</v>
      </c>
      <c r="K28" s="9">
        <f t="shared" si="1"/>
        <v>16.913</v>
      </c>
      <c r="L28" s="32">
        <f t="shared" si="2"/>
        <v>22.826000000000001</v>
      </c>
    </row>
    <row r="29" spans="1:12" ht="15.75" customHeight="1" x14ac:dyDescent="0.25">
      <c r="A29" s="73" t="s">
        <v>60</v>
      </c>
      <c r="B29" s="74"/>
      <c r="C29" s="77">
        <v>52.5</v>
      </c>
      <c r="D29" s="12"/>
      <c r="E29" s="12"/>
      <c r="F29" s="12"/>
      <c r="G29" s="12"/>
      <c r="H29" s="12"/>
      <c r="I29" s="30"/>
      <c r="J29" s="35"/>
      <c r="K29" s="9"/>
      <c r="L29" s="31"/>
    </row>
    <row r="30" spans="1:12" ht="16.5" customHeight="1" x14ac:dyDescent="0.25">
      <c r="A30" s="75"/>
      <c r="B30" s="76"/>
      <c r="C30" s="78"/>
      <c r="D30" s="12"/>
      <c r="E30" s="12"/>
      <c r="F30" s="12"/>
      <c r="G30" s="12"/>
      <c r="H30" s="12"/>
      <c r="I30" s="30"/>
      <c r="J30" s="35"/>
      <c r="K30" s="9"/>
      <c r="L30" s="31"/>
    </row>
    <row r="31" spans="1:12" ht="15.75" customHeight="1" x14ac:dyDescent="0.25">
      <c r="A31" s="14" t="s">
        <v>57</v>
      </c>
      <c r="B31" s="19" t="s">
        <v>50</v>
      </c>
      <c r="C31" s="23">
        <v>5</v>
      </c>
      <c r="D31" s="12"/>
      <c r="E31" s="12"/>
      <c r="F31" s="12"/>
      <c r="G31" s="12"/>
      <c r="H31" s="12"/>
      <c r="I31" s="30"/>
      <c r="J31" s="35"/>
      <c r="K31" s="9"/>
      <c r="L31" s="31"/>
    </row>
    <row r="32" spans="1:12" ht="12" customHeight="1" x14ac:dyDescent="0.25">
      <c r="A32" s="14" t="s">
        <v>32</v>
      </c>
      <c r="B32" s="19" t="s">
        <v>51</v>
      </c>
      <c r="C32" s="23">
        <v>5</v>
      </c>
      <c r="D32" s="12"/>
      <c r="E32" s="12"/>
      <c r="F32" s="12"/>
      <c r="G32" s="12"/>
      <c r="H32" s="12"/>
      <c r="I32" s="30"/>
      <c r="J32" s="35"/>
      <c r="K32" s="9"/>
      <c r="L32" s="31"/>
    </row>
    <row r="33" spans="1:12" ht="12" customHeight="1" x14ac:dyDescent="0.25">
      <c r="A33" s="14" t="s">
        <v>33</v>
      </c>
      <c r="B33" s="19" t="s">
        <v>52</v>
      </c>
      <c r="C33" s="23">
        <v>5</v>
      </c>
      <c r="D33" s="12"/>
      <c r="E33" s="12"/>
      <c r="F33" s="12"/>
      <c r="G33" s="12"/>
      <c r="H33" s="12"/>
      <c r="I33" s="30"/>
      <c r="J33" s="35"/>
      <c r="K33" s="9"/>
      <c r="L33" s="31"/>
    </row>
    <row r="34" spans="1:12" ht="12" customHeight="1" x14ac:dyDescent="0.25">
      <c r="A34" s="14" t="s">
        <v>34</v>
      </c>
      <c r="B34" s="19" t="s">
        <v>53</v>
      </c>
      <c r="C34" s="23">
        <v>5</v>
      </c>
      <c r="D34" s="12"/>
      <c r="E34" s="12"/>
      <c r="F34" s="12"/>
      <c r="G34" s="12"/>
      <c r="H34" s="12"/>
      <c r="I34" s="30"/>
      <c r="J34" s="35"/>
      <c r="K34" s="9"/>
      <c r="L34" s="31"/>
    </row>
    <row r="35" spans="1:12" ht="29.25" customHeight="1" x14ac:dyDescent="0.25">
      <c r="A35" s="15" t="s">
        <v>35</v>
      </c>
      <c r="B35" s="18" t="s">
        <v>54</v>
      </c>
      <c r="C35" s="24">
        <v>13</v>
      </c>
      <c r="D35" s="12"/>
      <c r="E35" s="12"/>
      <c r="F35" s="12"/>
      <c r="G35" s="12"/>
      <c r="H35" s="12"/>
      <c r="I35" s="30"/>
      <c r="J35" s="35"/>
      <c r="K35" s="9"/>
      <c r="L35" s="31"/>
    </row>
    <row r="36" spans="1:12" ht="29.25" customHeight="1" x14ac:dyDescent="0.25">
      <c r="A36" s="15" t="s">
        <v>61</v>
      </c>
      <c r="B36" s="18" t="s">
        <v>54</v>
      </c>
      <c r="C36" s="24">
        <v>15</v>
      </c>
      <c r="D36" s="13"/>
      <c r="E36" s="12"/>
      <c r="F36" s="12"/>
      <c r="G36" s="12"/>
      <c r="H36" s="12"/>
      <c r="I36" s="30"/>
      <c r="J36" s="35"/>
      <c r="K36" s="9"/>
      <c r="L36" s="31"/>
    </row>
    <row r="37" spans="1:12" ht="26.25" customHeight="1" x14ac:dyDescent="0.25">
      <c r="A37" s="16" t="s">
        <v>36</v>
      </c>
      <c r="B37" s="20" t="s">
        <v>55</v>
      </c>
      <c r="C37" s="22">
        <v>3</v>
      </c>
      <c r="D37" s="12"/>
      <c r="E37" s="12"/>
      <c r="F37" s="12"/>
      <c r="G37" s="12"/>
      <c r="H37" s="12"/>
      <c r="I37" s="30"/>
      <c r="J37" s="35"/>
      <c r="K37" s="9"/>
      <c r="L37" s="31"/>
    </row>
    <row r="38" spans="1:12" ht="15.75" customHeight="1" x14ac:dyDescent="0.25">
      <c r="A38" s="63" t="s">
        <v>58</v>
      </c>
      <c r="B38" s="64"/>
      <c r="C38" s="25">
        <f>SUM(C29:C37)</f>
        <v>103.5</v>
      </c>
      <c r="D38" s="12"/>
      <c r="E38" s="12"/>
      <c r="F38" s="12"/>
      <c r="G38" s="12"/>
      <c r="H38" s="12"/>
      <c r="I38" s="30"/>
      <c r="J38" s="35"/>
      <c r="K38" s="9"/>
      <c r="L38" s="31"/>
    </row>
    <row r="39" spans="1:12" ht="15.75" customHeight="1" x14ac:dyDescent="0.25">
      <c r="A39" s="63" t="s">
        <v>62</v>
      </c>
      <c r="B39" s="64"/>
      <c r="C39" s="23"/>
      <c r="D39" s="12">
        <v>22.5</v>
      </c>
      <c r="E39" s="12">
        <v>22.5</v>
      </c>
      <c r="F39" s="12"/>
      <c r="G39" s="12"/>
      <c r="H39" s="12"/>
      <c r="I39" s="30"/>
      <c r="J39" s="35">
        <f t="shared" ref="J39:J40" si="3">J38-H39-F39+D39</f>
        <v>22.5</v>
      </c>
      <c r="K39" s="9">
        <f t="shared" ref="K39:K40" si="4">K38-G39+E39</f>
        <v>22.5</v>
      </c>
      <c r="L39" s="31">
        <f t="shared" ref="L39:L40" si="5">SUM(J39:K39)</f>
        <v>45</v>
      </c>
    </row>
    <row r="40" spans="1:12" ht="23.25" customHeight="1" thickBot="1" x14ac:dyDescent="0.3">
      <c r="A40" s="70" t="s">
        <v>63</v>
      </c>
      <c r="B40" s="71"/>
      <c r="C40" s="72"/>
      <c r="D40" s="46"/>
      <c r="E40" s="46"/>
      <c r="F40" s="49">
        <v>15</v>
      </c>
      <c r="G40" s="46"/>
      <c r="H40" s="46"/>
      <c r="I40" s="47"/>
      <c r="J40" s="36">
        <f t="shared" si="3"/>
        <v>7.5</v>
      </c>
      <c r="K40" s="37">
        <f t="shared" si="4"/>
        <v>22.5</v>
      </c>
      <c r="L40" s="48">
        <f t="shared" si="5"/>
        <v>30</v>
      </c>
    </row>
    <row r="41" spans="1:12" ht="23.25" customHeight="1" x14ac:dyDescent="0.25">
      <c r="A41" s="26"/>
      <c r="B41" s="26"/>
      <c r="C41" s="26"/>
      <c r="D41" s="27"/>
      <c r="E41" s="27"/>
      <c r="F41" s="27"/>
      <c r="G41" s="27"/>
      <c r="H41" s="27"/>
      <c r="I41" s="27"/>
      <c r="J41" s="28"/>
      <c r="K41" s="28"/>
      <c r="L41" s="28"/>
    </row>
    <row r="45" spans="1:12" x14ac:dyDescent="0.25">
      <c r="H45" s="6" t="s">
        <v>20</v>
      </c>
    </row>
  </sheetData>
  <mergeCells count="21">
    <mergeCell ref="A38:B38"/>
    <mergeCell ref="A39:B39"/>
    <mergeCell ref="A40:C40"/>
    <mergeCell ref="A29:B30"/>
    <mergeCell ref="C29:C30"/>
    <mergeCell ref="A26:B26"/>
    <mergeCell ref="A27:B27"/>
    <mergeCell ref="C12:C13"/>
    <mergeCell ref="B12:B13"/>
    <mergeCell ref="A28:C28"/>
    <mergeCell ref="A11:L11"/>
    <mergeCell ref="A2:L2"/>
    <mergeCell ref="A3:L3"/>
    <mergeCell ref="A4:L4"/>
    <mergeCell ref="A5:L5"/>
    <mergeCell ref="M12:M13"/>
    <mergeCell ref="D12:E12"/>
    <mergeCell ref="F12:I12"/>
    <mergeCell ref="J12:K12"/>
    <mergeCell ref="A12:A13"/>
    <mergeCell ref="L12:L13"/>
  </mergeCells>
  <phoneticPr fontId="5" type="noConversion"/>
  <printOptions horizontalCentered="1"/>
  <pageMargins left="0.23622047244094491" right="0.23622047244094491" top="0.11811023622047245" bottom="0.11811023622047245" header="0.31496062992125984" footer="0.31496062992125984"/>
  <pageSetup paperSize="9" scale="64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Leave Card (NE)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2025-06-17T05:34:50Z</cp:lastPrinted>
  <dcterms:created xsi:type="dcterms:W3CDTF">2021-10-07T06:10:16Z</dcterms:created>
  <dcterms:modified xsi:type="dcterms:W3CDTF">2025-07-24T05:02:24Z</dcterms:modified>
</cp:coreProperties>
</file>