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E709E44-422D-4B70-A144-1677748B8930}" xr6:coauthVersionLast="47" xr6:coauthVersionMax="47" xr10:uidLastSave="{00000000-0000-0000-0000-000000000000}"/>
  <bookViews>
    <workbookView xWindow="-120" yWindow="-120" windowWidth="29040" windowHeight="15720" activeTab="1" xr2:uid="{A3D90FFC-B414-4FFB-9D98-B30E465EE297}"/>
  </bookViews>
  <sheets>
    <sheet name="VSC" sheetId="2" r:id="rId1"/>
    <sheet name="Sheet1" sheetId="1" r:id="rId2"/>
  </sheets>
  <definedNames>
    <definedName name="_xlnm.Print_Area" localSheetId="1">Sheet1!$A$1:$J$40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H15" i="1"/>
  <c r="H16" i="1" s="1"/>
  <c r="H17" i="1" s="1"/>
  <c r="H18" i="1" l="1"/>
  <c r="J17" i="1"/>
  <c r="J16" i="1"/>
  <c r="J15" i="1"/>
  <c r="J18" i="1" l="1"/>
  <c r="H19" i="1"/>
  <c r="H20" i="1" l="1"/>
  <c r="H21" i="1" s="1"/>
  <c r="J19" i="1"/>
  <c r="J21" i="1" l="1"/>
  <c r="H22" i="1"/>
  <c r="J20" i="1"/>
  <c r="J22" i="1" l="1"/>
  <c r="H23" i="1"/>
  <c r="J23" i="1" l="1"/>
  <c r="H24" i="1"/>
  <c r="J24" i="1" l="1"/>
  <c r="H25" i="1"/>
  <c r="J25" i="1" l="1"/>
  <c r="H26" i="1"/>
  <c r="J26" i="1" l="1"/>
  <c r="H27" i="1"/>
  <c r="H28" i="1" l="1"/>
  <c r="J27" i="1"/>
  <c r="J28" i="1" l="1"/>
  <c r="H29" i="1"/>
  <c r="J29" i="1" l="1"/>
  <c r="H30" i="1"/>
  <c r="J30" i="1" l="1"/>
  <c r="H31" i="1"/>
  <c r="J31" i="1" l="1"/>
  <c r="H32" i="1"/>
  <c r="J32" i="1" s="1"/>
</calcChain>
</file>

<file path=xl/sharedStrings.xml><?xml version="1.0" encoding="utf-8"?>
<sst xmlns="http://schemas.openxmlformats.org/spreadsheetml/2006/main" count="75" uniqueCount="55">
  <si>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</si>
  <si>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</si>
  <si>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</si>
  <si>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</si>
  <si>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</si>
  <si>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</si>
  <si>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</si>
  <si>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</si>
  <si>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</si>
  <si>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</si>
  <si>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</si>
  <si>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</si>
  <si>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</si>
  <si>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</si>
  <si>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</si>
  <si>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</si>
  <si>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</si>
  <si>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</si>
  <si>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</si>
  <si>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</si>
  <si>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 LEAVE</t>
  </si>
  <si>
    <t>ADD: 10/03/22-10/31/22</t>
  </si>
  <si>
    <t>ADD: 11/01/22-12/31/22</t>
  </si>
  <si>
    <t>ADD: 01/01/23 - 03/31/23</t>
  </si>
  <si>
    <t>LESS: 01/03/2023</t>
  </si>
  <si>
    <t>LESS: 04/11/2023</t>
  </si>
  <si>
    <t>Certified Correct:</t>
  </si>
  <si>
    <t>MA. LUISA B. CATIGAN</t>
  </si>
  <si>
    <t>Administrative Officer IV</t>
  </si>
  <si>
    <t>HRMO</t>
  </si>
  <si>
    <t>Special Order No. and Date Issued</t>
  </si>
  <si>
    <t>No. of Days Granted</t>
  </si>
  <si>
    <t>No. of Days Used</t>
  </si>
  <si>
    <t>Balance</t>
  </si>
  <si>
    <t>LESS: 12/27-29/2023</t>
  </si>
  <si>
    <t>LESS: MONETIZATION 2023</t>
  </si>
  <si>
    <t>LESS: 12/22&amp;26/2023</t>
  </si>
  <si>
    <t>ADD:10/01/2023-10/31/2023</t>
  </si>
  <si>
    <t>LESS: 11/22/2023</t>
  </si>
  <si>
    <t>11/21/2023</t>
  </si>
  <si>
    <t>ADD: 11/01/2023-11/30/2023</t>
  </si>
  <si>
    <t>LESS: 12/21/2023</t>
  </si>
  <si>
    <t>ADD: 12/01/2023-12/31/2023</t>
  </si>
  <si>
    <t>LESS: 01/5,6-8/2024</t>
  </si>
  <si>
    <t>LESS: 01/11-12/2024</t>
  </si>
  <si>
    <t>LESS: 01/19/2024</t>
  </si>
  <si>
    <t>ADD: 01/01-14/2024</t>
  </si>
  <si>
    <t xml:space="preserve">             HRMO</t>
  </si>
  <si>
    <t>ADD: 04/01/23 - 09/30/23</t>
  </si>
  <si>
    <t>VSC</t>
  </si>
  <si>
    <t>ADD: 01/10/2025</t>
  </si>
  <si>
    <t>CONVERTED LEAVE CREDITS FROM NON-TEACHING TO TEACHING: (13.582/30x69) = 31.24</t>
  </si>
  <si>
    <t>LESS: 01/2-3/2025</t>
  </si>
  <si>
    <t>PROMOTED TO T-I EFFECTIVE JANUARY 15, 2024</t>
  </si>
  <si>
    <t>NEGROS ISLAND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</si>
</sst>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5" fillId="2" borderId="14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164" fontId="5" fillId="2" borderId="15" xfId="0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2" borderId="17" xfId="0" applyFont="1" applyFill="1" applyBorder="1" applyAlignment="1">
      <alignment vertical="center" wrapText="1"/>
    </xf>
    <xf numFmtId="0" fontId="8" fillId="0" borderId="0" xfId="0" applyFont="1"/>
    <xf numFmtId="0" fontId="10" fillId="0" borderId="0" xfId="0" applyFont="1"/>
    <xf numFmtId="0" fontId="0" fillId="2" borderId="0" xfId="0" applyFill="1" applyAlignment="1">
      <alignment horizontal="center"/>
    </xf>
    <xf numFmtId="0" fontId="0" fillId="0" borderId="14" xfId="0" applyBorder="1" applyAlignment="1">
      <alignment horizontal="center"/>
    </xf>
    <xf numFmtId="0" fontId="0" fillId="2" borderId="0" xfId="0" applyFill="1" applyAlignment="1">
      <alignment horizontal="left"/>
    </xf>
    <xf numFmtId="0" fontId="11" fillId="2" borderId="17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9" borderId="19" xfId="0" applyFont="1" applyFill="1" applyBorder="1" applyAlignment="1">
      <alignment horizontal="center" vertical="center" wrapText="1"/>
    </xf>
    <xf numFmtId="0" fontId="9" fillId="9" borderId="2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164" fontId="16" fillId="10" borderId="15" xfId="0" applyNumberFormat="1" applyFont="1" applyFill="1" applyBorder="1" applyAlignment="1">
      <alignment horizontal="center" vertical="center"/>
    </xf>
    <xf numFmtId="0" fontId="17" fillId="2" borderId="0" xfId="0" applyFont="1" applyFill="1"/>
    <xf numFmtId="0" fontId="18" fillId="2" borderId="0" xfId="0" applyFont="1" applyFill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521834</xdr:colOff>
      <xdr:row>0</xdr:row>
      <xdr:rowOff>38329</xdr:rowOff>
    </xdr:from>
    <xdr:to>
      <xdr:col>5</xdr:col>
      <xdr:colOff>20639</xdr:colOff>
      <xdr:row>3</xdr:row>
      <xdr:rowOff>97973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1EA0BB-0F5C-4644-9869-5BDBA3650B5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6084" y="38329"/>
          <a:ext cx="718005" cy="631144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1281339</xdr:colOff>
      <xdr:row>9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EEAD6-6E3C-4932-9030-808A8BD91FC5}"/>
            </a:ext>
          </a:extLst>
        </xdr:cNvPr>
        <xdr:cNvSpPr txBox="1"/>
      </xdr:nvSpPr>
      <xdr:spPr>
        <a:xfrm>
          <a:off x="573942" y="1371111"/>
          <a:ext cx="2031372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CRIEZYL MAE V. CLARIN</a:t>
          </a: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46F9E1F-8CF8-483F-8E36-F5863FA868A2}"/>
            </a:ext>
          </a:extLst>
        </xdr:cNvPr>
        <xdr:cNvSpPr txBox="1"/>
      </xdr:nvSpPr>
      <xdr:spPr>
        <a:xfrm>
          <a:off x="654051" y="1676401"/>
          <a:ext cx="66674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T-I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E3B41-D312-4716-8A1B-8E143C89032D}"/>
            </a:ext>
          </a:extLst>
        </xdr:cNvPr>
        <xdr:cNvSpPr txBox="1"/>
      </xdr:nvSpPr>
      <xdr:spPr>
        <a:xfrm>
          <a:off x="4051073" y="169976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GPAES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337343</xdr:colOff>
      <xdr:row>0</xdr:row>
      <xdr:rowOff>31749</xdr:rowOff>
    </xdr:from>
    <xdr:to>
      <xdr:col>4</xdr:col>
      <xdr:colOff>201612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EFB446-4697-4E7B-9A3B-DE6F35C2E18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4296" y="31749"/>
          <a:ext cx="638175" cy="571898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50800</xdr:rowOff>
    </xdr:from>
    <xdr:to>
      <xdr:col>0</xdr:col>
      <xdr:colOff>2582741</xdr:colOff>
      <xdr:row>8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C655E0-E8D4-4954-8E5E-065A9C99464A}"/>
            </a:ext>
          </a:extLst>
        </xdr:cNvPr>
        <xdr:cNvSpPr txBox="1"/>
      </xdr:nvSpPr>
      <xdr:spPr>
        <a:xfrm>
          <a:off x="573942" y="971550"/>
          <a:ext cx="2008799" cy="249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CLARIN, CRIEZYL MAE V.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9</xdr:row>
      <xdr:rowOff>61057</xdr:rowOff>
    </xdr:from>
    <xdr:to>
      <xdr:col>0</xdr:col>
      <xdr:colOff>2625482</xdr:colOff>
      <xdr:row>11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92CE5CA-AB30-4DE6-8213-2D13F1D4257E}"/>
            </a:ext>
          </a:extLst>
        </xdr:cNvPr>
        <xdr:cNvSpPr txBox="1"/>
      </xdr:nvSpPr>
      <xdr:spPr>
        <a:xfrm>
          <a:off x="616683" y="172475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 VI</a:t>
          </a:r>
        </a:p>
      </xdr:txBody>
    </xdr:sp>
    <xdr:clientData/>
  </xdr:twoCellAnchor>
  <xdr:twoCellAnchor>
    <xdr:from>
      <xdr:col>2</xdr:col>
      <xdr:colOff>415192</xdr:colOff>
      <xdr:row>9</xdr:row>
      <xdr:rowOff>42741</xdr:rowOff>
    </xdr:from>
    <xdr:to>
      <xdr:col>5</xdr:col>
      <xdr:colOff>463549</xdr:colOff>
      <xdr:row>10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62B775-9C93-43B0-846D-CE8F0CAFACB8}"/>
            </a:ext>
          </a:extLst>
        </xdr:cNvPr>
        <xdr:cNvSpPr txBox="1"/>
      </xdr:nvSpPr>
      <xdr:spPr>
        <a:xfrm>
          <a:off x="4002942" y="1700091"/>
          <a:ext cx="2486757" cy="281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     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2CF2-9D2F-4EE9-8F02-71873A9F786A}">
  <dimension ref="A1:M26"/>
  <sheetViews>
    <sheetView workbookViewId="0">
      <selection activeCell="A17" sqref="A17:XFD17"/>
    </sheetView>
  </sheetViews>
  <sheetFormatPr defaultRowHeight="15" x14ac:dyDescent="0.25"/>
  <cols>
    <col min="1" max="1" width="19.85546875" customWidth="1"/>
    <col min="2" max="2" width="23.85546875" customWidth="1"/>
    <col min="6" max="6" width="8.8554687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1"/>
    </row>
    <row r="6" spans="1:13" x14ac:dyDescent="0.25">
      <c r="A6" s="43" t="s">
        <v>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1"/>
    </row>
    <row r="7" spans="1:13" x14ac:dyDescent="0.25">
      <c r="A7" s="43" t="s">
        <v>2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1"/>
    </row>
    <row r="8" spans="1:13" x14ac:dyDescent="0.25">
      <c r="A8" s="43" t="s">
        <v>3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  <c r="M10" s="1"/>
    </row>
    <row r="11" spans="1:13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  <c r="M11" s="1"/>
    </row>
    <row r="12" spans="1:13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  <c r="M12" s="1"/>
    </row>
    <row r="13" spans="1:13" ht="21.75" thickBot="1" x14ac:dyDescent="0.3">
      <c r="A13" s="44" t="s">
        <v>49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</row>
    <row r="14" spans="1:13" x14ac:dyDescent="0.25">
      <c r="A14" s="36" t="s">
        <v>11</v>
      </c>
      <c r="B14" s="38" t="s">
        <v>12</v>
      </c>
      <c r="C14" s="39"/>
      <c r="D14" s="39"/>
      <c r="E14" s="39"/>
      <c r="F14" s="39"/>
      <c r="G14" s="39"/>
      <c r="H14" s="39"/>
      <c r="I14" s="39"/>
      <c r="J14" s="39"/>
      <c r="K14" s="39"/>
      <c r="L14" s="40" t="s">
        <v>15</v>
      </c>
      <c r="M14" s="15"/>
    </row>
    <row r="15" spans="1:13" x14ac:dyDescent="0.25">
      <c r="A15" s="37"/>
      <c r="B15" s="34" t="s">
        <v>30</v>
      </c>
      <c r="C15" s="42"/>
      <c r="D15" s="42"/>
      <c r="E15" s="35"/>
      <c r="F15" s="34" t="s">
        <v>31</v>
      </c>
      <c r="G15" s="35"/>
      <c r="H15" s="34" t="s">
        <v>32</v>
      </c>
      <c r="I15" s="35"/>
      <c r="J15" s="34" t="s">
        <v>33</v>
      </c>
      <c r="K15" s="35"/>
      <c r="L15" s="41"/>
      <c r="M15" s="15"/>
    </row>
    <row r="16" spans="1:13" ht="32.25" customHeight="1" x14ac:dyDescent="0.25">
      <c r="A16" s="21" t="s">
        <v>50</v>
      </c>
      <c r="B16" s="27" t="s">
        <v>51</v>
      </c>
      <c r="C16" s="28"/>
      <c r="D16" s="28"/>
      <c r="E16" s="29"/>
      <c r="F16" s="30">
        <v>31</v>
      </c>
      <c r="G16" s="31"/>
      <c r="H16" s="30">
        <v>0</v>
      </c>
      <c r="I16" s="31"/>
      <c r="J16" s="30">
        <v>31</v>
      </c>
      <c r="K16" s="31"/>
      <c r="L16" s="23">
        <v>31</v>
      </c>
      <c r="M16" s="15"/>
    </row>
    <row r="17" spans="1:13" ht="31.5" customHeight="1" x14ac:dyDescent="0.25">
      <c r="A17" s="21" t="s">
        <v>52</v>
      </c>
      <c r="B17" s="27" t="s">
        <v>51</v>
      </c>
      <c r="C17" s="28"/>
      <c r="D17" s="28"/>
      <c r="E17" s="29"/>
      <c r="F17" s="30"/>
      <c r="G17" s="31"/>
      <c r="H17" s="30">
        <v>2</v>
      </c>
      <c r="I17" s="31"/>
      <c r="J17" s="30">
        <v>29</v>
      </c>
      <c r="K17" s="31"/>
      <c r="L17" s="23">
        <v>29</v>
      </c>
      <c r="M17" s="16"/>
    </row>
    <row r="18" spans="1:13" ht="31.5" customHeight="1" x14ac:dyDescent="0.25">
      <c r="A18" s="21"/>
      <c r="B18" s="27"/>
      <c r="C18" s="28"/>
      <c r="D18" s="28"/>
      <c r="E18" s="29"/>
      <c r="F18" s="30"/>
      <c r="G18" s="31"/>
      <c r="H18" s="30"/>
      <c r="I18" s="31"/>
      <c r="J18" s="30"/>
      <c r="K18" s="31"/>
      <c r="L18" s="24"/>
      <c r="M18" s="16"/>
    </row>
    <row r="19" spans="1:13" ht="31.5" customHeight="1" x14ac:dyDescent="0.25">
      <c r="A19" s="22"/>
      <c r="B19" s="27"/>
      <c r="C19" s="28"/>
      <c r="D19" s="28"/>
      <c r="E19" s="29"/>
      <c r="F19" s="30"/>
      <c r="G19" s="31"/>
      <c r="H19" s="30"/>
      <c r="I19" s="31"/>
      <c r="J19" s="30"/>
      <c r="K19" s="31"/>
      <c r="L19" s="24"/>
      <c r="M19" s="16"/>
    </row>
    <row r="20" spans="1:13" ht="31.5" customHeight="1" x14ac:dyDescent="0.25">
      <c r="A20" s="22"/>
      <c r="B20" s="27"/>
      <c r="C20" s="28"/>
      <c r="D20" s="28"/>
      <c r="E20" s="29"/>
      <c r="F20" s="30"/>
      <c r="G20" s="31"/>
      <c r="H20" s="30"/>
      <c r="I20" s="31"/>
      <c r="J20" s="30"/>
      <c r="K20" s="31"/>
      <c r="L20" s="24"/>
      <c r="M20" s="16"/>
    </row>
    <row r="21" spans="1:13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3" x14ac:dyDescent="0.25">
      <c r="A22" s="1" t="s">
        <v>26</v>
      </c>
      <c r="B22" s="1"/>
      <c r="C22" s="17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7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33" t="s">
        <v>27</v>
      </c>
      <c r="B24" s="33"/>
    </row>
    <row r="25" spans="1:13" x14ac:dyDescent="0.25">
      <c r="A25" s="25" t="s">
        <v>28</v>
      </c>
      <c r="B25" s="25"/>
    </row>
    <row r="26" spans="1:13" x14ac:dyDescent="0.25">
      <c r="A26" s="26" t="s">
        <v>29</v>
      </c>
      <c r="B26" s="26"/>
    </row>
  </sheetData>
  <mergeCells count="36">
    <mergeCell ref="B16:E16"/>
    <mergeCell ref="J20:K20"/>
    <mergeCell ref="J18:K18"/>
    <mergeCell ref="B19:E19"/>
    <mergeCell ref="F19:G19"/>
    <mergeCell ref="H19:I19"/>
    <mergeCell ref="J19:K19"/>
    <mergeCell ref="J17:K17"/>
    <mergeCell ref="A5:L5"/>
    <mergeCell ref="A6:L6"/>
    <mergeCell ref="A7:L7"/>
    <mergeCell ref="A8:L8"/>
    <mergeCell ref="A13:L13"/>
    <mergeCell ref="A14:A15"/>
    <mergeCell ref="B14:K14"/>
    <mergeCell ref="L14:L15"/>
    <mergeCell ref="B15:E15"/>
    <mergeCell ref="F15:G15"/>
    <mergeCell ref="H15:I15"/>
    <mergeCell ref="J15:K15"/>
    <mergeCell ref="F16:G16"/>
    <mergeCell ref="H16:I16"/>
    <mergeCell ref="J16:K16"/>
    <mergeCell ref="A25:B25"/>
    <mergeCell ref="A26:B26"/>
    <mergeCell ref="B17:E17"/>
    <mergeCell ref="F17:G17"/>
    <mergeCell ref="H17:I17"/>
    <mergeCell ref="H18:I18"/>
    <mergeCell ref="B20:E20"/>
    <mergeCell ref="F20:G20"/>
    <mergeCell ref="H20:I20"/>
    <mergeCell ref="A21:L21"/>
    <mergeCell ref="A24:B24"/>
    <mergeCell ref="B18:E18"/>
    <mergeCell ref="F18:G18"/>
  </mergeCells>
  <phoneticPr fontId="15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F493-9F60-45DE-B2BB-3B9BBE146B3B}">
  <sheetPr>
    <pageSetUpPr fitToPage="1"/>
  </sheetPr>
  <dimension ref="A1:K40"/>
  <sheetViews>
    <sheetView tabSelected="1" view="pageBreakPreview" topLeftCell="A10" zoomScale="96" zoomScaleNormal="100" zoomScaleSheetLayoutView="96" workbookViewId="0">
      <selection activeCell="A22" sqref="A22:XFD22"/>
    </sheetView>
  </sheetViews>
  <sheetFormatPr defaultRowHeight="15" x14ac:dyDescent="0.25"/>
  <cols>
    <col min="1" max="1" width="39.7109375" customWidth="1"/>
    <col min="2" max="6" width="11.5703125" customWidth="1"/>
    <col min="7" max="7" width="13.140625" customWidth="1"/>
    <col min="8" max="10" width="11.5703125" customWidth="1"/>
    <col min="11" max="11" width="26.42578125" style="11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43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1"/>
    </row>
    <row r="5" spans="1:11" x14ac:dyDescent="0.25">
      <c r="A5" s="43" t="s">
        <v>1</v>
      </c>
      <c r="B5" s="43"/>
      <c r="C5" s="43"/>
      <c r="D5" s="43"/>
      <c r="E5" s="43"/>
      <c r="F5" s="43"/>
      <c r="G5" s="43"/>
      <c r="H5" s="43"/>
      <c r="I5" s="43"/>
      <c r="J5" s="43"/>
      <c r="K5" s="1"/>
    </row>
    <row r="6" spans="1:11" x14ac:dyDescent="0.25">
      <c r="A6" s="43" t="s">
        <v>54</v>
      </c>
      <c r="B6" s="43"/>
      <c r="C6" s="43"/>
      <c r="D6" s="43"/>
      <c r="E6" s="43"/>
      <c r="F6" s="43"/>
      <c r="G6" s="43"/>
      <c r="H6" s="43"/>
      <c r="I6" s="43"/>
      <c r="J6" s="43"/>
      <c r="K6" s="1"/>
    </row>
    <row r="7" spans="1:11" x14ac:dyDescent="0.25">
      <c r="A7" s="43" t="s">
        <v>3</v>
      </c>
      <c r="B7" s="43"/>
      <c r="C7" s="43"/>
      <c r="D7" s="43"/>
      <c r="E7" s="43"/>
      <c r="F7" s="43"/>
      <c r="G7" s="43"/>
      <c r="H7" s="43"/>
      <c r="I7" s="43"/>
      <c r="J7" s="43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 t="s">
        <v>4</v>
      </c>
      <c r="B9" s="45" t="s">
        <v>5</v>
      </c>
      <c r="C9" s="45"/>
      <c r="D9" s="45"/>
      <c r="E9" s="1"/>
      <c r="F9" s="1"/>
      <c r="G9" s="1"/>
      <c r="H9" s="2" t="s">
        <v>6</v>
      </c>
      <c r="I9" s="3"/>
      <c r="J9" s="2"/>
      <c r="K9" s="1"/>
    </row>
    <row r="10" spans="1:11" x14ac:dyDescent="0.25">
      <c r="A10" s="1"/>
      <c r="B10" s="4"/>
      <c r="C10" s="4"/>
      <c r="D10" s="1"/>
      <c r="E10" s="1"/>
      <c r="F10" s="1"/>
      <c r="G10" s="1"/>
      <c r="H10" s="4"/>
      <c r="I10" s="4"/>
      <c r="J10" s="4"/>
      <c r="K10" s="1"/>
    </row>
    <row r="11" spans="1:11" x14ac:dyDescent="0.25">
      <c r="A11" s="1" t="s">
        <v>7</v>
      </c>
      <c r="B11" s="45" t="s">
        <v>8</v>
      </c>
      <c r="C11" s="45"/>
      <c r="D11" s="45"/>
      <c r="E11" s="1"/>
      <c r="F11" s="1"/>
      <c r="G11" s="1"/>
      <c r="H11" s="2" t="s">
        <v>9</v>
      </c>
      <c r="I11" s="5"/>
      <c r="J11" s="2"/>
      <c r="K11" s="1"/>
    </row>
    <row r="12" spans="1:11" ht="21.75" thickBot="1" x14ac:dyDescent="0.3">
      <c r="A12" s="44" t="s">
        <v>10</v>
      </c>
      <c r="B12" s="44"/>
      <c r="C12" s="44"/>
      <c r="D12" s="44"/>
      <c r="E12" s="44"/>
      <c r="F12" s="44"/>
      <c r="G12" s="44"/>
      <c r="H12" s="44"/>
      <c r="I12" s="44"/>
      <c r="J12" s="44"/>
      <c r="K12"/>
    </row>
    <row r="13" spans="1:11" x14ac:dyDescent="0.25">
      <c r="A13" s="47" t="s">
        <v>11</v>
      </c>
      <c r="B13" s="49" t="s">
        <v>12</v>
      </c>
      <c r="C13" s="49"/>
      <c r="D13" s="50" t="s">
        <v>13</v>
      </c>
      <c r="E13" s="51"/>
      <c r="F13" s="51"/>
      <c r="G13" s="52"/>
      <c r="H13" s="53" t="s">
        <v>14</v>
      </c>
      <c r="I13" s="53"/>
      <c r="J13" s="54" t="s">
        <v>15</v>
      </c>
      <c r="K13" s="46" t="s">
        <v>16</v>
      </c>
    </row>
    <row r="14" spans="1:11" ht="15.75" thickBot="1" x14ac:dyDescent="0.3">
      <c r="A14" s="48"/>
      <c r="B14" s="6" t="s">
        <v>17</v>
      </c>
      <c r="C14" s="6" t="s">
        <v>18</v>
      </c>
      <c r="D14" s="6" t="s">
        <v>17</v>
      </c>
      <c r="E14" s="6" t="s">
        <v>18</v>
      </c>
      <c r="F14" s="6" t="s">
        <v>19</v>
      </c>
      <c r="G14" s="6" t="s">
        <v>20</v>
      </c>
      <c r="H14" s="6" t="s">
        <v>17</v>
      </c>
      <c r="I14" s="6" t="s">
        <v>18</v>
      </c>
      <c r="J14" s="55"/>
      <c r="K14" s="46"/>
    </row>
    <row r="15" spans="1:11" ht="15.75" x14ac:dyDescent="0.25">
      <c r="A15" s="7" t="s">
        <v>21</v>
      </c>
      <c r="B15" s="8">
        <v>1.208</v>
      </c>
      <c r="C15" s="8">
        <v>1.208</v>
      </c>
      <c r="D15" s="8"/>
      <c r="E15" s="8"/>
      <c r="F15" s="8"/>
      <c r="G15" s="8"/>
      <c r="H15" s="8">
        <f>B15</f>
        <v>1.208</v>
      </c>
      <c r="I15" s="8">
        <f>C15</f>
        <v>1.208</v>
      </c>
      <c r="J15" s="10">
        <f>SUM(H15+I15)</f>
        <v>2.4159999999999999</v>
      </c>
    </row>
    <row r="16" spans="1:11" ht="15.75" x14ac:dyDescent="0.25">
      <c r="A16" s="12" t="s">
        <v>22</v>
      </c>
      <c r="B16" s="8">
        <v>2.5</v>
      </c>
      <c r="C16" s="8">
        <v>2.5</v>
      </c>
      <c r="D16" s="8"/>
      <c r="E16" s="8"/>
      <c r="F16" s="8"/>
      <c r="G16" s="8"/>
      <c r="H16" s="8">
        <f>H15-F16-D16+B16</f>
        <v>3.7080000000000002</v>
      </c>
      <c r="I16" s="8">
        <f>I15-E16+C16</f>
        <v>3.7080000000000002</v>
      </c>
      <c r="J16" s="10">
        <f>H16+I16</f>
        <v>7.4160000000000004</v>
      </c>
    </row>
    <row r="17" spans="1:11" ht="15.75" x14ac:dyDescent="0.25">
      <c r="A17" s="12" t="s">
        <v>24</v>
      </c>
      <c r="B17" s="8"/>
      <c r="C17" s="8"/>
      <c r="D17" s="8"/>
      <c r="E17" s="8"/>
      <c r="F17" s="8">
        <v>1</v>
      </c>
      <c r="G17" s="8"/>
      <c r="H17" s="8">
        <f t="shared" ref="H17:H20" si="0">H16-F17-D17+B17</f>
        <v>2.7080000000000002</v>
      </c>
      <c r="I17" s="8">
        <f t="shared" ref="I17:I20" si="1">I16-E17+C17</f>
        <v>3.7080000000000002</v>
      </c>
      <c r="J17" s="10">
        <f t="shared" ref="J17:J20" si="2">H17+I17</f>
        <v>6.4160000000000004</v>
      </c>
    </row>
    <row r="18" spans="1:11" ht="15.75" x14ac:dyDescent="0.25">
      <c r="A18" s="12" t="s">
        <v>23</v>
      </c>
      <c r="B18" s="8">
        <v>3.75</v>
      </c>
      <c r="C18" s="8">
        <v>3.75</v>
      </c>
      <c r="D18" s="8"/>
      <c r="E18" s="8"/>
      <c r="F18" s="8"/>
      <c r="G18" s="8"/>
      <c r="H18" s="8">
        <f t="shared" si="0"/>
        <v>6.4580000000000002</v>
      </c>
      <c r="I18" s="8">
        <f t="shared" si="1"/>
        <v>7.4580000000000002</v>
      </c>
      <c r="J18" s="10">
        <f t="shared" si="2"/>
        <v>13.916</v>
      </c>
    </row>
    <row r="19" spans="1:11" ht="15.75" x14ac:dyDescent="0.25">
      <c r="A19" s="12" t="s">
        <v>25</v>
      </c>
      <c r="B19" s="8"/>
      <c r="C19" s="8"/>
      <c r="D19" s="8"/>
      <c r="E19" s="8">
        <v>1</v>
      </c>
      <c r="F19" s="8"/>
      <c r="G19" s="8"/>
      <c r="H19" s="8">
        <f t="shared" si="0"/>
        <v>6.4580000000000002</v>
      </c>
      <c r="I19" s="8">
        <f t="shared" si="1"/>
        <v>6.4580000000000002</v>
      </c>
      <c r="J19" s="10">
        <f t="shared" si="2"/>
        <v>12.916</v>
      </c>
    </row>
    <row r="20" spans="1:11" ht="15.75" x14ac:dyDescent="0.25">
      <c r="A20" s="12" t="s">
        <v>48</v>
      </c>
      <c r="B20" s="8">
        <v>7.5</v>
      </c>
      <c r="C20" s="8">
        <v>7.5</v>
      </c>
      <c r="D20" s="8"/>
      <c r="E20" s="8"/>
      <c r="F20" s="8"/>
      <c r="G20" s="8"/>
      <c r="H20" s="8">
        <f t="shared" si="0"/>
        <v>13.958</v>
      </c>
      <c r="I20" s="8">
        <f t="shared" si="1"/>
        <v>13.958</v>
      </c>
      <c r="J20" s="10">
        <f t="shared" si="2"/>
        <v>27.916</v>
      </c>
    </row>
    <row r="21" spans="1:11" ht="15.75" x14ac:dyDescent="0.25">
      <c r="A21" s="12" t="s">
        <v>34</v>
      </c>
      <c r="B21" s="9"/>
      <c r="C21" s="9"/>
      <c r="D21" s="9"/>
      <c r="E21" s="9"/>
      <c r="F21" s="9"/>
      <c r="G21" s="9">
        <v>3</v>
      </c>
      <c r="H21" s="8">
        <f t="shared" ref="H21:H32" si="3">H20-F21-D21+B21</f>
        <v>13.958</v>
      </c>
      <c r="I21" s="8">
        <f t="shared" ref="I21:I32" si="4">I20-E21+C21</f>
        <v>13.958</v>
      </c>
      <c r="J21" s="10">
        <f t="shared" ref="J21:J32" si="5">H21+I21</f>
        <v>27.916</v>
      </c>
    </row>
    <row r="22" spans="1:11" ht="15.75" x14ac:dyDescent="0.25">
      <c r="A22" s="12" t="s">
        <v>35</v>
      </c>
      <c r="B22" s="9"/>
      <c r="C22" s="9"/>
      <c r="D22" s="9">
        <v>4</v>
      </c>
      <c r="E22" s="9">
        <v>8</v>
      </c>
      <c r="F22" s="9"/>
      <c r="G22" s="9"/>
      <c r="H22" s="8">
        <f t="shared" si="3"/>
        <v>9.9580000000000002</v>
      </c>
      <c r="I22" s="8">
        <f t="shared" si="4"/>
        <v>5.9580000000000002</v>
      </c>
      <c r="J22" s="10">
        <f t="shared" si="5"/>
        <v>15.916</v>
      </c>
    </row>
    <row r="23" spans="1:11" ht="15.75" x14ac:dyDescent="0.25">
      <c r="A23" s="13" t="s">
        <v>36</v>
      </c>
      <c r="B23" s="14"/>
      <c r="C23" s="14"/>
      <c r="D23" s="14"/>
      <c r="E23" s="14"/>
      <c r="F23" s="20">
        <v>2</v>
      </c>
      <c r="G23" s="14"/>
      <c r="H23" s="8">
        <f t="shared" si="3"/>
        <v>7.9580000000000002</v>
      </c>
      <c r="I23" s="8">
        <f t="shared" si="4"/>
        <v>5.9580000000000002</v>
      </c>
      <c r="J23" s="10">
        <f t="shared" si="5"/>
        <v>13.916</v>
      </c>
    </row>
    <row r="24" spans="1:11" ht="15.75" x14ac:dyDescent="0.25">
      <c r="A24" s="18" t="s">
        <v>37</v>
      </c>
      <c r="B24" s="18">
        <v>1.25</v>
      </c>
      <c r="C24" s="18">
        <v>1.25</v>
      </c>
      <c r="D24" s="18"/>
      <c r="E24" s="18"/>
      <c r="F24" s="18"/>
      <c r="G24" s="18"/>
      <c r="H24" s="8">
        <f t="shared" si="3"/>
        <v>9.2080000000000002</v>
      </c>
      <c r="I24" s="8">
        <f t="shared" si="4"/>
        <v>7.2080000000000002</v>
      </c>
      <c r="J24" s="10">
        <f t="shared" si="5"/>
        <v>16.416</v>
      </c>
    </row>
    <row r="25" spans="1:11" ht="15.75" x14ac:dyDescent="0.25">
      <c r="A25" s="18" t="s">
        <v>38</v>
      </c>
      <c r="B25" s="18"/>
      <c r="C25" s="18"/>
      <c r="D25" s="18"/>
      <c r="E25" s="18"/>
      <c r="F25" s="18">
        <v>1</v>
      </c>
      <c r="G25" s="18"/>
      <c r="H25" s="8">
        <f t="shared" si="3"/>
        <v>8.2080000000000002</v>
      </c>
      <c r="I25" s="8">
        <f t="shared" si="4"/>
        <v>7.2080000000000002</v>
      </c>
      <c r="J25" s="10">
        <f t="shared" si="5"/>
        <v>15.416</v>
      </c>
      <c r="K25" s="11" t="s">
        <v>39</v>
      </c>
    </row>
    <row r="26" spans="1:11" ht="15.75" x14ac:dyDescent="0.25">
      <c r="A26" s="18" t="s">
        <v>40</v>
      </c>
      <c r="B26" s="18">
        <v>1.25</v>
      </c>
      <c r="C26" s="18">
        <v>1.25</v>
      </c>
      <c r="D26" s="18"/>
      <c r="E26" s="18"/>
      <c r="F26" s="18"/>
      <c r="G26" s="18"/>
      <c r="H26" s="8">
        <f t="shared" si="3"/>
        <v>9.4580000000000002</v>
      </c>
      <c r="I26" s="8">
        <f t="shared" si="4"/>
        <v>8.4580000000000002</v>
      </c>
      <c r="J26" s="10">
        <f t="shared" si="5"/>
        <v>17.916</v>
      </c>
    </row>
    <row r="27" spans="1:11" ht="15.75" x14ac:dyDescent="0.25">
      <c r="A27" s="18" t="s">
        <v>41</v>
      </c>
      <c r="B27" s="18"/>
      <c r="C27" s="18"/>
      <c r="D27" s="18"/>
      <c r="E27" s="18"/>
      <c r="F27" s="18">
        <v>1</v>
      </c>
      <c r="G27" s="18"/>
      <c r="H27" s="8">
        <f t="shared" si="3"/>
        <v>8.4580000000000002</v>
      </c>
      <c r="I27" s="8">
        <f t="shared" si="4"/>
        <v>8.4580000000000002</v>
      </c>
      <c r="J27" s="10">
        <f t="shared" si="5"/>
        <v>16.916</v>
      </c>
    </row>
    <row r="28" spans="1:11" ht="15.75" x14ac:dyDescent="0.25">
      <c r="A28" s="18" t="s">
        <v>42</v>
      </c>
      <c r="B28" s="18">
        <v>1.25</v>
      </c>
      <c r="C28" s="18">
        <v>1.25</v>
      </c>
      <c r="D28" s="18"/>
      <c r="E28" s="18"/>
      <c r="F28" s="18"/>
      <c r="G28" s="18"/>
      <c r="H28" s="8">
        <f t="shared" si="3"/>
        <v>9.7080000000000002</v>
      </c>
      <c r="I28" s="8">
        <f t="shared" si="4"/>
        <v>9.7080000000000002</v>
      </c>
      <c r="J28" s="10">
        <f t="shared" si="5"/>
        <v>19.416</v>
      </c>
    </row>
    <row r="29" spans="1:11" ht="15.75" x14ac:dyDescent="0.25">
      <c r="A29" s="18" t="s">
        <v>43</v>
      </c>
      <c r="B29" s="18"/>
      <c r="C29" s="18"/>
      <c r="D29" s="18"/>
      <c r="E29" s="18"/>
      <c r="F29" s="18">
        <v>4</v>
      </c>
      <c r="G29" s="18"/>
      <c r="H29" s="8">
        <f t="shared" si="3"/>
        <v>5.7080000000000002</v>
      </c>
      <c r="I29" s="8">
        <f t="shared" si="4"/>
        <v>9.7080000000000002</v>
      </c>
      <c r="J29" s="10">
        <f t="shared" si="5"/>
        <v>15.416</v>
      </c>
    </row>
    <row r="30" spans="1:11" ht="15.75" x14ac:dyDescent="0.25">
      <c r="A30" s="18" t="s">
        <v>44</v>
      </c>
      <c r="B30" s="18"/>
      <c r="C30" s="18"/>
      <c r="D30" s="18"/>
      <c r="E30" s="18">
        <v>2</v>
      </c>
      <c r="F30" s="18"/>
      <c r="G30" s="18"/>
      <c r="H30" s="8">
        <f t="shared" si="3"/>
        <v>5.7080000000000002</v>
      </c>
      <c r="I30" s="8">
        <f t="shared" si="4"/>
        <v>7.7080000000000002</v>
      </c>
      <c r="J30" s="10">
        <f t="shared" si="5"/>
        <v>13.416</v>
      </c>
    </row>
    <row r="31" spans="1:11" ht="15.75" x14ac:dyDescent="0.25">
      <c r="A31" s="18" t="s">
        <v>45</v>
      </c>
      <c r="B31" s="18"/>
      <c r="C31" s="18"/>
      <c r="D31" s="18"/>
      <c r="E31" s="18"/>
      <c r="F31" s="18">
        <v>1</v>
      </c>
      <c r="G31" s="18"/>
      <c r="H31" s="8">
        <f t="shared" si="3"/>
        <v>4.7080000000000002</v>
      </c>
      <c r="I31" s="8">
        <f t="shared" si="4"/>
        <v>7.7080000000000002</v>
      </c>
      <c r="J31" s="10">
        <f t="shared" si="5"/>
        <v>12.416</v>
      </c>
    </row>
    <row r="32" spans="1:11" ht="18.75" x14ac:dyDescent="0.25">
      <c r="A32" s="18" t="s">
        <v>46</v>
      </c>
      <c r="B32" s="18">
        <v>0.58299999999999996</v>
      </c>
      <c r="C32" s="18">
        <v>0.58299999999999996</v>
      </c>
      <c r="D32" s="18"/>
      <c r="E32" s="18"/>
      <c r="F32" s="18"/>
      <c r="G32" s="18"/>
      <c r="H32" s="8">
        <f t="shared" si="3"/>
        <v>5.2910000000000004</v>
      </c>
      <c r="I32" s="8">
        <f t="shared" si="4"/>
        <v>8.2910000000000004</v>
      </c>
      <c r="J32" s="57">
        <f t="shared" si="5"/>
        <v>13.582000000000001</v>
      </c>
    </row>
    <row r="33" spans="1:10" ht="15.75" customHeight="1" x14ac:dyDescent="0.25">
      <c r="A33" s="56" t="s">
        <v>53</v>
      </c>
      <c r="B33" s="56"/>
      <c r="C33" s="56"/>
      <c r="D33" s="56"/>
      <c r="E33" s="56"/>
      <c r="F33" s="56"/>
      <c r="G33" s="56"/>
      <c r="H33" s="56"/>
      <c r="I33" s="56"/>
      <c r="J33" s="56"/>
    </row>
    <row r="34" spans="1:10" ht="15.75" customHeight="1" x14ac:dyDescent="0.25">
      <c r="A34" s="60"/>
      <c r="B34" s="60"/>
      <c r="C34" s="60"/>
      <c r="D34" s="60"/>
      <c r="E34" s="60"/>
      <c r="F34" s="60"/>
      <c r="G34" s="60"/>
      <c r="H34" s="60"/>
      <c r="I34" s="60"/>
      <c r="J34" s="60"/>
    </row>
    <row r="35" spans="1:10" ht="15.75" customHeight="1" x14ac:dyDescent="0.25">
      <c r="A35" s="60"/>
      <c r="B35" s="60"/>
      <c r="C35" s="60"/>
      <c r="D35" s="60"/>
      <c r="E35" s="60"/>
      <c r="F35" s="60"/>
      <c r="G35" s="60"/>
      <c r="H35" s="60"/>
      <c r="I35" s="60"/>
      <c r="J35" s="60"/>
    </row>
    <row r="36" spans="1:10" s="1" customFormat="1" x14ac:dyDescent="0.25">
      <c r="B36" s="17"/>
      <c r="C36" s="17"/>
      <c r="D36" s="17"/>
      <c r="E36" s="17"/>
      <c r="F36" s="17"/>
      <c r="G36" s="19" t="s">
        <v>26</v>
      </c>
      <c r="H36" s="17"/>
      <c r="I36" s="17"/>
    </row>
    <row r="37" spans="1:10" s="1" customFormat="1" x14ac:dyDescent="0.25"/>
    <row r="38" spans="1:10" s="1" customFormat="1" x14ac:dyDescent="0.25">
      <c r="H38" s="58" t="s">
        <v>27</v>
      </c>
      <c r="I38" s="59"/>
    </row>
    <row r="39" spans="1:10" s="1" customFormat="1" x14ac:dyDescent="0.25">
      <c r="H39" s="1" t="s">
        <v>28</v>
      </c>
    </row>
    <row r="40" spans="1:10" s="1" customFormat="1" x14ac:dyDescent="0.25">
      <c r="H40" s="1" t="s">
        <v>47</v>
      </c>
    </row>
  </sheetData>
  <mergeCells count="14">
    <mergeCell ref="K13:K14"/>
    <mergeCell ref="A12:J12"/>
    <mergeCell ref="A13:A14"/>
    <mergeCell ref="B13:C13"/>
    <mergeCell ref="D13:G13"/>
    <mergeCell ref="H13:I13"/>
    <mergeCell ref="J13:J14"/>
    <mergeCell ref="A33:J33"/>
    <mergeCell ref="B11:D11"/>
    <mergeCell ref="A4:J4"/>
    <mergeCell ref="A5:J5"/>
    <mergeCell ref="A6:J6"/>
    <mergeCell ref="A7:J7"/>
    <mergeCell ref="B9:D9"/>
  </mergeCells>
  <printOptions horizontalCentered="1"/>
  <pageMargins left="0.45" right="0.45" top="0.25" bottom="0.25" header="0.3" footer="0.3"/>
  <pageSetup paperSize="9" scale="65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VSC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2025-11-06T04:04:38Z</cp:lastPrinted>
  <dcterms:created xsi:type="dcterms:W3CDTF">2023-01-06T00:10:35Z</dcterms:created>
  <dcterms:modified xsi:type="dcterms:W3CDTF">2025-11-06T04:04:56Z</dcterms:modified>
</cp:coreProperties>
</file>