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B1940232-BF1E-4AE9-B914-D3071B4BB2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CTO (2)" sheetId="10" r:id="rId2"/>
    <sheet name="CTO" sheetId="9" r:id="rId3"/>
  </sheets>
  <definedNames>
    <definedName name="_xlnm.Print_Area" localSheetId="2">CTO!$A$1:$L$24</definedName>
    <definedName name="_xlnm.Print_Area" localSheetId="1">'CTO (2)'!$A$1:$L$24</definedName>
    <definedName name="_xlnm.Print_Area" localSheetId="0">'Leave Card (NE)'!$A$1:$J$52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9" l="1"/>
  <c r="J15" i="9" l="1"/>
  <c r="J17" i="9" l="1"/>
  <c r="J14" i="9" l="1"/>
  <c r="C14" i="6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B14" i="6"/>
  <c r="H14" i="6" s="1"/>
  <c r="H15" i="6" s="1"/>
  <c r="H16" i="6" s="1"/>
  <c r="H17" i="6" s="1"/>
  <c r="H18" i="6" s="1"/>
  <c r="H19" i="6" l="1"/>
  <c r="J18" i="6"/>
  <c r="I24" i="6"/>
  <c r="I25" i="6" s="1"/>
  <c r="I26" i="6" s="1"/>
  <c r="I27" i="6" s="1"/>
  <c r="I28" i="6" s="1"/>
  <c r="I29" i="6" s="1"/>
  <c r="J14" i="6"/>
  <c r="H20" i="6" l="1"/>
  <c r="J19" i="6"/>
  <c r="I30" i="6"/>
  <c r="J15" i="6"/>
  <c r="J20" i="6" l="1"/>
  <c r="H21" i="6"/>
  <c r="I31" i="6"/>
  <c r="J16" i="6"/>
  <c r="H22" i="6" l="1"/>
  <c r="J21" i="6"/>
  <c r="I32" i="6"/>
  <c r="J17" i="6"/>
  <c r="H23" i="6" l="1"/>
  <c r="J22" i="6"/>
  <c r="I33" i="6"/>
  <c r="H24" i="6" l="1"/>
  <c r="J23" i="6"/>
  <c r="I34" i="6"/>
  <c r="H25" i="6" l="1"/>
  <c r="J24" i="6"/>
  <c r="I35" i="6"/>
  <c r="H26" i="6" l="1"/>
  <c r="J25" i="6"/>
  <c r="I36" i="6"/>
  <c r="H27" i="6" l="1"/>
  <c r="J26" i="6"/>
  <c r="I37" i="6"/>
  <c r="J27" i="6" l="1"/>
  <c r="H28" i="6"/>
  <c r="I38" i="6"/>
  <c r="I39" i="6" s="1"/>
  <c r="I40" i="6" s="1"/>
  <c r="I41" i="6" s="1"/>
  <c r="I42" i="6" s="1"/>
  <c r="I43" i="6" s="1"/>
  <c r="I44" i="6" s="1"/>
  <c r="I45" i="6" s="1"/>
  <c r="H29" i="6" l="1"/>
  <c r="J28" i="6"/>
  <c r="H30" i="6" l="1"/>
  <c r="J29" i="6"/>
  <c r="H31" i="6" l="1"/>
  <c r="J30" i="6"/>
  <c r="J31" i="6" l="1"/>
  <c r="H32" i="6"/>
  <c r="H33" i="6" l="1"/>
  <c r="J32" i="6"/>
  <c r="H34" i="6" l="1"/>
  <c r="J33" i="6"/>
  <c r="J34" i="6" l="1"/>
  <c r="H35" i="6"/>
  <c r="H36" i="6" l="1"/>
  <c r="J35" i="6"/>
  <c r="H37" i="6" l="1"/>
  <c r="J36" i="6"/>
  <c r="J37" i="6" l="1"/>
  <c r="H38" i="6"/>
  <c r="H39" i="6" l="1"/>
  <c r="J38" i="6"/>
  <c r="J39" i="6" l="1"/>
  <c r="H40" i="6"/>
  <c r="J40" i="6" l="1"/>
  <c r="H41" i="6"/>
  <c r="J41" i="6" l="1"/>
  <c r="H42" i="6"/>
  <c r="H43" i="6" l="1"/>
  <c r="J42" i="6"/>
  <c r="H44" i="6" l="1"/>
  <c r="J43" i="6"/>
  <c r="H45" i="6" l="1"/>
  <c r="J45" i="6" s="1"/>
  <c r="J44" i="6"/>
</calcChain>
</file>

<file path=xl/sharedStrings.xml><?xml version="1.0" encoding="utf-8"?>
<sst xmlns="http://schemas.openxmlformats.org/spreadsheetml/2006/main" count="119" uniqueCount="74">
  <si>
    <t>Republic of the Philippines</t>
  </si>
  <si>
    <t>Department of Education</t>
  </si>
  <si>
    <t>REGION VI-WESTERN VISAYAS</t>
  </si>
  <si>
    <t>SCHOOLS DIVISION OF SIPALAY CITY</t>
  </si>
  <si>
    <t>EMP. NO  :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</si>
  <si>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</si>
  <si>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</si>
  <si>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</si>
  <si>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</si>
  <si>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</si>
  <si>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</si>
  <si>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</si>
  <si>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</si>
  <si>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</si>
  <si>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</si>
  <si>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PRIVILEGE</t>
  </si>
  <si>
    <t>DATE OF ORIGINAL APPOINTMENT: SEPTEMBER 16, 2019</t>
  </si>
  <si>
    <t>ADD: 09/16/2019 - 9/30/2019</t>
  </si>
  <si>
    <t>ADD: 10/01/2019 - 12/31/2019</t>
  </si>
  <si>
    <t>LESS: 02/14 &amp; 17/2020</t>
  </si>
  <si>
    <t>ADD: 01/01/2020 - 12/31/2020</t>
  </si>
  <si>
    <t>ADD: 01/01/2021 - 11/30/2021</t>
  </si>
  <si>
    <t>LESS: 12/23, 24, 27, 28 &amp; 31/2021</t>
  </si>
  <si>
    <t>ADD: 12/01/2021 - 12/31/2021</t>
  </si>
  <si>
    <t>ADD: 01/01/22 - 01/31/22</t>
  </si>
  <si>
    <t>LESS: 02/14/22</t>
  </si>
  <si>
    <t>ADD: 02/01/22 - 02/28/22</t>
  </si>
  <si>
    <t>LESS: 03/21/22</t>
  </si>
  <si>
    <t>ADD: 03/01/22 - 03/31/22</t>
  </si>
  <si>
    <t>LESS: 04/18/22</t>
  </si>
  <si>
    <t>ADD: 04/01/22 - 05/31/22</t>
  </si>
  <si>
    <t>LESS: 06/30/22</t>
  </si>
  <si>
    <t>LESS: 07/01/22</t>
  </si>
  <si>
    <t>ADD: 06/01/22 - 06/30/22</t>
  </si>
  <si>
    <t>ADD: 07/01/22 - 08/31/22</t>
  </si>
  <si>
    <t>LESS: 09/05/22</t>
  </si>
  <si>
    <t>LESS: MONETIZATION 2022</t>
  </si>
  <si>
    <t>COMPENSATORY TIME OFF (CTO)</t>
  </si>
  <si>
    <t>Special Order No. and Date Issued</t>
  </si>
  <si>
    <t>No. of Days Granted</t>
  </si>
  <si>
    <t>No. of Days Used</t>
  </si>
  <si>
    <t>Balance</t>
  </si>
  <si>
    <t>ADD: SEPTEMBER 2, 2022</t>
  </si>
  <si>
    <t>S.O. # 072, S. 2022. COMPLETE PROGRESS MONITORING REPORT &amp; INVENTORY OF SLMs &amp; LAS FROM QUARTER 1 TO 4</t>
  </si>
  <si>
    <t>S.O. # 072, S. 2022. COMPLETE PROGRESS MONITORING REPORT &amp; INVENTORY OF SLMs &amp; LAS FROM QUARTER 1 TO 5</t>
  </si>
  <si>
    <t>NOTE:  Valid for one (1) year only</t>
  </si>
  <si>
    <t>Certified Correct:</t>
  </si>
  <si>
    <t>MA. LUISA B. CATIGAN</t>
  </si>
  <si>
    <t>Administrative Officer IV</t>
  </si>
  <si>
    <t>HRMO</t>
  </si>
  <si>
    <t>LESS: NOV. 2,3,4 &amp; 7, 2022</t>
  </si>
  <si>
    <t>Name: _____________________________</t>
  </si>
  <si>
    <t>DISTRICT: ___________________________</t>
  </si>
  <si>
    <t>POSITION: __________________________</t>
  </si>
  <si>
    <t>SCHOOL/OFFICE:_____________________</t>
  </si>
  <si>
    <t>ADD: 09/01/22 - 11/30/22</t>
  </si>
  <si>
    <t>LESS: 12/29/ 22</t>
  </si>
  <si>
    <t>LESS: DEC. 27 &amp; 28, 2022</t>
  </si>
  <si>
    <t>LESS: 12/23 &amp; 27/ 22</t>
  </si>
  <si>
    <t>ADD: 12/01/22 - 12/31/22</t>
  </si>
  <si>
    <t>LESS: JAN. 13, 16 &amp; 17, 2023</t>
  </si>
  <si>
    <t>LESS: FL 2020</t>
  </si>
  <si>
    <t>ADD: 01/01/23 - 02/28/23</t>
  </si>
  <si>
    <t>LESS: MARCH 17, 20 &amp; 21, 2023</t>
  </si>
  <si>
    <t>ADD: 03/01/23 - 03/31/23</t>
  </si>
  <si>
    <t>LESS: 04/11/ 23</t>
  </si>
  <si>
    <t>ADD: 04/01/23 - 04/30/23</t>
  </si>
  <si>
    <t>LESS: 05/12 &amp; 15/ 23</t>
  </si>
  <si>
    <t>LESS: 05/19/ 23</t>
  </si>
  <si>
    <t>LESS: 05/31/2023</t>
  </si>
  <si>
    <t>ADD: OCTOBER 17, 2023</t>
  </si>
  <si>
    <t>SO# 131, S. 2023, NLC 2023</t>
  </si>
  <si>
    <t>LESS: 05/24/2024</t>
  </si>
  <si>
    <t>LESS: 11/4/2024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</si>
</sst>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1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 applyAlignment="1">
      <alignment horizontal="center"/>
    </xf>
    <xf numFmtId="0" fontId="14" fillId="3" borderId="6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2" fillId="0" borderId="0" xfId="0" applyFont="1"/>
    <xf numFmtId="0" fontId="16" fillId="2" borderId="8" xfId="0" applyFont="1" applyFill="1" applyBorder="1" applyAlignment="1">
      <alignment vertical="center" wrapText="1"/>
    </xf>
    <xf numFmtId="0" fontId="16" fillId="2" borderId="13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7" fillId="2" borderId="0" xfId="0" applyFont="1" applyFill="1" applyAlignment="1">
      <alignment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0" xfId="0" applyFont="1" applyFill="1"/>
    <xf numFmtId="0" fontId="17" fillId="2" borderId="7" xfId="0" applyFont="1" applyFill="1" applyBorder="1" applyAlignment="1">
      <alignment vertical="center"/>
    </xf>
    <xf numFmtId="0" fontId="10" fillId="2" borderId="6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  <xf numFmtId="164" fontId="10" fillId="4" borderId="6" xfId="0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12" borderId="11" xfId="0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0" fillId="5" borderId="6" xfId="0" applyNumberFormat="1" applyFont="1" applyFill="1" applyBorder="1" applyAlignment="1">
      <alignment horizontal="center" vertical="center"/>
    </xf>
    <xf numFmtId="164" fontId="10" fillId="2" borderId="6" xfId="0" applyNumberFormat="1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9" fillId="2" borderId="13" xfId="0" applyFont="1" applyFill="1" applyBorder="1" applyAlignment="1">
      <alignment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6" fillId="2" borderId="8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6" fillId="10" borderId="8" xfId="0" applyFont="1" applyFill="1" applyBorder="1" applyAlignment="1">
      <alignment horizontal="center" vertical="center" wrapText="1"/>
    </xf>
    <xf numFmtId="0" fontId="16" fillId="10" borderId="12" xfId="0" applyFont="1" applyFill="1" applyBorder="1" applyAlignment="1">
      <alignment horizontal="center" vertical="center" wrapText="1"/>
    </xf>
    <xf numFmtId="0" fontId="16" fillId="10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49</xdr:row>
      <xdr:rowOff>47626</xdr:rowOff>
    </xdr:from>
    <xdr:to>
      <xdr:col>0</xdr:col>
      <xdr:colOff>3130550</xdr:colOff>
      <xdr:row>51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5725" y="9686926"/>
          <a:ext cx="3044825" cy="9556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HRMO</a:t>
          </a:r>
          <a:endParaRPr lang="en-US" sz="1100"/>
        </a:p>
      </xdr:txBody>
    </xdr:sp>
    <xdr:clientData/>
  </xdr:twoCellAnchor>
  <xdr:twoCellAnchor editAs="oneCell">
    <xdr:from>
      <xdr:col>2</xdr:col>
      <xdr:colOff>647701</xdr:colOff>
      <xdr:row>0</xdr:row>
      <xdr:rowOff>25399</xdr:rowOff>
    </xdr:from>
    <xdr:to>
      <xdr:col>3</xdr:col>
      <xdr:colOff>615951</xdr:colOff>
      <xdr:row>1</xdr:row>
      <xdr:rowOff>6350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A02CA6-7237-436A-BC0E-733A77339F3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451" y="25399"/>
          <a:ext cx="781050" cy="647701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549F542-B6BA-4D71-87AC-6C0B1518B579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BALIBAGOSO, ARMORE</a:t>
          </a: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800DD05-2A24-4B11-B02E-78204182BCB2}"/>
            </a:ext>
          </a:extLst>
        </xdr:cNvPr>
        <xdr:cNvSpPr txBox="1"/>
      </xdr:nvSpPr>
      <xdr:spPr>
        <a:xfrm>
          <a:off x="654051" y="168275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3</xdr:col>
      <xdr:colOff>260350</xdr:colOff>
      <xdr:row>7</xdr:row>
      <xdr:rowOff>25401</xdr:rowOff>
    </xdr:from>
    <xdr:to>
      <xdr:col>5</xdr:col>
      <xdr:colOff>196850</xdr:colOff>
      <xdr:row>8</xdr:row>
      <xdr:rowOff>146785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25F04E3-C2CA-48FF-BD3F-918D994A4771}"/>
            </a:ext>
          </a:extLst>
        </xdr:cNvPr>
        <xdr:cNvSpPr txBox="1"/>
      </xdr:nvSpPr>
      <xdr:spPr>
        <a:xfrm>
          <a:off x="4318000" y="1689101"/>
          <a:ext cx="1562100" cy="2737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493259</xdr:colOff>
      <xdr:row>0</xdr:row>
      <xdr:rowOff>65088</xdr:rowOff>
    </xdr:from>
    <xdr:to>
      <xdr:col>5</xdr:col>
      <xdr:colOff>92076</xdr:colOff>
      <xdr:row>1</xdr:row>
      <xdr:rowOff>22679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B411DF-0D4B-4755-8730-F0EF12FA2C8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7509" y="65088"/>
          <a:ext cx="722767" cy="624341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606651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5DB7B4C-4413-41A0-BF76-8DC487F1638C}"/>
            </a:ext>
          </a:extLst>
        </xdr:cNvPr>
        <xdr:cNvSpPr txBox="1"/>
      </xdr:nvSpPr>
      <xdr:spPr>
        <a:xfrm>
          <a:off x="573942" y="1371111"/>
          <a:ext cx="172815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BALIBAGOSO, ARMORE</a:t>
          </a: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4859378-AAAB-41B8-8DB9-C98C7E3EDF7F}"/>
            </a:ext>
          </a:extLst>
        </xdr:cNvPr>
        <xdr:cNvSpPr txBox="1"/>
      </xdr:nvSpPr>
      <xdr:spPr>
        <a:xfrm>
          <a:off x="654051" y="1676401"/>
          <a:ext cx="1038224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79C2BEC-30F0-4B50-B525-7D4689C4A767}"/>
            </a:ext>
          </a:extLst>
        </xdr:cNvPr>
        <xdr:cNvSpPr txBox="1"/>
      </xdr:nvSpPr>
      <xdr:spPr>
        <a:xfrm>
          <a:off x="3441473" y="1699760"/>
          <a:ext cx="167005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493259</xdr:colOff>
      <xdr:row>0</xdr:row>
      <xdr:rowOff>65088</xdr:rowOff>
    </xdr:from>
    <xdr:to>
      <xdr:col>5</xdr:col>
      <xdr:colOff>92076</xdr:colOff>
      <xdr:row>1</xdr:row>
      <xdr:rowOff>22679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966C3A-CE02-494F-BBD3-2A63916B25F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9152" y="65088"/>
          <a:ext cx="772433" cy="6266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606651</xdr:colOff>
      <xdr:row>6</xdr:row>
      <xdr:rowOff>116010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B0FC0B7-4FD6-440E-A70F-581391DF07E2}"/>
            </a:ext>
          </a:extLst>
        </xdr:cNvPr>
        <xdr:cNvSpPr txBox="1"/>
      </xdr:nvSpPr>
      <xdr:spPr>
        <a:xfrm>
          <a:off x="573942" y="1384265"/>
          <a:ext cx="1801638" cy="2512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BALIBAGOSO, ARMORE</a:t>
          </a: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81831CD-6546-45ED-81F9-AF9BC516BDB5}"/>
            </a:ext>
          </a:extLst>
        </xdr:cNvPr>
        <xdr:cNvSpPr txBox="1"/>
      </xdr:nvSpPr>
      <xdr:spPr>
        <a:xfrm>
          <a:off x="654051" y="168275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569A55B-9D94-4889-87D4-1BABE47381AC}"/>
            </a:ext>
          </a:extLst>
        </xdr:cNvPr>
        <xdr:cNvSpPr txBox="1"/>
      </xdr:nvSpPr>
      <xdr:spPr>
        <a:xfrm>
          <a:off x="3520394" y="1714955"/>
          <a:ext cx="1722438" cy="2744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view="pageBreakPreview" topLeftCell="A6" zoomScaleNormal="100" workbookViewId="0">
      <selection activeCell="A45" sqref="A45"/>
    </sheetView>
  </sheetViews>
  <sheetFormatPr defaultColWidth="9" defaultRowHeight="15"/>
  <cols>
    <col min="1" max="1" width="50.5703125" customWidth="1"/>
    <col min="2" max="2" width="11.5703125" style="3" customWidth="1"/>
    <col min="3" max="3" width="11.5703125" style="4" customWidth="1"/>
    <col min="4" max="4" width="11.5703125" style="3" customWidth="1"/>
    <col min="5" max="5" width="11.5703125" style="4" customWidth="1"/>
    <col min="6" max="6" width="11.5703125" style="5" customWidth="1"/>
    <col min="7" max="7" width="11.5703125" customWidth="1"/>
    <col min="8" max="8" width="11.5703125" style="3" customWidth="1"/>
    <col min="9" max="9" width="11.5703125" style="4" customWidth="1"/>
    <col min="10" max="10" width="11.5703125" customWidth="1"/>
    <col min="11" max="11" width="3.140625" customWidth="1"/>
  </cols>
  <sheetData>
    <row r="1" spans="1:10" s="1" customFormat="1" ht="52.5" customHeight="1"/>
    <row r="2" spans="1:10" s="1" customFormat="1" ht="10.5" customHeight="1">
      <c r="A2" s="54" t="s">
        <v>0</v>
      </c>
      <c r="B2" s="54"/>
      <c r="C2" s="54"/>
      <c r="D2" s="54"/>
      <c r="E2" s="54"/>
      <c r="F2" s="54"/>
      <c r="G2" s="54"/>
      <c r="H2" s="54"/>
      <c r="I2" s="54"/>
      <c r="J2" s="54"/>
    </row>
    <row r="3" spans="1:10" s="1" customFormat="1" ht="15.95" customHeight="1">
      <c r="A3" s="54" t="s">
        <v>1</v>
      </c>
      <c r="B3" s="54"/>
      <c r="C3" s="54"/>
      <c r="D3" s="54"/>
      <c r="E3" s="54"/>
      <c r="F3" s="54"/>
      <c r="G3" s="54"/>
      <c r="H3" s="54"/>
      <c r="I3" s="54"/>
      <c r="J3" s="54"/>
    </row>
    <row r="4" spans="1:10" s="1" customFormat="1" ht="15.95" customHeight="1">
      <c r="A4" s="54" t="s">
        <v>2</v>
      </c>
      <c r="B4" s="54"/>
      <c r="C4" s="54"/>
      <c r="D4" s="54"/>
      <c r="E4" s="54"/>
      <c r="F4" s="54"/>
      <c r="G4" s="54"/>
      <c r="H4" s="54"/>
      <c r="I4" s="54"/>
      <c r="J4" s="54"/>
    </row>
    <row r="5" spans="1:10" s="1" customFormat="1" ht="15.95" customHeight="1">
      <c r="A5" s="54" t="s">
        <v>3</v>
      </c>
      <c r="B5" s="54"/>
      <c r="C5" s="54"/>
      <c r="D5" s="54"/>
      <c r="E5" s="54"/>
      <c r="F5" s="54"/>
      <c r="G5" s="54"/>
      <c r="H5" s="54"/>
      <c r="I5" s="54"/>
      <c r="J5" s="54"/>
    </row>
    <row r="6" spans="1:10" s="1" customFormat="1" ht="8.25" customHeight="1"/>
    <row r="7" spans="1:10" s="1" customFormat="1" ht="12" customHeight="1">
      <c r="A7" s="1" t="s">
        <v>51</v>
      </c>
      <c r="C7" s="19" t="s">
        <v>52</v>
      </c>
      <c r="D7" s="19"/>
      <c r="G7" s="19" t="s">
        <v>4</v>
      </c>
      <c r="H7" s="20"/>
    </row>
    <row r="8" spans="1:10" s="1" customFormat="1" ht="12" customHeight="1">
      <c r="C8" s="21"/>
      <c r="G8" s="21"/>
      <c r="H8" s="21"/>
    </row>
    <row r="9" spans="1:10" s="1" customFormat="1" ht="12" customHeight="1">
      <c r="A9" s="1" t="s">
        <v>53</v>
      </c>
      <c r="C9" s="19" t="s">
        <v>54</v>
      </c>
      <c r="D9" s="19"/>
      <c r="G9" s="19" t="s">
        <v>5</v>
      </c>
      <c r="H9" s="22"/>
    </row>
    <row r="10" spans="1:10" ht="16.5" customHeight="1">
      <c r="A10" s="55" t="s">
        <v>6</v>
      </c>
      <c r="B10" s="55"/>
      <c r="C10" s="55"/>
      <c r="D10" s="55"/>
      <c r="E10" s="55"/>
      <c r="F10" s="55"/>
      <c r="G10" s="55"/>
      <c r="H10" s="55"/>
      <c r="I10" s="55"/>
      <c r="J10" s="55"/>
    </row>
    <row r="11" spans="1:10" s="2" customFormat="1" ht="15" customHeight="1">
      <c r="A11" s="49" t="s">
        <v>7</v>
      </c>
      <c r="B11" s="50" t="s">
        <v>8</v>
      </c>
      <c r="C11" s="50"/>
      <c r="D11" s="51" t="s">
        <v>9</v>
      </c>
      <c r="E11" s="51"/>
      <c r="F11" s="51"/>
      <c r="G11" s="51"/>
      <c r="H11" s="52" t="s">
        <v>10</v>
      </c>
      <c r="I11" s="52"/>
      <c r="J11" s="49" t="s">
        <v>11</v>
      </c>
    </row>
    <row r="12" spans="1:10" s="2" customFormat="1" ht="15" customHeight="1">
      <c r="A12" s="49"/>
      <c r="B12" s="7" t="s">
        <v>12</v>
      </c>
      <c r="C12" s="8" t="s">
        <v>13</v>
      </c>
      <c r="D12" s="7" t="s">
        <v>12</v>
      </c>
      <c r="E12" s="8" t="s">
        <v>13</v>
      </c>
      <c r="F12" s="9" t="s">
        <v>14</v>
      </c>
      <c r="G12" s="10" t="s">
        <v>15</v>
      </c>
      <c r="H12" s="7" t="s">
        <v>12</v>
      </c>
      <c r="I12" s="8" t="s">
        <v>13</v>
      </c>
      <c r="J12" s="49"/>
    </row>
    <row r="13" spans="1:10" s="2" customFormat="1" ht="15" customHeight="1">
      <c r="A13" s="53" t="s">
        <v>16</v>
      </c>
      <c r="B13" s="53"/>
      <c r="C13" s="53"/>
      <c r="D13" s="53"/>
      <c r="E13" s="53"/>
      <c r="F13" s="53"/>
      <c r="G13" s="53"/>
      <c r="H13" s="53"/>
      <c r="I13" s="53"/>
      <c r="J13" s="53"/>
    </row>
    <row r="14" spans="1:10" s="2" customFormat="1" ht="15" customHeight="1">
      <c r="A14" s="23" t="s">
        <v>17</v>
      </c>
      <c r="B14" s="29">
        <f>SUM(1.25/30)*15</f>
        <v>0.625</v>
      </c>
      <c r="C14" s="30">
        <f>SUM(1.25/30)*15</f>
        <v>0.625</v>
      </c>
      <c r="D14" s="29"/>
      <c r="E14" s="30"/>
      <c r="F14" s="41"/>
      <c r="G14" s="42"/>
      <c r="H14" s="29">
        <f>B14</f>
        <v>0.625</v>
      </c>
      <c r="I14" s="30">
        <f>C14</f>
        <v>0.625</v>
      </c>
      <c r="J14" s="42">
        <f>H14+I14</f>
        <v>1.25</v>
      </c>
    </row>
    <row r="15" spans="1:10" s="13" customFormat="1" ht="15" customHeight="1">
      <c r="A15" s="27" t="s">
        <v>18</v>
      </c>
      <c r="B15" s="29">
        <v>3.75</v>
      </c>
      <c r="C15" s="30">
        <v>3.75</v>
      </c>
      <c r="D15" s="29"/>
      <c r="E15" s="30"/>
      <c r="F15" s="41"/>
      <c r="G15" s="42"/>
      <c r="H15" s="29">
        <f>H14-F15-D15+B15</f>
        <v>4.375</v>
      </c>
      <c r="I15" s="30">
        <f>I14-E15+C15</f>
        <v>4.375</v>
      </c>
      <c r="J15" s="42">
        <f>H15+I15</f>
        <v>8.75</v>
      </c>
    </row>
    <row r="16" spans="1:10" s="13" customFormat="1" ht="15" customHeight="1">
      <c r="A16" s="27" t="s">
        <v>19</v>
      </c>
      <c r="B16" s="29"/>
      <c r="C16" s="30"/>
      <c r="D16" s="29"/>
      <c r="E16" s="30"/>
      <c r="F16" s="41">
        <v>2</v>
      </c>
      <c r="G16" s="42"/>
      <c r="H16" s="29">
        <f t="shared" ref="H16:H17" si="0">H15-F16-D16+B16</f>
        <v>2.375</v>
      </c>
      <c r="I16" s="30">
        <f t="shared" ref="I16:I17" si="1">I15-E16+C16</f>
        <v>4.375</v>
      </c>
      <c r="J16" s="42">
        <f t="shared" ref="J16:J17" si="2">H16+I16</f>
        <v>6.75</v>
      </c>
    </row>
    <row r="17" spans="1:10" s="13" customFormat="1" ht="15" customHeight="1">
      <c r="A17" s="27" t="s">
        <v>20</v>
      </c>
      <c r="B17" s="29">
        <v>15</v>
      </c>
      <c r="C17" s="30">
        <v>15</v>
      </c>
      <c r="D17" s="29"/>
      <c r="E17" s="30"/>
      <c r="F17" s="41"/>
      <c r="G17" s="42"/>
      <c r="H17" s="29">
        <f t="shared" si="0"/>
        <v>17.375</v>
      </c>
      <c r="I17" s="30">
        <f t="shared" si="1"/>
        <v>19.375</v>
      </c>
      <c r="J17" s="42">
        <f t="shared" si="2"/>
        <v>36.75</v>
      </c>
    </row>
    <row r="18" spans="1:10" s="13" customFormat="1" ht="15" customHeight="1">
      <c r="A18" s="35" t="s">
        <v>61</v>
      </c>
      <c r="B18" s="29"/>
      <c r="C18" s="30"/>
      <c r="D18" s="29"/>
      <c r="E18" s="30"/>
      <c r="F18" s="41">
        <v>3</v>
      </c>
      <c r="G18" s="42"/>
      <c r="H18" s="29">
        <f t="shared" ref="H18:H19" si="3">H17-F18-D18+B18</f>
        <v>14.375</v>
      </c>
      <c r="I18" s="30">
        <f t="shared" ref="I18:I19" si="4">I17-E18+C18</f>
        <v>19.375</v>
      </c>
      <c r="J18" s="42">
        <f t="shared" ref="J18:J19" si="5">H18+I18</f>
        <v>33.75</v>
      </c>
    </row>
    <row r="19" spans="1:10" s="13" customFormat="1" ht="15" customHeight="1">
      <c r="A19" s="27" t="s">
        <v>21</v>
      </c>
      <c r="B19" s="29">
        <v>13.75</v>
      </c>
      <c r="C19" s="30">
        <v>13.75</v>
      </c>
      <c r="D19" s="29"/>
      <c r="E19" s="30"/>
      <c r="F19" s="41"/>
      <c r="G19" s="42"/>
      <c r="H19" s="29">
        <f t="shared" si="3"/>
        <v>28.125</v>
      </c>
      <c r="I19" s="30">
        <f t="shared" si="4"/>
        <v>33.125</v>
      </c>
      <c r="J19" s="42">
        <f t="shared" si="5"/>
        <v>61.25</v>
      </c>
    </row>
    <row r="20" spans="1:10" s="13" customFormat="1" ht="15" customHeight="1">
      <c r="A20" s="27" t="s">
        <v>22</v>
      </c>
      <c r="B20" s="29"/>
      <c r="C20" s="30"/>
      <c r="D20" s="29"/>
      <c r="E20" s="30"/>
      <c r="F20" s="41">
        <v>5</v>
      </c>
      <c r="G20" s="42"/>
      <c r="H20" s="29">
        <f t="shared" ref="H20:H38" si="6">H19-F20-D20+B20</f>
        <v>23.125</v>
      </c>
      <c r="I20" s="30">
        <f t="shared" ref="I20:I38" si="7">I19-E20+C20</f>
        <v>33.125</v>
      </c>
      <c r="J20" s="42">
        <f t="shared" ref="J20:J38" si="8">H20+I20</f>
        <v>56.25</v>
      </c>
    </row>
    <row r="21" spans="1:10" s="13" customFormat="1" ht="15" customHeight="1">
      <c r="A21" s="27" t="s">
        <v>23</v>
      </c>
      <c r="B21" s="29">
        <v>1.25</v>
      </c>
      <c r="C21" s="30">
        <v>1.25</v>
      </c>
      <c r="D21" s="29"/>
      <c r="E21" s="30"/>
      <c r="F21" s="41"/>
      <c r="G21" s="42"/>
      <c r="H21" s="29">
        <f t="shared" si="6"/>
        <v>24.375</v>
      </c>
      <c r="I21" s="30">
        <f t="shared" si="7"/>
        <v>34.375</v>
      </c>
      <c r="J21" s="42">
        <f t="shared" si="8"/>
        <v>58.75</v>
      </c>
    </row>
    <row r="22" spans="1:10" s="13" customFormat="1" ht="15" customHeight="1">
      <c r="A22" s="28" t="s">
        <v>24</v>
      </c>
      <c r="B22" s="29">
        <v>1.25</v>
      </c>
      <c r="C22" s="30">
        <v>1.25</v>
      </c>
      <c r="D22" s="29"/>
      <c r="E22" s="30"/>
      <c r="F22" s="41"/>
      <c r="G22" s="42"/>
      <c r="H22" s="29">
        <f t="shared" si="6"/>
        <v>25.625</v>
      </c>
      <c r="I22" s="30">
        <f t="shared" si="7"/>
        <v>35.625</v>
      </c>
      <c r="J22" s="42">
        <f t="shared" si="8"/>
        <v>61.25</v>
      </c>
    </row>
    <row r="23" spans="1:10" s="13" customFormat="1" ht="15" customHeight="1">
      <c r="A23" s="28" t="s">
        <v>25</v>
      </c>
      <c r="B23" s="29"/>
      <c r="C23" s="30"/>
      <c r="D23" s="29"/>
      <c r="E23" s="30"/>
      <c r="F23" s="41">
        <v>1</v>
      </c>
      <c r="G23" s="42"/>
      <c r="H23" s="29">
        <f t="shared" si="6"/>
        <v>24.625</v>
      </c>
      <c r="I23" s="30">
        <f t="shared" si="7"/>
        <v>35.625</v>
      </c>
      <c r="J23" s="42">
        <f t="shared" si="8"/>
        <v>60.25</v>
      </c>
    </row>
    <row r="24" spans="1:10" s="13" customFormat="1" ht="15" customHeight="1">
      <c r="A24" s="28" t="s">
        <v>26</v>
      </c>
      <c r="B24" s="29">
        <v>1.25</v>
      </c>
      <c r="C24" s="30">
        <v>1.25</v>
      </c>
      <c r="D24" s="29"/>
      <c r="E24" s="30"/>
      <c r="F24" s="41"/>
      <c r="G24" s="42"/>
      <c r="H24" s="29">
        <f t="shared" si="6"/>
        <v>25.875</v>
      </c>
      <c r="I24" s="30">
        <f t="shared" si="7"/>
        <v>36.875</v>
      </c>
      <c r="J24" s="42">
        <f t="shared" si="8"/>
        <v>62.75</v>
      </c>
    </row>
    <row r="25" spans="1:10" ht="15" customHeight="1">
      <c r="A25" s="28" t="s">
        <v>27</v>
      </c>
      <c r="B25" s="29"/>
      <c r="C25" s="30"/>
      <c r="D25" s="29"/>
      <c r="E25" s="30"/>
      <c r="F25" s="41">
        <v>1</v>
      </c>
      <c r="G25" s="42"/>
      <c r="H25" s="29">
        <f t="shared" si="6"/>
        <v>24.875</v>
      </c>
      <c r="I25" s="30">
        <f t="shared" si="7"/>
        <v>36.875</v>
      </c>
      <c r="J25" s="42">
        <f t="shared" si="8"/>
        <v>61.75</v>
      </c>
    </row>
    <row r="26" spans="1:10" ht="15" customHeight="1">
      <c r="A26" s="28" t="s">
        <v>28</v>
      </c>
      <c r="B26" s="29">
        <v>1.25</v>
      </c>
      <c r="C26" s="30">
        <v>1.25</v>
      </c>
      <c r="D26" s="29"/>
      <c r="E26" s="30"/>
      <c r="F26" s="41"/>
      <c r="G26" s="42"/>
      <c r="H26" s="29">
        <f t="shared" si="6"/>
        <v>26.125</v>
      </c>
      <c r="I26" s="30">
        <f t="shared" si="7"/>
        <v>38.125</v>
      </c>
      <c r="J26" s="42">
        <f t="shared" si="8"/>
        <v>64.25</v>
      </c>
    </row>
    <row r="27" spans="1:10" ht="15" customHeight="1">
      <c r="A27" s="28" t="s">
        <v>29</v>
      </c>
      <c r="B27" s="29"/>
      <c r="C27" s="30"/>
      <c r="D27" s="29"/>
      <c r="E27" s="30"/>
      <c r="F27" s="41"/>
      <c r="G27" s="43">
        <v>1</v>
      </c>
      <c r="H27" s="29">
        <f t="shared" si="6"/>
        <v>26.125</v>
      </c>
      <c r="I27" s="30">
        <f t="shared" si="7"/>
        <v>38.125</v>
      </c>
      <c r="J27" s="42">
        <f t="shared" si="8"/>
        <v>64.25</v>
      </c>
    </row>
    <row r="28" spans="1:10" ht="15" customHeight="1">
      <c r="A28" s="28" t="s">
        <v>30</v>
      </c>
      <c r="B28" s="29">
        <v>2.5</v>
      </c>
      <c r="C28" s="30">
        <v>2.5</v>
      </c>
      <c r="D28" s="29"/>
      <c r="E28" s="30"/>
      <c r="F28" s="41"/>
      <c r="G28" s="43"/>
      <c r="H28" s="29">
        <f t="shared" si="6"/>
        <v>28.625</v>
      </c>
      <c r="I28" s="30">
        <f t="shared" si="7"/>
        <v>40.625</v>
      </c>
      <c r="J28" s="42">
        <f t="shared" si="8"/>
        <v>69.25</v>
      </c>
    </row>
    <row r="29" spans="1:10" ht="15" customHeight="1">
      <c r="A29" s="28" t="s">
        <v>31</v>
      </c>
      <c r="B29" s="29"/>
      <c r="C29" s="30"/>
      <c r="D29" s="29"/>
      <c r="E29" s="30"/>
      <c r="F29" s="41">
        <v>1</v>
      </c>
      <c r="G29" s="43"/>
      <c r="H29" s="29">
        <f t="shared" si="6"/>
        <v>27.625</v>
      </c>
      <c r="I29" s="30">
        <f t="shared" si="7"/>
        <v>40.625</v>
      </c>
      <c r="J29" s="42">
        <f t="shared" si="8"/>
        <v>68.25</v>
      </c>
    </row>
    <row r="30" spans="1:10" ht="15" customHeight="1">
      <c r="A30" s="28" t="s">
        <v>32</v>
      </c>
      <c r="B30" s="29"/>
      <c r="C30" s="30"/>
      <c r="D30" s="29"/>
      <c r="E30" s="30"/>
      <c r="F30" s="41"/>
      <c r="G30" s="43">
        <v>1</v>
      </c>
      <c r="H30" s="29">
        <f t="shared" si="6"/>
        <v>27.625</v>
      </c>
      <c r="I30" s="30">
        <f t="shared" si="7"/>
        <v>40.625</v>
      </c>
      <c r="J30" s="42">
        <f t="shared" si="8"/>
        <v>68.25</v>
      </c>
    </row>
    <row r="31" spans="1:10" ht="15" customHeight="1">
      <c r="A31" s="28" t="s">
        <v>33</v>
      </c>
      <c r="B31" s="29">
        <v>1.25</v>
      </c>
      <c r="C31" s="30">
        <v>1.25</v>
      </c>
      <c r="D31" s="29"/>
      <c r="E31" s="30"/>
      <c r="F31" s="41"/>
      <c r="G31" s="43"/>
      <c r="H31" s="29">
        <f t="shared" si="6"/>
        <v>28.875</v>
      </c>
      <c r="I31" s="30">
        <f t="shared" si="7"/>
        <v>41.875</v>
      </c>
      <c r="J31" s="42">
        <f t="shared" si="8"/>
        <v>70.75</v>
      </c>
    </row>
    <row r="32" spans="1:10" ht="15" customHeight="1">
      <c r="A32" s="28" t="s">
        <v>34</v>
      </c>
      <c r="B32" s="29">
        <v>2.5</v>
      </c>
      <c r="C32" s="30">
        <v>2.5</v>
      </c>
      <c r="D32" s="29"/>
      <c r="E32" s="30"/>
      <c r="F32" s="41"/>
      <c r="G32" s="43"/>
      <c r="H32" s="29">
        <f t="shared" si="6"/>
        <v>31.375</v>
      </c>
      <c r="I32" s="30">
        <f t="shared" si="7"/>
        <v>44.375</v>
      </c>
      <c r="J32" s="42">
        <f t="shared" si="8"/>
        <v>75.75</v>
      </c>
    </row>
    <row r="33" spans="1:10" s="1" customFormat="1" ht="15" customHeight="1">
      <c r="A33" s="28" t="s">
        <v>35</v>
      </c>
      <c r="B33" s="29"/>
      <c r="C33" s="30"/>
      <c r="D33" s="29"/>
      <c r="E33" s="30">
        <v>1</v>
      </c>
      <c r="F33" s="41"/>
      <c r="G33" s="43"/>
      <c r="H33" s="29">
        <f t="shared" si="6"/>
        <v>31.375</v>
      </c>
      <c r="I33" s="30">
        <f t="shared" si="7"/>
        <v>43.375</v>
      </c>
      <c r="J33" s="42">
        <f t="shared" si="8"/>
        <v>74.75</v>
      </c>
    </row>
    <row r="34" spans="1:10" s="1" customFormat="1" ht="15" customHeight="1">
      <c r="A34" s="28" t="s">
        <v>36</v>
      </c>
      <c r="B34" s="29"/>
      <c r="C34" s="30"/>
      <c r="D34" s="29">
        <v>24</v>
      </c>
      <c r="E34" s="30">
        <v>5</v>
      </c>
      <c r="F34" s="41"/>
      <c r="G34" s="43"/>
      <c r="H34" s="29">
        <f t="shared" si="6"/>
        <v>7.375</v>
      </c>
      <c r="I34" s="30">
        <f t="shared" si="7"/>
        <v>38.375</v>
      </c>
      <c r="J34" s="42">
        <f t="shared" si="8"/>
        <v>45.75</v>
      </c>
    </row>
    <row r="35" spans="1:10" s="1" customFormat="1" ht="15" customHeight="1">
      <c r="A35" s="28" t="s">
        <v>55</v>
      </c>
      <c r="B35" s="29">
        <v>3.75</v>
      </c>
      <c r="C35" s="30">
        <v>3.75</v>
      </c>
      <c r="D35" s="29"/>
      <c r="E35" s="30"/>
      <c r="F35" s="41"/>
      <c r="G35" s="43"/>
      <c r="H35" s="29">
        <f t="shared" si="6"/>
        <v>11.125</v>
      </c>
      <c r="I35" s="30">
        <f t="shared" si="7"/>
        <v>42.125</v>
      </c>
      <c r="J35" s="42">
        <f t="shared" si="8"/>
        <v>53.25</v>
      </c>
    </row>
    <row r="36" spans="1:10" s="1" customFormat="1" ht="15" customHeight="1">
      <c r="A36" s="33" t="s">
        <v>58</v>
      </c>
      <c r="B36" s="29"/>
      <c r="C36" s="30"/>
      <c r="D36" s="29"/>
      <c r="E36" s="30"/>
      <c r="F36" s="41">
        <v>2</v>
      </c>
      <c r="G36" s="43"/>
      <c r="H36" s="29">
        <f t="shared" si="6"/>
        <v>9.125</v>
      </c>
      <c r="I36" s="30">
        <f t="shared" si="7"/>
        <v>42.125</v>
      </c>
      <c r="J36" s="42">
        <f t="shared" si="8"/>
        <v>51.25</v>
      </c>
    </row>
    <row r="37" spans="1:10" s="1" customFormat="1" ht="15" customHeight="1">
      <c r="A37" s="31" t="s">
        <v>56</v>
      </c>
      <c r="B37" s="29"/>
      <c r="C37" s="30"/>
      <c r="D37" s="29"/>
      <c r="E37" s="30"/>
      <c r="F37" s="41"/>
      <c r="G37" s="43">
        <v>1</v>
      </c>
      <c r="H37" s="29">
        <f t="shared" si="6"/>
        <v>9.125</v>
      </c>
      <c r="I37" s="30">
        <f t="shared" si="7"/>
        <v>42.125</v>
      </c>
      <c r="J37" s="42">
        <f t="shared" si="8"/>
        <v>51.25</v>
      </c>
    </row>
    <row r="38" spans="1:10" s="1" customFormat="1" ht="15" customHeight="1">
      <c r="A38" s="34" t="s">
        <v>59</v>
      </c>
      <c r="B38" s="29">
        <v>1.25</v>
      </c>
      <c r="C38" s="30">
        <v>1.25</v>
      </c>
      <c r="D38" s="29"/>
      <c r="E38" s="30"/>
      <c r="F38" s="41"/>
      <c r="G38" s="43"/>
      <c r="H38" s="29">
        <f t="shared" si="6"/>
        <v>10.375</v>
      </c>
      <c r="I38" s="30">
        <f t="shared" si="7"/>
        <v>43.375</v>
      </c>
      <c r="J38" s="42">
        <f t="shared" si="8"/>
        <v>53.75</v>
      </c>
    </row>
    <row r="39" spans="1:10" s="1" customFormat="1" ht="15" customHeight="1">
      <c r="A39" s="36" t="s">
        <v>62</v>
      </c>
      <c r="B39" s="29">
        <v>2.5</v>
      </c>
      <c r="C39" s="30">
        <v>2.5</v>
      </c>
      <c r="D39" s="29"/>
      <c r="E39" s="30"/>
      <c r="F39" s="41"/>
      <c r="G39" s="43"/>
      <c r="H39" s="29">
        <f t="shared" ref="H39" si="9">H38-F39-D39+B39</f>
        <v>12.875</v>
      </c>
      <c r="I39" s="30">
        <f t="shared" ref="I39" si="10">I38-E39+C39</f>
        <v>45.875</v>
      </c>
      <c r="J39" s="42">
        <f t="shared" ref="J39" si="11">H39+I39</f>
        <v>58.75</v>
      </c>
    </row>
    <row r="40" spans="1:10" s="1" customFormat="1" ht="15" customHeight="1">
      <c r="A40" s="37" t="s">
        <v>64</v>
      </c>
      <c r="B40" s="29">
        <v>1.25</v>
      </c>
      <c r="C40" s="30">
        <v>1.25</v>
      </c>
      <c r="D40" s="29"/>
      <c r="E40" s="30"/>
      <c r="F40" s="41"/>
      <c r="G40" s="43"/>
      <c r="H40" s="29">
        <f t="shared" ref="H40:H41" si="12">H39-F40-D40+B40</f>
        <v>14.125</v>
      </c>
      <c r="I40" s="30">
        <f t="shared" ref="I40:I41" si="13">I39-E40+C40</f>
        <v>47.125</v>
      </c>
      <c r="J40" s="42">
        <f t="shared" ref="J40:J41" si="14">H40+I40</f>
        <v>61.25</v>
      </c>
    </row>
    <row r="41" spans="1:10" s="1" customFormat="1" ht="15" customHeight="1">
      <c r="A41" s="37" t="s">
        <v>65</v>
      </c>
      <c r="B41" s="29"/>
      <c r="C41" s="30"/>
      <c r="D41" s="29"/>
      <c r="E41" s="30"/>
      <c r="F41" s="41">
        <v>1</v>
      </c>
      <c r="G41" s="43"/>
      <c r="H41" s="29">
        <f t="shared" si="12"/>
        <v>13.125</v>
      </c>
      <c r="I41" s="30">
        <f t="shared" si="13"/>
        <v>47.125</v>
      </c>
      <c r="J41" s="42">
        <f t="shared" si="14"/>
        <v>60.25</v>
      </c>
    </row>
    <row r="42" spans="1:10" s="1" customFormat="1" ht="15" customHeight="1">
      <c r="A42" s="38" t="s">
        <v>66</v>
      </c>
      <c r="B42" s="29">
        <v>1.25</v>
      </c>
      <c r="C42" s="30">
        <v>1.25</v>
      </c>
      <c r="D42" s="29"/>
      <c r="E42" s="30"/>
      <c r="F42" s="41"/>
      <c r="G42" s="43"/>
      <c r="H42" s="29">
        <f t="shared" ref="H42:H43" si="15">H41-F42-D42+B42</f>
        <v>14.375</v>
      </c>
      <c r="I42" s="30">
        <f t="shared" ref="I42:I43" si="16">I41-E42+C42</f>
        <v>48.375</v>
      </c>
      <c r="J42" s="42">
        <f t="shared" ref="J42:J43" si="17">H42+I42</f>
        <v>62.75</v>
      </c>
    </row>
    <row r="43" spans="1:10" s="1" customFormat="1" ht="15" customHeight="1">
      <c r="A43" s="38" t="s">
        <v>67</v>
      </c>
      <c r="B43" s="29"/>
      <c r="C43" s="30"/>
      <c r="D43" s="29"/>
      <c r="E43" s="30"/>
      <c r="F43" s="41">
        <v>2</v>
      </c>
      <c r="G43" s="43"/>
      <c r="H43" s="29">
        <f t="shared" si="15"/>
        <v>12.375</v>
      </c>
      <c r="I43" s="30">
        <f t="shared" si="16"/>
        <v>48.375</v>
      </c>
      <c r="J43" s="42">
        <f t="shared" si="17"/>
        <v>60.75</v>
      </c>
    </row>
    <row r="44" spans="1:10" s="1" customFormat="1" ht="15" customHeight="1">
      <c r="A44" s="39" t="s">
        <v>68</v>
      </c>
      <c r="B44" s="29"/>
      <c r="C44" s="30"/>
      <c r="D44" s="29"/>
      <c r="E44" s="30"/>
      <c r="F44" s="41"/>
      <c r="G44" s="43">
        <v>1</v>
      </c>
      <c r="H44" s="29">
        <f t="shared" ref="H44" si="18">H43-F44-D44+B44</f>
        <v>12.375</v>
      </c>
      <c r="I44" s="30">
        <f t="shared" ref="I44" si="19">I43-E44+C44</f>
        <v>48.375</v>
      </c>
      <c r="J44" s="42">
        <f t="shared" ref="J44" si="20">H44+I44</f>
        <v>60.75</v>
      </c>
    </row>
    <row r="45" spans="1:10" s="1" customFormat="1" ht="15" customHeight="1">
      <c r="A45" s="40" t="s">
        <v>69</v>
      </c>
      <c r="B45" s="29"/>
      <c r="C45" s="30"/>
      <c r="D45" s="29"/>
      <c r="E45" s="30"/>
      <c r="F45" s="41"/>
      <c r="G45" s="43">
        <v>1</v>
      </c>
      <c r="H45" s="29">
        <f t="shared" ref="H45" si="21">H44-F45-D45+B45</f>
        <v>12.375</v>
      </c>
      <c r="I45" s="30">
        <f t="shared" ref="I45" si="22">I44-E45+C45</f>
        <v>48.375</v>
      </c>
      <c r="J45" s="42">
        <f t="shared" ref="J45" si="23">H45+I45</f>
        <v>60.75</v>
      </c>
    </row>
    <row r="46" spans="1:10" s="1" customFormat="1" ht="15" customHeight="1">
      <c r="A46" s="37"/>
      <c r="B46" s="29"/>
      <c r="C46" s="30"/>
      <c r="D46" s="29"/>
      <c r="E46" s="30"/>
      <c r="F46" s="41"/>
      <c r="G46" s="43"/>
      <c r="H46" s="29"/>
      <c r="I46" s="30"/>
      <c r="J46" s="42"/>
    </row>
    <row r="47" spans="1:10" s="1" customFormat="1" ht="15" customHeight="1">
      <c r="A47" s="37"/>
      <c r="B47" s="29"/>
      <c r="C47" s="30"/>
      <c r="D47" s="29"/>
      <c r="E47" s="30"/>
      <c r="F47" s="41"/>
      <c r="G47" s="43"/>
      <c r="H47" s="29"/>
      <c r="I47" s="30"/>
      <c r="J47" s="42"/>
    </row>
    <row r="48" spans="1:10" s="1" customFormat="1" ht="15" customHeight="1">
      <c r="A48" s="37"/>
      <c r="B48" s="29"/>
      <c r="C48" s="30"/>
      <c r="D48" s="29"/>
      <c r="E48" s="30"/>
      <c r="F48" s="41"/>
      <c r="G48" s="43"/>
      <c r="H48" s="29"/>
      <c r="I48" s="30"/>
      <c r="J48" s="42"/>
    </row>
    <row r="49" spans="1:10" s="1" customFormat="1" ht="15" customHeight="1">
      <c r="A49" s="37"/>
      <c r="B49" s="24"/>
      <c r="C49" s="25"/>
      <c r="D49" s="24"/>
      <c r="E49" s="25"/>
      <c r="F49" s="26"/>
      <c r="G49" s="23"/>
      <c r="H49" s="24"/>
      <c r="I49" s="25"/>
      <c r="J49" s="27"/>
    </row>
    <row r="50" spans="1:10" s="1" customFormat="1">
      <c r="A50" s="48"/>
      <c r="B50" s="48"/>
      <c r="C50" s="48"/>
      <c r="D50" s="48"/>
      <c r="E50" s="48"/>
      <c r="F50" s="48"/>
      <c r="G50" s="48"/>
      <c r="H50" s="48"/>
      <c r="I50" s="48"/>
      <c r="J50" s="48"/>
    </row>
    <row r="51" spans="1:10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</sheetData>
  <mergeCells count="12">
    <mergeCell ref="A2:J2"/>
    <mergeCell ref="A3:J3"/>
    <mergeCell ref="A4:J4"/>
    <mergeCell ref="A5:J5"/>
    <mergeCell ref="A10:J10"/>
    <mergeCell ref="A50:J50"/>
    <mergeCell ref="A11:A12"/>
    <mergeCell ref="J11:J12"/>
    <mergeCell ref="B11:C11"/>
    <mergeCell ref="D11:G11"/>
    <mergeCell ref="H11:I11"/>
    <mergeCell ref="A13:J13"/>
  </mergeCells>
  <printOptions horizontalCentered="1"/>
  <pageMargins left="0.25" right="0.25" top="0.25" bottom="0.25" header="0.31496062992126" footer="0.31496062992126"/>
  <pageSetup paperSize="9"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54BF4-4723-4CEB-B615-FF1039D044A9}">
  <dimension ref="A1:L24"/>
  <sheetViews>
    <sheetView view="pageBreakPreview" topLeftCell="A3" zoomScale="112" zoomScaleNormal="100" zoomScaleSheetLayoutView="112" workbookViewId="0">
      <selection activeCell="L17" sqref="L17"/>
    </sheetView>
  </sheetViews>
  <sheetFormatPr defaultRowHeight="15"/>
  <cols>
    <col min="1" max="1" width="25.42578125" customWidth="1"/>
    <col min="5" max="5" width="16.85546875" customWidth="1"/>
    <col min="12" max="12" width="9.5703125" customWidth="1"/>
  </cols>
  <sheetData>
    <row r="1" spans="1:12" s="1" customFormat="1" ht="52.5" customHeight="1"/>
    <row r="2" spans="1:12" s="1" customFormat="1" ht="10.5" customHeight="1">
      <c r="A2" s="54" t="s">
        <v>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2" s="1" customFormat="1" ht="15.95" customHeight="1">
      <c r="A3" s="54" t="s">
        <v>1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12" s="1" customFormat="1" ht="15.95" customHeight="1">
      <c r="A4" s="54" t="s">
        <v>2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</row>
    <row r="5" spans="1:12" s="1" customFormat="1" ht="15.95" customHeight="1">
      <c r="A5" s="54" t="s">
        <v>3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</row>
    <row r="6" spans="1:12" s="1" customFormat="1" ht="8.25" customHeight="1"/>
    <row r="7" spans="1:12" s="1" customFormat="1" ht="12" customHeight="1">
      <c r="A7" s="1" t="s">
        <v>51</v>
      </c>
      <c r="C7" s="19" t="s">
        <v>52</v>
      </c>
      <c r="D7" s="19"/>
      <c r="G7" s="19" t="s">
        <v>4</v>
      </c>
      <c r="H7" s="20"/>
    </row>
    <row r="8" spans="1:12" s="1" customFormat="1" ht="12" customHeight="1">
      <c r="C8" s="21"/>
      <c r="G8" s="21"/>
      <c r="H8" s="21"/>
    </row>
    <row r="9" spans="1:12" s="1" customFormat="1" ht="12" customHeight="1">
      <c r="A9" s="1" t="s">
        <v>53</v>
      </c>
      <c r="C9" s="19" t="s">
        <v>54</v>
      </c>
      <c r="D9" s="19"/>
      <c r="G9" s="19" t="s">
        <v>5</v>
      </c>
      <c r="H9" s="22"/>
    </row>
    <row r="10" spans="1:12" ht="16.5" customHeight="1" thickBot="1">
      <c r="A10" s="61" t="s">
        <v>37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</row>
    <row r="11" spans="1:12" s="2" customFormat="1" ht="18.75" customHeight="1">
      <c r="A11" s="62" t="s">
        <v>7</v>
      </c>
      <c r="B11" s="64" t="s">
        <v>8</v>
      </c>
      <c r="C11" s="65"/>
      <c r="D11" s="65"/>
      <c r="E11" s="65"/>
      <c r="F11" s="65"/>
      <c r="G11" s="65"/>
      <c r="H11" s="65"/>
      <c r="I11" s="65"/>
      <c r="J11" s="65"/>
      <c r="K11" s="65"/>
      <c r="L11" s="66" t="s">
        <v>11</v>
      </c>
    </row>
    <row r="12" spans="1:12" s="2" customFormat="1" ht="24" customHeight="1">
      <c r="A12" s="63"/>
      <c r="B12" s="68" t="s">
        <v>38</v>
      </c>
      <c r="C12" s="69"/>
      <c r="D12" s="69"/>
      <c r="E12" s="70"/>
      <c r="F12" s="68" t="s">
        <v>39</v>
      </c>
      <c r="G12" s="70"/>
      <c r="H12" s="68" t="s">
        <v>40</v>
      </c>
      <c r="I12" s="70"/>
      <c r="J12" s="68" t="s">
        <v>41</v>
      </c>
      <c r="K12" s="70"/>
      <c r="L12" s="67"/>
    </row>
    <row r="13" spans="1:12" s="2" customFormat="1" ht="24.95" customHeight="1">
      <c r="A13" s="11" t="s">
        <v>70</v>
      </c>
      <c r="B13" s="56" t="s">
        <v>71</v>
      </c>
      <c r="C13" s="57"/>
      <c r="D13" s="57"/>
      <c r="E13" s="58"/>
      <c r="F13" s="14"/>
      <c r="G13" s="46">
        <v>15</v>
      </c>
      <c r="H13" s="59">
        <v>0</v>
      </c>
      <c r="I13" s="60"/>
      <c r="J13" s="59">
        <v>15</v>
      </c>
      <c r="K13" s="60"/>
      <c r="L13" s="47">
        <v>15</v>
      </c>
    </row>
    <row r="14" spans="1:12" s="13" customFormat="1" ht="25.5" customHeight="1">
      <c r="A14" s="11" t="s">
        <v>72</v>
      </c>
      <c r="B14" s="56" t="s">
        <v>71</v>
      </c>
      <c r="C14" s="57"/>
      <c r="D14" s="57"/>
      <c r="E14" s="58"/>
      <c r="F14" s="14"/>
      <c r="G14" s="46"/>
      <c r="H14" s="59">
        <v>1</v>
      </c>
      <c r="I14" s="60"/>
      <c r="J14" s="59">
        <v>14</v>
      </c>
      <c r="K14" s="60"/>
      <c r="L14" s="47">
        <v>14</v>
      </c>
    </row>
    <row r="15" spans="1:12" s="13" customFormat="1" ht="26.45" customHeight="1">
      <c r="A15" s="11" t="s">
        <v>73</v>
      </c>
      <c r="B15" s="56" t="s">
        <v>71</v>
      </c>
      <c r="C15" s="57"/>
      <c r="D15" s="57"/>
      <c r="E15" s="58"/>
      <c r="F15" s="56"/>
      <c r="G15" s="58"/>
      <c r="H15" s="56">
        <v>1</v>
      </c>
      <c r="I15" s="58"/>
      <c r="J15" s="56">
        <v>13</v>
      </c>
      <c r="K15" s="58"/>
      <c r="L15" s="12">
        <v>13</v>
      </c>
    </row>
    <row r="16" spans="1:12" s="13" customFormat="1" ht="26.45" customHeight="1">
      <c r="A16" s="11"/>
      <c r="B16" s="56"/>
      <c r="C16" s="57"/>
      <c r="D16" s="57"/>
      <c r="E16" s="58"/>
      <c r="F16" s="56"/>
      <c r="G16" s="58"/>
      <c r="H16" s="56"/>
      <c r="I16" s="58"/>
      <c r="J16" s="56"/>
      <c r="K16" s="58"/>
      <c r="L16" s="12"/>
    </row>
    <row r="17" spans="1:12" s="13" customFormat="1" ht="26.45" customHeight="1">
      <c r="A17" s="11"/>
      <c r="B17" s="56"/>
      <c r="C17" s="57"/>
      <c r="D17" s="57"/>
      <c r="E17" s="58"/>
      <c r="F17" s="56"/>
      <c r="G17" s="58"/>
      <c r="H17" s="56"/>
      <c r="I17" s="58"/>
      <c r="J17" s="56"/>
      <c r="K17" s="58"/>
      <c r="L17" s="44"/>
    </row>
    <row r="18" spans="1:12" s="13" customFormat="1">
      <c r="A18" s="16" t="s">
        <v>45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ht="18.95" customHeight="1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</row>
    <row r="20" spans="1:12" s="1" customFormat="1">
      <c r="C20" s="6"/>
      <c r="H20" s="1" t="s">
        <v>46</v>
      </c>
    </row>
    <row r="21" spans="1:12" s="1" customFormat="1">
      <c r="C21" s="6"/>
    </row>
    <row r="22" spans="1:12">
      <c r="I22" s="45" t="s">
        <v>47</v>
      </c>
      <c r="J22" s="45"/>
    </row>
    <row r="23" spans="1:12">
      <c r="I23" t="s">
        <v>48</v>
      </c>
    </row>
    <row r="24" spans="1:12">
      <c r="I24" s="71" t="s">
        <v>49</v>
      </c>
      <c r="J24" s="71"/>
    </row>
  </sheetData>
  <mergeCells count="32">
    <mergeCell ref="B16:E16"/>
    <mergeCell ref="F16:G16"/>
    <mergeCell ref="H16:I16"/>
    <mergeCell ref="J16:K16"/>
    <mergeCell ref="I24:J24"/>
    <mergeCell ref="B17:E17"/>
    <mergeCell ref="F17:G17"/>
    <mergeCell ref="H17:I17"/>
    <mergeCell ref="J17:K17"/>
    <mergeCell ref="A19:L19"/>
    <mergeCell ref="H13:I13"/>
    <mergeCell ref="J13:K13"/>
    <mergeCell ref="B15:E15"/>
    <mergeCell ref="F15:G15"/>
    <mergeCell ref="H15:I15"/>
    <mergeCell ref="J15:K15"/>
    <mergeCell ref="B14:E14"/>
    <mergeCell ref="H14:I14"/>
    <mergeCell ref="J14:K14"/>
    <mergeCell ref="A2:L2"/>
    <mergeCell ref="A3:L3"/>
    <mergeCell ref="A4:L4"/>
    <mergeCell ref="A5:L5"/>
    <mergeCell ref="A10:L10"/>
    <mergeCell ref="A11:A12"/>
    <mergeCell ref="B11:K11"/>
    <mergeCell ref="L11:L12"/>
    <mergeCell ref="B12:E12"/>
    <mergeCell ref="F12:G12"/>
    <mergeCell ref="H12:I12"/>
    <mergeCell ref="J12:K12"/>
    <mergeCell ref="B13:E13"/>
  </mergeCells>
  <phoneticPr fontId="20" type="noConversion"/>
  <printOptions horizontalCentered="1"/>
  <pageMargins left="0.7" right="0.7" top="0.75" bottom="0.75" header="0.3" footer="0.3"/>
  <pageSetup paperSize="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F593-E4A6-44D5-8AE8-1D739A5518F8}">
  <dimension ref="A1:L24"/>
  <sheetViews>
    <sheetView view="pageBreakPreview" topLeftCell="A10" zoomScale="112" zoomScaleNormal="100" zoomScaleSheetLayoutView="112" workbookViewId="0">
      <selection activeCell="A14" sqref="A14"/>
    </sheetView>
  </sheetViews>
  <sheetFormatPr defaultRowHeight="15"/>
  <cols>
    <col min="1" max="1" width="25.42578125" customWidth="1"/>
    <col min="5" max="5" width="16.85546875" customWidth="1"/>
    <col min="12" max="12" width="9.5703125" customWidth="1"/>
  </cols>
  <sheetData>
    <row r="1" spans="1:12" s="1" customFormat="1" ht="52.5" customHeight="1"/>
    <row r="2" spans="1:12" s="1" customFormat="1" ht="10.5" customHeight="1">
      <c r="A2" s="54" t="s">
        <v>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2" s="1" customFormat="1" ht="15.95" customHeight="1">
      <c r="A3" s="54" t="s">
        <v>1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12" s="1" customFormat="1" ht="15.95" customHeight="1">
      <c r="A4" s="54" t="s">
        <v>2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</row>
    <row r="5" spans="1:12" s="1" customFormat="1" ht="15.95" customHeight="1">
      <c r="A5" s="54" t="s">
        <v>3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</row>
    <row r="6" spans="1:12" s="1" customFormat="1" ht="8.25" customHeight="1"/>
    <row r="7" spans="1:12" s="1" customFormat="1" ht="12" customHeight="1">
      <c r="A7" s="1" t="s">
        <v>51</v>
      </c>
      <c r="C7" s="19" t="s">
        <v>52</v>
      </c>
      <c r="D7" s="19"/>
      <c r="G7" s="19" t="s">
        <v>4</v>
      </c>
      <c r="H7" s="20"/>
    </row>
    <row r="8" spans="1:12" s="1" customFormat="1" ht="12" customHeight="1">
      <c r="C8" s="21"/>
      <c r="G8" s="21"/>
      <c r="H8" s="21"/>
    </row>
    <row r="9" spans="1:12" s="1" customFormat="1" ht="12" customHeight="1">
      <c r="A9" s="1" t="s">
        <v>53</v>
      </c>
      <c r="C9" s="19" t="s">
        <v>54</v>
      </c>
      <c r="D9" s="19"/>
      <c r="G9" s="19" t="s">
        <v>5</v>
      </c>
      <c r="H9" s="22"/>
    </row>
    <row r="10" spans="1:12" ht="16.5" customHeight="1" thickBot="1">
      <c r="A10" s="61" t="s">
        <v>37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</row>
    <row r="11" spans="1:12" s="2" customFormat="1" ht="18.75" customHeight="1">
      <c r="A11" s="62" t="s">
        <v>7</v>
      </c>
      <c r="B11" s="64" t="s">
        <v>8</v>
      </c>
      <c r="C11" s="65"/>
      <c r="D11" s="65"/>
      <c r="E11" s="65"/>
      <c r="F11" s="65"/>
      <c r="G11" s="65"/>
      <c r="H11" s="65"/>
      <c r="I11" s="65"/>
      <c r="J11" s="65"/>
      <c r="K11" s="65"/>
      <c r="L11" s="66" t="s">
        <v>11</v>
      </c>
    </row>
    <row r="12" spans="1:12" s="2" customFormat="1" ht="24" customHeight="1">
      <c r="A12" s="63"/>
      <c r="B12" s="68" t="s">
        <v>38</v>
      </c>
      <c r="C12" s="69"/>
      <c r="D12" s="69"/>
      <c r="E12" s="70"/>
      <c r="F12" s="68" t="s">
        <v>39</v>
      </c>
      <c r="G12" s="70"/>
      <c r="H12" s="68" t="s">
        <v>40</v>
      </c>
      <c r="I12" s="70"/>
      <c r="J12" s="68" t="s">
        <v>41</v>
      </c>
      <c r="K12" s="70"/>
      <c r="L12" s="67"/>
    </row>
    <row r="13" spans="1:12" s="2" customFormat="1" ht="24.95" customHeight="1">
      <c r="A13" s="11" t="s">
        <v>42</v>
      </c>
      <c r="B13" s="56" t="s">
        <v>43</v>
      </c>
      <c r="C13" s="57"/>
      <c r="D13" s="57"/>
      <c r="E13" s="58"/>
      <c r="F13" s="14">
        <v>15</v>
      </c>
      <c r="G13" s="15"/>
      <c r="H13" s="56">
        <v>0</v>
      </c>
      <c r="I13" s="58"/>
      <c r="J13" s="56">
        <v>15</v>
      </c>
      <c r="K13" s="58"/>
      <c r="L13" s="12">
        <v>15</v>
      </c>
    </row>
    <row r="14" spans="1:12" s="13" customFormat="1" ht="25.5" customHeight="1">
      <c r="A14" s="11" t="s">
        <v>50</v>
      </c>
      <c r="B14" s="56" t="s">
        <v>44</v>
      </c>
      <c r="C14" s="57"/>
      <c r="D14" s="57"/>
      <c r="E14" s="58"/>
      <c r="F14" s="14">
        <v>15</v>
      </c>
      <c r="G14" s="15"/>
      <c r="H14" s="56">
        <v>4</v>
      </c>
      <c r="I14" s="58"/>
      <c r="J14" s="56">
        <f>F14-H14</f>
        <v>11</v>
      </c>
      <c r="K14" s="58"/>
      <c r="L14" s="12">
        <v>11</v>
      </c>
    </row>
    <row r="15" spans="1:12" s="13" customFormat="1" ht="26.45" customHeight="1">
      <c r="A15" s="11" t="s">
        <v>57</v>
      </c>
      <c r="B15" s="56" t="s">
        <v>44</v>
      </c>
      <c r="C15" s="57"/>
      <c r="D15" s="57"/>
      <c r="E15" s="58"/>
      <c r="F15" s="56">
        <v>11</v>
      </c>
      <c r="G15" s="58"/>
      <c r="H15" s="56">
        <v>2</v>
      </c>
      <c r="I15" s="58"/>
      <c r="J15" s="56">
        <f>F15-H15</f>
        <v>9</v>
      </c>
      <c r="K15" s="58"/>
      <c r="L15" s="12">
        <v>9</v>
      </c>
    </row>
    <row r="16" spans="1:12" s="13" customFormat="1" ht="26.45" customHeight="1">
      <c r="A16" s="11" t="s">
        <v>60</v>
      </c>
      <c r="B16" s="56" t="s">
        <v>44</v>
      </c>
      <c r="C16" s="57"/>
      <c r="D16" s="57"/>
      <c r="E16" s="58"/>
      <c r="F16" s="56">
        <v>9</v>
      </c>
      <c r="G16" s="58"/>
      <c r="H16" s="56">
        <v>3</v>
      </c>
      <c r="I16" s="58"/>
      <c r="J16" s="56">
        <f>F16-H16</f>
        <v>6</v>
      </c>
      <c r="K16" s="58"/>
      <c r="L16" s="12">
        <v>6</v>
      </c>
    </row>
    <row r="17" spans="1:12" s="13" customFormat="1" ht="26.45" customHeight="1">
      <c r="A17" s="11" t="s">
        <v>63</v>
      </c>
      <c r="B17" s="56" t="s">
        <v>44</v>
      </c>
      <c r="C17" s="57"/>
      <c r="D17" s="57"/>
      <c r="E17" s="58"/>
      <c r="F17" s="56">
        <v>6</v>
      </c>
      <c r="G17" s="58"/>
      <c r="H17" s="56">
        <v>3</v>
      </c>
      <c r="I17" s="58"/>
      <c r="J17" s="56">
        <f>F17-H17</f>
        <v>3</v>
      </c>
      <c r="K17" s="58"/>
      <c r="L17" s="32">
        <v>3</v>
      </c>
    </row>
    <row r="18" spans="1:12" s="13" customFormat="1">
      <c r="A18" s="16" t="s">
        <v>45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ht="18.95" customHeight="1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</row>
    <row r="20" spans="1:12" s="1" customFormat="1">
      <c r="A20" s="1" t="s">
        <v>46</v>
      </c>
      <c r="C20" s="6"/>
    </row>
    <row r="21" spans="1:12" s="1" customFormat="1">
      <c r="C21" s="6"/>
    </row>
    <row r="22" spans="1:12">
      <c r="A22" s="72" t="s">
        <v>47</v>
      </c>
      <c r="B22" s="72"/>
    </row>
    <row r="23" spans="1:12">
      <c r="A23" s="73" t="s">
        <v>48</v>
      </c>
      <c r="B23" s="73"/>
    </row>
    <row r="24" spans="1:12">
      <c r="A24" s="71" t="s">
        <v>49</v>
      </c>
      <c r="B24" s="71"/>
    </row>
  </sheetData>
  <mergeCells count="34">
    <mergeCell ref="B15:E15"/>
    <mergeCell ref="F15:G15"/>
    <mergeCell ref="H15:I15"/>
    <mergeCell ref="J15:K15"/>
    <mergeCell ref="B16:E16"/>
    <mergeCell ref="F16:G16"/>
    <mergeCell ref="H16:I16"/>
    <mergeCell ref="J16:K16"/>
    <mergeCell ref="B13:E13"/>
    <mergeCell ref="H13:I13"/>
    <mergeCell ref="J13:K13"/>
    <mergeCell ref="B14:E14"/>
    <mergeCell ref="H14:I14"/>
    <mergeCell ref="J14:K14"/>
    <mergeCell ref="A2:L2"/>
    <mergeCell ref="A3:L3"/>
    <mergeCell ref="A4:L4"/>
    <mergeCell ref="A5:L5"/>
    <mergeCell ref="J12:K12"/>
    <mergeCell ref="A10:L10"/>
    <mergeCell ref="A11:A12"/>
    <mergeCell ref="B12:E12"/>
    <mergeCell ref="F12:G12"/>
    <mergeCell ref="H12:I12"/>
    <mergeCell ref="B11:K11"/>
    <mergeCell ref="L11:L12"/>
    <mergeCell ref="J17:K17"/>
    <mergeCell ref="A19:L19"/>
    <mergeCell ref="A22:B22"/>
    <mergeCell ref="A24:B24"/>
    <mergeCell ref="B17:E17"/>
    <mergeCell ref="F17:G17"/>
    <mergeCell ref="H17:I17"/>
    <mergeCell ref="A23:B23"/>
  </mergeCells>
  <printOptions horizontalCentered="1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 (2)</vt:lpstr>
      <vt:lpstr>CTO</vt:lpstr>
      <vt:lpstr>CTO!Print_Area</vt:lpstr>
      <vt:lpstr>'CTO (2)'!Print_Area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2023-04-04T02:54:41Z</cp:lastPrinted>
  <dcterms:created xsi:type="dcterms:W3CDTF">2021-10-07T06:10:00Z</dcterms:created>
  <dcterms:modified xsi:type="dcterms:W3CDTF">2025-02-10T06:25:55Z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02E48D955FB341CC9A43B155B4AB4A07</vt:lpwstr>
  </property>
  <property fmtid="{D5CDD505-2E9C-101B-9397-08002B2CF9AE}" pid="3" name="KSOProductBuildVer">
    <vt:lpwstr>1033-11.2.0.11341</vt:lpwstr>
  </property>
</Properties>
</file>