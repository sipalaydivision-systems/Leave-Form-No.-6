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VSC" sheetId="9" r:id="rId2"/>
    <sheet name="CTO" sheetId="8" r:id="rId3"/>
    <sheet name="Leave Card (Addt'l)" sheetId="7" r:id="rId4"/>
  </sheets>
  <definedNames>
    <definedName name="_xlnm.Print_Area" localSheetId="3">'Leave Card (Addt''l)'!$A$1:$K$28</definedName>
    <definedName name="_xlnm.Print_Area" localSheetId="0">'Leave Card (NE)'!$A$1:$J$74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<sst xmlns="http://schemas.openxmlformats.org/spreadsheetml/2006/main" count="178" uniqueCount="111">
  <si>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</si>
  <si>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</si>
  <si>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</si>
  <si>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</si>
  <si>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</si>
  <si>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</si>
  <si>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</si>
  <si>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</si>
  <si>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 xml:space="preserve">  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</si>
  <si>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</si>
  <si>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</si>
  <si>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</si>
  <si>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</si>
  <si>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</si>
  <si>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</si>
  <si>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</si>
  <si>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</si>
  <si>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</si>
  <si>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</si>
  <si>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</si>
  <si>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01/07/2019 - 01/31/2019</t>
  </si>
  <si>
    <t>ADD: 02/01/2019 - 12/31/2019</t>
  </si>
  <si>
    <t>LESS: FL 2019</t>
  </si>
  <si>
    <t>ADD: 01/01/2020 - 12/31/2020</t>
  </si>
  <si>
    <t>LESS: FL 2020</t>
  </si>
  <si>
    <t>ADD:01/01/2021 - 09/30/2021</t>
  </si>
  <si>
    <t>LESS: 11/29/2021</t>
  </si>
  <si>
    <t>LESS: MONETIZATION 2021</t>
  </si>
  <si>
    <t>ADD: 10/01/2021 - 12/31/2021</t>
  </si>
  <si>
    <t>LESS: FL 2021</t>
  </si>
  <si>
    <t>ADD: 01/01/22 - 08/31/22</t>
  </si>
  <si>
    <t>ADD: 09/01/22 - 09/30/22</t>
  </si>
  <si>
    <t>LESS: 10/20 - 21/22</t>
  </si>
  <si>
    <t>LESS: MONETIZATION 2022</t>
  </si>
  <si>
    <t>ADD: 10/01/22 - 10/31/22</t>
  </si>
  <si>
    <t>LESS: 12/09/2022</t>
  </si>
  <si>
    <t>ADD: 11/01/22 - 11/30/22</t>
  </si>
  <si>
    <t>LESS: 12/14/2022</t>
  </si>
  <si>
    <t>LESS: 12/23 &amp; 26/2022</t>
  </si>
  <si>
    <t>LESS: 12/28 &amp; 29/2022</t>
  </si>
  <si>
    <t>ADD: 12/01/22 - 12/31/22</t>
  </si>
  <si>
    <t>ADD: 01/01/23 - 01/31/23</t>
  </si>
  <si>
    <t>LESS: 02/27/2023</t>
  </si>
  <si>
    <t>ADD: 02/01/23 - 03/31/23</t>
  </si>
  <si>
    <t>LESS: 04/20/2023</t>
  </si>
  <si>
    <t>LESS: 04/26/23</t>
  </si>
  <si>
    <t>ADD: 04/01/23 - 04/30/23</t>
  </si>
  <si>
    <t>LESS: 05/11/23</t>
  </si>
  <si>
    <t>ADD: 05/01/23 - 05/31/23</t>
  </si>
  <si>
    <t>LESS: 06/16/23</t>
  </si>
  <si>
    <t>ADD: 06/01/23 - 06/30/23</t>
  </si>
  <si>
    <t>LESS: 07/27/23</t>
  </si>
  <si>
    <t>ADD: 07/01/23 - 08/31/23</t>
  </si>
  <si>
    <t>LESS: MONETIZATION 2023</t>
  </si>
  <si>
    <t>LESS: 08/25/2023</t>
  </si>
  <si>
    <t>ADD: 09/01/2023-09/30/2023</t>
  </si>
  <si>
    <t>LESS:10/20/2023</t>
  </si>
  <si>
    <t>ADD: 10/01/2023-12/31/2023</t>
  </si>
  <si>
    <t>ADD: 01/01/2024-01/31/2024</t>
  </si>
  <si>
    <t>LESS: 02/01/2024</t>
  </si>
  <si>
    <t>ADD: 02/01/2024-02/29/2024</t>
  </si>
  <si>
    <t>LESS: 02/22-23/2024</t>
  </si>
  <si>
    <t>LESS: 03/15/2024</t>
  </si>
  <si>
    <t>ADD: 03/1/2024-04/30/2024</t>
  </si>
  <si>
    <t>LESS: 05/6/2024</t>
  </si>
  <si>
    <t>ADD: 05/1-31/2024</t>
  </si>
  <si>
    <t>LESS: 06/5/2024</t>
  </si>
  <si>
    <t>ADD: JUNE-JULY 31, 2024</t>
  </si>
  <si>
    <t>ADD: 08/1-31/2024</t>
  </si>
  <si>
    <t>LESS: 09/04/2024</t>
  </si>
  <si>
    <t>ADD: 09/1-30/2024</t>
  </si>
  <si>
    <t>LESS: 10/21/2024</t>
  </si>
  <si>
    <t>LESS: MONETIZATION 2024</t>
  </si>
  <si>
    <t>ADD: 10/1-31/2024</t>
  </si>
  <si>
    <t>ADD: 11/1-17/2024</t>
  </si>
  <si>
    <t>11/18/2024 -PROMOTED TO TEACHER I</t>
  </si>
  <si>
    <t>Certified Correct:</t>
  </si>
  <si>
    <t>MA. LUISA B. CATIGAN</t>
  </si>
  <si>
    <t>Administrative Officer IV</t>
  </si>
  <si>
    <t>HRMO</t>
  </si>
  <si>
    <t>SCHOOL/OFFICE:_____________________</t>
  </si>
  <si>
    <t>VSC</t>
  </si>
  <si>
    <t>Special Order No. and Date Issued</t>
  </si>
  <si>
    <t>No. of Days Granted</t>
  </si>
  <si>
    <t>No. of Days Used</t>
  </si>
  <si>
    <t>Balance</t>
  </si>
  <si>
    <t>ADD: SO # 009, S. 2025</t>
  </si>
  <si>
    <t>LEAVE CREDITS CONVERTED: NON-TEACHING TO TEACHING</t>
  </si>
  <si>
    <t>LESS: 02/14/2025</t>
  </si>
  <si>
    <t>LESS: 02/21/2025</t>
  </si>
  <si>
    <t>LESS: 02/28/2025</t>
  </si>
  <si>
    <t>LESS: 03/13/2025</t>
  </si>
  <si>
    <t>LESS: 27 DAYS TO OFFSET PVP DEDUCTION</t>
  </si>
  <si>
    <t>LESS: 07/22/2025</t>
  </si>
  <si>
    <t>LESS: 07/29/2025</t>
  </si>
  <si>
    <t>LESS: 08/01/2025</t>
  </si>
  <si>
    <t>LESS: 08/12/2025</t>
  </si>
  <si>
    <t>LESS: 10/17/2025</t>
  </si>
  <si>
    <t>LESS: 12/16/2025</t>
  </si>
  <si>
    <t>COMPENSATORY TIME OFF (CTO)</t>
  </si>
  <si>
    <t>ADD: 10/17/2023</t>
  </si>
  <si>
    <t>S.O # 159, S. 2023 - 125TH PHILIPPINE INDEPENDENCE DAY CELEBRATION</t>
  </si>
  <si>
    <t>LESS: 11/03/2023</t>
  </si>
  <si>
    <t>NOTE:  Valid for one (1) year only</t>
  </si>
  <si>
    <r>
      <rPr>
        <b/>
        <sz val="12"/>
        <color theme="1"/>
        <rFont val="Calibri"/>
        <charset val="134"/>
        <scheme val="minor"/>
      </rPr>
      <t>Republic of the Philippines</t>
    </r>
    <r>
      <rPr>
        <b/>
        <sz val="11"/>
        <color theme="1"/>
        <rFont val="Calibri"/>
        <charset val="134"/>
        <scheme val="minor"/>
      </rPr>
      <t xml:space="preserve">
Department of Education
REGION VI-WESTERN VISAYAS
SCHOOLS DIVISION OF SIPALAY CITY</t>
    </r>
  </si>
  <si>
    <t>NAME: _______________________________</t>
  </si>
  <si>
    <t>EMPLOYEE NO: _______________________________</t>
  </si>
  <si>
    <t>POSITION: ____________________________</t>
  </si>
  <si>
    <t>STATION: ____________________________________</t>
  </si>
  <si>
    <t xml:space="preserve">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</si>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</sst>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3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35" applyNumberFormat="0" applyAlignment="0" applyProtection="0">
      <alignment vertical="center"/>
    </xf>
    <xf numFmtId="0" fontId="21" fillId="12" borderId="36" applyNumberFormat="0" applyAlignment="0" applyProtection="0">
      <alignment vertical="center"/>
    </xf>
    <xf numFmtId="0" fontId="22" fillId="12" borderId="35" applyNumberFormat="0" applyAlignment="0" applyProtection="0">
      <alignment vertical="center"/>
    </xf>
    <xf numFmtId="0" fontId="23" fillId="13" borderId="37" applyNumberFormat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" fillId="0" borderId="0"/>
  </cellStyleXfs>
  <cellXfs count="10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7" xfId="0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76" fontId="3" fillId="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vertical="center" wrapText="1"/>
    </xf>
    <xf numFmtId="0" fontId="7" fillId="2" borderId="0" xfId="49" applyFill="1"/>
    <xf numFmtId="0" fontId="8" fillId="0" borderId="0" xfId="49" applyFont="1"/>
    <xf numFmtId="0" fontId="9" fillId="0" borderId="0" xfId="49" applyFont="1"/>
    <xf numFmtId="0" fontId="7" fillId="0" borderId="0" xfId="49"/>
    <xf numFmtId="0" fontId="7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7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7" xfId="49" applyFont="1" applyFill="1" applyBorder="1" applyAlignment="1">
      <alignment vertical="center"/>
    </xf>
    <xf numFmtId="0" fontId="2" fillId="2" borderId="18" xfId="49" applyFont="1" applyFill="1" applyBorder="1" applyAlignment="1">
      <alignment horizontal="center" vertical="center"/>
    </xf>
    <xf numFmtId="0" fontId="5" fillId="3" borderId="19" xfId="49" applyFont="1" applyFill="1" applyBorder="1" applyAlignment="1">
      <alignment horizontal="center" vertical="center"/>
    </xf>
    <xf numFmtId="0" fontId="5" fillId="4" borderId="20" xfId="49" applyFont="1" applyFill="1" applyBorder="1" applyAlignment="1">
      <alignment horizontal="center" vertical="center"/>
    </xf>
    <xf numFmtId="0" fontId="5" fillId="4" borderId="21" xfId="49" applyFont="1" applyFill="1" applyBorder="1" applyAlignment="1">
      <alignment horizontal="center" vertical="center"/>
    </xf>
    <xf numFmtId="0" fontId="5" fillId="3" borderId="22" xfId="49" applyFont="1" applyFill="1" applyBorder="1" applyAlignment="1">
      <alignment horizontal="center" vertical="center"/>
    </xf>
    <xf numFmtId="0" fontId="10" fillId="5" borderId="23" xfId="49" applyFont="1" applyFill="1" applyBorder="1" applyAlignment="1">
      <alignment horizontal="center" vertical="center" wrapText="1"/>
    </xf>
    <xf numFmtId="0" fontId="10" fillId="5" borderId="24" xfId="49" applyFont="1" applyFill="1" applyBorder="1" applyAlignment="1">
      <alignment horizontal="center" vertical="center" wrapText="1"/>
    </xf>
    <xf numFmtId="0" fontId="10" fillId="5" borderId="25" xfId="49" applyFont="1" applyFill="1" applyBorder="1" applyAlignment="1">
      <alignment horizontal="center" vertical="center" wrapText="1"/>
    </xf>
    <xf numFmtId="58" fontId="0" fillId="2" borderId="22" xfId="49" applyNumberFormat="1" applyFont="1" applyFill="1" applyBorder="1" applyAlignment="1">
      <alignment horizontal="center" vertical="center" wrapText="1"/>
    </xf>
    <xf numFmtId="0" fontId="10" fillId="2" borderId="23" xfId="49" applyFont="1" applyFill="1" applyBorder="1" applyAlignment="1">
      <alignment horizontal="center" vertical="center" wrapText="1"/>
    </xf>
    <xf numFmtId="0" fontId="10" fillId="2" borderId="24" xfId="49" applyFont="1" applyFill="1" applyBorder="1" applyAlignment="1">
      <alignment horizontal="center" vertical="center" wrapText="1"/>
    </xf>
    <xf numFmtId="0" fontId="10" fillId="2" borderId="25" xfId="49" applyFont="1" applyFill="1" applyBorder="1" applyAlignment="1">
      <alignment horizontal="center" vertical="center" wrapText="1"/>
    </xf>
    <xf numFmtId="0" fontId="0" fillId="2" borderId="22" xfId="49" applyFont="1" applyFill="1" applyBorder="1" applyAlignment="1">
      <alignment horizontal="center" vertical="center" wrapText="1"/>
    </xf>
    <xf numFmtId="0" fontId="7" fillId="0" borderId="0" xfId="49" applyAlignment="1">
      <alignment vertical="center"/>
    </xf>
    <xf numFmtId="0" fontId="10" fillId="2" borderId="0" xfId="49" applyFont="1" applyFill="1" applyAlignment="1">
      <alignment horizontal="center" vertical="center" wrapText="1"/>
    </xf>
    <xf numFmtId="0" fontId="9" fillId="2" borderId="0" xfId="49" applyFont="1" applyFill="1" applyAlignment="1">
      <alignment horizontal="center" vertical="center"/>
    </xf>
    <xf numFmtId="0" fontId="7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7" fillId="0" borderId="0" xfId="49" applyAlignment="1">
      <alignment horizontal="center"/>
    </xf>
    <xf numFmtId="0" fontId="7" fillId="0" borderId="0" xfId="49" applyAlignment="1">
      <alignment horizontal="center" vertical="center"/>
    </xf>
    <xf numFmtId="0" fontId="5" fillId="3" borderId="26" xfId="49" applyFont="1" applyFill="1" applyBorder="1" applyAlignment="1">
      <alignment horizontal="center" vertical="center"/>
    </xf>
    <xf numFmtId="0" fontId="5" fillId="3" borderId="14" xfId="49" applyFont="1" applyFill="1" applyBorder="1" applyAlignment="1">
      <alignment horizontal="center" vertical="center"/>
    </xf>
    <xf numFmtId="0" fontId="7" fillId="2" borderId="15" xfId="49" applyFill="1" applyBorder="1" applyAlignment="1">
      <alignment horizontal="center" vertical="center" wrapText="1"/>
    </xf>
    <xf numFmtId="0" fontId="7" fillId="6" borderId="15" xfId="49" applyFill="1" applyBorder="1" applyAlignment="1">
      <alignment horizontal="center" vertical="center" wrapText="1"/>
    </xf>
    <xf numFmtId="0" fontId="7" fillId="2" borderId="0" xfId="49" applyFill="1" applyAlignment="1">
      <alignment horizontal="center" vertical="center" wrapText="1"/>
    </xf>
    <xf numFmtId="2" fontId="10" fillId="2" borderId="23" xfId="49" applyNumberFormat="1" applyFont="1" applyFill="1" applyBorder="1" applyAlignment="1">
      <alignment horizontal="center" vertical="center" wrapText="1"/>
    </xf>
    <xf numFmtId="2" fontId="10" fillId="2" borderId="25" xfId="49" applyNumberFormat="1" applyFont="1" applyFill="1" applyBorder="1" applyAlignment="1">
      <alignment horizontal="center" vertical="center" wrapText="1"/>
    </xf>
    <xf numFmtId="0" fontId="7" fillId="2" borderId="22" xfId="49" applyFont="1" applyFill="1" applyBorder="1" applyAlignment="1">
      <alignment horizontal="center" vertical="center" wrapText="1"/>
    </xf>
    <xf numFmtId="2" fontId="7" fillId="2" borderId="15" xfId="49" applyNumberFormat="1" applyFill="1" applyBorder="1" applyAlignment="1">
      <alignment horizontal="center" vertical="center" wrapText="1"/>
    </xf>
    <xf numFmtId="2" fontId="7" fillId="0" borderId="15" xfId="49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58" fontId="0" fillId="0" borderId="30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176" fontId="6" fillId="2" borderId="10" xfId="0" applyNumberFormat="1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1" fillId="2" borderId="0" xfId="0" applyFont="1" applyFill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371475</xdr:colOff>
      <xdr:row>0</xdr:row>
      <xdr:rowOff>92075</xdr:rowOff>
    </xdr:from>
    <xdr:to>
      <xdr:col>4</xdr:col>
      <xdr:colOff>266830</xdr:colOff>
      <xdr:row>0</xdr:row>
      <xdr:rowOff>622300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7695" y="92075"/>
          <a:ext cx="68897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88531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FERRER, FREZILYN A.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4213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66712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28574</xdr:colOff>
      <xdr:row>0</xdr:row>
      <xdr:rowOff>266700</xdr:rowOff>
    </xdr:from>
    <xdr:to>
      <xdr:col>5</xdr:col>
      <xdr:colOff>200024</xdr:colOff>
      <xdr:row>1</xdr:row>
      <xdr:rowOff>333375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58260" y="266700"/>
          <a:ext cx="768985" cy="7334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5</xdr:row>
      <xdr:rowOff>170961</xdr:rowOff>
    </xdr:from>
    <xdr:to>
      <xdr:col>1</xdr:col>
      <xdr:colOff>946150</xdr:colOff>
      <xdr:row>7</xdr:row>
      <xdr:rowOff>88900</xdr:rowOff>
    </xdr:to>
    <xdr:sp>
      <xdr:nvSpPr>
        <xdr:cNvPr id="3" name="TextBox 2"/>
        <xdr:cNvSpPr txBox="1"/>
      </xdr:nvSpPr>
      <xdr:spPr>
        <a:xfrm>
          <a:off x="573405" y="1823720"/>
          <a:ext cx="206184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FERRER, FREZILYN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8</xdr:row>
      <xdr:rowOff>19051</xdr:rowOff>
    </xdr:from>
    <xdr:to>
      <xdr:col>0</xdr:col>
      <xdr:colOff>1720850</xdr:colOff>
      <xdr:row>9</xdr:row>
      <xdr:rowOff>114301</xdr:rowOff>
    </xdr:to>
    <xdr:sp>
      <xdr:nvSpPr>
        <xdr:cNvPr id="4" name="TextBox 3"/>
        <xdr:cNvSpPr txBox="1"/>
      </xdr:nvSpPr>
      <xdr:spPr>
        <a:xfrm>
          <a:off x="654050" y="2131695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8</xdr:row>
      <xdr:rowOff>42410</xdr:rowOff>
    </xdr:from>
    <xdr:to>
      <xdr:col>5</xdr:col>
      <xdr:colOff>463323</xdr:colOff>
      <xdr:row>10</xdr:row>
      <xdr:rowOff>10714</xdr:rowOff>
    </xdr:to>
    <xdr:sp>
      <xdr:nvSpPr>
        <xdr:cNvPr id="5" name="TextBox 4"/>
        <xdr:cNvSpPr txBox="1"/>
      </xdr:nvSpPr>
      <xdr:spPr>
        <a:xfrm>
          <a:off x="3759200" y="2154555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5669</xdr:colOff>
      <xdr:row>0</xdr:row>
      <xdr:rowOff>57378</xdr:rowOff>
    </xdr:from>
    <xdr:to>
      <xdr:col>5</xdr:col>
      <xdr:colOff>68942</xdr:colOff>
      <xdr:row>3</xdr:row>
      <xdr:rowOff>100919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0195" y="57150"/>
          <a:ext cx="661035" cy="10458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FERRER, FREZILYN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4023995" y="1706880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0535" y="76200"/>
          <a:ext cx="85217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3"/>
  <sheetViews>
    <sheetView view="pageBreakPreview" zoomScaleNormal="100" topLeftCell="A41" workbookViewId="0">
      <selection activeCell="A13" sqref="$A13:$XFD65"/>
    </sheetView>
  </sheetViews>
  <sheetFormatPr defaultColWidth="9" defaultRowHeight="14.4"/>
  <cols>
    <col min="1" max="1" width="35.8518518518519" style="72" customWidth="1"/>
    <col min="2" max="10" width="11.5740740740741" style="72" customWidth="1"/>
  </cols>
  <sheetData>
    <row r="1" s="1" customFormat="1" ht="52.5" customHeight="1" spans="1:10">
      <c r="A1" s="3"/>
      <c r="B1" s="3"/>
      <c r="C1" s="3"/>
      <c r="D1" s="3"/>
      <c r="E1" s="3"/>
      <c r="F1" s="3"/>
      <c r="G1" s="3"/>
      <c r="H1" s="3"/>
      <c r="I1" s="3"/>
      <c r="J1" s="3"/>
    </row>
    <row r="2" s="1" customFormat="1" ht="10.5" customHeight="1" spans="1:10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</row>
    <row r="3" s="1" customFormat="1" ht="15.95" customHeight="1" spans="1:10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</row>
    <row r="4" s="1" customFormat="1" ht="15.95" customHeight="1" spans="1:10">
      <c r="A4" s="73" t="s">
        <v>2</v>
      </c>
      <c r="B4" s="73"/>
      <c r="C4" s="73"/>
      <c r="D4" s="73"/>
      <c r="E4" s="73"/>
      <c r="F4" s="73"/>
      <c r="G4" s="73"/>
      <c r="H4" s="73"/>
      <c r="I4" s="73"/>
      <c r="J4" s="73"/>
    </row>
    <row r="5" s="1" customFormat="1" ht="15.95" customHeight="1" spans="1:10">
      <c r="A5" s="73" t="s">
        <v>3</v>
      </c>
      <c r="B5" s="73"/>
      <c r="C5" s="73"/>
      <c r="D5" s="73"/>
      <c r="E5" s="73"/>
      <c r="F5" s="73"/>
      <c r="G5" s="73"/>
      <c r="H5" s="73"/>
      <c r="I5" s="73"/>
      <c r="J5" s="73"/>
    </row>
    <row r="6" s="1" customFormat="1" ht="8.25" customHeight="1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="1" customFormat="1" ht="12" customHeight="1" spans="1:10">
      <c r="A7" s="3" t="s">
        <v>4</v>
      </c>
      <c r="B7" s="6" t="s">
        <v>5</v>
      </c>
      <c r="C7" s="6"/>
      <c r="D7" s="6"/>
      <c r="E7" s="3"/>
      <c r="F7" s="3"/>
      <c r="G7" s="3"/>
      <c r="H7" s="6" t="s">
        <v>6</v>
      </c>
      <c r="I7" s="96"/>
      <c r="J7" s="6"/>
    </row>
    <row r="8" s="1" customFormat="1" ht="12" customHeight="1" spans="1:10">
      <c r="A8" s="3"/>
      <c r="B8" s="74"/>
      <c r="C8" s="74"/>
      <c r="D8" s="3"/>
      <c r="E8" s="3"/>
      <c r="F8" s="3"/>
      <c r="G8" s="3"/>
      <c r="H8" s="74"/>
      <c r="I8" s="74"/>
      <c r="J8" s="74"/>
    </row>
    <row r="9" s="1" customFormat="1" ht="12" customHeight="1" spans="1:10">
      <c r="A9" s="3" t="s">
        <v>7</v>
      </c>
      <c r="B9" s="6" t="s">
        <v>8</v>
      </c>
      <c r="C9" s="6"/>
      <c r="D9" s="6"/>
      <c r="E9" s="3"/>
      <c r="F9" s="3"/>
      <c r="G9" s="3"/>
      <c r="H9" s="6" t="s">
        <v>9</v>
      </c>
      <c r="I9" s="96"/>
      <c r="J9" s="6"/>
    </row>
    <row r="10" ht="16.5" customHeight="1" spans="1:10">
      <c r="A10" s="75" t="s">
        <v>10</v>
      </c>
      <c r="B10" s="75"/>
      <c r="C10" s="75"/>
      <c r="D10" s="75"/>
      <c r="E10" s="75"/>
      <c r="F10" s="75"/>
      <c r="G10" s="75"/>
      <c r="H10" s="75"/>
      <c r="I10" s="75"/>
      <c r="J10" s="75"/>
    </row>
    <row r="11" ht="18.75" customHeight="1" spans="1:10">
      <c r="A11" s="76" t="s">
        <v>11</v>
      </c>
      <c r="B11" s="77" t="s">
        <v>12</v>
      </c>
      <c r="C11" s="77"/>
      <c r="D11" s="78" t="s">
        <v>13</v>
      </c>
      <c r="E11" s="79"/>
      <c r="F11" s="79"/>
      <c r="G11" s="80"/>
      <c r="H11" s="81" t="s">
        <v>14</v>
      </c>
      <c r="I11" s="81"/>
      <c r="J11" s="97" t="s">
        <v>15</v>
      </c>
    </row>
    <row r="12" ht="18.75" customHeight="1" spans="1:10">
      <c r="A12" s="82"/>
      <c r="B12" s="83" t="s">
        <v>16</v>
      </c>
      <c r="C12" s="83" t="s">
        <v>17</v>
      </c>
      <c r="D12" s="83" t="s">
        <v>16</v>
      </c>
      <c r="E12" s="83" t="s">
        <v>17</v>
      </c>
      <c r="F12" s="83" t="s">
        <v>18</v>
      </c>
      <c r="G12" s="83" t="s">
        <v>19</v>
      </c>
      <c r="H12" s="83" t="s">
        <v>16</v>
      </c>
      <c r="I12" s="83" t="s">
        <v>17</v>
      </c>
      <c r="J12" s="98"/>
    </row>
    <row r="13" ht="18.75" customHeight="1" spans="1:10">
      <c r="A13" s="84" t="s">
        <v>20</v>
      </c>
      <c r="B13" s="85">
        <v>1.042</v>
      </c>
      <c r="C13" s="85">
        <v>1.042</v>
      </c>
      <c r="D13" s="85"/>
      <c r="E13" s="85"/>
      <c r="F13" s="85"/>
      <c r="G13" s="85"/>
      <c r="H13" s="85">
        <f>B13</f>
        <v>1.042</v>
      </c>
      <c r="I13" s="85">
        <f>C13</f>
        <v>1.042</v>
      </c>
      <c r="J13" s="99">
        <f>SUM(H13:I13)</f>
        <v>2.084</v>
      </c>
    </row>
    <row r="14" ht="18.75" customHeight="1" spans="1:10">
      <c r="A14" s="84" t="s">
        <v>21</v>
      </c>
      <c r="B14" s="85">
        <v>13.75</v>
      </c>
      <c r="C14" s="85">
        <v>13.75</v>
      </c>
      <c r="D14" s="85"/>
      <c r="E14" s="85"/>
      <c r="F14" s="85"/>
      <c r="G14" s="85"/>
      <c r="H14" s="85">
        <f>H13-F14-D14+B14</f>
        <v>14.792</v>
      </c>
      <c r="I14" s="85">
        <f>I13-E14+C14</f>
        <v>14.792</v>
      </c>
      <c r="J14" s="99">
        <f t="shared" ref="J14" si="0">SUM(H14:I14)</f>
        <v>29.584</v>
      </c>
    </row>
    <row r="15" ht="18.75" customHeight="1" spans="1:10">
      <c r="A15" s="84" t="s">
        <v>22</v>
      </c>
      <c r="B15" s="85"/>
      <c r="C15" s="85"/>
      <c r="D15" s="85"/>
      <c r="E15" s="85"/>
      <c r="F15" s="85">
        <v>5</v>
      </c>
      <c r="G15" s="85"/>
      <c r="H15" s="85">
        <f t="shared" ref="H15:H54" si="1">H14-F15-D15+B15</f>
        <v>9.792</v>
      </c>
      <c r="I15" s="85">
        <f t="shared" ref="I15:I54" si="2">I14-E15+C15</f>
        <v>14.792</v>
      </c>
      <c r="J15" s="99">
        <f t="shared" ref="J15:J54" si="3">SUM(H15:I15)</f>
        <v>24.584</v>
      </c>
    </row>
    <row r="16" ht="18.75" customHeight="1" spans="1:10">
      <c r="A16" s="84" t="s">
        <v>23</v>
      </c>
      <c r="B16" s="85">
        <v>15</v>
      </c>
      <c r="C16" s="85">
        <v>15</v>
      </c>
      <c r="D16" s="85"/>
      <c r="E16" s="85"/>
      <c r="F16" s="85"/>
      <c r="G16" s="85"/>
      <c r="H16" s="85">
        <f t="shared" si="1"/>
        <v>24.792</v>
      </c>
      <c r="I16" s="85">
        <f t="shared" si="2"/>
        <v>29.792</v>
      </c>
      <c r="J16" s="99">
        <f t="shared" si="3"/>
        <v>54.584</v>
      </c>
    </row>
    <row r="17" ht="18.75" customHeight="1" spans="1:10">
      <c r="A17" s="84" t="s">
        <v>24</v>
      </c>
      <c r="B17" s="85"/>
      <c r="C17" s="85"/>
      <c r="D17" s="85"/>
      <c r="E17" s="85"/>
      <c r="F17" s="85">
        <v>5</v>
      </c>
      <c r="G17" s="85"/>
      <c r="H17" s="85">
        <f t="shared" si="1"/>
        <v>19.792</v>
      </c>
      <c r="I17" s="85">
        <f t="shared" si="2"/>
        <v>29.792</v>
      </c>
      <c r="J17" s="99">
        <f t="shared" si="3"/>
        <v>49.584</v>
      </c>
    </row>
    <row r="18" ht="18.75" customHeight="1" spans="1:10">
      <c r="A18" s="84" t="s">
        <v>25</v>
      </c>
      <c r="B18" s="85">
        <v>11.25</v>
      </c>
      <c r="C18" s="85">
        <v>11.25</v>
      </c>
      <c r="D18" s="85"/>
      <c r="E18" s="85"/>
      <c r="F18" s="85"/>
      <c r="G18" s="85"/>
      <c r="H18" s="85">
        <f t="shared" si="1"/>
        <v>31.042</v>
      </c>
      <c r="I18" s="85">
        <f t="shared" si="2"/>
        <v>41.042</v>
      </c>
      <c r="J18" s="99">
        <f t="shared" si="3"/>
        <v>72.084</v>
      </c>
    </row>
    <row r="19" ht="18.75" customHeight="1" spans="1:10">
      <c r="A19" s="84" t="s">
        <v>26</v>
      </c>
      <c r="B19" s="85"/>
      <c r="C19" s="85"/>
      <c r="D19" s="85"/>
      <c r="E19" s="85"/>
      <c r="F19" s="85">
        <v>1</v>
      </c>
      <c r="G19" s="85"/>
      <c r="H19" s="85">
        <f t="shared" si="1"/>
        <v>30.042</v>
      </c>
      <c r="I19" s="85">
        <f t="shared" si="2"/>
        <v>41.042</v>
      </c>
      <c r="J19" s="99">
        <f t="shared" si="3"/>
        <v>71.084</v>
      </c>
    </row>
    <row r="20" ht="18.75" customHeight="1" spans="1:10">
      <c r="A20" s="84" t="s">
        <v>27</v>
      </c>
      <c r="B20" s="85"/>
      <c r="C20" s="85"/>
      <c r="D20" s="85">
        <v>29</v>
      </c>
      <c r="E20" s="85"/>
      <c r="F20" s="85"/>
      <c r="G20" s="85"/>
      <c r="H20" s="85">
        <f t="shared" si="1"/>
        <v>1.042</v>
      </c>
      <c r="I20" s="85">
        <f t="shared" si="2"/>
        <v>41.042</v>
      </c>
      <c r="J20" s="99">
        <f t="shared" si="3"/>
        <v>42.084</v>
      </c>
    </row>
    <row r="21" ht="18.75" customHeight="1" spans="1:10">
      <c r="A21" s="84" t="s">
        <v>28</v>
      </c>
      <c r="B21" s="85">
        <v>3.75</v>
      </c>
      <c r="C21" s="85">
        <v>3.75</v>
      </c>
      <c r="D21" s="85"/>
      <c r="E21" s="85"/>
      <c r="F21" s="85"/>
      <c r="G21" s="85"/>
      <c r="H21" s="85">
        <f t="shared" si="1"/>
        <v>4.792</v>
      </c>
      <c r="I21" s="85">
        <f t="shared" si="2"/>
        <v>44.792</v>
      </c>
      <c r="J21" s="99">
        <f t="shared" si="3"/>
        <v>49.584</v>
      </c>
    </row>
    <row r="22" ht="18.75" customHeight="1" spans="1:10">
      <c r="A22" s="84" t="s">
        <v>29</v>
      </c>
      <c r="B22" s="85"/>
      <c r="C22" s="85"/>
      <c r="D22" s="85"/>
      <c r="E22" s="85"/>
      <c r="F22" s="85">
        <v>4</v>
      </c>
      <c r="G22" s="85"/>
      <c r="H22" s="85">
        <f t="shared" si="1"/>
        <v>0.792000000000002</v>
      </c>
      <c r="I22" s="85">
        <f t="shared" si="2"/>
        <v>44.792</v>
      </c>
      <c r="J22" s="99">
        <f t="shared" si="3"/>
        <v>45.584</v>
      </c>
    </row>
    <row r="23" ht="18.75" customHeight="1" spans="1:10">
      <c r="A23" s="86" t="s">
        <v>30</v>
      </c>
      <c r="B23" s="18">
        <v>10</v>
      </c>
      <c r="C23" s="18">
        <v>10</v>
      </c>
      <c r="D23" s="18"/>
      <c r="E23" s="18"/>
      <c r="F23" s="18"/>
      <c r="G23" s="18"/>
      <c r="H23" s="85">
        <f t="shared" si="1"/>
        <v>10.792</v>
      </c>
      <c r="I23" s="85">
        <f t="shared" si="2"/>
        <v>54.792</v>
      </c>
      <c r="J23" s="99">
        <f t="shared" si="3"/>
        <v>65.584</v>
      </c>
    </row>
    <row r="24" ht="18.75" customHeight="1" spans="1:10">
      <c r="A24" s="86" t="s">
        <v>31</v>
      </c>
      <c r="B24" s="18">
        <v>1.25</v>
      </c>
      <c r="C24" s="18">
        <v>1.25</v>
      </c>
      <c r="D24" s="18"/>
      <c r="E24" s="18"/>
      <c r="F24" s="18"/>
      <c r="G24" s="18"/>
      <c r="H24" s="85">
        <f t="shared" si="1"/>
        <v>12.042</v>
      </c>
      <c r="I24" s="85">
        <f t="shared" si="2"/>
        <v>56.042</v>
      </c>
      <c r="J24" s="99">
        <f t="shared" si="3"/>
        <v>68.084</v>
      </c>
    </row>
    <row r="25" ht="18.75" customHeight="1" spans="1:10">
      <c r="A25" s="87" t="s">
        <v>32</v>
      </c>
      <c r="B25" s="18"/>
      <c r="C25" s="18"/>
      <c r="D25" s="18"/>
      <c r="E25" s="18"/>
      <c r="F25" s="18">
        <v>2</v>
      </c>
      <c r="G25" s="18"/>
      <c r="H25" s="85">
        <f t="shared" si="1"/>
        <v>10.042</v>
      </c>
      <c r="I25" s="85">
        <f t="shared" si="2"/>
        <v>56.042</v>
      </c>
      <c r="J25" s="99">
        <f t="shared" si="3"/>
        <v>66.084</v>
      </c>
    </row>
    <row r="26" ht="18.75" customHeight="1" spans="1:10">
      <c r="A26" s="87" t="s">
        <v>33</v>
      </c>
      <c r="B26" s="18"/>
      <c r="C26" s="18"/>
      <c r="D26" s="18">
        <v>9</v>
      </c>
      <c r="E26" s="18">
        <v>20</v>
      </c>
      <c r="F26" s="18"/>
      <c r="G26" s="18"/>
      <c r="H26" s="85">
        <f t="shared" si="1"/>
        <v>1.042</v>
      </c>
      <c r="I26" s="85">
        <f t="shared" si="2"/>
        <v>36.042</v>
      </c>
      <c r="J26" s="99">
        <f t="shared" si="3"/>
        <v>37.084</v>
      </c>
    </row>
    <row r="27" ht="18.75" customHeight="1" spans="1:10">
      <c r="A27" s="86" t="s">
        <v>34</v>
      </c>
      <c r="B27" s="18">
        <v>1.25</v>
      </c>
      <c r="C27" s="18">
        <v>1.25</v>
      </c>
      <c r="D27" s="18"/>
      <c r="E27" s="18"/>
      <c r="F27" s="18"/>
      <c r="G27" s="18"/>
      <c r="H27" s="85">
        <f t="shared" si="1"/>
        <v>2.292</v>
      </c>
      <c r="I27" s="85">
        <f t="shared" si="2"/>
        <v>37.292</v>
      </c>
      <c r="J27" s="99">
        <f t="shared" si="3"/>
        <v>39.584</v>
      </c>
    </row>
    <row r="28" ht="18.75" customHeight="1" spans="1:10">
      <c r="A28" s="86" t="s">
        <v>35</v>
      </c>
      <c r="B28" s="88"/>
      <c r="C28" s="88"/>
      <c r="D28" s="88"/>
      <c r="E28" s="88"/>
      <c r="F28" s="89">
        <v>1</v>
      </c>
      <c r="G28" s="89"/>
      <c r="H28" s="85">
        <f t="shared" si="1"/>
        <v>1.292</v>
      </c>
      <c r="I28" s="85">
        <f t="shared" si="2"/>
        <v>37.292</v>
      </c>
      <c r="J28" s="99">
        <f t="shared" si="3"/>
        <v>38.584</v>
      </c>
    </row>
    <row r="29" ht="18.75" customHeight="1" spans="1:10">
      <c r="A29" s="86" t="s">
        <v>36</v>
      </c>
      <c r="B29" s="18">
        <v>1.25</v>
      </c>
      <c r="C29" s="18">
        <v>1.25</v>
      </c>
      <c r="D29" s="18"/>
      <c r="E29" s="18"/>
      <c r="F29" s="18"/>
      <c r="G29" s="18"/>
      <c r="H29" s="85">
        <f t="shared" si="1"/>
        <v>2.542</v>
      </c>
      <c r="I29" s="85">
        <f t="shared" si="2"/>
        <v>38.542</v>
      </c>
      <c r="J29" s="99">
        <f t="shared" si="3"/>
        <v>41.084</v>
      </c>
    </row>
    <row r="30" ht="18.75" customHeight="1" spans="1:10">
      <c r="A30" s="86" t="s">
        <v>37</v>
      </c>
      <c r="B30" s="18"/>
      <c r="C30" s="18"/>
      <c r="D30" s="18"/>
      <c r="E30" s="18"/>
      <c r="F30" s="18"/>
      <c r="G30" s="18">
        <v>1</v>
      </c>
      <c r="H30" s="85">
        <f t="shared" si="1"/>
        <v>2.542</v>
      </c>
      <c r="I30" s="85">
        <f t="shared" si="2"/>
        <v>38.542</v>
      </c>
      <c r="J30" s="99">
        <f t="shared" si="3"/>
        <v>41.084</v>
      </c>
    </row>
    <row r="31" ht="18.75" customHeight="1" spans="1:10">
      <c r="A31" s="86" t="s">
        <v>38</v>
      </c>
      <c r="B31" s="18"/>
      <c r="C31" s="18"/>
      <c r="D31" s="18"/>
      <c r="E31" s="18"/>
      <c r="F31" s="18">
        <v>2</v>
      </c>
      <c r="G31" s="18"/>
      <c r="H31" s="85">
        <f t="shared" si="1"/>
        <v>0.542000000000002</v>
      </c>
      <c r="I31" s="85">
        <f t="shared" si="2"/>
        <v>38.542</v>
      </c>
      <c r="J31" s="99">
        <f t="shared" si="3"/>
        <v>39.084</v>
      </c>
    </row>
    <row r="32" ht="18.75" customHeight="1" spans="1:10">
      <c r="A32" s="86" t="s">
        <v>39</v>
      </c>
      <c r="B32" s="18"/>
      <c r="C32" s="18"/>
      <c r="D32" s="18"/>
      <c r="E32" s="18"/>
      <c r="F32" s="18"/>
      <c r="G32" s="18">
        <v>2</v>
      </c>
      <c r="H32" s="85">
        <f t="shared" si="1"/>
        <v>0.542000000000002</v>
      </c>
      <c r="I32" s="85">
        <f t="shared" si="2"/>
        <v>38.542</v>
      </c>
      <c r="J32" s="99">
        <f t="shared" si="3"/>
        <v>39.084</v>
      </c>
    </row>
    <row r="33" ht="18.75" customHeight="1" spans="1:10">
      <c r="A33" s="86" t="s">
        <v>40</v>
      </c>
      <c r="B33" s="18">
        <v>1.25</v>
      </c>
      <c r="C33" s="18">
        <v>1.25</v>
      </c>
      <c r="D33" s="18"/>
      <c r="E33" s="18"/>
      <c r="F33" s="18"/>
      <c r="G33" s="18"/>
      <c r="H33" s="85">
        <f t="shared" si="1"/>
        <v>1.792</v>
      </c>
      <c r="I33" s="85">
        <f t="shared" si="2"/>
        <v>39.792</v>
      </c>
      <c r="J33" s="99">
        <f t="shared" si="3"/>
        <v>41.584</v>
      </c>
    </row>
    <row r="34" ht="18.75" customHeight="1" spans="1:10">
      <c r="A34" s="86" t="s">
        <v>41</v>
      </c>
      <c r="B34" s="18">
        <v>1.25</v>
      </c>
      <c r="C34" s="18">
        <v>1.25</v>
      </c>
      <c r="D34" s="18"/>
      <c r="E34" s="18"/>
      <c r="F34" s="18"/>
      <c r="G34" s="18"/>
      <c r="H34" s="85">
        <f t="shared" si="1"/>
        <v>3.042</v>
      </c>
      <c r="I34" s="85">
        <f t="shared" si="2"/>
        <v>41.042</v>
      </c>
      <c r="J34" s="99">
        <f t="shared" si="3"/>
        <v>44.084</v>
      </c>
    </row>
    <row r="35" ht="18.75" customHeight="1" spans="1:10">
      <c r="A35" s="90" t="s">
        <v>42</v>
      </c>
      <c r="B35" s="18"/>
      <c r="C35" s="18"/>
      <c r="D35" s="18"/>
      <c r="E35" s="18"/>
      <c r="F35" s="18">
        <v>1</v>
      </c>
      <c r="G35" s="18"/>
      <c r="H35" s="85">
        <f t="shared" si="1"/>
        <v>2.042</v>
      </c>
      <c r="I35" s="85">
        <f t="shared" si="2"/>
        <v>41.042</v>
      </c>
      <c r="J35" s="99">
        <f t="shared" si="3"/>
        <v>43.084</v>
      </c>
    </row>
    <row r="36" ht="18.75" customHeight="1" spans="1:10">
      <c r="A36" s="86" t="s">
        <v>43</v>
      </c>
      <c r="B36" s="18">
        <v>2.5</v>
      </c>
      <c r="C36" s="18">
        <v>2.5</v>
      </c>
      <c r="D36" s="18"/>
      <c r="E36" s="18"/>
      <c r="F36" s="18"/>
      <c r="G36" s="18"/>
      <c r="H36" s="85">
        <f t="shared" si="1"/>
        <v>4.542</v>
      </c>
      <c r="I36" s="85">
        <f t="shared" si="2"/>
        <v>43.542</v>
      </c>
      <c r="J36" s="99">
        <f t="shared" si="3"/>
        <v>48.084</v>
      </c>
    </row>
    <row r="37" ht="18.75" customHeight="1" spans="1:10">
      <c r="A37" s="90" t="s">
        <v>44</v>
      </c>
      <c r="B37" s="18"/>
      <c r="C37" s="18"/>
      <c r="D37" s="18"/>
      <c r="E37" s="18"/>
      <c r="F37" s="18">
        <v>1</v>
      </c>
      <c r="G37" s="18"/>
      <c r="H37" s="85">
        <f t="shared" si="1"/>
        <v>3.542</v>
      </c>
      <c r="I37" s="85">
        <f t="shared" si="2"/>
        <v>43.542</v>
      </c>
      <c r="J37" s="99">
        <f t="shared" si="3"/>
        <v>47.084</v>
      </c>
    </row>
    <row r="38" ht="18.75" customHeight="1" spans="1:10">
      <c r="A38" s="90" t="s">
        <v>45</v>
      </c>
      <c r="B38" s="18"/>
      <c r="C38" s="18"/>
      <c r="D38" s="18"/>
      <c r="E38" s="18"/>
      <c r="F38" s="18">
        <v>1</v>
      </c>
      <c r="G38" s="18"/>
      <c r="H38" s="85">
        <f t="shared" si="1"/>
        <v>2.542</v>
      </c>
      <c r="I38" s="85">
        <f t="shared" si="2"/>
        <v>43.542</v>
      </c>
      <c r="J38" s="99">
        <f t="shared" si="3"/>
        <v>46.084</v>
      </c>
    </row>
    <row r="39" ht="18.75" customHeight="1" spans="1:10">
      <c r="A39" s="90" t="s">
        <v>46</v>
      </c>
      <c r="B39" s="18">
        <v>1.25</v>
      </c>
      <c r="C39" s="18">
        <v>1.25</v>
      </c>
      <c r="D39" s="18"/>
      <c r="E39" s="18"/>
      <c r="F39" s="18"/>
      <c r="G39" s="18"/>
      <c r="H39" s="85">
        <f t="shared" si="1"/>
        <v>3.792</v>
      </c>
      <c r="I39" s="85">
        <f t="shared" si="2"/>
        <v>44.792</v>
      </c>
      <c r="J39" s="99">
        <f t="shared" si="3"/>
        <v>48.584</v>
      </c>
    </row>
    <row r="40" ht="18.75" customHeight="1" spans="1:10">
      <c r="A40" s="90" t="s">
        <v>47</v>
      </c>
      <c r="B40" s="18"/>
      <c r="C40" s="18"/>
      <c r="D40" s="18"/>
      <c r="E40" s="18"/>
      <c r="F40" s="18">
        <v>1</v>
      </c>
      <c r="G40" s="18"/>
      <c r="H40" s="85">
        <f t="shared" si="1"/>
        <v>2.792</v>
      </c>
      <c r="I40" s="85">
        <f t="shared" si="2"/>
        <v>44.792</v>
      </c>
      <c r="J40" s="99">
        <f t="shared" si="3"/>
        <v>47.584</v>
      </c>
    </row>
    <row r="41" ht="18.75" customHeight="1" spans="1:10">
      <c r="A41" s="86" t="s">
        <v>48</v>
      </c>
      <c r="B41" s="18">
        <v>1.25</v>
      </c>
      <c r="C41" s="18">
        <v>1.25</v>
      </c>
      <c r="D41" s="18"/>
      <c r="E41" s="18"/>
      <c r="F41" s="18"/>
      <c r="G41" s="18"/>
      <c r="H41" s="85">
        <f t="shared" si="1"/>
        <v>4.042</v>
      </c>
      <c r="I41" s="85">
        <f t="shared" si="2"/>
        <v>46.042</v>
      </c>
      <c r="J41" s="99">
        <f t="shared" si="3"/>
        <v>50.084</v>
      </c>
    </row>
    <row r="42" ht="18.75" customHeight="1" spans="1:10">
      <c r="A42" s="87" t="s">
        <v>49</v>
      </c>
      <c r="B42" s="18"/>
      <c r="C42" s="18"/>
      <c r="D42" s="18"/>
      <c r="E42" s="18"/>
      <c r="F42" s="18"/>
      <c r="G42" s="18">
        <v>1</v>
      </c>
      <c r="H42" s="85">
        <f t="shared" si="1"/>
        <v>4.042</v>
      </c>
      <c r="I42" s="85">
        <f t="shared" si="2"/>
        <v>46.042</v>
      </c>
      <c r="J42" s="99">
        <f t="shared" si="3"/>
        <v>50.084</v>
      </c>
    </row>
    <row r="43" ht="18.75" customHeight="1" spans="1:10">
      <c r="A43" s="91" t="s">
        <v>50</v>
      </c>
      <c r="B43" s="18">
        <v>1.25</v>
      </c>
      <c r="C43" s="18">
        <v>1.25</v>
      </c>
      <c r="D43" s="92"/>
      <c r="E43" s="92"/>
      <c r="F43" s="92"/>
      <c r="G43" s="92"/>
      <c r="H43" s="85">
        <f t="shared" si="1"/>
        <v>5.292</v>
      </c>
      <c r="I43" s="85">
        <f t="shared" si="2"/>
        <v>47.292</v>
      </c>
      <c r="J43" s="99">
        <f t="shared" si="3"/>
        <v>52.584</v>
      </c>
    </row>
    <row r="44" ht="15.6" spans="1:10">
      <c r="A44" s="91" t="s">
        <v>51</v>
      </c>
      <c r="B44" s="18"/>
      <c r="C44" s="18"/>
      <c r="D44" s="91"/>
      <c r="E44" s="91"/>
      <c r="F44" s="91"/>
      <c r="G44" s="93">
        <v>1</v>
      </c>
      <c r="H44" s="85">
        <f t="shared" si="1"/>
        <v>5.292</v>
      </c>
      <c r="I44" s="85">
        <f t="shared" si="2"/>
        <v>47.292</v>
      </c>
      <c r="J44" s="99">
        <f t="shared" si="3"/>
        <v>52.584</v>
      </c>
    </row>
    <row r="45" ht="15.6" spans="1:10">
      <c r="A45" s="86" t="s">
        <v>52</v>
      </c>
      <c r="B45" s="93">
        <v>2.5</v>
      </c>
      <c r="C45" s="93">
        <v>2.5</v>
      </c>
      <c r="D45" s="91"/>
      <c r="E45" s="91"/>
      <c r="F45" s="91"/>
      <c r="G45" s="91"/>
      <c r="H45" s="85">
        <f t="shared" si="1"/>
        <v>7.792</v>
      </c>
      <c r="I45" s="85">
        <f t="shared" si="2"/>
        <v>49.792</v>
      </c>
      <c r="J45" s="99">
        <f t="shared" si="3"/>
        <v>57.584</v>
      </c>
    </row>
    <row r="46" ht="15.6" spans="1:10">
      <c r="A46" s="94" t="s">
        <v>53</v>
      </c>
      <c r="B46" s="91"/>
      <c r="C46" s="91"/>
      <c r="D46" s="93">
        <v>1</v>
      </c>
      <c r="E46" s="93">
        <v>28</v>
      </c>
      <c r="F46" s="91"/>
      <c r="G46" s="91"/>
      <c r="H46" s="85">
        <f t="shared" si="1"/>
        <v>6.792</v>
      </c>
      <c r="I46" s="85">
        <f t="shared" si="2"/>
        <v>21.792</v>
      </c>
      <c r="J46" s="99">
        <f t="shared" si="3"/>
        <v>28.584</v>
      </c>
    </row>
    <row r="47" ht="15.6" spans="1:10">
      <c r="A47" s="94" t="s">
        <v>54</v>
      </c>
      <c r="B47" s="91"/>
      <c r="C47" s="91"/>
      <c r="D47" s="91"/>
      <c r="E47" s="91"/>
      <c r="F47" s="93">
        <v>1</v>
      </c>
      <c r="G47" s="91"/>
      <c r="H47" s="85">
        <f t="shared" si="1"/>
        <v>5.792</v>
      </c>
      <c r="I47" s="85">
        <f t="shared" si="2"/>
        <v>21.792</v>
      </c>
      <c r="J47" s="99">
        <f t="shared" si="3"/>
        <v>27.584</v>
      </c>
    </row>
    <row r="48" ht="15.6" spans="1:10">
      <c r="A48" s="94" t="s">
        <v>55</v>
      </c>
      <c r="B48" s="91">
        <v>1.25</v>
      </c>
      <c r="C48" s="91">
        <v>1.25</v>
      </c>
      <c r="D48" s="91"/>
      <c r="E48" s="91"/>
      <c r="F48" s="93"/>
      <c r="G48" s="91"/>
      <c r="H48" s="85">
        <f t="shared" si="1"/>
        <v>7.042</v>
      </c>
      <c r="I48" s="85">
        <f t="shared" si="2"/>
        <v>23.042</v>
      </c>
      <c r="J48" s="99">
        <f t="shared" si="3"/>
        <v>30.084</v>
      </c>
    </row>
    <row r="49" ht="15.6" spans="1:10">
      <c r="A49" s="91" t="s">
        <v>56</v>
      </c>
      <c r="B49" s="91"/>
      <c r="C49" s="91"/>
      <c r="D49" s="91"/>
      <c r="E49" s="91"/>
      <c r="F49" s="91"/>
      <c r="G49" s="91">
        <v>1</v>
      </c>
      <c r="H49" s="85">
        <f t="shared" si="1"/>
        <v>7.042</v>
      </c>
      <c r="I49" s="85">
        <f t="shared" si="2"/>
        <v>23.042</v>
      </c>
      <c r="J49" s="99">
        <f t="shared" si="3"/>
        <v>30.084</v>
      </c>
    </row>
    <row r="50" ht="15.6" spans="1:10">
      <c r="A50" s="91" t="s">
        <v>57</v>
      </c>
      <c r="B50" s="91">
        <v>3.75</v>
      </c>
      <c r="C50" s="91">
        <v>3.75</v>
      </c>
      <c r="D50" s="91"/>
      <c r="E50" s="91"/>
      <c r="F50" s="91"/>
      <c r="G50" s="91"/>
      <c r="H50" s="85">
        <f t="shared" si="1"/>
        <v>10.792</v>
      </c>
      <c r="I50" s="85">
        <f t="shared" si="2"/>
        <v>26.792</v>
      </c>
      <c r="J50" s="100">
        <f t="shared" si="3"/>
        <v>37.584</v>
      </c>
    </row>
    <row r="51" ht="15.6" spans="1:10">
      <c r="A51" s="91" t="s">
        <v>58</v>
      </c>
      <c r="B51" s="91">
        <v>1.25</v>
      </c>
      <c r="C51" s="91">
        <v>1.25</v>
      </c>
      <c r="D51" s="91"/>
      <c r="E51" s="91"/>
      <c r="F51" s="91"/>
      <c r="G51" s="91"/>
      <c r="H51" s="85">
        <f t="shared" si="1"/>
        <v>12.042</v>
      </c>
      <c r="I51" s="85">
        <f t="shared" si="2"/>
        <v>28.042</v>
      </c>
      <c r="J51" s="100">
        <f t="shared" si="3"/>
        <v>40.084</v>
      </c>
    </row>
    <row r="52" ht="15.6" spans="1:10">
      <c r="A52" s="91" t="s">
        <v>59</v>
      </c>
      <c r="B52" s="91"/>
      <c r="C52" s="91"/>
      <c r="D52" s="91"/>
      <c r="E52" s="91"/>
      <c r="F52" s="91">
        <v>1</v>
      </c>
      <c r="G52" s="91"/>
      <c r="H52" s="85">
        <f t="shared" si="1"/>
        <v>11.042</v>
      </c>
      <c r="I52" s="85">
        <f t="shared" si="2"/>
        <v>28.042</v>
      </c>
      <c r="J52" s="100">
        <f t="shared" si="3"/>
        <v>39.084</v>
      </c>
    </row>
    <row r="53" ht="15.6" spans="1:10">
      <c r="A53" s="91" t="s">
        <v>60</v>
      </c>
      <c r="B53" s="91">
        <v>1.25</v>
      </c>
      <c r="C53" s="91">
        <v>1.25</v>
      </c>
      <c r="D53" s="91"/>
      <c r="E53" s="91"/>
      <c r="F53" s="91"/>
      <c r="G53" s="91"/>
      <c r="H53" s="85">
        <f t="shared" si="1"/>
        <v>12.292</v>
      </c>
      <c r="I53" s="85">
        <f t="shared" si="2"/>
        <v>29.292</v>
      </c>
      <c r="J53" s="100">
        <f t="shared" si="3"/>
        <v>41.584</v>
      </c>
    </row>
    <row r="54" ht="15.6" spans="1:10">
      <c r="A54" s="91" t="s">
        <v>61</v>
      </c>
      <c r="B54" s="91"/>
      <c r="C54" s="91"/>
      <c r="D54" s="91"/>
      <c r="E54" s="91"/>
      <c r="F54" s="91">
        <v>2</v>
      </c>
      <c r="G54" s="91"/>
      <c r="H54" s="85">
        <f t="shared" si="1"/>
        <v>10.292</v>
      </c>
      <c r="I54" s="85">
        <f t="shared" si="2"/>
        <v>29.292</v>
      </c>
      <c r="J54" s="100">
        <f t="shared" si="3"/>
        <v>39.584</v>
      </c>
    </row>
    <row r="55" ht="15.6" spans="1:10">
      <c r="A55" s="91" t="s">
        <v>62</v>
      </c>
      <c r="B55" s="91"/>
      <c r="C55" s="91"/>
      <c r="D55" s="91"/>
      <c r="E55" s="91"/>
      <c r="F55" s="91">
        <v>1</v>
      </c>
      <c r="G55" s="91"/>
      <c r="H55" s="85">
        <f t="shared" ref="H55" si="4">H54-F55-D55+B55</f>
        <v>9.292</v>
      </c>
      <c r="I55" s="85">
        <f t="shared" ref="I55" si="5">I54-E55+C55</f>
        <v>29.292</v>
      </c>
      <c r="J55" s="100">
        <f t="shared" ref="J55" si="6">SUM(H55:I55)</f>
        <v>38.584</v>
      </c>
    </row>
    <row r="56" ht="15.6" spans="1:10">
      <c r="A56" s="91" t="s">
        <v>63</v>
      </c>
      <c r="B56" s="91">
        <v>2.5</v>
      </c>
      <c r="C56" s="91">
        <v>2.5</v>
      </c>
      <c r="D56" s="91"/>
      <c r="E56" s="91"/>
      <c r="F56" s="91"/>
      <c r="G56" s="91"/>
      <c r="H56" s="85">
        <f t="shared" ref="H56:H57" si="7">H55-F56-D56+B56</f>
        <v>11.792</v>
      </c>
      <c r="I56" s="85">
        <f t="shared" ref="I56:I57" si="8">I55-E56+C56</f>
        <v>31.792</v>
      </c>
      <c r="J56" s="100">
        <f t="shared" ref="J56:J57" si="9">SUM(H56:I56)</f>
        <v>43.584</v>
      </c>
    </row>
    <row r="57" ht="15.6" spans="1:10">
      <c r="A57" s="91" t="s">
        <v>64</v>
      </c>
      <c r="B57" s="91"/>
      <c r="C57" s="91"/>
      <c r="D57" s="91"/>
      <c r="E57" s="91"/>
      <c r="F57" s="91">
        <v>1</v>
      </c>
      <c r="G57" s="91"/>
      <c r="H57" s="85">
        <f t="shared" si="7"/>
        <v>10.792</v>
      </c>
      <c r="I57" s="85">
        <f t="shared" si="8"/>
        <v>31.792</v>
      </c>
      <c r="J57" s="100">
        <f t="shared" si="9"/>
        <v>42.584</v>
      </c>
    </row>
    <row r="58" ht="15.6" spans="1:10">
      <c r="A58" s="91" t="s">
        <v>65</v>
      </c>
      <c r="B58" s="91">
        <v>1.25</v>
      </c>
      <c r="C58" s="91">
        <v>1.25</v>
      </c>
      <c r="D58" s="91"/>
      <c r="E58" s="91"/>
      <c r="F58" s="91"/>
      <c r="G58" s="91"/>
      <c r="H58" s="85">
        <f t="shared" ref="H58:H59" si="10">H57-F58-D58+B58</f>
        <v>12.042</v>
      </c>
      <c r="I58" s="85">
        <f t="shared" ref="I58:I59" si="11">I57-E58+C58</f>
        <v>33.042</v>
      </c>
      <c r="J58" s="100">
        <f t="shared" ref="J58:J59" si="12">SUM(H58:I58)</f>
        <v>45.084</v>
      </c>
    </row>
    <row r="59" ht="15.6" spans="1:10">
      <c r="A59" s="91" t="s">
        <v>66</v>
      </c>
      <c r="B59" s="91"/>
      <c r="C59" s="91"/>
      <c r="D59" s="91"/>
      <c r="E59" s="91"/>
      <c r="F59" s="91"/>
      <c r="G59" s="91">
        <v>1</v>
      </c>
      <c r="H59" s="85">
        <f t="shared" si="10"/>
        <v>12.042</v>
      </c>
      <c r="I59" s="85">
        <f t="shared" si="11"/>
        <v>33.042</v>
      </c>
      <c r="J59" s="100">
        <f t="shared" si="12"/>
        <v>45.084</v>
      </c>
    </row>
    <row r="60" ht="15.6" spans="1:10">
      <c r="A60" s="95" t="s">
        <v>67</v>
      </c>
      <c r="B60" s="91">
        <v>2.5</v>
      </c>
      <c r="C60" s="91">
        <v>2.5</v>
      </c>
      <c r="D60" s="91"/>
      <c r="E60" s="91"/>
      <c r="F60" s="91"/>
      <c r="G60" s="91"/>
      <c r="H60" s="85">
        <f t="shared" ref="H60" si="13">H59-F60-D60+B60</f>
        <v>14.542</v>
      </c>
      <c r="I60" s="85">
        <f t="shared" ref="I60" si="14">I59-E60+C60</f>
        <v>35.542</v>
      </c>
      <c r="J60" s="100">
        <f t="shared" ref="J60" si="15">SUM(H60:I60)</f>
        <v>50.084</v>
      </c>
    </row>
    <row r="61" ht="15.6" spans="1:10">
      <c r="A61" s="95" t="s">
        <v>68</v>
      </c>
      <c r="B61" s="91">
        <v>1.25</v>
      </c>
      <c r="C61" s="91">
        <v>1.25</v>
      </c>
      <c r="D61" s="91"/>
      <c r="E61" s="91"/>
      <c r="F61" s="91"/>
      <c r="G61" s="91"/>
      <c r="H61" s="85">
        <f t="shared" ref="H61:H64" si="16">H60-F61-D61+B61</f>
        <v>15.792</v>
      </c>
      <c r="I61" s="85">
        <f t="shared" ref="I61:I64" si="17">I60-E61+C61</f>
        <v>36.792</v>
      </c>
      <c r="J61" s="100">
        <f t="shared" ref="J61:J64" si="18">SUM(H61:I61)</f>
        <v>52.584</v>
      </c>
    </row>
    <row r="62" ht="15.6" spans="1:10">
      <c r="A62" s="95" t="s">
        <v>69</v>
      </c>
      <c r="B62" s="91"/>
      <c r="C62" s="91"/>
      <c r="D62" s="91"/>
      <c r="E62" s="91"/>
      <c r="F62" s="91"/>
      <c r="G62" s="91">
        <v>1</v>
      </c>
      <c r="H62" s="85">
        <f t="shared" si="16"/>
        <v>15.792</v>
      </c>
      <c r="I62" s="85">
        <f t="shared" si="17"/>
        <v>36.792</v>
      </c>
      <c r="J62" s="100">
        <f t="shared" si="18"/>
        <v>52.584</v>
      </c>
    </row>
    <row r="63" ht="15.6" spans="1:10">
      <c r="A63" s="95" t="s">
        <v>70</v>
      </c>
      <c r="B63" s="91">
        <v>1.25</v>
      </c>
      <c r="C63" s="91">
        <v>1.25</v>
      </c>
      <c r="D63" s="91"/>
      <c r="E63" s="91"/>
      <c r="F63" s="91"/>
      <c r="G63" s="91"/>
      <c r="H63" s="85">
        <f t="shared" si="16"/>
        <v>17.042</v>
      </c>
      <c r="I63" s="85">
        <f t="shared" si="17"/>
        <v>38.042</v>
      </c>
      <c r="J63" s="100">
        <f t="shared" si="18"/>
        <v>55.084</v>
      </c>
    </row>
    <row r="64" ht="15.6" spans="1:10">
      <c r="A64" s="95" t="s">
        <v>71</v>
      </c>
      <c r="B64" s="91"/>
      <c r="C64" s="91"/>
      <c r="D64" s="91"/>
      <c r="E64" s="91"/>
      <c r="F64" s="91"/>
      <c r="G64" s="91">
        <v>1</v>
      </c>
      <c r="H64" s="85">
        <f t="shared" si="16"/>
        <v>17.042</v>
      </c>
      <c r="I64" s="85">
        <f t="shared" si="17"/>
        <v>38.042</v>
      </c>
      <c r="J64" s="100">
        <f t="shared" si="18"/>
        <v>55.084</v>
      </c>
    </row>
    <row r="65" ht="15.6" spans="1:10">
      <c r="A65" s="95" t="s">
        <v>72</v>
      </c>
      <c r="B65" s="91"/>
      <c r="C65" s="91"/>
      <c r="D65" s="91">
        <v>10</v>
      </c>
      <c r="E65" s="91"/>
      <c r="F65" s="91"/>
      <c r="G65" s="91"/>
      <c r="H65" s="85">
        <f t="shared" ref="H65:H66" si="19">H64-F65-D65+B65</f>
        <v>7.042</v>
      </c>
      <c r="I65" s="85">
        <f t="shared" ref="I65:I66" si="20">I64-E65+C65</f>
        <v>38.042</v>
      </c>
      <c r="J65" s="100">
        <f t="shared" ref="J65" si="21">SUM(H65:I65)</f>
        <v>45.084</v>
      </c>
    </row>
    <row r="66" ht="15.6" spans="1:10">
      <c r="A66" s="95" t="s">
        <v>73</v>
      </c>
      <c r="B66" s="91">
        <v>1.25</v>
      </c>
      <c r="C66" s="91">
        <v>1.25</v>
      </c>
      <c r="D66" s="91"/>
      <c r="E66" s="91"/>
      <c r="F66" s="91"/>
      <c r="G66" s="91"/>
      <c r="H66" s="85">
        <f t="shared" si="19"/>
        <v>8.292</v>
      </c>
      <c r="I66" s="85">
        <f t="shared" si="20"/>
        <v>39.292</v>
      </c>
      <c r="J66" s="100">
        <f t="shared" ref="J66:J67" si="22">SUM(H66:I66)</f>
        <v>47.584</v>
      </c>
    </row>
    <row r="67" ht="15.6" spans="1:10">
      <c r="A67" s="95" t="s">
        <v>74</v>
      </c>
      <c r="B67" s="91">
        <v>0.708</v>
      </c>
      <c r="C67" s="91">
        <v>0.708</v>
      </c>
      <c r="D67" s="91"/>
      <c r="E67" s="91"/>
      <c r="F67" s="91"/>
      <c r="G67" s="91"/>
      <c r="H67" s="85">
        <f t="shared" ref="H67" si="23">H66-F67-D67+B67</f>
        <v>9</v>
      </c>
      <c r="I67" s="85">
        <f t="shared" ref="I67" si="24">I66-E67+C67</f>
        <v>40</v>
      </c>
      <c r="J67" s="100">
        <f t="shared" si="22"/>
        <v>49</v>
      </c>
    </row>
    <row r="68" ht="15.75" customHeight="1" spans="1:10">
      <c r="A68" s="101" t="s">
        <v>75</v>
      </c>
      <c r="B68" s="101"/>
      <c r="C68" s="101"/>
      <c r="D68" s="101"/>
      <c r="E68" s="101"/>
      <c r="F68" s="101"/>
      <c r="G68" s="101"/>
      <c r="H68" s="101"/>
      <c r="I68" s="101"/>
      <c r="J68" s="101"/>
    </row>
    <row r="69" s="1" customFormat="1" ht="15.95" customHeight="1" spans="2:10">
      <c r="B69" s="3"/>
      <c r="C69" s="3"/>
      <c r="D69" s="3"/>
      <c r="E69" s="3"/>
      <c r="F69" s="3" t="s">
        <v>76</v>
      </c>
      <c r="G69" s="3"/>
      <c r="H69" s="3"/>
      <c r="I69" s="3"/>
      <c r="J69" s="3"/>
    </row>
    <row r="70" s="1" customFormat="1" ht="15.95" customHeight="1" spans="2:10">
      <c r="B70" s="3"/>
      <c r="C70" s="3"/>
      <c r="D70" s="3"/>
      <c r="E70" s="3"/>
      <c r="F70" s="3"/>
      <c r="G70" s="3"/>
      <c r="H70" s="3"/>
      <c r="I70" s="3"/>
      <c r="J70" s="3"/>
    </row>
    <row r="71" s="1" customFormat="1" ht="15.95" customHeight="1" spans="2:10">
      <c r="B71" s="3"/>
      <c r="C71" s="3"/>
      <c r="D71" s="3"/>
      <c r="G71" s="3"/>
      <c r="H71" s="102" t="s">
        <v>77</v>
      </c>
      <c r="I71" s="3"/>
      <c r="J71" s="3"/>
    </row>
    <row r="72" s="1" customFormat="1" ht="15.95" customHeight="1" spans="2:10">
      <c r="B72" s="3"/>
      <c r="C72" s="3"/>
      <c r="D72" s="3"/>
      <c r="G72" s="3"/>
      <c r="H72" s="3" t="s">
        <v>78</v>
      </c>
      <c r="I72" s="3"/>
      <c r="J72" s="3"/>
    </row>
    <row r="73" s="1" customFormat="1" ht="15.95" customHeight="1" spans="2:10">
      <c r="B73" s="3"/>
      <c r="C73" s="3"/>
      <c r="D73" s="3"/>
      <c r="G73" s="3"/>
      <c r="H73" s="3" t="s">
        <v>79</v>
      </c>
      <c r="I73" s="3"/>
      <c r="J73" s="3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68:J68"/>
    <mergeCell ref="A11:A12"/>
    <mergeCell ref="J11:J12"/>
  </mergeCells>
  <printOptions horizontalCentered="1"/>
  <pageMargins left="0.236220472440945" right="0.236220472440945" top="0.078740157480315" bottom="0.078740157480315" header="0.31496062992126" footer="0.31496062992126"/>
  <pageSetup paperSize="9" scale="6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A18" workbookViewId="0">
      <selection activeCell="J25" sqref="J25:K25"/>
    </sheetView>
  </sheetViews>
  <sheetFormatPr defaultColWidth="8.71296296296296" defaultRowHeight="14.4"/>
  <cols>
    <col min="1" max="1" width="29.712962962963" style="36" customWidth="1"/>
    <col min="2" max="16384" width="8.71296296296296" style="36"/>
  </cols>
  <sheetData>
    <row r="1" s="33" customFormat="1" ht="52.5" customHeight="1"/>
    <row r="2" s="33" customFormat="1" ht="35.25" customHeight="1"/>
    <row r="3" s="33" customFormat="1" ht="10.5" customHeight="1" spans="1:12">
      <c r="A3" s="37" t="s">
        <v>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33" customFormat="1" ht="15.95" customHeight="1" spans="1:12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="33" customFormat="1" ht="15.95" customHeight="1" spans="1:12">
      <c r="A5" s="37" t="s">
        <v>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="33" customFormat="1" ht="15.95" customHeight="1" spans="1:12">
      <c r="A6" s="37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="33" customFormat="1" ht="8.25" customHeight="1"/>
    <row r="8" s="33" customFormat="1" ht="12" customHeight="1" spans="1:8">
      <c r="A8" s="33" t="s">
        <v>4</v>
      </c>
      <c r="C8" s="38" t="s">
        <v>5</v>
      </c>
      <c r="D8" s="38"/>
      <c r="G8" s="38" t="s">
        <v>6</v>
      </c>
      <c r="H8" s="39"/>
    </row>
    <row r="9" s="33" customFormat="1" ht="12" customHeight="1" spans="3:8">
      <c r="C9" s="40"/>
      <c r="G9" s="40"/>
      <c r="H9" s="40"/>
    </row>
    <row r="10" s="33" customFormat="1" ht="12" customHeight="1" spans="1:8">
      <c r="A10" s="33" t="s">
        <v>7</v>
      </c>
      <c r="C10" s="38" t="s">
        <v>80</v>
      </c>
      <c r="D10" s="38"/>
      <c r="G10" s="38" t="s">
        <v>9</v>
      </c>
      <c r="H10" s="41"/>
    </row>
    <row r="11" ht="21.75" spans="1:12">
      <c r="A11" s="42" t="s">
        <v>81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="34" customFormat="1" ht="12" spans="1:12">
      <c r="A12" s="43" t="s">
        <v>11</v>
      </c>
      <c r="B12" s="44" t="s">
        <v>12</v>
      </c>
      <c r="C12" s="45"/>
      <c r="D12" s="45"/>
      <c r="E12" s="45"/>
      <c r="F12" s="45"/>
      <c r="G12" s="45"/>
      <c r="H12" s="45"/>
      <c r="I12" s="45"/>
      <c r="J12" s="45"/>
      <c r="K12" s="45"/>
      <c r="L12" s="62" t="s">
        <v>15</v>
      </c>
    </row>
    <row r="13" s="34" customFormat="1" ht="12" spans="1:12">
      <c r="A13" s="46"/>
      <c r="B13" s="47" t="s">
        <v>82</v>
      </c>
      <c r="C13" s="48"/>
      <c r="D13" s="48"/>
      <c r="E13" s="49"/>
      <c r="F13" s="47" t="s">
        <v>83</v>
      </c>
      <c r="G13" s="49"/>
      <c r="H13" s="47" t="s">
        <v>84</v>
      </c>
      <c r="I13" s="49"/>
      <c r="J13" s="47" t="s">
        <v>85</v>
      </c>
      <c r="K13" s="49"/>
      <c r="L13" s="63"/>
    </row>
    <row r="14" s="34" customFormat="1" ht="29.25" customHeight="1" spans="1:12">
      <c r="A14" s="50" t="s">
        <v>86</v>
      </c>
      <c r="B14" s="51" t="s">
        <v>87</v>
      </c>
      <c r="C14" s="52"/>
      <c r="D14" s="52"/>
      <c r="E14" s="53"/>
      <c r="F14" s="67">
        <v>112.7</v>
      </c>
      <c r="G14" s="68"/>
      <c r="H14" s="67">
        <v>0</v>
      </c>
      <c r="I14" s="68"/>
      <c r="J14" s="67">
        <v>112.7</v>
      </c>
      <c r="K14" s="68"/>
      <c r="L14" s="70">
        <v>112.7</v>
      </c>
    </row>
    <row r="15" s="35" customFormat="1" ht="33.75" customHeight="1" spans="1:12">
      <c r="A15" s="54" t="s">
        <v>88</v>
      </c>
      <c r="B15" s="51" t="s">
        <v>87</v>
      </c>
      <c r="C15" s="52"/>
      <c r="D15" s="52"/>
      <c r="E15" s="53"/>
      <c r="F15" s="67"/>
      <c r="G15" s="68"/>
      <c r="H15" s="67">
        <v>1</v>
      </c>
      <c r="I15" s="68"/>
      <c r="J15" s="67">
        <v>111.7</v>
      </c>
      <c r="K15" s="68"/>
      <c r="L15" s="71">
        <v>111.7</v>
      </c>
    </row>
    <row r="16" s="35" customFormat="1" ht="33.75" customHeight="1" spans="1:12">
      <c r="A16" s="54" t="s">
        <v>89</v>
      </c>
      <c r="B16" s="51" t="s">
        <v>87</v>
      </c>
      <c r="C16" s="52"/>
      <c r="D16" s="52"/>
      <c r="E16" s="53"/>
      <c r="F16" s="67"/>
      <c r="G16" s="68"/>
      <c r="H16" s="67">
        <v>1</v>
      </c>
      <c r="I16" s="68"/>
      <c r="J16" s="67">
        <v>110.7</v>
      </c>
      <c r="K16" s="68"/>
      <c r="L16" s="71">
        <v>110.7</v>
      </c>
    </row>
    <row r="17" s="35" customFormat="1" ht="33.75" customHeight="1" spans="1:12">
      <c r="A17" s="54" t="s">
        <v>90</v>
      </c>
      <c r="B17" s="51" t="s">
        <v>87</v>
      </c>
      <c r="C17" s="52"/>
      <c r="D17" s="52"/>
      <c r="E17" s="53"/>
      <c r="F17" s="67"/>
      <c r="G17" s="68"/>
      <c r="H17" s="67">
        <v>1</v>
      </c>
      <c r="I17" s="68"/>
      <c r="J17" s="67">
        <v>109.7</v>
      </c>
      <c r="K17" s="68"/>
      <c r="L17" s="71">
        <v>109.7</v>
      </c>
    </row>
    <row r="18" s="35" customFormat="1" ht="33.75" customHeight="1" spans="1:12">
      <c r="A18" s="54" t="s">
        <v>91</v>
      </c>
      <c r="B18" s="51" t="s">
        <v>87</v>
      </c>
      <c r="C18" s="52"/>
      <c r="D18" s="52"/>
      <c r="E18" s="53"/>
      <c r="F18" s="67"/>
      <c r="G18" s="68"/>
      <c r="H18" s="67">
        <v>1</v>
      </c>
      <c r="I18" s="68"/>
      <c r="J18" s="67">
        <v>108.7</v>
      </c>
      <c r="K18" s="68"/>
      <c r="L18" s="71">
        <v>108.7</v>
      </c>
    </row>
    <row r="19" s="35" customFormat="1" ht="33.75" customHeight="1" spans="1:12">
      <c r="A19" s="54" t="s">
        <v>92</v>
      </c>
      <c r="B19" s="51" t="s">
        <v>87</v>
      </c>
      <c r="C19" s="52"/>
      <c r="D19" s="52"/>
      <c r="E19" s="53"/>
      <c r="F19" s="67"/>
      <c r="G19" s="68"/>
      <c r="H19" s="67">
        <v>27</v>
      </c>
      <c r="I19" s="68"/>
      <c r="J19" s="67">
        <v>108.7</v>
      </c>
      <c r="K19" s="68"/>
      <c r="L19" s="71">
        <f>J19-H19</f>
        <v>81.7</v>
      </c>
    </row>
    <row r="20" s="35" customFormat="1" ht="33.75" customHeight="1" spans="1:12">
      <c r="A20" s="54" t="s">
        <v>93</v>
      </c>
      <c r="B20" s="51" t="s">
        <v>87</v>
      </c>
      <c r="C20" s="52"/>
      <c r="D20" s="52"/>
      <c r="E20" s="53"/>
      <c r="F20" s="67"/>
      <c r="G20" s="68"/>
      <c r="H20" s="67">
        <v>1</v>
      </c>
      <c r="I20" s="68"/>
      <c r="J20" s="67">
        <v>80.7</v>
      </c>
      <c r="K20" s="68"/>
      <c r="L20" s="71">
        <v>80.7</v>
      </c>
    </row>
    <row r="21" s="35" customFormat="1" ht="33.75" customHeight="1" spans="1:12">
      <c r="A21" s="54" t="s">
        <v>94</v>
      </c>
      <c r="B21" s="51" t="s">
        <v>87</v>
      </c>
      <c r="C21" s="52"/>
      <c r="D21" s="52"/>
      <c r="E21" s="53"/>
      <c r="F21" s="67"/>
      <c r="G21" s="68"/>
      <c r="H21" s="67">
        <v>1</v>
      </c>
      <c r="I21" s="68"/>
      <c r="J21" s="67">
        <v>79.7</v>
      </c>
      <c r="K21" s="68"/>
      <c r="L21" s="71">
        <v>79.7</v>
      </c>
    </row>
    <row r="22" s="35" customFormat="1" ht="33.75" customHeight="1" spans="1:12">
      <c r="A22" s="69" t="s">
        <v>95</v>
      </c>
      <c r="B22" s="51" t="s">
        <v>87</v>
      </c>
      <c r="C22" s="52"/>
      <c r="D22" s="52"/>
      <c r="E22" s="53"/>
      <c r="F22" s="67"/>
      <c r="G22" s="68"/>
      <c r="H22" s="67">
        <v>1</v>
      </c>
      <c r="I22" s="68"/>
      <c r="J22" s="67">
        <f t="shared" ref="J22:J25" si="0">L21-H22</f>
        <v>78.7</v>
      </c>
      <c r="K22" s="68"/>
      <c r="L22" s="71">
        <f t="shared" ref="L22:L25" si="1">J22</f>
        <v>78.7</v>
      </c>
    </row>
    <row r="23" ht="29.25" customHeight="1" spans="1:12">
      <c r="A23" s="69" t="s">
        <v>96</v>
      </c>
      <c r="B23" s="51" t="s">
        <v>87</v>
      </c>
      <c r="C23" s="52"/>
      <c r="D23" s="52"/>
      <c r="E23" s="53"/>
      <c r="F23" s="67"/>
      <c r="G23" s="68"/>
      <c r="H23" s="67">
        <v>1</v>
      </c>
      <c r="I23" s="68"/>
      <c r="J23" s="67">
        <f t="shared" si="0"/>
        <v>77.7</v>
      </c>
      <c r="K23" s="68"/>
      <c r="L23" s="71">
        <f t="shared" si="1"/>
        <v>77.7</v>
      </c>
    </row>
    <row r="24" ht="29.25" customHeight="1" spans="1:12">
      <c r="A24" s="69" t="s">
        <v>97</v>
      </c>
      <c r="B24" s="51" t="s">
        <v>87</v>
      </c>
      <c r="C24" s="52"/>
      <c r="D24" s="52"/>
      <c r="E24" s="53"/>
      <c r="F24" s="67"/>
      <c r="G24" s="68"/>
      <c r="H24" s="67">
        <v>1</v>
      </c>
      <c r="I24" s="68"/>
      <c r="J24" s="67">
        <f t="shared" si="0"/>
        <v>76.7</v>
      </c>
      <c r="K24" s="68"/>
      <c r="L24" s="71">
        <f t="shared" si="1"/>
        <v>76.7</v>
      </c>
    </row>
    <row r="25" s="33" customFormat="1" ht="29.25" customHeight="1" spans="1:12">
      <c r="A25" s="69" t="s">
        <v>98</v>
      </c>
      <c r="B25" s="51" t="s">
        <v>87</v>
      </c>
      <c r="C25" s="52"/>
      <c r="D25" s="52"/>
      <c r="E25" s="53"/>
      <c r="F25" s="67"/>
      <c r="G25" s="68"/>
      <c r="H25" s="67">
        <v>1</v>
      </c>
      <c r="I25" s="68"/>
      <c r="J25" s="67">
        <f t="shared" si="0"/>
        <v>75.7</v>
      </c>
      <c r="K25" s="68"/>
      <c r="L25" s="71">
        <f t="shared" si="1"/>
        <v>75.7</v>
      </c>
    </row>
    <row r="26" s="33" customFormat="1" spans="3:3">
      <c r="C26" s="58"/>
    </row>
    <row r="27" spans="1:2">
      <c r="A27" s="59" t="s">
        <v>77</v>
      </c>
      <c r="B27" s="59"/>
    </row>
    <row r="28" spans="1:2">
      <c r="A28" s="60" t="s">
        <v>78</v>
      </c>
      <c r="B28" s="60"/>
    </row>
    <row r="29" spans="1:2">
      <c r="A29" s="61" t="s">
        <v>79</v>
      </c>
      <c r="B29" s="61"/>
    </row>
  </sheetData>
  <mergeCells count="63">
    <mergeCell ref="A3:L3"/>
    <mergeCell ref="A4:L4"/>
    <mergeCell ref="A5:L5"/>
    <mergeCell ref="A6:L6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27:B27"/>
    <mergeCell ref="A28:B28"/>
    <mergeCell ref="A29:B29"/>
    <mergeCell ref="A12:A13"/>
    <mergeCell ref="L12:L13"/>
  </mergeCells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M23" sqref="M23"/>
    </sheetView>
  </sheetViews>
  <sheetFormatPr defaultColWidth="8.71296296296296" defaultRowHeight="14.4"/>
  <cols>
    <col min="1" max="1" width="33.5740740740741" style="36" customWidth="1"/>
    <col min="2" max="16384" width="8.71296296296296" style="36"/>
  </cols>
  <sheetData>
    <row r="1" s="33" customFormat="1" ht="52.5" customHeight="1"/>
    <row r="2" s="33" customFormat="1" ht="10.5" customHeight="1" spans="1:12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="33" customFormat="1" ht="15.95" customHeight="1" spans="1:12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33" customFormat="1" ht="15.95" customHeight="1" spans="1:12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="33" customFormat="1" ht="15.95" customHeight="1" spans="1:12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="33" customFormat="1" ht="8.25" customHeight="1"/>
    <row r="7" s="33" customFormat="1" ht="12" customHeight="1" spans="1:8">
      <c r="A7" s="33" t="s">
        <v>4</v>
      </c>
      <c r="C7" s="38" t="s">
        <v>5</v>
      </c>
      <c r="D7" s="38"/>
      <c r="G7" s="38" t="s">
        <v>6</v>
      </c>
      <c r="H7" s="39"/>
    </row>
    <row r="8" s="33" customFormat="1" ht="12" customHeight="1" spans="3:8">
      <c r="C8" s="40"/>
      <c r="G8" s="40"/>
      <c r="H8" s="40"/>
    </row>
    <row r="9" s="33" customFormat="1" ht="12" customHeight="1" spans="1:8">
      <c r="A9" s="33" t="s">
        <v>7</v>
      </c>
      <c r="C9" s="38" t="s">
        <v>80</v>
      </c>
      <c r="D9" s="38"/>
      <c r="G9" s="38" t="s">
        <v>9</v>
      </c>
      <c r="H9" s="41"/>
    </row>
    <row r="10" ht="21.75" spans="1:12">
      <c r="A10" s="42" t="s">
        <v>99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s="34" customFormat="1" ht="12" spans="1:12">
      <c r="A11" s="43" t="s">
        <v>11</v>
      </c>
      <c r="B11" s="44" t="s">
        <v>12</v>
      </c>
      <c r="C11" s="45"/>
      <c r="D11" s="45"/>
      <c r="E11" s="45"/>
      <c r="F11" s="45"/>
      <c r="G11" s="45"/>
      <c r="H11" s="45"/>
      <c r="I11" s="45"/>
      <c r="J11" s="45"/>
      <c r="K11" s="45"/>
      <c r="L11" s="62" t="s">
        <v>15</v>
      </c>
    </row>
    <row r="12" s="34" customFormat="1" ht="12" spans="1:12">
      <c r="A12" s="46"/>
      <c r="B12" s="47" t="s">
        <v>82</v>
      </c>
      <c r="C12" s="48"/>
      <c r="D12" s="48"/>
      <c r="E12" s="49"/>
      <c r="F12" s="47" t="s">
        <v>83</v>
      </c>
      <c r="G12" s="49"/>
      <c r="H12" s="47" t="s">
        <v>84</v>
      </c>
      <c r="I12" s="49"/>
      <c r="J12" s="47" t="s">
        <v>85</v>
      </c>
      <c r="K12" s="49"/>
      <c r="L12" s="63"/>
    </row>
    <row r="13" s="34" customFormat="1" ht="29.25" customHeight="1" spans="1:12">
      <c r="A13" s="50" t="s">
        <v>100</v>
      </c>
      <c r="B13" s="51" t="s">
        <v>101</v>
      </c>
      <c r="C13" s="52"/>
      <c r="D13" s="52"/>
      <c r="E13" s="53"/>
      <c r="F13" s="51">
        <v>1</v>
      </c>
      <c r="G13" s="53"/>
      <c r="H13" s="51">
        <v>0</v>
      </c>
      <c r="I13" s="53"/>
      <c r="J13" s="51">
        <v>1</v>
      </c>
      <c r="K13" s="53"/>
      <c r="L13" s="64">
        <v>1</v>
      </c>
    </row>
    <row r="14" s="35" customFormat="1" ht="33.75" customHeight="1" spans="1:12">
      <c r="A14" s="54" t="s">
        <v>102</v>
      </c>
      <c r="B14" s="51" t="s">
        <v>101</v>
      </c>
      <c r="C14" s="52"/>
      <c r="D14" s="52"/>
      <c r="E14" s="53"/>
      <c r="F14" s="51">
        <v>1</v>
      </c>
      <c r="G14" s="53"/>
      <c r="H14" s="51">
        <v>1</v>
      </c>
      <c r="I14" s="53"/>
      <c r="J14" s="51">
        <v>0</v>
      </c>
      <c r="K14" s="53"/>
      <c r="L14" s="65">
        <v>0</v>
      </c>
    </row>
    <row r="15" s="35" customFormat="1" spans="1:12">
      <c r="A15" s="55" t="s">
        <v>103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66"/>
    </row>
    <row r="16" ht="18.95" customHeight="1" spans="1:12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="33" customFormat="1" spans="1:3">
      <c r="A17" s="33" t="s">
        <v>76</v>
      </c>
      <c r="C17" s="58"/>
    </row>
    <row r="18" s="33" customFormat="1" spans="3:3">
      <c r="C18" s="58"/>
    </row>
    <row r="19" spans="1:2">
      <c r="A19" s="59" t="s">
        <v>77</v>
      </c>
      <c r="B19" s="59"/>
    </row>
    <row r="20" spans="1:2">
      <c r="A20" s="60" t="s">
        <v>78</v>
      </c>
      <c r="B20" s="60"/>
    </row>
    <row r="21" spans="1:2">
      <c r="A21" s="61" t="s">
        <v>79</v>
      </c>
      <c r="B21" s="61"/>
    </row>
  </sheetData>
  <mergeCells count="24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A16:L16"/>
    <mergeCell ref="A19:B19"/>
    <mergeCell ref="A20:B20"/>
    <mergeCell ref="A21:B21"/>
    <mergeCell ref="A11:A12"/>
    <mergeCell ref="L11:L12"/>
  </mergeCells>
  <pageMargins left="0.7" right="0.7" top="0.75" bottom="0.75" header="0.3" footer="0.3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view="pageBreakPreview" zoomScaleNormal="100" workbookViewId="0">
      <selection activeCell="D13" sqref="D13"/>
    </sheetView>
  </sheetViews>
  <sheetFormatPr defaultColWidth="9" defaultRowHeight="14.4"/>
  <cols>
    <col min="1" max="1" width="26.5740740740741" customWidth="1"/>
    <col min="2" max="10" width="10.5740740740741" customWidth="1"/>
    <col min="11" max="11" width="13.1388888888889" customWidth="1"/>
  </cols>
  <sheetData>
    <row r="1" ht="33.75" customHeight="1" spans="1:11">
      <c r="A1" s="1"/>
      <c r="B1" s="1"/>
      <c r="C1" s="1"/>
      <c r="D1" s="2" t="s">
        <v>104</v>
      </c>
      <c r="E1" s="3"/>
      <c r="F1" s="3"/>
      <c r="G1" s="3"/>
      <c r="H1" s="1"/>
      <c r="I1" s="1"/>
      <c r="J1" s="1"/>
      <c r="K1" s="1"/>
    </row>
    <row r="2" ht="33.75" customHeight="1" spans="1:11">
      <c r="A2" s="1"/>
      <c r="B2" s="1"/>
      <c r="C2" s="1"/>
      <c r="D2" s="3"/>
      <c r="E2" s="3"/>
      <c r="F2" s="3"/>
      <c r="G2" s="3"/>
      <c r="H2" s="1"/>
      <c r="I2" s="1"/>
      <c r="J2" s="1"/>
      <c r="K2" s="1"/>
    </row>
    <row r="3" ht="39.95" customHeight="1" spans="1:11">
      <c r="A3" s="1"/>
      <c r="B3" s="1"/>
      <c r="C3" s="1"/>
      <c r="D3" s="3"/>
      <c r="E3" s="3"/>
      <c r="F3" s="3"/>
      <c r="G3" s="3"/>
      <c r="H3" s="1"/>
      <c r="I3" s="1"/>
      <c r="J3" s="1"/>
      <c r="K3" s="1"/>
    </row>
    <row r="4" ht="12" customHeight="1" spans="1:11">
      <c r="A4" s="4" t="s">
        <v>105</v>
      </c>
      <c r="B4" s="4"/>
      <c r="C4" s="4"/>
      <c r="D4" s="5"/>
      <c r="E4" s="5"/>
      <c r="F4" s="1"/>
      <c r="G4" s="1"/>
      <c r="H4" s="4" t="s">
        <v>106</v>
      </c>
      <c r="I4" s="4"/>
      <c r="J4" s="4"/>
      <c r="K4" s="4"/>
    </row>
    <row r="5" ht="12" customHeight="1" spans="1:11">
      <c r="A5" s="6"/>
      <c r="B5" s="7"/>
      <c r="C5" s="7"/>
      <c r="D5" s="1"/>
      <c r="E5" s="1"/>
      <c r="F5" s="1"/>
      <c r="G5" s="1"/>
      <c r="H5" s="7"/>
      <c r="I5" s="7"/>
      <c r="J5" s="7"/>
      <c r="K5" s="7"/>
    </row>
    <row r="6" ht="12" customHeight="1" spans="1:11">
      <c r="A6" s="4" t="s">
        <v>107</v>
      </c>
      <c r="B6" s="4"/>
      <c r="C6" s="7"/>
      <c r="D6" s="7"/>
      <c r="E6" s="7"/>
      <c r="F6" s="1"/>
      <c r="G6" s="1"/>
      <c r="H6" s="4" t="s">
        <v>108</v>
      </c>
      <c r="I6" s="4"/>
      <c r="J6" s="4"/>
      <c r="K6" s="4"/>
    </row>
    <row r="7" ht="21.75" spans="1:11">
      <c r="A7" s="8" t="s">
        <v>10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8.75" customHeight="1" spans="1:11">
      <c r="A8" s="9" t="s">
        <v>11</v>
      </c>
      <c r="B8" s="10" t="s">
        <v>12</v>
      </c>
      <c r="C8" s="11"/>
      <c r="D8" s="12"/>
      <c r="E8" s="13" t="s">
        <v>13</v>
      </c>
      <c r="F8" s="11"/>
      <c r="G8" s="14"/>
      <c r="H8" s="10" t="s">
        <v>14</v>
      </c>
      <c r="I8" s="11"/>
      <c r="J8" s="12"/>
      <c r="K8" s="28" t="s">
        <v>15</v>
      </c>
    </row>
    <row r="9" ht="18.75" customHeight="1" spans="1:11">
      <c r="A9" s="15"/>
      <c r="B9" s="16" t="s">
        <v>16</v>
      </c>
      <c r="C9" s="16" t="s">
        <v>17</v>
      </c>
      <c r="D9" s="16" t="s">
        <v>18</v>
      </c>
      <c r="E9" s="16" t="s">
        <v>16</v>
      </c>
      <c r="F9" s="16" t="s">
        <v>17</v>
      </c>
      <c r="G9" s="16" t="s">
        <v>18</v>
      </c>
      <c r="H9" s="16" t="s">
        <v>16</v>
      </c>
      <c r="I9" s="16" t="s">
        <v>17</v>
      </c>
      <c r="J9" s="16" t="s">
        <v>18</v>
      </c>
      <c r="K9" s="29"/>
    </row>
    <row r="10" ht="18.75" customHeight="1" spans="1:1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30"/>
    </row>
    <row r="11" ht="18.75" customHeight="1" spans="1:11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31"/>
    </row>
    <row r="12" ht="18.75" customHeight="1" spans="1:11">
      <c r="A12" s="20"/>
      <c r="B12" s="19"/>
      <c r="C12" s="19"/>
      <c r="D12" s="19"/>
      <c r="E12" s="19"/>
      <c r="F12" s="19"/>
      <c r="G12" s="19"/>
      <c r="H12" s="19"/>
      <c r="I12" s="19"/>
      <c r="J12" s="19"/>
      <c r="K12" s="31"/>
    </row>
    <row r="13" ht="18.75" customHeight="1" spans="1:11">
      <c r="A13" s="21"/>
      <c r="B13" s="22"/>
      <c r="C13" s="19"/>
      <c r="D13" s="19"/>
      <c r="E13" s="19"/>
      <c r="F13" s="19"/>
      <c r="G13" s="19"/>
      <c r="H13" s="19"/>
      <c r="I13" s="19"/>
      <c r="J13" s="19"/>
      <c r="K13" s="31"/>
    </row>
    <row r="14" ht="18.75" customHeight="1" spans="1:11">
      <c r="A14" s="23"/>
      <c r="B14" s="24"/>
      <c r="C14" s="19"/>
      <c r="D14" s="19"/>
      <c r="E14" s="19"/>
      <c r="F14" s="19"/>
      <c r="G14" s="19"/>
      <c r="H14" s="19"/>
      <c r="I14" s="19"/>
      <c r="J14" s="19"/>
      <c r="K14" s="31"/>
    </row>
    <row r="15" ht="18.75" customHeight="1" spans="1:11">
      <c r="A15" s="20"/>
      <c r="B15" s="19"/>
      <c r="C15" s="19"/>
      <c r="D15" s="19"/>
      <c r="E15" s="19"/>
      <c r="F15" s="19"/>
      <c r="G15" s="19"/>
      <c r="H15" s="19"/>
      <c r="I15" s="19"/>
      <c r="J15" s="19"/>
      <c r="K15" s="31"/>
    </row>
    <row r="16" ht="18.75" customHeight="1" spans="1:11">
      <c r="A16" s="17"/>
      <c r="B16" s="19"/>
      <c r="C16" s="19"/>
      <c r="D16" s="19"/>
      <c r="E16" s="19"/>
      <c r="F16" s="19"/>
      <c r="G16" s="19"/>
      <c r="H16" s="19"/>
      <c r="I16" s="19"/>
      <c r="J16" s="19"/>
      <c r="K16" s="31"/>
    </row>
    <row r="17" ht="18.75" customHeight="1" spans="1:11">
      <c r="A17" s="25"/>
      <c r="B17" s="19"/>
      <c r="C17" s="19"/>
      <c r="D17" s="19"/>
      <c r="E17" s="19"/>
      <c r="F17" s="19"/>
      <c r="G17" s="19"/>
      <c r="H17" s="19"/>
      <c r="I17" s="19"/>
      <c r="J17" s="19"/>
      <c r="K17" s="31"/>
    </row>
    <row r="18" ht="18.75" customHeight="1" spans="1:11">
      <c r="A18" s="17"/>
      <c r="B18" s="19"/>
      <c r="C18" s="19"/>
      <c r="D18" s="19"/>
      <c r="E18" s="19"/>
      <c r="F18" s="19"/>
      <c r="G18" s="19"/>
      <c r="H18" s="19" t="s">
        <v>109</v>
      </c>
      <c r="I18" s="19"/>
      <c r="J18" s="19"/>
      <c r="K18" s="31"/>
    </row>
    <row r="19" ht="18.75" customHeight="1" spans="1:11">
      <c r="A19" s="25"/>
      <c r="B19" s="19"/>
      <c r="C19" s="19"/>
      <c r="D19" s="19"/>
      <c r="E19" s="19"/>
      <c r="F19" s="19"/>
      <c r="G19" s="19"/>
      <c r="H19" s="19"/>
      <c r="I19" s="19"/>
      <c r="J19" s="19"/>
      <c r="K19" s="31" t="s">
        <v>110</v>
      </c>
    </row>
    <row r="20" ht="18.75" customHeight="1" spans="1:11">
      <c r="A20" s="17"/>
      <c r="B20" s="19"/>
      <c r="C20" s="19"/>
      <c r="D20" s="19"/>
      <c r="E20" s="19"/>
      <c r="F20" s="19"/>
      <c r="G20" s="19"/>
      <c r="H20" s="19"/>
      <c r="I20" s="19"/>
      <c r="J20" s="19"/>
      <c r="K20" s="31"/>
    </row>
    <row r="21" ht="18.75" customHeight="1" spans="1:11">
      <c r="A21" s="17"/>
      <c r="B21" s="19"/>
      <c r="C21" s="19"/>
      <c r="D21" s="19"/>
      <c r="E21" s="19"/>
      <c r="F21" s="19"/>
      <c r="G21" s="19"/>
      <c r="H21" s="19"/>
      <c r="I21" s="19"/>
      <c r="J21" s="19"/>
      <c r="K21" s="31"/>
    </row>
    <row r="22" ht="18.75" customHeight="1" spans="1:11">
      <c r="A22" s="17"/>
      <c r="B22" s="19"/>
      <c r="C22" s="19"/>
      <c r="D22" s="19"/>
      <c r="E22" s="19"/>
      <c r="F22" s="19"/>
      <c r="G22" s="19"/>
      <c r="H22" s="19"/>
      <c r="I22" s="19"/>
      <c r="J22" s="19"/>
      <c r="K22" s="31"/>
    </row>
    <row r="23" ht="18.75" customHeight="1" spans="1:11">
      <c r="A23" s="17"/>
      <c r="B23" s="19"/>
      <c r="C23" s="19"/>
      <c r="D23" s="19"/>
      <c r="E23" s="19"/>
      <c r="F23" s="19"/>
      <c r="G23" s="19"/>
      <c r="H23" s="19"/>
      <c r="I23" s="19"/>
      <c r="J23" s="19"/>
      <c r="K23" s="31"/>
    </row>
    <row r="24" ht="18.75" customHeight="1" spans="1:11">
      <c r="A24" s="17"/>
      <c r="B24" s="19"/>
      <c r="C24" s="19"/>
      <c r="D24" s="19"/>
      <c r="E24" s="19"/>
      <c r="F24" s="19"/>
      <c r="G24" s="19"/>
      <c r="H24" s="19"/>
      <c r="I24" s="19"/>
      <c r="J24" s="19"/>
      <c r="K24" s="31"/>
    </row>
    <row r="25" ht="18.75" customHeight="1" spans="1:11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31"/>
    </row>
    <row r="26" ht="18.75" customHeight="1" spans="1:11">
      <c r="A26" s="17"/>
      <c r="B26" s="19"/>
      <c r="C26" s="19"/>
      <c r="D26" s="19"/>
      <c r="E26" s="19"/>
      <c r="F26" s="19"/>
      <c r="G26" s="19"/>
      <c r="H26" s="19"/>
      <c r="I26" s="19"/>
      <c r="J26" s="19"/>
      <c r="K26" s="31"/>
    </row>
    <row r="27" ht="18.75" customHeight="1" spans="1:11">
      <c r="A27" s="17"/>
      <c r="B27" s="19"/>
      <c r="C27" s="19"/>
      <c r="D27" s="19"/>
      <c r="E27" s="19"/>
      <c r="F27" s="19"/>
      <c r="G27" s="19"/>
      <c r="H27" s="19"/>
      <c r="I27" s="19"/>
      <c r="J27" s="19"/>
      <c r="K27" s="31"/>
    </row>
    <row r="28" ht="18.75" customHeight="1" spans="1:1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32"/>
    </row>
  </sheetData>
  <mergeCells count="9">
    <mergeCell ref="A4:C4"/>
    <mergeCell ref="H4:K4"/>
    <mergeCell ref="A6:B6"/>
    <mergeCell ref="H6:K6"/>
    <mergeCell ref="A7:K7"/>
    <mergeCell ref="B8:D8"/>
    <mergeCell ref="E8:G8"/>
    <mergeCell ref="H8:J8"/>
    <mergeCell ref="D1:G3"/>
  </mergeCells>
  <printOptions horizontalCentered="1" verticalCentered="1"/>
  <pageMargins left="0.25" right="0.25" top="0.25" bottom="0.2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Leave Card (NE)</vt:lpstr>
      <vt:lpstr>VSC</vt:lpstr>
      <vt:lpstr>CTO</vt:lpstr>
      <vt:lpstr>Leave Card (Addt'l)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2025-02-14T06:36:00Z</cp:lastPrinted>
  <dcterms:modified xsi:type="dcterms:W3CDTF">2026-01-02T12:38:43Z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E06752EB1C2B436FBE9D8A0DBD91FF68</vt:lpwstr>
  </property>
  <property fmtid="{D5CDD505-2E9C-101B-9397-08002B2CF9AE}" pid="3" name="KSOProductBuildVer">
    <vt:lpwstr>1033-12.2.0.23196</vt:lpwstr>
  </property>
</Properties>
</file>