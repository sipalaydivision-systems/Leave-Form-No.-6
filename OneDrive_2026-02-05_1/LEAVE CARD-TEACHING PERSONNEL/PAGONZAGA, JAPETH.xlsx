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Leave Card as TIC" sheetId="11" r:id="rId1"/>
    <sheet name="VSC" sheetId="9" r:id="rId2"/>
    <sheet name="Election" sheetId="10" r:id="rId3"/>
  </sheets>
  <definedNames>
    <definedName name="_xlnm.Print_Area" localSheetId="2">Election!$A$1:$M$24</definedName>
    <definedName name="_xlnm.Print_Area" localSheetId="0">'Leave Card as TIC'!$A$1:$J$26</definedName>
    <definedName name="_xlnm.Print_Area" localSheetId="1">VSC!$A$1:$I$40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<sst xmlns="http://schemas.openxmlformats.org/spreadsheetml/2006/main" count="118" uniqueCount="82">
  <si>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</si>
  <si>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</si>
  <si>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</si>
  <si>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</si>
  <si>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</si>
  <si>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</si>
  <si>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</si>
  <si>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</si>
  <si>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</si>
  <si>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</si>
  <si>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</si>
  <si>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</si>
  <si>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</si>
  <si>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</si>
  <si>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</si>
  <si>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</si>
  <si>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</si>
  <si>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</si>
  <si>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</si>
  <si>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</si>
  <si>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SPECIAL</t>
  </si>
  <si>
    <t>DESIGNATED AS TIC (NON-TEACHING): EFFECTIVE JULY 29, 2024</t>
  </si>
  <si>
    <r>
      <rPr>
        <sz val="11"/>
        <color theme="1"/>
        <rFont val="Calibri"/>
        <charset val="134"/>
        <scheme val="minor"/>
      </rPr>
      <t xml:space="preserve">ADD: CONVERTED VSC </t>
    </r>
    <r>
      <rPr>
        <b/>
        <sz val="11"/>
        <color rgb="FF002060"/>
        <rFont val="Calibri"/>
        <charset val="134"/>
        <scheme val="minor"/>
      </rPr>
      <t>28 DAYS</t>
    </r>
    <r>
      <rPr>
        <sz val="11"/>
        <color theme="1"/>
        <rFont val="Calibri"/>
        <charset val="134"/>
        <scheme val="minor"/>
      </rPr>
      <t xml:space="preserve">:                                       FORMULA: 30Y/69/2 </t>
    </r>
  </si>
  <si>
    <t>ADD: 07/29-31/2024</t>
  </si>
  <si>
    <t>ADD: 08/1/2024-12/31/2024</t>
  </si>
  <si>
    <t>ADD: 01/1-5/2025</t>
  </si>
  <si>
    <t>JANUARY 6, 2025 (RELIEVED AS TIC)</t>
  </si>
  <si>
    <t xml:space="preserve">  </t>
  </si>
  <si>
    <t>NAME         : PAGONZAGA, JAPETH</t>
  </si>
  <si>
    <t>DISTRICT             : _______________________</t>
  </si>
  <si>
    <t>SCHOOL/OFFICE : CABADIANGAN ES</t>
  </si>
  <si>
    <t>POSITION   : TEACHER III</t>
  </si>
  <si>
    <t>VSC</t>
  </si>
  <si>
    <t>Special Order No. and Date Issued</t>
  </si>
  <si>
    <t>No. of Days Granted</t>
  </si>
  <si>
    <t>No. of Days Used</t>
  </si>
  <si>
    <t>Balance</t>
  </si>
  <si>
    <t>ADD: SEPTEMBER 20, 2022</t>
  </si>
  <si>
    <t>S.O. # 072, S. 2022. COMPLETE PROGRESS MONITORING REPORT AND INVENTORY OF SLMS AND LAS FOR QUARTER 1-4</t>
  </si>
  <si>
    <t>LESS: DECEMBER 2 &amp; 5, 2022</t>
  </si>
  <si>
    <t>LESS: MARCH 1, 2023</t>
  </si>
  <si>
    <t>LESS: MARCH 24, 2023</t>
  </si>
  <si>
    <t>LESS: JUNE 05, 2023</t>
  </si>
  <si>
    <t>LESS: JUNE 13 &amp; 14, 2023</t>
  </si>
  <si>
    <t>ADD: NOVEMBER 17, 2022</t>
  </si>
  <si>
    <t>S.O. # 118, S. 2022. BRIGADA ESKWELA 2022</t>
  </si>
  <si>
    <t>LESS: 10/12/2023</t>
  </si>
  <si>
    <t>LESS: 10/18/2023</t>
  </si>
  <si>
    <t>LESS: 11/09/2023</t>
  </si>
  <si>
    <t>ADD: 11/06/2023</t>
  </si>
  <si>
    <t>S. O # 166, S. 2023 BRIGADA ESKWELA AND OPLAN BALIK ESKWELA 2023</t>
  </si>
  <si>
    <t>LESS: 02/12/2024</t>
  </si>
  <si>
    <t>LESS: 05/13-14/2024</t>
  </si>
  <si>
    <t>S. O # 166, S. 2023 BRIGADA ESKWELA AND OPLAN BALIK ESKWELA 2024</t>
  </si>
  <si>
    <t xml:space="preserve">TOTAL UNUSED VSC BALANCE </t>
  </si>
  <si>
    <t>28 DAYS</t>
  </si>
  <si>
    <t>DESIGNATED AS TIC (NON-TEACHING): EFFECTIVE JULY 29, 2024 - JANUARY 5, 2025</t>
  </si>
  <si>
    <t>RELIEVED AS TIC: EFFECTIVE JANUARY 6, 2025</t>
  </si>
  <si>
    <t>VL-SL BALANCE = 25.340</t>
  </si>
  <si>
    <r>
      <rPr>
        <b/>
        <sz val="11"/>
        <color theme="1"/>
        <rFont val="Calibri"/>
        <charset val="134"/>
        <scheme val="minor"/>
      </rPr>
      <t xml:space="preserve">25.340*69/30 = </t>
    </r>
    <r>
      <rPr>
        <b/>
        <sz val="11"/>
        <color rgb="FFFF0000"/>
        <rFont val="Calibri"/>
        <charset val="134"/>
        <scheme val="minor"/>
      </rPr>
      <t>58.282</t>
    </r>
    <r>
      <rPr>
        <b/>
        <sz val="11"/>
        <color theme="1"/>
        <rFont val="Calibri"/>
        <charset val="134"/>
        <scheme val="minor"/>
      </rPr>
      <t xml:space="preserve"> CONVERTED VL-SL CREDITS TO VSC</t>
    </r>
  </si>
  <si>
    <t>LESS: 01/16/2025</t>
  </si>
  <si>
    <t>S. O # 115, S. 2025 CONVERTED VL-SL CREDITS TO VSC</t>
  </si>
  <si>
    <t>LESS: 03/21/2025</t>
  </si>
  <si>
    <t>LESS: 07/28/2025</t>
  </si>
  <si>
    <r>
      <rPr>
        <b/>
        <sz val="11"/>
        <color theme="1"/>
        <rFont val="Calibri"/>
        <charset val="134"/>
        <scheme val="minor"/>
      </rPr>
      <t xml:space="preserve">VL BALANCE from July 29, 2024 - January 5, 2025: </t>
    </r>
    <r>
      <rPr>
        <b/>
        <sz val="11"/>
        <color rgb="FFFF0000"/>
        <rFont val="Calibri"/>
        <charset val="134"/>
        <scheme val="minor"/>
      </rPr>
      <t xml:space="preserve">6.583  </t>
    </r>
    <r>
      <rPr>
        <b/>
        <sz val="11"/>
        <color theme="1"/>
        <rFont val="Calibri"/>
        <charset val="134"/>
        <scheme val="minor"/>
      </rPr>
      <t xml:space="preserve">                                                                                                      SL BALANCE: from July 29, 2024 - January 5, 2025: </t>
    </r>
    <r>
      <rPr>
        <b/>
        <sz val="11"/>
        <color rgb="FFFF0000"/>
        <rFont val="Calibri"/>
        <charset val="134"/>
        <scheme val="minor"/>
      </rPr>
      <t xml:space="preserve">6.583 </t>
    </r>
    <r>
      <rPr>
        <b/>
        <sz val="11"/>
        <color theme="1"/>
        <rFont val="Calibri"/>
        <charset val="134"/>
        <scheme val="minor"/>
      </rPr>
      <t xml:space="preserve">                                                                                            </t>
    </r>
    <r>
      <rPr>
        <b/>
        <sz val="11"/>
        <color rgb="FFFF0000"/>
        <rFont val="Calibri"/>
        <charset val="134"/>
        <scheme val="minor"/>
      </rPr>
      <t>TOTAL: 13.166</t>
    </r>
  </si>
  <si>
    <r>
      <rPr>
        <b/>
        <sz val="11"/>
        <color theme="1"/>
        <rFont val="Calibri"/>
        <charset val="134"/>
        <scheme val="minor"/>
      </rPr>
      <t xml:space="preserve">13.166*69/30 = </t>
    </r>
    <r>
      <rPr>
        <b/>
        <sz val="11"/>
        <color rgb="FFFF0000"/>
        <rFont val="Calibri"/>
        <charset val="134"/>
        <scheme val="minor"/>
      </rPr>
      <t>30.282</t>
    </r>
    <r>
      <rPr>
        <b/>
        <sz val="11"/>
        <color theme="1"/>
        <rFont val="Calibri"/>
        <charset val="134"/>
        <scheme val="minor"/>
      </rPr>
      <t xml:space="preserve"> CONVERTED VL-SL CREDITS TO VSC</t>
    </r>
  </si>
  <si>
    <t>LESS: 08/19/2025</t>
  </si>
  <si>
    <t>LESS: 08/29/2025</t>
  </si>
  <si>
    <t>LESS: 09/23/2025</t>
  </si>
  <si>
    <t>LESS: 11/17/2025</t>
  </si>
  <si>
    <t>LESS: 12/2/2025</t>
  </si>
  <si>
    <t>NAME          : _____________________</t>
  </si>
  <si>
    <t>DISTRICT                : _______________________</t>
  </si>
  <si>
    <t>EMPLOYEE NO    : __________</t>
  </si>
  <si>
    <t>SCHOOL/OFFICE : _______________________</t>
  </si>
  <si>
    <t>STATION CODE    : __________</t>
  </si>
  <si>
    <t>POSITION   : ______________________</t>
  </si>
  <si>
    <t>DIVISION CODE   : 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</si>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</sst>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3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8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0070C0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0000"/>
      <name val="Calibri"/>
      <charset val="134"/>
      <scheme val="minor"/>
    </font>
    <font>
      <b/>
      <sz val="11"/>
      <color rgb="FF002060"/>
      <name val="Calibri"/>
      <charset val="134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4" borderId="29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0" applyNumberFormat="0" applyFill="0" applyAlignment="0" applyProtection="0">
      <alignment vertical="center"/>
    </xf>
    <xf numFmtId="0" fontId="22" fillId="0" borderId="30" applyNumberFormat="0" applyFill="0" applyAlignment="0" applyProtection="0">
      <alignment vertical="center"/>
    </xf>
    <xf numFmtId="0" fontId="23" fillId="0" borderId="3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5" borderId="32" applyNumberFormat="0" applyAlignment="0" applyProtection="0">
      <alignment vertical="center"/>
    </xf>
    <xf numFmtId="0" fontId="25" fillId="16" borderId="33" applyNumberFormat="0" applyAlignment="0" applyProtection="0">
      <alignment vertical="center"/>
    </xf>
    <xf numFmtId="0" fontId="26" fillId="16" borderId="32" applyNumberFormat="0" applyAlignment="0" applyProtection="0">
      <alignment vertical="center"/>
    </xf>
    <xf numFmtId="0" fontId="27" fillId="17" borderId="34" applyNumberFormat="0" applyAlignment="0" applyProtection="0">
      <alignment vertical="center"/>
    </xf>
    <xf numFmtId="0" fontId="28" fillId="0" borderId="35" applyNumberFormat="0" applyFill="0" applyAlignment="0" applyProtection="0">
      <alignment vertical="center"/>
    </xf>
    <xf numFmtId="0" fontId="29" fillId="0" borderId="36" applyNumberFormat="0" applyFill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9" fillId="0" borderId="0"/>
  </cellStyleXfs>
  <cellXfs count="129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8" borderId="2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6" fillId="0" borderId="19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right" vertical="center" wrapText="1"/>
    </xf>
    <xf numFmtId="0" fontId="3" fillId="2" borderId="13" xfId="0" applyFont="1" applyFill="1" applyBorder="1" applyAlignment="1">
      <alignment horizontal="right" vertical="center" wrapText="1"/>
    </xf>
    <xf numFmtId="0" fontId="3" fillId="2" borderId="14" xfId="0" applyFont="1" applyFill="1" applyBorder="1" applyAlignment="1">
      <alignment horizontal="right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9" borderId="18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9" borderId="19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3" fillId="2" borderId="19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9" fillId="2" borderId="0" xfId="49" applyFill="1"/>
    <xf numFmtId="0" fontId="9" fillId="0" borderId="0" xfId="49" applyAlignment="1">
      <alignment horizontal="center" vertical="center"/>
    </xf>
    <xf numFmtId="0" fontId="9" fillId="0" borderId="0" xfId="49"/>
    <xf numFmtId="0" fontId="14" fillId="0" borderId="0" xfId="49" applyFont="1"/>
    <xf numFmtId="0" fontId="9" fillId="2" borderId="0" xfId="49" applyFill="1" applyAlignment="1">
      <alignment horizontal="center" vertical="center"/>
    </xf>
    <xf numFmtId="0" fontId="3" fillId="2" borderId="0" xfId="49" applyFont="1" applyFill="1" applyAlignment="1">
      <alignment horizontal="left" vertical="center"/>
    </xf>
    <xf numFmtId="0" fontId="3" fillId="2" borderId="0" xfId="49" applyFont="1" applyFill="1" applyAlignment="1">
      <alignment vertical="center"/>
    </xf>
    <xf numFmtId="0" fontId="3" fillId="2" borderId="0" xfId="49" applyFont="1" applyFill="1"/>
    <xf numFmtId="0" fontId="4" fillId="2" borderId="1" xfId="49" applyFont="1" applyFill="1" applyBorder="1" applyAlignment="1">
      <alignment horizontal="center" vertical="center"/>
    </xf>
    <xf numFmtId="0" fontId="3" fillId="10" borderId="2" xfId="49" applyFont="1" applyFill="1" applyBorder="1" applyAlignment="1">
      <alignment horizontal="center" vertical="center"/>
    </xf>
    <xf numFmtId="0" fontId="3" fillId="11" borderId="20" xfId="49" applyFont="1" applyFill="1" applyBorder="1" applyAlignment="1">
      <alignment horizontal="center" vertical="center"/>
    </xf>
    <xf numFmtId="0" fontId="3" fillId="11" borderId="21" xfId="49" applyFont="1" applyFill="1" applyBorder="1" applyAlignment="1">
      <alignment horizontal="center" vertical="center"/>
    </xf>
    <xf numFmtId="0" fontId="3" fillId="12" borderId="20" xfId="49" applyFont="1" applyFill="1" applyBorder="1" applyAlignment="1">
      <alignment horizontal="center" vertical="center"/>
    </xf>
    <xf numFmtId="0" fontId="3" fillId="12" borderId="21" xfId="49" applyFont="1" applyFill="1" applyBorder="1" applyAlignment="1">
      <alignment horizontal="center" vertical="center"/>
    </xf>
    <xf numFmtId="0" fontId="3" fillId="12" borderId="22" xfId="49" applyFont="1" applyFill="1" applyBorder="1" applyAlignment="1">
      <alignment horizontal="center" vertical="center"/>
    </xf>
    <xf numFmtId="0" fontId="3" fillId="13" borderId="20" xfId="49" applyFont="1" applyFill="1" applyBorder="1" applyAlignment="1">
      <alignment horizontal="center" vertical="center"/>
    </xf>
    <xf numFmtId="0" fontId="3" fillId="10" borderId="5" xfId="49" applyFont="1" applyFill="1" applyBorder="1" applyAlignment="1">
      <alignment horizontal="center" vertical="center"/>
    </xf>
    <xf numFmtId="0" fontId="3" fillId="2" borderId="23" xfId="49" applyFont="1" applyFill="1" applyBorder="1" applyAlignment="1">
      <alignment horizontal="center" vertical="center"/>
    </xf>
    <xf numFmtId="0" fontId="3" fillId="10" borderId="24" xfId="49" applyFont="1" applyFill="1" applyBorder="1" applyAlignment="1">
      <alignment horizontal="left" vertical="center"/>
    </xf>
    <xf numFmtId="0" fontId="3" fillId="10" borderId="25" xfId="49" applyFont="1" applyFill="1" applyBorder="1" applyAlignment="1">
      <alignment horizontal="left" vertical="center"/>
    </xf>
    <xf numFmtId="0" fontId="9" fillId="2" borderId="8" xfId="49" applyFont="1" applyFill="1" applyBorder="1" applyAlignment="1">
      <alignment horizontal="center" vertical="center" wrapText="1"/>
    </xf>
    <xf numFmtId="0" fontId="9" fillId="2" borderId="11" xfId="49" applyFill="1" applyBorder="1" applyAlignment="1">
      <alignment horizontal="center" vertical="center"/>
    </xf>
    <xf numFmtId="0" fontId="9" fillId="2" borderId="11" xfId="49" applyFill="1" applyBorder="1" applyAlignment="1">
      <alignment horizontal="center" vertical="center" wrapText="1"/>
    </xf>
    <xf numFmtId="176" fontId="9" fillId="2" borderId="11" xfId="49" applyNumberFormat="1" applyFill="1" applyBorder="1" applyAlignment="1">
      <alignment horizontal="center" vertical="center"/>
    </xf>
    <xf numFmtId="0" fontId="9" fillId="2" borderId="8" xfId="49" applyFill="1" applyBorder="1" applyAlignment="1">
      <alignment horizontal="center" vertical="center" wrapText="1"/>
    </xf>
    <xf numFmtId="0" fontId="9" fillId="2" borderId="19" xfId="49" applyFill="1" applyBorder="1" applyAlignment="1">
      <alignment horizontal="center" vertical="center" wrapText="1"/>
    </xf>
    <xf numFmtId="0" fontId="9" fillId="2" borderId="19" xfId="49" applyFill="1" applyBorder="1" applyAlignment="1">
      <alignment horizontal="center" vertical="center"/>
    </xf>
    <xf numFmtId="176" fontId="9" fillId="2" borderId="19" xfId="49" applyNumberFormat="1" applyFill="1" applyBorder="1" applyAlignment="1">
      <alignment horizontal="center" vertical="center"/>
    </xf>
    <xf numFmtId="0" fontId="3" fillId="2" borderId="26" xfId="49" applyFont="1" applyFill="1" applyBorder="1" applyAlignment="1">
      <alignment horizontal="center" vertical="center" wrapText="1"/>
    </xf>
    <xf numFmtId="0" fontId="3" fillId="2" borderId="13" xfId="49" applyFont="1" applyFill="1" applyBorder="1" applyAlignment="1">
      <alignment horizontal="center" vertical="center" wrapText="1"/>
    </xf>
    <xf numFmtId="0" fontId="3" fillId="2" borderId="14" xfId="49" applyFont="1" applyFill="1" applyBorder="1" applyAlignment="1">
      <alignment horizontal="center" vertical="center" wrapText="1"/>
    </xf>
    <xf numFmtId="176" fontId="9" fillId="2" borderId="0" xfId="49" applyNumberFormat="1" applyFill="1" applyAlignment="1">
      <alignment horizontal="center" vertical="center"/>
    </xf>
    <xf numFmtId="0" fontId="3" fillId="2" borderId="27" xfId="49" applyFont="1" applyFill="1" applyBorder="1" applyAlignment="1">
      <alignment horizontal="center" vertical="center"/>
    </xf>
    <xf numFmtId="0" fontId="3" fillId="2" borderId="27" xfId="49" applyFont="1" applyFill="1" applyBorder="1" applyAlignment="1">
      <alignment vertical="center"/>
    </xf>
    <xf numFmtId="0" fontId="3" fillId="13" borderId="21" xfId="49" applyFont="1" applyFill="1" applyBorder="1" applyAlignment="1">
      <alignment horizontal="center" vertical="center"/>
    </xf>
    <xf numFmtId="0" fontId="3" fillId="10" borderId="15" xfId="49" applyFont="1" applyFill="1" applyBorder="1" applyAlignment="1">
      <alignment horizontal="center" vertical="center"/>
    </xf>
    <xf numFmtId="0" fontId="15" fillId="0" borderId="5" xfId="49" applyFont="1" applyBorder="1" applyAlignment="1">
      <alignment horizontal="center" vertical="center"/>
    </xf>
    <xf numFmtId="0" fontId="3" fillId="10" borderId="16" xfId="49" applyFont="1" applyFill="1" applyBorder="1" applyAlignment="1">
      <alignment horizontal="center" vertical="center"/>
    </xf>
    <xf numFmtId="0" fontId="3" fillId="10" borderId="28" xfId="49" applyFont="1" applyFill="1" applyBorder="1" applyAlignment="1">
      <alignment horizontal="left" vertical="center"/>
    </xf>
    <xf numFmtId="0" fontId="15" fillId="0" borderId="0" xfId="49" applyFont="1" applyAlignment="1">
      <alignment horizontal="center" vertical="center"/>
    </xf>
    <xf numFmtId="176" fontId="9" fillId="2" borderId="17" xfId="49" applyNumberFormat="1" applyFill="1" applyBorder="1" applyAlignment="1">
      <alignment horizontal="center" vertical="center"/>
    </xf>
    <xf numFmtId="176" fontId="9" fillId="2" borderId="18" xfId="49" applyNumberFormat="1" applyFill="1" applyBorder="1" applyAlignment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colors>
    <mruColors>
      <color rgb="00FF2121"/>
      <color rgb="00EF874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45635" y="24765"/>
          <a:ext cx="619760" cy="64198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>
      <xdr:nvSpPr>
        <xdr:cNvPr id="3" name="TextBox 2"/>
        <xdr:cNvSpPr txBox="1"/>
      </xdr:nvSpPr>
      <xdr:spPr>
        <a:xfrm>
          <a:off x="573405" y="1376045"/>
          <a:ext cx="1934845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PAGONZAGA, JAPETH N.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>
      <xdr:nvSpPr>
        <xdr:cNvPr id="4" name="TextBox 3"/>
        <xdr:cNvSpPr txBox="1"/>
      </xdr:nvSpPr>
      <xdr:spPr>
        <a:xfrm>
          <a:off x="616585" y="1725930"/>
          <a:ext cx="189166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T-III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5</xdr:col>
      <xdr:colOff>0</xdr:colOff>
      <xdr:row>8</xdr:row>
      <xdr:rowOff>140434</xdr:rowOff>
    </xdr:to>
    <xdr:sp>
      <xdr:nvSpPr>
        <xdr:cNvPr id="5" name="TextBox 4"/>
        <xdr:cNvSpPr txBox="1"/>
      </xdr:nvSpPr>
      <xdr:spPr>
        <a:xfrm>
          <a:off x="3716655" y="1707515"/>
          <a:ext cx="1966595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CABADIANGAN ES</a:t>
          </a:r>
          <a:endParaRPr lang="en-US" sz="1100"/>
        </a:p>
      </xdr:txBody>
    </xdr:sp>
    <xdr:clientData/>
  </xdr:twoCellAnchor>
  <xdr:twoCellAnchor>
    <xdr:from>
      <xdr:col>5</xdr:col>
      <xdr:colOff>347452</xdr:colOff>
      <xdr:row>20</xdr:row>
      <xdr:rowOff>53914</xdr:rowOff>
    </xdr:from>
    <xdr:to>
      <xdr:col>9</xdr:col>
      <xdr:colOff>672043</xdr:colOff>
      <xdr:row>25</xdr:row>
      <xdr:rowOff>170731</xdr:rowOff>
    </xdr:to>
    <xdr:sp>
      <xdr:nvSpPr>
        <xdr:cNvPr id="6" name="TextBox 5"/>
        <xdr:cNvSpPr txBox="1"/>
      </xdr:nvSpPr>
      <xdr:spPr>
        <a:xfrm>
          <a:off x="6030595" y="4545330"/>
          <a:ext cx="3499485" cy="10312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  <a:endParaRPr lang="en-PH" sz="1100" b="1" i="0" u="sng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  <a:endParaRPr lang="en-PH"/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1193721</xdr:colOff>
      <xdr:row>0</xdr:row>
      <xdr:rowOff>119062</xdr:rowOff>
    </xdr:from>
    <xdr:to>
      <xdr:col>4</xdr:col>
      <xdr:colOff>1772436</xdr:colOff>
      <xdr:row>1</xdr:row>
      <xdr:rowOff>18030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45635" y="118745"/>
          <a:ext cx="579120" cy="565785"/>
        </a:xfrm>
        <a:prstGeom prst="rect">
          <a:avLst/>
        </a:prstGeom>
        <a:noFill/>
      </xdr:spPr>
    </xdr:pic>
    <xdr:clientData/>
  </xdr:twoCellAnchor>
  <xdr:twoCellAnchor>
    <xdr:from>
      <xdr:col>4</xdr:col>
      <xdr:colOff>3245529</xdr:colOff>
      <xdr:row>38</xdr:row>
      <xdr:rowOff>266247</xdr:rowOff>
    </xdr:from>
    <xdr:to>
      <xdr:col>8</xdr:col>
      <xdr:colOff>522061</xdr:colOff>
      <xdr:row>40</xdr:row>
      <xdr:rowOff>174853</xdr:rowOff>
    </xdr:to>
    <xdr:sp>
      <xdr:nvSpPr>
        <xdr:cNvPr id="3" name="TextBox 2"/>
        <xdr:cNvSpPr txBox="1"/>
      </xdr:nvSpPr>
      <xdr:spPr>
        <a:xfrm>
          <a:off x="6073775" y="9978390"/>
          <a:ext cx="2813685" cy="3702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24587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4"/>
  <sheetViews>
    <sheetView view="pageBreakPreview" zoomScale="106" zoomScaleNormal="100" workbookViewId="0">
      <selection activeCell="C23" sqref="C23"/>
    </sheetView>
  </sheetViews>
  <sheetFormatPr defaultColWidth="9" defaultRowHeight="14.4"/>
  <cols>
    <col min="1" max="1" width="36.5740740740741" style="89" customWidth="1"/>
    <col min="2" max="5" width="11.5740740740741" style="89" customWidth="1"/>
    <col min="6" max="7" width="11.5740740740741" style="88" customWidth="1"/>
    <col min="8" max="10" width="11.5740740740741" style="89" customWidth="1"/>
    <col min="11" max="11" width="26.4259259259259" style="90" customWidth="1"/>
    <col min="12" max="16384" width="9.13888888888889" style="89"/>
  </cols>
  <sheetData>
    <row r="1" s="87" customFormat="1" ht="52.5" customHeight="1"/>
    <row r="2" s="87" customFormat="1" ht="10.5" customHeight="1" spans="1:10">
      <c r="A2" s="91" t="s">
        <v>0</v>
      </c>
      <c r="B2" s="91"/>
      <c r="C2" s="91"/>
      <c r="D2" s="91"/>
      <c r="E2" s="91"/>
      <c r="F2" s="91"/>
      <c r="G2" s="91"/>
      <c r="H2" s="91"/>
      <c r="I2" s="91"/>
      <c r="J2" s="91"/>
    </row>
    <row r="3" s="87" customFormat="1" ht="15.95" customHeight="1" spans="1:10">
      <c r="A3" s="91" t="s">
        <v>1</v>
      </c>
      <c r="B3" s="91"/>
      <c r="C3" s="91"/>
      <c r="D3" s="91"/>
      <c r="E3" s="91"/>
      <c r="F3" s="91"/>
      <c r="G3" s="91"/>
      <c r="H3" s="91"/>
      <c r="I3" s="91"/>
      <c r="J3" s="91"/>
    </row>
    <row r="4" s="87" customFormat="1" ht="15.95" customHeight="1" spans="1:10">
      <c r="A4" s="91" t="s">
        <v>2</v>
      </c>
      <c r="B4" s="91"/>
      <c r="C4" s="91"/>
      <c r="D4" s="91"/>
      <c r="E4" s="91"/>
      <c r="F4" s="91"/>
      <c r="G4" s="91"/>
      <c r="H4" s="91"/>
      <c r="I4" s="91"/>
      <c r="J4" s="91"/>
    </row>
    <row r="5" s="87" customFormat="1" ht="15.95" customHeight="1" spans="1:10">
      <c r="A5" s="91" t="s">
        <v>3</v>
      </c>
      <c r="B5" s="91"/>
      <c r="C5" s="91"/>
      <c r="D5" s="91"/>
      <c r="E5" s="91"/>
      <c r="F5" s="91"/>
      <c r="G5" s="91"/>
      <c r="H5" s="91"/>
      <c r="I5" s="91"/>
      <c r="J5" s="91"/>
    </row>
    <row r="6" s="87" customFormat="1" ht="8.25" customHeight="1"/>
    <row r="7" s="87" customFormat="1" ht="12" customHeight="1" spans="1:10">
      <c r="A7" s="87" t="s">
        <v>4</v>
      </c>
      <c r="B7" s="92" t="s">
        <v>5</v>
      </c>
      <c r="C7" s="92"/>
      <c r="D7" s="92"/>
      <c r="H7" s="93" t="s">
        <v>6</v>
      </c>
      <c r="I7" s="119"/>
      <c r="J7" s="93"/>
    </row>
    <row r="8" s="87" customFormat="1" ht="12" customHeight="1" spans="2:10">
      <c r="B8" s="94"/>
      <c r="C8" s="94"/>
      <c r="H8" s="94"/>
      <c r="I8" s="94"/>
      <c r="J8" s="94"/>
    </row>
    <row r="9" s="87" customFormat="1" ht="12" customHeight="1" spans="1:10">
      <c r="A9" s="87" t="s">
        <v>7</v>
      </c>
      <c r="B9" s="92" t="s">
        <v>8</v>
      </c>
      <c r="C9" s="92"/>
      <c r="D9" s="92"/>
      <c r="H9" s="93" t="s">
        <v>9</v>
      </c>
      <c r="I9" s="120"/>
      <c r="J9" s="93"/>
    </row>
    <row r="10" ht="23.25" customHeight="1" spans="1:11">
      <c r="A10" s="95" t="s">
        <v>10</v>
      </c>
      <c r="B10" s="95"/>
      <c r="C10" s="95"/>
      <c r="D10" s="95"/>
      <c r="E10" s="95"/>
      <c r="F10" s="95"/>
      <c r="G10" s="95"/>
      <c r="H10" s="95"/>
      <c r="I10" s="95"/>
      <c r="J10" s="95"/>
      <c r="K10" s="89"/>
    </row>
    <row r="11" ht="18.75" customHeight="1" spans="1:11">
      <c r="A11" s="96" t="s">
        <v>11</v>
      </c>
      <c r="B11" s="97" t="s">
        <v>12</v>
      </c>
      <c r="C11" s="98"/>
      <c r="D11" s="99" t="s">
        <v>13</v>
      </c>
      <c r="E11" s="100"/>
      <c r="F11" s="100"/>
      <c r="G11" s="101"/>
      <c r="H11" s="102" t="s">
        <v>14</v>
      </c>
      <c r="I11" s="121"/>
      <c r="J11" s="122" t="s">
        <v>15</v>
      </c>
      <c r="K11" s="123" t="s">
        <v>16</v>
      </c>
    </row>
    <row r="12" ht="15.15" spans="1:11">
      <c r="A12" s="103"/>
      <c r="B12" s="104" t="s">
        <v>17</v>
      </c>
      <c r="C12" s="104" t="s">
        <v>18</v>
      </c>
      <c r="D12" s="104" t="s">
        <v>17</v>
      </c>
      <c r="E12" s="104" t="s">
        <v>18</v>
      </c>
      <c r="F12" s="104" t="s">
        <v>19</v>
      </c>
      <c r="G12" s="104" t="s">
        <v>20</v>
      </c>
      <c r="H12" s="104" t="s">
        <v>17</v>
      </c>
      <c r="I12" s="104" t="s">
        <v>18</v>
      </c>
      <c r="J12" s="124"/>
      <c r="K12" s="123"/>
    </row>
    <row r="13" ht="15.15" spans="1:11">
      <c r="A13" s="105" t="s">
        <v>21</v>
      </c>
      <c r="B13" s="106"/>
      <c r="C13" s="106"/>
      <c r="D13" s="106"/>
      <c r="E13" s="106"/>
      <c r="F13" s="106"/>
      <c r="G13" s="106"/>
      <c r="H13" s="106"/>
      <c r="I13" s="106"/>
      <c r="J13" s="125"/>
      <c r="K13" s="126"/>
    </row>
    <row r="14" ht="31.5" customHeight="1" spans="1:10">
      <c r="A14" s="107" t="s">
        <v>22</v>
      </c>
      <c r="B14" s="108">
        <v>6.087</v>
      </c>
      <c r="C14" s="109">
        <v>6.087</v>
      </c>
      <c r="D14" s="109"/>
      <c r="E14" s="108"/>
      <c r="F14" s="108"/>
      <c r="G14" s="108"/>
      <c r="H14" s="110">
        <f>B14</f>
        <v>6.087</v>
      </c>
      <c r="I14" s="110">
        <f>C14</f>
        <v>6.087</v>
      </c>
      <c r="J14" s="127">
        <f>SUM(H14:I14)</f>
        <v>12.174</v>
      </c>
    </row>
    <row r="15" ht="17.25" customHeight="1" spans="1:10">
      <c r="A15" s="111" t="s">
        <v>23</v>
      </c>
      <c r="B15" s="108">
        <v>0.125</v>
      </c>
      <c r="C15" s="109">
        <v>0.125</v>
      </c>
      <c r="D15" s="112"/>
      <c r="E15" s="113"/>
      <c r="F15" s="113"/>
      <c r="G15" s="113"/>
      <c r="H15" s="114">
        <f>H14-F15-D15+B15</f>
        <v>6.212</v>
      </c>
      <c r="I15" s="114">
        <f>I14-E15+C15</f>
        <v>6.212</v>
      </c>
      <c r="J15" s="128">
        <f>SUM(H15:I15)</f>
        <v>12.424</v>
      </c>
    </row>
    <row r="16" ht="17.25" customHeight="1" spans="1:10">
      <c r="A16" s="111" t="s">
        <v>24</v>
      </c>
      <c r="B16" s="108">
        <v>6.25</v>
      </c>
      <c r="C16" s="109">
        <v>6.25</v>
      </c>
      <c r="D16" s="112"/>
      <c r="E16" s="113"/>
      <c r="F16" s="113"/>
      <c r="G16" s="113"/>
      <c r="H16" s="114">
        <f t="shared" ref="H16:H18" si="0">H15-F16-D16+B16</f>
        <v>12.462</v>
      </c>
      <c r="I16" s="114">
        <f t="shared" ref="I16:I18" si="1">I15-E16+C16</f>
        <v>12.462</v>
      </c>
      <c r="J16" s="128">
        <f t="shared" ref="J16:J18" si="2">SUM(H16:I16)</f>
        <v>24.924</v>
      </c>
    </row>
    <row r="17" ht="15.75" customHeight="1" spans="1:10">
      <c r="A17" s="111" t="s">
        <v>25</v>
      </c>
      <c r="B17" s="113">
        <v>0.208</v>
      </c>
      <c r="C17" s="112">
        <v>0.208</v>
      </c>
      <c r="D17" s="112"/>
      <c r="E17" s="113"/>
      <c r="F17" s="113"/>
      <c r="G17" s="113"/>
      <c r="H17" s="114">
        <f t="shared" si="0"/>
        <v>12.67</v>
      </c>
      <c r="I17" s="114">
        <f t="shared" si="1"/>
        <v>12.67</v>
      </c>
      <c r="J17" s="128">
        <f t="shared" si="2"/>
        <v>25.34</v>
      </c>
    </row>
    <row r="18" ht="15.75" customHeight="1" spans="1:10">
      <c r="A18" s="115" t="s">
        <v>26</v>
      </c>
      <c r="B18" s="116"/>
      <c r="C18" s="116"/>
      <c r="D18" s="116"/>
      <c r="E18" s="116"/>
      <c r="F18" s="116"/>
      <c r="G18" s="117"/>
      <c r="H18" s="114">
        <f t="shared" si="0"/>
        <v>12.67</v>
      </c>
      <c r="I18" s="114">
        <f t="shared" si="1"/>
        <v>12.67</v>
      </c>
      <c r="J18" s="128">
        <f t="shared" si="2"/>
        <v>25.34</v>
      </c>
    </row>
    <row r="19" spans="8:10">
      <c r="H19" s="118"/>
      <c r="I19" s="118"/>
      <c r="J19" s="118"/>
    </row>
    <row r="20" spans="8:10">
      <c r="H20" s="118"/>
      <c r="I20" s="118"/>
      <c r="J20" s="118"/>
    </row>
    <row r="24" s="88" customFormat="1" spans="1:11">
      <c r="A24" s="89"/>
      <c r="B24" s="89"/>
      <c r="C24" s="89"/>
      <c r="D24" s="89"/>
      <c r="E24" s="89"/>
      <c r="F24" s="88" t="s">
        <v>27</v>
      </c>
      <c r="H24" s="89"/>
      <c r="I24" s="89"/>
      <c r="J24" s="89"/>
      <c r="K24" s="90"/>
    </row>
  </sheetData>
  <mergeCells count="15">
    <mergeCell ref="A2:J2"/>
    <mergeCell ref="A3:J3"/>
    <mergeCell ref="A4:J4"/>
    <mergeCell ref="A5:J5"/>
    <mergeCell ref="B7:D7"/>
    <mergeCell ref="B9:D9"/>
    <mergeCell ref="A10:J10"/>
    <mergeCell ref="B11:C11"/>
    <mergeCell ref="D11:G11"/>
    <mergeCell ref="H11:I11"/>
    <mergeCell ref="A13:J13"/>
    <mergeCell ref="A18:G18"/>
    <mergeCell ref="A11:A12"/>
    <mergeCell ref="J11:J12"/>
    <mergeCell ref="K11:K12"/>
  </mergeCells>
  <printOptions horizontalCentered="1"/>
  <pageMargins left="0.25" right="0.25" top="0.25" bottom="0.25" header="0.3" footer="0.3"/>
  <pageSetup paperSize="9" scale="70" fitToHeight="0" orientation="portrait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tabSelected="1" zoomScaleSheetLayoutView="112" topLeftCell="A27" workbookViewId="0">
      <selection activeCell="G46" sqref="G46"/>
    </sheetView>
  </sheetViews>
  <sheetFormatPr defaultColWidth="9" defaultRowHeight="14.4"/>
  <cols>
    <col min="1" max="1" width="29.1388888888889" customWidth="1"/>
    <col min="2" max="2" width="14.712962962963" style="4" hidden="1" customWidth="1"/>
    <col min="3" max="3" width="9.28703703703704" style="5" customWidth="1"/>
    <col min="5" max="5" width="41.1388888888889" style="4" customWidth="1"/>
    <col min="6" max="6" width="10.1388888888889" style="6" customWidth="1"/>
    <col min="7" max="7" width="12.1388888888889" customWidth="1"/>
    <col min="8" max="8" width="11.1388888888889" style="6" customWidth="1"/>
    <col min="9" max="9" width="10" customWidth="1"/>
  </cols>
  <sheetData>
    <row r="1" s="1" customFormat="1" ht="52.5" customHeight="1" spans="3:7">
      <c r="C1" s="8"/>
      <c r="D1" s="9"/>
      <c r="G1" s="11"/>
    </row>
    <row r="2" s="1" customFormat="1" ht="10.5" customHeight="1" spans="1:9">
      <c r="A2" s="10" t="s">
        <v>0</v>
      </c>
      <c r="B2" s="10"/>
      <c r="C2" s="10"/>
      <c r="D2" s="10"/>
      <c r="E2" s="10"/>
      <c r="F2" s="10"/>
      <c r="G2" s="10"/>
      <c r="H2" s="10"/>
      <c r="I2" s="10"/>
    </row>
    <row r="3" s="1" customFormat="1" ht="15.95" customHeight="1" spans="1:9">
      <c r="A3" s="10" t="s">
        <v>1</v>
      </c>
      <c r="B3" s="10"/>
      <c r="C3" s="10"/>
      <c r="D3" s="10"/>
      <c r="E3" s="10"/>
      <c r="F3" s="10"/>
      <c r="G3" s="10"/>
      <c r="H3" s="10"/>
      <c r="I3" s="10"/>
    </row>
    <row r="4" s="1" customFormat="1" ht="15.95" customHeight="1" spans="1:9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="1" customFormat="1" ht="15.95" customHeight="1" spans="1:9">
      <c r="A5" s="10" t="s">
        <v>3</v>
      </c>
      <c r="B5" s="10"/>
      <c r="C5" s="10"/>
      <c r="D5" s="10"/>
      <c r="E5" s="10"/>
      <c r="F5" s="10"/>
      <c r="G5" s="10"/>
      <c r="H5" s="10"/>
      <c r="I5" s="10"/>
    </row>
    <row r="6" s="1" customFormat="1" ht="8.25" customHeight="1" spans="3:7">
      <c r="C6" s="11"/>
      <c r="G6" s="11"/>
    </row>
    <row r="7" s="1" customFormat="1" ht="8.25" customHeight="1" spans="3:7">
      <c r="C7" s="11"/>
      <c r="G7" s="11"/>
    </row>
    <row r="8" s="1" customFormat="1" ht="12" customHeight="1" spans="1:9">
      <c r="A8" s="12" t="s">
        <v>28</v>
      </c>
      <c r="B8" s="12"/>
      <c r="C8" s="13" t="s">
        <v>29</v>
      </c>
      <c r="D8" s="13"/>
      <c r="E8" s="13"/>
      <c r="F8" s="13"/>
      <c r="H8" s="13"/>
      <c r="I8" s="12"/>
    </row>
    <row r="9" s="1" customFormat="1" ht="12" customHeight="1" spans="2:9">
      <c r="B9" s="14"/>
      <c r="C9" s="13" t="s">
        <v>30</v>
      </c>
      <c r="D9" s="13"/>
      <c r="E9" s="13"/>
      <c r="F9" s="13"/>
      <c r="H9" s="40"/>
      <c r="I9" s="14"/>
    </row>
    <row r="10" s="1" customFormat="1" ht="12" customHeight="1" spans="1:9">
      <c r="A10" s="12" t="s">
        <v>31</v>
      </c>
      <c r="B10" s="12"/>
      <c r="C10" s="15"/>
      <c r="D10" s="14"/>
      <c r="E10" s="14"/>
      <c r="H10" s="13"/>
      <c r="I10" s="12"/>
    </row>
    <row r="11" ht="16.5" customHeight="1" spans="1:9">
      <c r="A11" s="45" t="s">
        <v>32</v>
      </c>
      <c r="B11" s="16"/>
      <c r="C11" s="16"/>
      <c r="D11" s="16"/>
      <c r="E11" s="16"/>
      <c r="F11" s="16"/>
      <c r="G11" s="16"/>
      <c r="H11" s="16"/>
      <c r="I11" s="16"/>
    </row>
    <row r="12" s="2" customFormat="1" ht="18.75" customHeight="1" spans="1:9">
      <c r="A12" s="46" t="s">
        <v>11</v>
      </c>
      <c r="B12" s="47" t="s">
        <v>12</v>
      </c>
      <c r="C12" s="48"/>
      <c r="D12" s="48"/>
      <c r="E12" s="48"/>
      <c r="F12" s="48"/>
      <c r="G12" s="48"/>
      <c r="H12" s="48"/>
      <c r="I12" s="41" t="s">
        <v>15</v>
      </c>
    </row>
    <row r="13" s="2" customFormat="1" ht="24" customHeight="1" spans="1:9">
      <c r="A13" s="46"/>
      <c r="B13" s="49" t="s">
        <v>33</v>
      </c>
      <c r="C13" s="50"/>
      <c r="D13" s="50"/>
      <c r="E13" s="51"/>
      <c r="F13" s="49" t="s">
        <v>34</v>
      </c>
      <c r="G13" s="49" t="s">
        <v>35</v>
      </c>
      <c r="H13" s="49" t="s">
        <v>36</v>
      </c>
      <c r="I13" s="43"/>
    </row>
    <row r="14" s="2" customFormat="1" ht="21.95" customHeight="1" spans="1:9">
      <c r="A14" s="52" t="s">
        <v>37</v>
      </c>
      <c r="B14" s="53" t="s">
        <v>38</v>
      </c>
      <c r="C14" s="53"/>
      <c r="D14" s="53"/>
      <c r="E14" s="53"/>
      <c r="F14" s="54">
        <v>15</v>
      </c>
      <c r="G14" s="54">
        <v>0</v>
      </c>
      <c r="H14" s="54">
        <v>15</v>
      </c>
      <c r="I14" s="78">
        <v>15</v>
      </c>
    </row>
    <row r="15" s="3" customFormat="1" ht="21.95" customHeight="1" spans="1:9">
      <c r="A15" s="55" t="s">
        <v>39</v>
      </c>
      <c r="B15" s="53" t="s">
        <v>38</v>
      </c>
      <c r="C15" s="53"/>
      <c r="D15" s="53"/>
      <c r="E15" s="53"/>
      <c r="F15" s="54"/>
      <c r="G15" s="54">
        <v>2</v>
      </c>
      <c r="H15" s="54">
        <v>13</v>
      </c>
      <c r="I15" s="78">
        <v>13</v>
      </c>
    </row>
    <row r="16" s="3" customFormat="1" ht="21.95" customHeight="1" spans="1:9">
      <c r="A16" s="55" t="s">
        <v>40</v>
      </c>
      <c r="B16" s="53" t="s">
        <v>38</v>
      </c>
      <c r="C16" s="53"/>
      <c r="D16" s="53"/>
      <c r="E16" s="53"/>
      <c r="F16" s="54"/>
      <c r="G16" s="54">
        <v>1</v>
      </c>
      <c r="H16" s="54">
        <v>12</v>
      </c>
      <c r="I16" s="78">
        <v>12</v>
      </c>
    </row>
    <row r="17" s="3" customFormat="1" ht="21.95" customHeight="1" spans="1:9">
      <c r="A17" s="55" t="s">
        <v>41</v>
      </c>
      <c r="B17" s="53" t="s">
        <v>38</v>
      </c>
      <c r="C17" s="53"/>
      <c r="D17" s="53"/>
      <c r="E17" s="53"/>
      <c r="F17" s="54"/>
      <c r="G17" s="54">
        <v>1</v>
      </c>
      <c r="H17" s="54">
        <v>11</v>
      </c>
      <c r="I17" s="78">
        <v>11</v>
      </c>
    </row>
    <row r="18" s="3" customFormat="1" ht="21.95" customHeight="1" spans="1:9">
      <c r="A18" s="55" t="s">
        <v>42</v>
      </c>
      <c r="B18" s="53" t="s">
        <v>38</v>
      </c>
      <c r="C18" s="53"/>
      <c r="D18" s="53"/>
      <c r="E18" s="53"/>
      <c r="F18" s="54"/>
      <c r="G18" s="54">
        <v>1</v>
      </c>
      <c r="H18" s="54">
        <v>10</v>
      </c>
      <c r="I18" s="78">
        <v>10</v>
      </c>
    </row>
    <row r="19" s="3" customFormat="1" ht="21.95" customHeight="1" spans="1:9">
      <c r="A19" s="56" t="s">
        <v>43</v>
      </c>
      <c r="B19" s="57" t="s">
        <v>38</v>
      </c>
      <c r="C19" s="57"/>
      <c r="D19" s="57"/>
      <c r="E19" s="57"/>
      <c r="F19" s="58"/>
      <c r="G19" s="58">
        <v>2</v>
      </c>
      <c r="H19" s="58">
        <v>8</v>
      </c>
      <c r="I19" s="79">
        <v>8</v>
      </c>
    </row>
    <row r="20" s="3" customFormat="1" ht="21.95" customHeight="1" spans="1:9">
      <c r="A20" s="59" t="s">
        <v>44</v>
      </c>
      <c r="B20" s="60" t="s">
        <v>45</v>
      </c>
      <c r="C20" s="60"/>
      <c r="D20" s="60"/>
      <c r="E20" s="60"/>
      <c r="F20" s="58">
        <v>15</v>
      </c>
      <c r="G20" s="58">
        <v>0</v>
      </c>
      <c r="H20" s="58">
        <v>15</v>
      </c>
      <c r="I20" s="80">
        <v>15</v>
      </c>
    </row>
    <row r="21" s="3" customFormat="1" ht="21.95" customHeight="1" spans="1:9">
      <c r="A21" s="56" t="s">
        <v>46</v>
      </c>
      <c r="B21" s="60" t="s">
        <v>45</v>
      </c>
      <c r="C21" s="60"/>
      <c r="D21" s="60"/>
      <c r="E21" s="60"/>
      <c r="F21" s="58"/>
      <c r="G21" s="58">
        <v>1</v>
      </c>
      <c r="H21" s="58">
        <v>14</v>
      </c>
      <c r="I21" s="81">
        <v>14</v>
      </c>
    </row>
    <row r="22" s="3" customFormat="1" ht="21.95" customHeight="1" spans="1:9">
      <c r="A22" s="56" t="s">
        <v>47</v>
      </c>
      <c r="B22" s="61" t="s">
        <v>45</v>
      </c>
      <c r="C22" s="62"/>
      <c r="D22" s="62"/>
      <c r="E22" s="63"/>
      <c r="F22" s="58"/>
      <c r="G22" s="58">
        <v>1</v>
      </c>
      <c r="H22" s="58">
        <v>13</v>
      </c>
      <c r="I22" s="81">
        <v>13</v>
      </c>
    </row>
    <row r="23" s="3" customFormat="1" ht="21.95" customHeight="1" spans="1:9">
      <c r="A23" s="64" t="s">
        <v>48</v>
      </c>
      <c r="B23" s="61" t="s">
        <v>45</v>
      </c>
      <c r="C23" s="62"/>
      <c r="D23" s="62"/>
      <c r="E23" s="63"/>
      <c r="F23" s="58"/>
      <c r="G23" s="58">
        <v>1</v>
      </c>
      <c r="H23" s="58">
        <v>12</v>
      </c>
      <c r="I23" s="82">
        <v>12</v>
      </c>
    </row>
    <row r="24" s="3" customFormat="1" ht="21.95" customHeight="1" spans="1:9">
      <c r="A24" s="64" t="s">
        <v>49</v>
      </c>
      <c r="B24" s="61" t="s">
        <v>50</v>
      </c>
      <c r="C24" s="62"/>
      <c r="D24" s="62"/>
      <c r="E24" s="63"/>
      <c r="F24" s="58">
        <v>11</v>
      </c>
      <c r="G24" s="58">
        <v>0</v>
      </c>
      <c r="H24" s="58">
        <v>11</v>
      </c>
      <c r="I24" s="81">
        <v>11</v>
      </c>
    </row>
    <row r="25" s="3" customFormat="1" ht="21.95" customHeight="1" spans="1:9">
      <c r="A25" s="65" t="s">
        <v>51</v>
      </c>
      <c r="B25" s="31" t="s">
        <v>50</v>
      </c>
      <c r="C25" s="32"/>
      <c r="D25" s="32"/>
      <c r="E25" s="33"/>
      <c r="F25" s="54"/>
      <c r="G25" s="54">
        <v>1</v>
      </c>
      <c r="H25" s="54">
        <v>10</v>
      </c>
      <c r="I25" s="81">
        <v>10</v>
      </c>
    </row>
    <row r="26" s="3" customFormat="1" ht="21.95" customHeight="1" spans="1:9">
      <c r="A26" s="65" t="s">
        <v>52</v>
      </c>
      <c r="B26" s="31" t="s">
        <v>53</v>
      </c>
      <c r="C26" s="32"/>
      <c r="D26" s="32"/>
      <c r="E26" s="33"/>
      <c r="F26" s="54"/>
      <c r="G26" s="54">
        <v>2</v>
      </c>
      <c r="H26" s="54">
        <v>8</v>
      </c>
      <c r="I26" s="82">
        <v>8</v>
      </c>
    </row>
    <row r="27" s="3" customFormat="1" ht="28.5" customHeight="1" spans="1:9">
      <c r="A27" s="66" t="s">
        <v>54</v>
      </c>
      <c r="B27" s="67"/>
      <c r="C27" s="67"/>
      <c r="D27" s="67"/>
      <c r="E27" s="67"/>
      <c r="F27" s="67"/>
      <c r="G27" s="67"/>
      <c r="H27" s="68"/>
      <c r="I27" s="83" t="s">
        <v>55</v>
      </c>
    </row>
    <row r="28" s="3" customFormat="1" ht="21.95" customHeight="1" spans="1:9">
      <c r="A28" s="69" t="s">
        <v>56</v>
      </c>
      <c r="B28" s="70"/>
      <c r="C28" s="70"/>
      <c r="D28" s="70"/>
      <c r="E28" s="70"/>
      <c r="F28" s="70"/>
      <c r="G28" s="70"/>
      <c r="H28" s="70"/>
      <c r="I28" s="84"/>
    </row>
    <row r="29" s="3" customFormat="1" ht="21.95" customHeight="1" spans="1:9">
      <c r="A29" s="69" t="s">
        <v>57</v>
      </c>
      <c r="B29" s="70"/>
      <c r="C29" s="70"/>
      <c r="D29" s="70"/>
      <c r="E29" s="70"/>
      <c r="F29" s="70"/>
      <c r="G29" s="70"/>
      <c r="H29" s="70"/>
      <c r="I29" s="84"/>
    </row>
    <row r="30" s="3" customFormat="1" ht="30.75" customHeight="1" spans="1:9">
      <c r="A30" s="71" t="s">
        <v>58</v>
      </c>
      <c r="B30" s="72"/>
      <c r="C30" s="73" t="s">
        <v>59</v>
      </c>
      <c r="D30" s="74"/>
      <c r="E30" s="75"/>
      <c r="F30" s="54">
        <v>58.282</v>
      </c>
      <c r="G30" s="54">
        <v>0</v>
      </c>
      <c r="H30" s="54">
        <v>58.282</v>
      </c>
      <c r="I30" s="85">
        <v>58.282</v>
      </c>
    </row>
    <row r="31" s="3" customFormat="1" ht="21.95" customHeight="1" spans="1:9">
      <c r="A31" s="65" t="s">
        <v>60</v>
      </c>
      <c r="B31" s="31" t="s">
        <v>61</v>
      </c>
      <c r="C31" s="32"/>
      <c r="D31" s="32"/>
      <c r="E31" s="33"/>
      <c r="F31" s="54"/>
      <c r="G31" s="54">
        <v>1</v>
      </c>
      <c r="H31" s="54">
        <f>I30-G31</f>
        <v>57.282</v>
      </c>
      <c r="I31" s="86">
        <f>H31</f>
        <v>57.282</v>
      </c>
    </row>
    <row r="32" s="3" customFormat="1" ht="21.95" customHeight="1" spans="1:9">
      <c r="A32" s="65" t="s">
        <v>62</v>
      </c>
      <c r="B32" s="31" t="s">
        <v>61</v>
      </c>
      <c r="C32" s="32"/>
      <c r="D32" s="32"/>
      <c r="E32" s="33"/>
      <c r="F32" s="54"/>
      <c r="G32" s="54">
        <v>1</v>
      </c>
      <c r="H32" s="54">
        <f>I31-G32</f>
        <v>56.282</v>
      </c>
      <c r="I32" s="86">
        <f t="shared" ref="I32:I36" si="0">H32</f>
        <v>56.282</v>
      </c>
    </row>
    <row r="33" s="3" customFormat="1" ht="21.95" customHeight="1" spans="1:9">
      <c r="A33" s="65" t="s">
        <v>63</v>
      </c>
      <c r="B33" s="31" t="s">
        <v>61</v>
      </c>
      <c r="C33" s="32"/>
      <c r="D33" s="32"/>
      <c r="E33" s="33"/>
      <c r="F33" s="54"/>
      <c r="G33" s="54">
        <v>1</v>
      </c>
      <c r="H33" s="54">
        <f t="shared" ref="H33:H36" si="1">I32-G33</f>
        <v>55.282</v>
      </c>
      <c r="I33" s="86">
        <f t="shared" si="0"/>
        <v>55.282</v>
      </c>
    </row>
    <row r="34" s="3" customFormat="1" ht="75.75" hidden="1" customHeight="1" spans="1:9">
      <c r="A34" s="73" t="s">
        <v>64</v>
      </c>
      <c r="B34" s="74"/>
      <c r="C34" s="74"/>
      <c r="D34" s="75"/>
      <c r="E34" s="73" t="s">
        <v>65</v>
      </c>
      <c r="F34" s="76">
        <v>30.282</v>
      </c>
      <c r="G34" s="77">
        <v>0</v>
      </c>
      <c r="H34" s="54">
        <f t="shared" si="1"/>
        <v>55.282</v>
      </c>
      <c r="I34" s="86">
        <f t="shared" si="0"/>
        <v>55.282</v>
      </c>
    </row>
    <row r="35" s="3" customFormat="1" ht="21.95" customHeight="1" spans="1:9">
      <c r="A35" s="65" t="s">
        <v>66</v>
      </c>
      <c r="B35" s="31" t="s">
        <v>61</v>
      </c>
      <c r="C35" s="32"/>
      <c r="D35" s="32"/>
      <c r="E35" s="33"/>
      <c r="F35" s="54"/>
      <c r="G35" s="54">
        <v>1</v>
      </c>
      <c r="H35" s="54">
        <f t="shared" si="1"/>
        <v>54.282</v>
      </c>
      <c r="I35" s="86">
        <f t="shared" si="0"/>
        <v>54.282</v>
      </c>
    </row>
    <row r="36" s="3" customFormat="1" ht="21.95" customHeight="1" spans="1:9">
      <c r="A36" s="65" t="s">
        <v>67</v>
      </c>
      <c r="B36" s="31" t="s">
        <v>61</v>
      </c>
      <c r="C36" s="32"/>
      <c r="D36" s="32"/>
      <c r="E36" s="33"/>
      <c r="F36" s="54"/>
      <c r="G36" s="54">
        <v>1</v>
      </c>
      <c r="H36" s="54">
        <f t="shared" si="1"/>
        <v>53.282</v>
      </c>
      <c r="I36" s="86">
        <f t="shared" si="0"/>
        <v>53.282</v>
      </c>
    </row>
    <row r="37" s="3" customFormat="1" ht="21.95" customHeight="1" spans="1:9">
      <c r="A37" s="65" t="s">
        <v>68</v>
      </c>
      <c r="B37" s="31" t="s">
        <v>61</v>
      </c>
      <c r="C37" s="32"/>
      <c r="D37" s="32"/>
      <c r="E37" s="33"/>
      <c r="F37" s="54"/>
      <c r="G37" s="54">
        <v>1</v>
      </c>
      <c r="H37" s="54">
        <f t="shared" ref="H37" si="2">I36-G37</f>
        <v>52.282</v>
      </c>
      <c r="I37" s="86">
        <f t="shared" ref="I37" si="3">H37</f>
        <v>52.282</v>
      </c>
    </row>
    <row r="38" s="3" customFormat="1" ht="21.95" customHeight="1" spans="1:9">
      <c r="A38" s="65" t="s">
        <v>69</v>
      </c>
      <c r="B38" s="31" t="s">
        <v>61</v>
      </c>
      <c r="C38" s="32"/>
      <c r="D38" s="32"/>
      <c r="E38" s="33"/>
      <c r="F38" s="54"/>
      <c r="G38" s="54">
        <v>1</v>
      </c>
      <c r="H38" s="54">
        <f t="shared" ref="H38:H39" si="4">I37-G38</f>
        <v>51.282</v>
      </c>
      <c r="I38" s="86">
        <f t="shared" ref="I38:I39" si="5">H38</f>
        <v>51.282</v>
      </c>
    </row>
    <row r="39" s="3" customFormat="1" ht="21.95" customHeight="1" spans="1:9">
      <c r="A39" s="65" t="s">
        <v>70</v>
      </c>
      <c r="B39" s="31" t="s">
        <v>61</v>
      </c>
      <c r="C39" s="32"/>
      <c r="D39" s="32"/>
      <c r="E39" s="33"/>
      <c r="F39" s="54"/>
      <c r="G39" s="54">
        <v>1</v>
      </c>
      <c r="H39" s="54">
        <f t="shared" si="4"/>
        <v>50.282</v>
      </c>
      <c r="I39" s="86">
        <f t="shared" si="5"/>
        <v>50.282</v>
      </c>
    </row>
    <row r="40" s="1" customFormat="1" spans="3:3">
      <c r="C40" s="11"/>
    </row>
    <row r="41" s="1" customFormat="1" spans="3:3">
      <c r="C41" s="11"/>
    </row>
  </sheetData>
  <mergeCells count="37">
    <mergeCell ref="A2:I2"/>
    <mergeCell ref="A3:I3"/>
    <mergeCell ref="A4:I4"/>
    <mergeCell ref="A5:I5"/>
    <mergeCell ref="C8:F8"/>
    <mergeCell ref="C9:F9"/>
    <mergeCell ref="A11:I11"/>
    <mergeCell ref="B12:H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A27:H27"/>
    <mergeCell ref="A28:I28"/>
    <mergeCell ref="A29:I29"/>
    <mergeCell ref="C30:E30"/>
    <mergeCell ref="B31:E31"/>
    <mergeCell ref="B32:E32"/>
    <mergeCell ref="B33:E33"/>
    <mergeCell ref="A34:D34"/>
    <mergeCell ref="B35:E35"/>
    <mergeCell ref="B36:E36"/>
    <mergeCell ref="B37:E37"/>
    <mergeCell ref="B38:E38"/>
    <mergeCell ref="B39:E39"/>
    <mergeCell ref="A12:A13"/>
    <mergeCell ref="I12:I13"/>
  </mergeCells>
  <pageMargins left="0.25" right="0.25" top="0.75" bottom="0.75" header="0.3" footer="0.3"/>
  <pageSetup paperSize="9" scale="85" orientation="landscape"/>
  <headerFooter/>
  <rowBreaks count="1" manualBreakCount="1">
    <brk id="40" max="11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view="pageBreakPreview" zoomScaleNormal="100" topLeftCell="A4" workbookViewId="0">
      <selection activeCell="Q12" sqref="Q12"/>
    </sheetView>
  </sheetViews>
  <sheetFormatPr defaultColWidth="9" defaultRowHeight="14.4"/>
  <cols>
    <col min="1" max="1" width="21" customWidth="1"/>
    <col min="2" max="2" width="23.5740740740741" customWidth="1"/>
    <col min="3" max="3" width="8.13888888888889" style="4" customWidth="1"/>
    <col min="4" max="4" width="6.28703703703704" style="5" customWidth="1"/>
    <col min="6" max="6" width="6.42592592592593" style="4" customWidth="1"/>
    <col min="7" max="7" width="9.42592592592593" style="6" customWidth="1"/>
    <col min="8" max="8" width="7" style="7" customWidth="1"/>
    <col min="9" max="9" width="8.13888888888889" customWidth="1"/>
    <col min="10" max="10" width="6.71296296296296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71</v>
      </c>
      <c r="B8" s="12"/>
      <c r="C8" s="12"/>
      <c r="D8" s="13" t="s">
        <v>72</v>
      </c>
      <c r="E8" s="13"/>
      <c r="F8" s="13"/>
      <c r="G8" s="13"/>
      <c r="H8" s="13"/>
      <c r="J8" s="13" t="s">
        <v>73</v>
      </c>
      <c r="K8" s="13"/>
      <c r="L8" s="13"/>
      <c r="M8" s="12"/>
    </row>
    <row r="9" s="1" customFormat="1" ht="12" customHeight="1" spans="3:13">
      <c r="C9" s="14"/>
      <c r="D9" s="13" t="s">
        <v>74</v>
      </c>
      <c r="E9" s="13"/>
      <c r="F9" s="13"/>
      <c r="G9" s="13"/>
      <c r="H9" s="13"/>
      <c r="J9" s="40" t="s">
        <v>75</v>
      </c>
      <c r="K9" s="40"/>
      <c r="L9" s="40"/>
      <c r="M9" s="14"/>
    </row>
    <row r="10" s="1" customFormat="1" ht="12" customHeight="1" spans="1:13">
      <c r="A10" s="12" t="s">
        <v>76</v>
      </c>
      <c r="B10" s="12"/>
      <c r="C10" s="12"/>
      <c r="D10" s="15"/>
      <c r="E10" s="14"/>
      <c r="F10" s="14"/>
      <c r="J10" s="13" t="s">
        <v>77</v>
      </c>
      <c r="K10" s="13"/>
      <c r="L10" s="13"/>
      <c r="M10" s="12"/>
    </row>
    <row r="11" ht="16.5" customHeight="1" spans="1:13">
      <c r="A11" s="16" t="s">
        <v>78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79</v>
      </c>
      <c r="B12" s="18" t="s">
        <v>11</v>
      </c>
      <c r="C12" s="19" t="s">
        <v>80</v>
      </c>
      <c r="D12" s="20"/>
      <c r="E12" s="19" t="s">
        <v>81</v>
      </c>
      <c r="F12" s="20"/>
      <c r="G12" s="19" t="s">
        <v>34</v>
      </c>
      <c r="H12" s="20"/>
      <c r="I12" s="19" t="s">
        <v>35</v>
      </c>
      <c r="J12" s="20"/>
      <c r="K12" s="19" t="s">
        <v>36</v>
      </c>
      <c r="L12" s="20"/>
      <c r="M12" s="41" t="s">
        <v>15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42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43"/>
    </row>
    <row r="15" s="2" customFormat="1" spans="1:13">
      <c r="A15" s="29"/>
      <c r="B15" s="30"/>
      <c r="C15" s="31"/>
      <c r="D15" s="32"/>
      <c r="E15" s="31"/>
      <c r="F15" s="32"/>
      <c r="G15" s="31"/>
      <c r="H15" s="33"/>
      <c r="I15" s="31"/>
      <c r="J15" s="33"/>
      <c r="K15" s="31"/>
      <c r="L15" s="33"/>
      <c r="M15" s="44"/>
    </row>
    <row r="16" s="3" customFormat="1" spans="1:13">
      <c r="A16" s="34"/>
      <c r="B16" s="35"/>
      <c r="C16" s="31"/>
      <c r="D16" s="32"/>
      <c r="E16" s="31"/>
      <c r="F16" s="32"/>
      <c r="G16" s="31"/>
      <c r="H16" s="33"/>
      <c r="I16" s="31"/>
      <c r="J16" s="33"/>
      <c r="K16" s="31"/>
      <c r="L16" s="33"/>
      <c r="M16" s="44"/>
    </row>
    <row r="17" s="3" customFormat="1" spans="1:13">
      <c r="A17" s="34"/>
      <c r="B17" s="35"/>
      <c r="C17" s="31"/>
      <c r="D17" s="32"/>
      <c r="E17" s="31"/>
      <c r="F17" s="32"/>
      <c r="G17" s="31"/>
      <c r="H17" s="33"/>
      <c r="I17" s="31"/>
      <c r="J17" s="33"/>
      <c r="K17" s="31"/>
      <c r="L17" s="33"/>
      <c r="M17" s="44"/>
    </row>
    <row r="18" s="3" customFormat="1" spans="1:13">
      <c r="A18" s="34"/>
      <c r="B18" s="35"/>
      <c r="C18" s="31"/>
      <c r="D18" s="32"/>
      <c r="E18" s="31"/>
      <c r="F18" s="32"/>
      <c r="G18" s="31"/>
      <c r="H18" s="33"/>
      <c r="I18" s="31"/>
      <c r="J18" s="33"/>
      <c r="K18" s="31"/>
      <c r="L18" s="33"/>
      <c r="M18" s="44"/>
    </row>
    <row r="19" s="3" customFormat="1" spans="1:13">
      <c r="A19" s="34"/>
      <c r="B19" s="35"/>
      <c r="C19" s="31"/>
      <c r="D19" s="32"/>
      <c r="E19" s="31"/>
      <c r="F19" s="32"/>
      <c r="G19" s="31"/>
      <c r="H19" s="33"/>
      <c r="I19" s="31"/>
      <c r="J19" s="33"/>
      <c r="K19" s="31"/>
      <c r="L19" s="33"/>
      <c r="M19" s="44"/>
    </row>
    <row r="20" s="3" customFormat="1" spans="1:13">
      <c r="A20" s="34"/>
      <c r="B20" s="35"/>
      <c r="C20" s="31"/>
      <c r="D20" s="32"/>
      <c r="E20" s="31"/>
      <c r="F20" s="32"/>
      <c r="G20" s="31"/>
      <c r="H20" s="33"/>
      <c r="I20" s="31"/>
      <c r="J20" s="33"/>
      <c r="K20" s="31"/>
      <c r="L20" s="33"/>
      <c r="M20" s="44"/>
    </row>
    <row r="21" s="3" customFormat="1" spans="1:13">
      <c r="A21" s="34"/>
      <c r="B21" s="35"/>
      <c r="C21" s="36"/>
      <c r="D21" s="37"/>
      <c r="E21" s="36"/>
      <c r="F21" s="38"/>
      <c r="G21" s="31"/>
      <c r="H21" s="33"/>
      <c r="I21" s="31"/>
      <c r="J21" s="33"/>
      <c r="K21" s="31"/>
      <c r="L21" s="33"/>
      <c r="M21" s="44"/>
    </row>
    <row r="22" s="1" customFormat="1" ht="75.75" customHeight="1" spans="1:13">
      <c r="A22" s="39"/>
      <c r="B22" s="39"/>
      <c r="D22" s="11"/>
      <c r="M22" s="39"/>
    </row>
    <row r="23" s="1" customFormat="1" spans="4:4">
      <c r="D23" s="11"/>
    </row>
    <row r="24" s="1" customFormat="1" spans="4:4">
      <c r="D24" s="1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Leave Card as TIC</vt:lpstr>
      <vt:lpstr>VSC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2025-09-05T02:56:00Z</cp:lastPrinted>
  <dcterms:modified xsi:type="dcterms:W3CDTF">2026-01-02T01:22:59Z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