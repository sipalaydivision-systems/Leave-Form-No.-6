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 (2)" sheetId="13" r:id="rId1"/>
    <sheet name="Leave Card (NE) (2)" sheetId="11" r:id="rId2"/>
    <sheet name="VSC" sheetId="9" r:id="rId3"/>
    <sheet name="CONVERTED VSC" sheetId="12" r:id="rId4"/>
  </sheets>
  <definedNames>
    <definedName name="_xlnm.Print_Area" localSheetId="3">'CONVERTED VSC'!$A$1:$G$23</definedName>
    <definedName name="_xlnm.Print_Area" localSheetId="1">'Leave Card (NE) (2)'!$A$1:$J$31</definedName>
    <definedName name="_xlnm.Print_Area" localSheetId="2">VSC!$A$1:$K$22</definedName>
    <definedName name="_xlnm.Print_Area" localSheetId="0">'VSC (2)'!$B$1:$H$22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<sst xmlns="http://schemas.openxmlformats.org/spreadsheetml/2006/main" count="135" uniqueCount="95">
  <si>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Republic of the Philippines</t>
  </si>
  <si>
    <t>Department of Education</t>
  </si>
  <si>
    <t>REGION VI-WESTERN VISAYAS</t>
  </si>
  <si>
    <t>SCHOOLS DIVISION OF SIPALAY CITY</t>
  </si>
  <si>
    <t>NAME          : WESLEY NEIL H. FLORENTINO</t>
  </si>
  <si>
    <t>DISTRICT : SIPALAY I</t>
  </si>
  <si>
    <t>EMPLOYEE NO.: 6446811</t>
  </si>
  <si>
    <t>STATION CODE: 026</t>
  </si>
  <si>
    <t>POSITION   : T-I</t>
  </si>
  <si>
    <t>SCHOOL/OFFICE : NABULAO ES-BUYOG ANNEX</t>
  </si>
  <si>
    <t>DIVISION CODE: 419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</si>
  <si>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</si>
  <si>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</si>
  <si>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</si>
  <si>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</si>
  <si>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</si>
  <si>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</si>
  <si>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</si>
  <si>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TOTAL</t>
  </si>
  <si>
    <t>ADD: SO # 116, S. 2025</t>
  </si>
  <si>
    <t>SEPT. 09, 2025</t>
  </si>
  <si>
    <t>CONVERTED VL-SL BALANCE (34.524) TO VSC</t>
  </si>
  <si>
    <t>LESS: 09/15/2025</t>
  </si>
  <si>
    <t>LESS: 11/07/2025</t>
  </si>
  <si>
    <t>LESS: 12/01/2025</t>
  </si>
  <si>
    <t>NEGROS ISLAND REGION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</si>
  <si>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</si>
  <si>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</si>
  <si>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</si>
  <si>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</si>
  <si>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</si>
  <si>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</si>
  <si>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</si>
  <si>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</si>
  <si>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</si>
  <si>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</si>
  <si>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</si>
  <si>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DATE FILED/RECEIVED</t>
  </si>
  <si>
    <t>VACATION</t>
  </si>
  <si>
    <t>SICK</t>
  </si>
  <si>
    <t>FORCED</t>
  </si>
  <si>
    <t>SPECIAL</t>
  </si>
  <si>
    <r>
      <rPr>
        <sz val="11"/>
        <color theme="1"/>
        <rFont val="Calibri"/>
        <charset val="134"/>
        <scheme val="minor"/>
      </rPr>
      <t xml:space="preserve">ADD: UNUSED CONVERTED VSC                      </t>
    </r>
    <r>
      <rPr>
        <b/>
        <sz val="11"/>
        <color theme="4" tint="-0.249977111117893"/>
        <rFont val="Calibri"/>
        <charset val="134"/>
        <scheme val="minor"/>
      </rPr>
      <t>(52 DAYS)</t>
    </r>
    <r>
      <rPr>
        <sz val="11"/>
        <color theme="1"/>
        <rFont val="Calibri"/>
        <charset val="134"/>
        <scheme val="minor"/>
      </rPr>
      <t xml:space="preserve">                                                        FORMULA: 30Y/69/2</t>
    </r>
  </si>
  <si>
    <t>ADD: 11/4-30/2024</t>
  </si>
  <si>
    <t>ADD: 12/1-31/2024</t>
  </si>
  <si>
    <t>LESS: 12/3/2024</t>
  </si>
  <si>
    <t>LESS: 01/2-3/2025</t>
  </si>
  <si>
    <t>ADD: 01/1/2025-06/30/2025</t>
  </si>
  <si>
    <t>LESS: 06/27/2025</t>
  </si>
  <si>
    <t>ADD: 07/1/2025-08/31/2025</t>
  </si>
  <si>
    <t>LESS: MONETIZATION 2025</t>
  </si>
  <si>
    <t>ADD: 09/1-14/2025</t>
  </si>
  <si>
    <t>RELIEVED AS TIC effective September 15, 2025</t>
  </si>
  <si>
    <t xml:space="preserve">  </t>
  </si>
  <si>
    <t>NAME         : FLORENTINO, WESLEY NEIL</t>
  </si>
  <si>
    <t>DISTRICT             : _______________________</t>
  </si>
  <si>
    <t>EMPLOYEE NO   : __________</t>
  </si>
  <si>
    <t>SCHOOL/OFFICE : NABULAO ES</t>
  </si>
  <si>
    <t>STATION CODE   : __________</t>
  </si>
  <si>
    <t>POSITION   : TEACHER I</t>
  </si>
  <si>
    <t>DIVISION CODE   : __________</t>
  </si>
  <si>
    <t>VSC</t>
  </si>
  <si>
    <t>Special Order No. and Date Issued</t>
  </si>
  <si>
    <t>ADD: 10/17/2023</t>
  </si>
  <si>
    <t>SO # 134, S. 2023, NLC 2023</t>
  </si>
  <si>
    <t>LESS: 02/15-16/2023</t>
  </si>
  <si>
    <t>LESS: 04/4/2024</t>
  </si>
  <si>
    <t>LESS: 05/3/2024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</si>
  <si>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FLORENTINO, WESLEY NEIL H.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</si>
  <si>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</si>
  <si>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</si>
  <si>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</si>
  <si>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</si>
  <si>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</si>
  <si>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</si>
  <si>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</si>
  <si>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NATIONAL LEARNING CAMP/NATIONAL &amp; LOCAL ELECTION</t>
  </si>
  <si>
    <t>S.O. # 079, S. 2022</t>
  </si>
  <si>
    <t>OCT.3, 2022</t>
  </si>
  <si>
    <t>BRIGADA ESKWELA 2022</t>
  </si>
  <si>
    <t>S.O. # 082, S. 2022</t>
  </si>
  <si>
    <t>ENROLMENT 2022</t>
  </si>
  <si>
    <t>S.O. # 134, S. 2023</t>
  </si>
  <si>
    <t>OCT. 17, 2023</t>
  </si>
  <si>
    <t>NLC 2023</t>
  </si>
  <si>
    <t>S.O. # 010, S. 2024</t>
  </si>
  <si>
    <t>APRIL 30, 2024</t>
  </si>
  <si>
    <t>OCTOBER 30, 2023 BRGY. &amp; SK ELECTION</t>
  </si>
  <si>
    <t>S.O. # 029, S. 2024</t>
  </si>
  <si>
    <t>SEPTEMBER 24, 2024</t>
  </si>
  <si>
    <t>NLC 2024</t>
  </si>
  <si>
    <t>S.O. # 055, S. 2024</t>
  </si>
  <si>
    <t>OCT. 18, 2024</t>
  </si>
  <si>
    <t>DEPED ACTIVITIES &amp; TRAININGS FOR SY 2024-2025</t>
  </si>
  <si>
    <t>52 DAYS-CONVERTED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</si>
</sst>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4" tint="-0.249977111117893"/>
      <name val="Calibri"/>
      <charset val="134"/>
      <scheme val="minor"/>
    </font>
    <font>
      <b/>
      <u/>
      <sz val="12"/>
      <color theme="1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5" borderId="2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32" applyNumberFormat="0" applyAlignment="0" applyProtection="0">
      <alignment vertical="center"/>
    </xf>
    <xf numFmtId="0" fontId="24" fillId="17" borderId="33" applyNumberFormat="0" applyAlignment="0" applyProtection="0">
      <alignment vertical="center"/>
    </xf>
    <xf numFmtId="0" fontId="25" fillId="17" borderId="32" applyNumberFormat="0" applyAlignment="0" applyProtection="0">
      <alignment vertical="center"/>
    </xf>
    <xf numFmtId="0" fontId="26" fillId="18" borderId="34" applyNumberFormat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29">
    <xf numFmtId="0" fontId="0" fillId="0" borderId="0" xfId="0"/>
    <xf numFmtId="0" fontId="0" fillId="2" borderId="0" xfId="49" applyFill="1"/>
    <xf numFmtId="0" fontId="1" fillId="0" borderId="0" xfId="49" applyFont="1"/>
    <xf numFmtId="0" fontId="2" fillId="0" borderId="0" xfId="49" applyFont="1"/>
    <xf numFmtId="0" fontId="0" fillId="0" borderId="0" xfId="49"/>
    <xf numFmtId="0" fontId="0" fillId="3" borderId="0" xfId="49" applyFill="1"/>
    <xf numFmtId="0" fontId="0" fillId="4" borderId="0" xfId="49" applyFill="1"/>
    <xf numFmtId="0" fontId="0" fillId="2" borderId="0" xfId="49" applyFill="1" applyAlignment="1">
      <alignment horizontal="center"/>
    </xf>
    <xf numFmtId="0" fontId="3" fillId="2" borderId="0" xfId="49" applyFont="1" applyFill="1" applyAlignment="1">
      <alignment horizontal="center" vertical="center"/>
    </xf>
    <xf numFmtId="0" fontId="4" fillId="2" borderId="0" xfId="49" applyFont="1" applyFill="1" applyAlignment="1">
      <alignment vertical="center"/>
    </xf>
    <xf numFmtId="0" fontId="3" fillId="2" borderId="0" xfId="49" applyFont="1" applyFill="1" applyAlignment="1">
      <alignment horizontal="left" vertical="center"/>
    </xf>
    <xf numFmtId="0" fontId="3" fillId="2" borderId="0" xfId="49" applyFont="1" applyFill="1" applyAlignment="1">
      <alignment vertical="center"/>
    </xf>
    <xf numFmtId="0" fontId="5" fillId="2" borderId="0" xfId="49" applyFont="1" applyFill="1"/>
    <xf numFmtId="0" fontId="3" fillId="2" borderId="0" xfId="49" applyFont="1" applyFill="1"/>
    <xf numFmtId="0" fontId="3" fillId="2" borderId="0" xfId="49" applyFont="1" applyFill="1" applyAlignment="1">
      <alignment horizontal="left"/>
    </xf>
    <xf numFmtId="0" fontId="6" fillId="2" borderId="1" xfId="49" applyFont="1" applyFill="1" applyBorder="1" applyAlignment="1">
      <alignment horizontal="center" vertical="center"/>
    </xf>
    <xf numFmtId="0" fontId="6" fillId="2" borderId="2" xfId="49" applyFont="1" applyFill="1" applyBorder="1" applyAlignment="1">
      <alignment horizontal="center" vertical="center"/>
    </xf>
    <xf numFmtId="0" fontId="6" fillId="2" borderId="3" xfId="49" applyFont="1" applyFill="1" applyBorder="1" applyAlignment="1">
      <alignment horizontal="center" vertical="center"/>
    </xf>
    <xf numFmtId="0" fontId="7" fillId="5" borderId="1" xfId="49" applyFont="1" applyFill="1" applyBorder="1" applyAlignment="1">
      <alignment horizontal="center" vertical="center" wrapText="1"/>
    </xf>
    <xf numFmtId="0" fontId="7" fillId="5" borderId="1" xfId="49" applyFont="1" applyFill="1" applyBorder="1" applyAlignment="1">
      <alignment horizontal="center" vertical="center"/>
    </xf>
    <xf numFmtId="0" fontId="8" fillId="6" borderId="4" xfId="49" applyFont="1" applyFill="1" applyBorder="1" applyAlignment="1">
      <alignment horizontal="center" vertical="center" wrapText="1"/>
    </xf>
    <xf numFmtId="0" fontId="8" fillId="6" borderId="5" xfId="49" applyFont="1" applyFill="1" applyBorder="1" applyAlignment="1">
      <alignment horizontal="center" vertical="center" wrapText="1"/>
    </xf>
    <xf numFmtId="0" fontId="7" fillId="5" borderId="6" xfId="49" applyFont="1" applyFill="1" applyBorder="1" applyAlignment="1">
      <alignment horizontal="center" vertical="center"/>
    </xf>
    <xf numFmtId="0" fontId="0" fillId="2" borderId="7" xfId="50" applyFont="1" applyFill="1" applyBorder="1" applyAlignment="1">
      <alignment horizontal="center" vertical="center" wrapText="1"/>
    </xf>
    <xf numFmtId="0" fontId="0" fillId="2" borderId="8" xfId="50" applyFont="1" applyFill="1" applyBorder="1" applyAlignment="1">
      <alignment horizontal="center" vertical="center"/>
    </xf>
    <xf numFmtId="0" fontId="8" fillId="2" borderId="9" xfId="50" applyFont="1" applyFill="1" applyBorder="1" applyAlignment="1">
      <alignment vertical="center" wrapText="1"/>
    </xf>
    <xf numFmtId="0" fontId="8" fillId="2" borderId="9" xfId="50" applyFont="1" applyFill="1" applyBorder="1" applyAlignment="1">
      <alignment horizontal="center" vertical="center" wrapText="1"/>
    </xf>
    <xf numFmtId="0" fontId="9" fillId="2" borderId="10" xfId="49" applyFont="1" applyFill="1" applyBorder="1" applyAlignment="1">
      <alignment horizontal="center" vertical="center" wrapText="1"/>
    </xf>
    <xf numFmtId="0" fontId="4" fillId="2" borderId="11" xfId="49" applyFont="1" applyFill="1" applyBorder="1" applyAlignment="1">
      <alignment horizontal="center" vertical="center" wrapText="1"/>
    </xf>
    <xf numFmtId="0" fontId="8" fillId="2" borderId="12" xfId="50" applyFont="1" applyFill="1" applyBorder="1" applyAlignment="1">
      <alignment vertical="center" wrapText="1"/>
    </xf>
    <xf numFmtId="0" fontId="0" fillId="2" borderId="9" xfId="50" applyFont="1" applyFill="1" applyBorder="1" applyAlignment="1">
      <alignment horizontal="center" vertical="center" wrapText="1"/>
    </xf>
    <xf numFmtId="0" fontId="4" fillId="2" borderId="13" xfId="49" applyFont="1" applyFill="1" applyBorder="1" applyAlignment="1">
      <alignment horizontal="right" vertical="center" wrapText="1"/>
    </xf>
    <xf numFmtId="0" fontId="4" fillId="2" borderId="14" xfId="49" applyFont="1" applyFill="1" applyBorder="1" applyAlignment="1">
      <alignment horizontal="right" vertical="center" wrapText="1"/>
    </xf>
    <xf numFmtId="0" fontId="4" fillId="2" borderId="15" xfId="49" applyFont="1" applyFill="1" applyBorder="1" applyAlignment="1">
      <alignment horizontal="right" vertical="center" wrapText="1"/>
    </xf>
    <xf numFmtId="0" fontId="10" fillId="2" borderId="16" xfId="49" applyFont="1" applyFill="1" applyBorder="1" applyAlignment="1">
      <alignment horizontal="center" vertical="center" wrapText="1"/>
    </xf>
    <xf numFmtId="0" fontId="2" fillId="2" borderId="0" xfId="49" applyFont="1" applyFill="1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2" fillId="0" borderId="0" xfId="0" applyFont="1"/>
    <xf numFmtId="0" fontId="2" fillId="7" borderId="0" xfId="0" applyFont="1" applyFill="1"/>
    <xf numFmtId="0" fontId="0" fillId="8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9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/>
    <xf numFmtId="0" fontId="6" fillId="2" borderId="0" xfId="0" applyFont="1" applyFill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14" borderId="23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0" fontId="3" fillId="10" borderId="2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49" applyAlignment="1">
      <alignment vertical="center"/>
    </xf>
    <xf numFmtId="0" fontId="5" fillId="2" borderId="0" xfId="0" applyFont="1" applyFill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3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1047750</xdr:colOff>
      <xdr:row>0</xdr:row>
      <xdr:rowOff>47820</xdr:rowOff>
    </xdr:from>
    <xdr:to>
      <xdr:col>3</xdr:col>
      <xdr:colOff>1638485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1480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76200</xdr:colOff>
      <xdr:row>19</xdr:row>
      <xdr:rowOff>236220</xdr:rowOff>
    </xdr:from>
    <xdr:to>
      <xdr:col>7</xdr:col>
      <xdr:colOff>476250</xdr:colOff>
      <xdr:row>21</xdr:row>
      <xdr:rowOff>150495</xdr:rowOff>
    </xdr:to>
    <xdr:sp>
      <xdr:nvSpPr>
        <xdr:cNvPr id="4" name="TextBox 3"/>
        <xdr:cNvSpPr txBox="1"/>
      </xdr:nvSpPr>
      <xdr:spPr>
        <a:xfrm>
          <a:off x="6316345" y="4712970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3740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214757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FLORENTINO,</a:t>
          </a:r>
          <a:r>
            <a:rPr lang="en-US" sz="1100" baseline="0"/>
            <a:t> WESLEY NEIL H.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96977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 (TIC) NOV. 4, 2024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80872</xdr:colOff>
      <xdr:row>8</xdr:row>
      <xdr:rowOff>140434</xdr:rowOff>
    </xdr:to>
    <xdr:sp>
      <xdr:nvSpPr>
        <xdr:cNvPr id="5" name="TextBox 4"/>
        <xdr:cNvSpPr txBox="1"/>
      </xdr:nvSpPr>
      <xdr:spPr>
        <a:xfrm>
          <a:off x="3794760" y="1707515"/>
          <a:ext cx="204724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ES-BUYOG ANNEX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25</xdr:row>
      <xdr:rowOff>53914</xdr:rowOff>
    </xdr:from>
    <xdr:to>
      <xdr:col>9</xdr:col>
      <xdr:colOff>672043</xdr:colOff>
      <xdr:row>30</xdr:row>
      <xdr:rowOff>170731</xdr:rowOff>
    </xdr:to>
    <xdr:sp>
      <xdr:nvSpPr>
        <xdr:cNvPr id="6" name="TextBox 5"/>
        <xdr:cNvSpPr txBox="1"/>
      </xdr:nvSpPr>
      <xdr:spPr>
        <a:xfrm>
          <a:off x="6108700" y="569976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>
      <xdr:nvSpPr>
        <xdr:cNvPr id="3" name="TextBox 2"/>
        <xdr:cNvSpPr txBox="1"/>
      </xdr:nvSpPr>
      <xdr:spPr>
        <a:xfrm>
          <a:off x="76200" y="379095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962025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695825"/>
          <a:ext cx="379539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20</xdr:row>
      <xdr:rowOff>236220</xdr:rowOff>
    </xdr:from>
    <xdr:to>
      <xdr:col>6</xdr:col>
      <xdr:colOff>476250</xdr:colOff>
      <xdr:row>22</xdr:row>
      <xdr:rowOff>150495</xdr:rowOff>
    </xdr:to>
    <xdr:sp>
      <xdr:nvSpPr>
        <xdr:cNvPr id="4" name="TextBox 3"/>
        <xdr:cNvSpPr txBox="1"/>
      </xdr:nvSpPr>
      <xdr:spPr>
        <a:xfrm>
          <a:off x="5562600" y="472249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2"/>
  <sheetViews>
    <sheetView tabSelected="1" view="pageBreakPreview" zoomScaleNormal="100" workbookViewId="0">
      <selection activeCell="G18" sqref="G18"/>
    </sheetView>
  </sheetViews>
  <sheetFormatPr defaultColWidth="9" defaultRowHeight="14.4" outlineLevelCol="7"/>
  <cols>
    <col min="1" max="1" width="3.85185185185185" customWidth="1"/>
    <col min="2" max="2" width="23.5740740740741" customWidth="1"/>
    <col min="3" max="3" width="18.8518518518519" customWidth="1"/>
    <col min="4" max="4" width="44.712962962963" style="104" customWidth="1"/>
    <col min="5" max="5" width="11.712962962963" style="42" customWidth="1"/>
    <col min="6" max="6" width="11" customWidth="1"/>
    <col min="7" max="7" width="11.8518518518519" style="42" customWidth="1"/>
    <col min="8" max="8" width="13.8518518518519" customWidth="1"/>
  </cols>
  <sheetData>
    <row r="1" s="36" customFormat="1" ht="52.5" customHeight="1" spans="6:6">
      <c r="F1" s="46"/>
    </row>
    <row r="2" s="36" customFormat="1" ht="10.5" customHeight="1" spans="2:8">
      <c r="B2" s="105" t="s">
        <v>0</v>
      </c>
      <c r="C2" s="105"/>
      <c r="D2" s="105"/>
      <c r="E2" s="105"/>
      <c r="F2" s="105"/>
      <c r="G2" s="105"/>
      <c r="H2" s="105"/>
    </row>
    <row r="3" s="36" customFormat="1" ht="15.95" customHeight="1" spans="2:8">
      <c r="B3" s="105" t="s">
        <v>1</v>
      </c>
      <c r="C3" s="105"/>
      <c r="D3" s="105"/>
      <c r="E3" s="105"/>
      <c r="F3" s="105"/>
      <c r="G3" s="105"/>
      <c r="H3" s="105"/>
    </row>
    <row r="4" s="36" customFormat="1" ht="15.95" customHeight="1" spans="2:8">
      <c r="B4" s="105" t="s">
        <v>2</v>
      </c>
      <c r="C4" s="105"/>
      <c r="D4" s="105"/>
      <c r="E4" s="105"/>
      <c r="F4" s="105"/>
      <c r="G4" s="105"/>
      <c r="H4" s="105"/>
    </row>
    <row r="5" s="36" customFormat="1" ht="15.95" customHeight="1" spans="2:8">
      <c r="B5" s="105" t="s">
        <v>3</v>
      </c>
      <c r="C5" s="105"/>
      <c r="D5" s="105"/>
      <c r="E5" s="105"/>
      <c r="F5" s="105"/>
      <c r="G5" s="105"/>
      <c r="H5" s="105"/>
    </row>
    <row r="6" s="36" customFormat="1" ht="8.25" customHeight="1" spans="6:6">
      <c r="F6" s="46"/>
    </row>
    <row r="7" s="36" customFormat="1" ht="8.25" customHeight="1" spans="6:6">
      <c r="F7" s="46"/>
    </row>
    <row r="8" s="36" customFormat="1" ht="17.25" customHeight="1" spans="2:8">
      <c r="B8" s="106" t="s">
        <v>4</v>
      </c>
      <c r="C8" s="106"/>
      <c r="D8" s="106" t="s">
        <v>5</v>
      </c>
      <c r="E8" s="49"/>
      <c r="F8" s="106" t="s">
        <v>6</v>
      </c>
      <c r="G8" s="49"/>
      <c r="H8" s="48"/>
    </row>
    <row r="9" s="36" customFormat="1" ht="12" customHeight="1" spans="2:8">
      <c r="B9" s="107"/>
      <c r="C9" s="107"/>
      <c r="D9" s="50"/>
      <c r="F9" s="106" t="s">
        <v>7</v>
      </c>
      <c r="G9" s="51"/>
      <c r="H9" s="50"/>
    </row>
    <row r="10" s="36" customFormat="1" ht="14.25" customHeight="1" spans="2:8">
      <c r="B10" s="106" t="s">
        <v>8</v>
      </c>
      <c r="C10" s="106"/>
      <c r="D10" s="106" t="s">
        <v>9</v>
      </c>
      <c r="E10" s="49"/>
      <c r="F10" s="106" t="s">
        <v>10</v>
      </c>
      <c r="G10" s="49"/>
      <c r="H10" s="48"/>
    </row>
    <row r="11" s="36" customFormat="1" ht="12" customHeight="1" spans="2:8">
      <c r="B11" s="48"/>
      <c r="C11" s="48"/>
      <c r="D11" s="48"/>
      <c r="G11" s="49"/>
      <c r="H11" s="48"/>
    </row>
    <row r="12" ht="23.25" customHeight="1" spans="2:8">
      <c r="B12" s="108" t="s">
        <v>11</v>
      </c>
      <c r="C12" s="109"/>
      <c r="D12" s="109"/>
      <c r="E12" s="109"/>
      <c r="F12" s="109"/>
      <c r="G12" s="109"/>
      <c r="H12" s="110"/>
    </row>
    <row r="13" s="37" customFormat="1" ht="39.75" customHeight="1" spans="2:8">
      <c r="B13" s="111" t="s">
        <v>12</v>
      </c>
      <c r="C13" s="112" t="s">
        <v>13</v>
      </c>
      <c r="D13" s="113" t="s">
        <v>14</v>
      </c>
      <c r="E13" s="113" t="s">
        <v>15</v>
      </c>
      <c r="F13" s="113" t="s">
        <v>16</v>
      </c>
      <c r="G13" s="113" t="s">
        <v>17</v>
      </c>
      <c r="H13" s="114" t="s">
        <v>18</v>
      </c>
    </row>
    <row r="14" s="37" customFormat="1" ht="24" customHeight="1" spans="2:8">
      <c r="B14" s="115" t="s">
        <v>19</v>
      </c>
      <c r="C14" s="116" t="s">
        <v>20</v>
      </c>
      <c r="D14" s="117" t="s">
        <v>21</v>
      </c>
      <c r="E14" s="118">
        <v>79.405</v>
      </c>
      <c r="F14" s="118">
        <v>0</v>
      </c>
      <c r="G14" s="118">
        <v>79.405</v>
      </c>
      <c r="H14" s="119">
        <f t="shared" ref="H14:H17" si="0">G14</f>
        <v>79.405</v>
      </c>
    </row>
    <row r="15" s="38" customFormat="1" ht="15.6" spans="2:8">
      <c r="B15" s="120" t="s">
        <v>22</v>
      </c>
      <c r="C15" s="121"/>
      <c r="D15" s="117" t="s">
        <v>21</v>
      </c>
      <c r="E15" s="122"/>
      <c r="F15" s="122">
        <v>1</v>
      </c>
      <c r="G15" s="122">
        <f t="shared" ref="G15:G17" si="1">H14-F15</f>
        <v>78.405</v>
      </c>
      <c r="H15" s="119">
        <f t="shared" si="0"/>
        <v>78.405</v>
      </c>
    </row>
    <row r="16" s="38" customFormat="1" ht="15.6" spans="2:8">
      <c r="B16" s="120" t="s">
        <v>23</v>
      </c>
      <c r="C16" s="121"/>
      <c r="D16" s="117" t="s">
        <v>21</v>
      </c>
      <c r="E16" s="122"/>
      <c r="F16" s="122">
        <v>1</v>
      </c>
      <c r="G16" s="122">
        <f t="shared" si="1"/>
        <v>77.405</v>
      </c>
      <c r="H16" s="119">
        <f t="shared" si="0"/>
        <v>77.405</v>
      </c>
    </row>
    <row r="17" s="38" customFormat="1" ht="15.6" spans="2:8">
      <c r="B17" s="120" t="s">
        <v>24</v>
      </c>
      <c r="C17" s="121"/>
      <c r="D17" s="117" t="s">
        <v>21</v>
      </c>
      <c r="E17" s="122"/>
      <c r="F17" s="122">
        <v>1</v>
      </c>
      <c r="G17" s="122">
        <f t="shared" si="1"/>
        <v>76.405</v>
      </c>
      <c r="H17" s="119">
        <f t="shared" si="0"/>
        <v>76.405</v>
      </c>
    </row>
    <row r="18" s="38" customFormat="1" ht="20.25" customHeight="1" spans="2:8">
      <c r="B18" s="123"/>
      <c r="C18" s="123"/>
      <c r="D18" s="124"/>
      <c r="E18" s="125"/>
      <c r="F18" s="125"/>
      <c r="G18" s="125"/>
      <c r="H18" s="126"/>
    </row>
    <row r="19" s="38" customFormat="1" ht="15.6" spans="2:8">
      <c r="B19" s="127"/>
      <c r="C19" s="123"/>
      <c r="D19" s="128"/>
      <c r="E19" s="125"/>
      <c r="F19" s="125"/>
      <c r="G19" s="125"/>
      <c r="H19" s="126"/>
    </row>
    <row r="20" s="36" customFormat="1" ht="75.75" customHeight="1" spans="2:8">
      <c r="B20" s="73"/>
      <c r="C20" s="73"/>
      <c r="H20" s="73"/>
    </row>
    <row r="21" s="36" customFormat="1"/>
    <row r="22" s="36" customFormat="1"/>
  </sheetData>
  <mergeCells count="5">
    <mergeCell ref="B2:H2"/>
    <mergeCell ref="B3:H3"/>
    <mergeCell ref="B4:H4"/>
    <mergeCell ref="B5:H5"/>
    <mergeCell ref="B12:H12"/>
  </mergeCells>
  <pageMargins left="0.25" right="0.25" top="0.75" bottom="0.75" header="0.3" footer="0.3"/>
  <pageSetup paperSize="9" scale="9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view="pageBreakPreview" zoomScale="106" zoomScaleNormal="100" topLeftCell="A11" workbookViewId="0">
      <selection activeCell="D13" sqref="D13"/>
    </sheetView>
  </sheetViews>
  <sheetFormatPr defaultColWidth="9" defaultRowHeight="14.4"/>
  <cols>
    <col min="1" max="1" width="37.712962962963" customWidth="1"/>
    <col min="2" max="5" width="11.5740740740741" customWidth="1"/>
    <col min="6" max="7" width="11.5740740740741" style="79" customWidth="1"/>
    <col min="8" max="10" width="11.5740740740741" customWidth="1"/>
    <col min="11" max="11" width="26.4259259259259" style="80" customWidth="1"/>
  </cols>
  <sheetData>
    <row r="1" s="36" customFormat="1" ht="52.5" customHeight="1"/>
    <row r="2" s="36" customFormat="1" ht="10.5" customHeight="1" spans="1:10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</row>
    <row r="3" s="36" customFormat="1" ht="15.95" customHeight="1" spans="1:10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</row>
    <row r="4" s="36" customFormat="1" ht="15.95" customHeight="1" spans="1:10">
      <c r="A4" s="47" t="s">
        <v>25</v>
      </c>
      <c r="B4" s="47"/>
      <c r="C4" s="47"/>
      <c r="D4" s="47"/>
      <c r="E4" s="47"/>
      <c r="F4" s="47"/>
      <c r="G4" s="47"/>
      <c r="H4" s="47"/>
      <c r="I4" s="47"/>
      <c r="J4" s="47"/>
    </row>
    <row r="5" s="36" customFormat="1" ht="15.95" customHeight="1" spans="1:10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</row>
    <row r="6" s="36" customFormat="1" ht="8.25" customHeight="1"/>
    <row r="7" s="36" customFormat="1" ht="12" customHeight="1" spans="1:10">
      <c r="A7" s="36" t="s">
        <v>26</v>
      </c>
      <c r="B7" s="49" t="s">
        <v>27</v>
      </c>
      <c r="C7" s="49"/>
      <c r="D7" s="49"/>
      <c r="H7" s="48" t="s">
        <v>28</v>
      </c>
      <c r="I7" s="98"/>
      <c r="J7" s="48"/>
    </row>
    <row r="8" s="36" customFormat="1" ht="12" customHeight="1" spans="2:10">
      <c r="B8" s="50"/>
      <c r="C8" s="50"/>
      <c r="H8" s="50"/>
      <c r="I8" s="50"/>
      <c r="J8" s="50"/>
    </row>
    <row r="9" s="36" customFormat="1" ht="12" customHeight="1" spans="1:10">
      <c r="A9" s="36" t="s">
        <v>29</v>
      </c>
      <c r="B9" s="49" t="s">
        <v>30</v>
      </c>
      <c r="C9" s="49"/>
      <c r="D9" s="49"/>
      <c r="H9" s="48" t="s">
        <v>31</v>
      </c>
      <c r="I9" s="99"/>
      <c r="J9" s="48"/>
    </row>
    <row r="10" ht="23.25" customHeight="1" spans="1:11">
      <c r="A10" s="81" t="s">
        <v>32</v>
      </c>
      <c r="B10" s="81"/>
      <c r="C10" s="81"/>
      <c r="D10" s="81"/>
      <c r="E10" s="81"/>
      <c r="F10" s="81"/>
      <c r="G10" s="81"/>
      <c r="H10" s="81"/>
      <c r="I10" s="81"/>
      <c r="J10" s="81"/>
      <c r="K10"/>
    </row>
    <row r="11" ht="18.75" customHeight="1" spans="1:11">
      <c r="A11" s="82" t="s">
        <v>33</v>
      </c>
      <c r="B11" s="83" t="s">
        <v>34</v>
      </c>
      <c r="C11" s="83"/>
      <c r="D11" s="84" t="s">
        <v>35</v>
      </c>
      <c r="E11" s="84"/>
      <c r="F11" s="84"/>
      <c r="G11" s="84"/>
      <c r="H11" s="85" t="s">
        <v>36</v>
      </c>
      <c r="I11" s="85"/>
      <c r="J11" s="100" t="s">
        <v>18</v>
      </c>
      <c r="K11" s="101" t="s">
        <v>37</v>
      </c>
    </row>
    <row r="12" ht="18.75" customHeight="1" spans="1:11">
      <c r="A12" s="86"/>
      <c r="B12" s="87" t="s">
        <v>38</v>
      </c>
      <c r="C12" s="87" t="s">
        <v>39</v>
      </c>
      <c r="D12" s="87" t="s">
        <v>38</v>
      </c>
      <c r="E12" s="87" t="s">
        <v>39</v>
      </c>
      <c r="F12" s="87" t="s">
        <v>40</v>
      </c>
      <c r="G12" s="87" t="s">
        <v>41</v>
      </c>
      <c r="H12" s="87" t="s">
        <v>38</v>
      </c>
      <c r="I12" s="87" t="s">
        <v>39</v>
      </c>
      <c r="J12" s="102"/>
      <c r="K12" s="101"/>
    </row>
    <row r="13" ht="45" customHeight="1" spans="1:10">
      <c r="A13" s="88" t="s">
        <v>42</v>
      </c>
      <c r="B13" s="89">
        <v>11.304</v>
      </c>
      <c r="C13" s="89">
        <v>11.304</v>
      </c>
      <c r="D13" s="89"/>
      <c r="E13" s="89"/>
      <c r="F13" s="89"/>
      <c r="G13" s="89"/>
      <c r="H13" s="90">
        <f>B13</f>
        <v>11.304</v>
      </c>
      <c r="I13" s="90">
        <f>C13</f>
        <v>11.304</v>
      </c>
      <c r="J13" s="90">
        <f>SUM(H13:I13)</f>
        <v>22.608</v>
      </c>
    </row>
    <row r="14" ht="15.75" customHeight="1" spans="1:10">
      <c r="A14" s="91" t="s">
        <v>43</v>
      </c>
      <c r="B14" s="92">
        <v>1.125</v>
      </c>
      <c r="C14" s="92">
        <v>1.125</v>
      </c>
      <c r="D14" s="92"/>
      <c r="E14" s="92"/>
      <c r="F14" s="92"/>
      <c r="G14" s="92"/>
      <c r="H14" s="93">
        <f>H13-F14-D14+B14</f>
        <v>12.429</v>
      </c>
      <c r="I14" s="93">
        <f>I13-E14+C14</f>
        <v>12.429</v>
      </c>
      <c r="J14" s="93">
        <f>SUM(H14:I14)</f>
        <v>24.858</v>
      </c>
    </row>
    <row r="15" ht="15" customHeight="1" spans="1:10">
      <c r="A15" s="91" t="s">
        <v>44</v>
      </c>
      <c r="B15" s="92">
        <v>1.25</v>
      </c>
      <c r="C15" s="92">
        <v>1.25</v>
      </c>
      <c r="D15" s="92"/>
      <c r="E15" s="92"/>
      <c r="F15" s="92"/>
      <c r="G15" s="92"/>
      <c r="H15" s="93">
        <f t="shared" ref="H15:H16" si="0">H14-F15-D15+B15</f>
        <v>13.679</v>
      </c>
      <c r="I15" s="93">
        <f t="shared" ref="I15:I16" si="1">I14-E15+C15</f>
        <v>13.679</v>
      </c>
      <c r="J15" s="93">
        <f t="shared" ref="J15:J19" si="2">SUM(H15:I15)</f>
        <v>27.358</v>
      </c>
    </row>
    <row r="16" ht="15" customHeight="1" spans="1:10">
      <c r="A16" s="91" t="s">
        <v>45</v>
      </c>
      <c r="B16" s="92"/>
      <c r="C16" s="92"/>
      <c r="D16" s="92"/>
      <c r="E16" s="92">
        <v>1</v>
      </c>
      <c r="F16" s="92"/>
      <c r="G16" s="92"/>
      <c r="H16" s="93">
        <f t="shared" si="0"/>
        <v>13.679</v>
      </c>
      <c r="I16" s="93">
        <f t="shared" si="1"/>
        <v>12.679</v>
      </c>
      <c r="J16" s="93">
        <f t="shared" si="2"/>
        <v>26.358</v>
      </c>
    </row>
    <row r="17" ht="12.75" customHeight="1" spans="1:10">
      <c r="A17" s="91" t="s">
        <v>46</v>
      </c>
      <c r="B17" s="92"/>
      <c r="C17" s="92"/>
      <c r="D17" s="92"/>
      <c r="E17" s="92">
        <v>2</v>
      </c>
      <c r="F17" s="92"/>
      <c r="G17" s="92"/>
      <c r="H17" s="93">
        <f t="shared" ref="H17:H22" si="3">H16-F17-D17+B17</f>
        <v>13.679</v>
      </c>
      <c r="I17" s="93">
        <f t="shared" ref="I17:I22" si="4">I16-E17+C17</f>
        <v>10.679</v>
      </c>
      <c r="J17" s="93">
        <f t="shared" si="2"/>
        <v>24.358</v>
      </c>
    </row>
    <row r="18" ht="12.75" customHeight="1" spans="1:10">
      <c r="A18" s="91" t="s">
        <v>47</v>
      </c>
      <c r="B18" s="92">
        <v>7.5</v>
      </c>
      <c r="C18" s="92">
        <v>7.5</v>
      </c>
      <c r="D18" s="92"/>
      <c r="E18" s="92"/>
      <c r="F18" s="92"/>
      <c r="G18" s="92"/>
      <c r="H18" s="93">
        <f t="shared" si="3"/>
        <v>21.179</v>
      </c>
      <c r="I18" s="93">
        <f t="shared" si="4"/>
        <v>18.179</v>
      </c>
      <c r="J18" s="93">
        <f t="shared" si="2"/>
        <v>39.358</v>
      </c>
    </row>
    <row r="19" ht="14.25" customHeight="1" spans="1:10">
      <c r="A19" s="91" t="s">
        <v>48</v>
      </c>
      <c r="B19" s="92"/>
      <c r="C19" s="92"/>
      <c r="D19" s="92"/>
      <c r="E19" s="92">
        <v>1</v>
      </c>
      <c r="F19" s="92"/>
      <c r="G19" s="92"/>
      <c r="H19" s="93">
        <f t="shared" si="3"/>
        <v>21.179</v>
      </c>
      <c r="I19" s="93">
        <f t="shared" si="4"/>
        <v>17.179</v>
      </c>
      <c r="J19" s="93">
        <f t="shared" si="2"/>
        <v>38.358</v>
      </c>
    </row>
    <row r="20" ht="17.25" customHeight="1" spans="1:10">
      <c r="A20" s="91" t="s">
        <v>49</v>
      </c>
      <c r="B20" s="92">
        <v>2.5</v>
      </c>
      <c r="C20" s="92">
        <v>2.5</v>
      </c>
      <c r="D20" s="92"/>
      <c r="E20" s="92"/>
      <c r="F20" s="92"/>
      <c r="G20" s="92"/>
      <c r="H20" s="93">
        <f t="shared" si="3"/>
        <v>23.679</v>
      </c>
      <c r="I20" s="93">
        <f t="shared" si="4"/>
        <v>19.679</v>
      </c>
      <c r="J20" s="93">
        <f t="shared" ref="J20" si="5">SUM(H20:I20)</f>
        <v>43.358</v>
      </c>
    </row>
    <row r="21" ht="17.25" customHeight="1" spans="1:10">
      <c r="A21" s="91" t="s">
        <v>50</v>
      </c>
      <c r="B21" s="92"/>
      <c r="C21" s="92"/>
      <c r="D21" s="92">
        <v>10</v>
      </c>
      <c r="E21" s="92"/>
      <c r="F21" s="92"/>
      <c r="G21" s="92"/>
      <c r="H21" s="93">
        <f t="shared" si="3"/>
        <v>13.679</v>
      </c>
      <c r="I21" s="93">
        <f t="shared" si="4"/>
        <v>19.679</v>
      </c>
      <c r="J21" s="93">
        <f t="shared" ref="J21" si="6">SUM(H21:I21)</f>
        <v>33.358</v>
      </c>
    </row>
    <row r="22" ht="17.25" customHeight="1" spans="1:10">
      <c r="A22" s="91" t="s">
        <v>51</v>
      </c>
      <c r="B22" s="92">
        <v>0.583</v>
      </c>
      <c r="C22" s="92">
        <v>0.583</v>
      </c>
      <c r="D22" s="92"/>
      <c r="E22" s="92"/>
      <c r="F22" s="92"/>
      <c r="G22" s="92"/>
      <c r="H22" s="93">
        <f t="shared" si="3"/>
        <v>14.262</v>
      </c>
      <c r="I22" s="93">
        <f t="shared" si="4"/>
        <v>20.262</v>
      </c>
      <c r="J22" s="93">
        <f t="shared" ref="J22" si="7">SUM(H22:I22)</f>
        <v>34.524</v>
      </c>
    </row>
    <row r="23" ht="17.25" customHeight="1" spans="1:10">
      <c r="A23" s="94" t="s">
        <v>52</v>
      </c>
      <c r="B23" s="95"/>
      <c r="C23" s="95"/>
      <c r="D23" s="95"/>
      <c r="E23" s="95"/>
      <c r="F23" s="95"/>
      <c r="G23" s="95"/>
      <c r="H23" s="95"/>
      <c r="I23" s="95"/>
      <c r="J23" s="103"/>
    </row>
    <row r="24" ht="17.25" customHeight="1" spans="1:10">
      <c r="A24" s="79"/>
      <c r="B24" s="96"/>
      <c r="C24" s="96"/>
      <c r="D24" s="96"/>
      <c r="E24" s="96"/>
      <c r="F24" s="96"/>
      <c r="G24" s="96"/>
      <c r="H24" s="97"/>
      <c r="I24" s="97"/>
      <c r="J24" s="97"/>
    </row>
    <row r="25" ht="12" customHeight="1" spans="1:10">
      <c r="A25" s="79"/>
      <c r="B25" s="96"/>
      <c r="C25" s="96"/>
      <c r="D25" s="96"/>
      <c r="E25" s="96"/>
      <c r="F25" s="96"/>
      <c r="G25" s="96"/>
      <c r="H25" s="97"/>
      <c r="I25" s="97"/>
      <c r="J25" s="97"/>
    </row>
    <row r="29" spans="6:6">
      <c r="F29" s="79" t="s">
        <v>53</v>
      </c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23:J23"/>
    <mergeCell ref="A11:A12"/>
    <mergeCell ref="J11:J12"/>
    <mergeCell ref="K11:K12"/>
  </mergeCells>
  <printOptions horizontalCentered="1"/>
  <pageMargins left="0.236220472440945" right="0.236220472440945" top="0.708661417322835" bottom="0.118110236220472" header="0.31496062992126" footer="0.31496062992126"/>
  <pageSetup paperSize="9" scale="65" orientation="portrait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view="pageBreakPreview" zoomScale="112" zoomScaleNormal="100" workbookViewId="0">
      <selection activeCell="K17" sqref="K17"/>
    </sheetView>
  </sheetViews>
  <sheetFormatPr defaultColWidth="9" defaultRowHeight="14.4"/>
  <cols>
    <col min="1" max="1" width="29.8518518518519" customWidth="1"/>
    <col min="2" max="2" width="9.42592592592593" style="40" customWidth="1"/>
    <col min="3" max="3" width="9.28703703703704" style="41" customWidth="1"/>
    <col min="5" max="5" width="8.42592592592593" style="40" customWidth="1"/>
    <col min="6" max="6" width="10.8518518518519" style="42" customWidth="1"/>
    <col min="7" max="7" width="10.8518518518519" customWidth="1"/>
    <col min="8" max="8" width="9.71296296296296" style="40" customWidth="1"/>
    <col min="9" max="9" width="10" style="42" customWidth="1"/>
    <col min="10" max="10" width="8.71296296296296" style="43" customWidth="1"/>
    <col min="11" max="11" width="7.57407407407407" customWidth="1"/>
  </cols>
  <sheetData>
    <row r="1" s="36" customFormat="1" ht="52.5" customHeight="1" spans="3:7">
      <c r="C1" s="44"/>
      <c r="D1" s="45"/>
      <c r="G1" s="46"/>
    </row>
    <row r="2" s="36" customFormat="1" ht="10.5" customHeight="1" spans="1:1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="36" customFormat="1" ht="15.95" customHeight="1" spans="1:1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="36" customFormat="1" ht="15.95" customHeight="1" spans="1:1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</row>
    <row r="5" s="36" customFormat="1" ht="15.95" customHeight="1" spans="1:1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</row>
    <row r="6" s="36" customFormat="1" ht="8.25" customHeight="1" spans="3:7">
      <c r="C6" s="46"/>
      <c r="G6" s="46"/>
    </row>
    <row r="7" s="36" customFormat="1" ht="8.25" customHeight="1" spans="3:7">
      <c r="C7" s="46"/>
      <c r="G7" s="46"/>
    </row>
    <row r="8" s="36" customFormat="1" ht="12" customHeight="1" spans="1:11">
      <c r="A8" s="48" t="s">
        <v>54</v>
      </c>
      <c r="B8" s="48"/>
      <c r="C8" s="49" t="s">
        <v>55</v>
      </c>
      <c r="D8" s="49"/>
      <c r="E8" s="49"/>
      <c r="F8" s="49"/>
      <c r="H8" s="49" t="s">
        <v>56</v>
      </c>
      <c r="I8" s="49"/>
      <c r="J8" s="49"/>
      <c r="K8" s="48"/>
    </row>
    <row r="9" s="36" customFormat="1" ht="12" customHeight="1" spans="2:11">
      <c r="B9" s="50"/>
      <c r="C9" s="49" t="s">
        <v>57</v>
      </c>
      <c r="D9" s="49"/>
      <c r="E9" s="49"/>
      <c r="F9" s="49"/>
      <c r="H9" s="51" t="s">
        <v>58</v>
      </c>
      <c r="I9" s="51"/>
      <c r="J9" s="51"/>
      <c r="K9" s="50"/>
    </row>
    <row r="10" s="36" customFormat="1" ht="12" customHeight="1" spans="1:11">
      <c r="A10" s="48" t="s">
        <v>59</v>
      </c>
      <c r="B10" s="48"/>
      <c r="C10" s="52"/>
      <c r="D10" s="50"/>
      <c r="E10" s="50"/>
      <c r="H10" s="49" t="s">
        <v>60</v>
      </c>
      <c r="I10" s="49"/>
      <c r="J10" s="49"/>
      <c r="K10" s="48"/>
    </row>
    <row r="11" ht="16.5" customHeight="1" spans="1:11">
      <c r="A11" s="53" t="s">
        <v>61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s="37" customFormat="1" ht="18.75" customHeight="1" spans="1:11">
      <c r="A12" s="54" t="s">
        <v>33</v>
      </c>
      <c r="B12" s="55" t="s">
        <v>34</v>
      </c>
      <c r="C12" s="56"/>
      <c r="D12" s="56"/>
      <c r="E12" s="56"/>
      <c r="F12" s="56"/>
      <c r="G12" s="56"/>
      <c r="H12" s="56"/>
      <c r="I12" s="56"/>
      <c r="J12" s="56"/>
      <c r="K12" s="74" t="s">
        <v>18</v>
      </c>
    </row>
    <row r="13" s="37" customFormat="1" ht="24" customHeight="1" spans="1:11">
      <c r="A13" s="57"/>
      <c r="B13" s="58" t="s">
        <v>62</v>
      </c>
      <c r="C13" s="59"/>
      <c r="D13" s="59"/>
      <c r="E13" s="60"/>
      <c r="F13" s="58" t="s">
        <v>15</v>
      </c>
      <c r="G13" s="58" t="s">
        <v>16</v>
      </c>
      <c r="H13" s="60"/>
      <c r="I13" s="58" t="s">
        <v>17</v>
      </c>
      <c r="J13" s="60"/>
      <c r="K13" s="75"/>
    </row>
    <row r="14" s="37" customFormat="1" spans="1:11">
      <c r="A14" s="61" t="s">
        <v>63</v>
      </c>
      <c r="B14" s="62" t="s">
        <v>64</v>
      </c>
      <c r="C14" s="63"/>
      <c r="D14" s="63"/>
      <c r="E14" s="64"/>
      <c r="F14" s="65">
        <v>15</v>
      </c>
      <c r="G14" s="62">
        <v>0</v>
      </c>
      <c r="H14" s="64"/>
      <c r="I14" s="62">
        <v>15</v>
      </c>
      <c r="J14" s="64"/>
      <c r="K14" s="76">
        <v>15</v>
      </c>
    </row>
    <row r="15" s="38" customFormat="1" ht="15" customHeight="1" spans="1:11">
      <c r="A15" s="66" t="s">
        <v>65</v>
      </c>
      <c r="B15" s="62" t="s">
        <v>64</v>
      </c>
      <c r="C15" s="63"/>
      <c r="D15" s="63"/>
      <c r="E15" s="64"/>
      <c r="F15" s="65"/>
      <c r="G15" s="62">
        <v>2</v>
      </c>
      <c r="H15" s="64"/>
      <c r="I15" s="62">
        <v>13</v>
      </c>
      <c r="J15" s="64"/>
      <c r="K15" s="76">
        <v>13</v>
      </c>
    </row>
    <row r="16" s="38" customFormat="1" ht="15" customHeight="1" spans="1:11">
      <c r="A16" s="66" t="s">
        <v>66</v>
      </c>
      <c r="B16" s="62" t="s">
        <v>64</v>
      </c>
      <c r="C16" s="63"/>
      <c r="D16" s="63"/>
      <c r="E16" s="64"/>
      <c r="F16" s="65"/>
      <c r="G16" s="62">
        <v>1</v>
      </c>
      <c r="H16" s="64"/>
      <c r="I16" s="62">
        <v>12</v>
      </c>
      <c r="J16" s="64"/>
      <c r="K16" s="77">
        <v>12</v>
      </c>
    </row>
    <row r="17" s="38" customFormat="1" ht="15" customHeight="1" spans="1:11">
      <c r="A17" s="67" t="s">
        <v>67</v>
      </c>
      <c r="B17" s="62" t="s">
        <v>64</v>
      </c>
      <c r="C17" s="63"/>
      <c r="D17" s="63"/>
      <c r="E17" s="64"/>
      <c r="F17" s="65"/>
      <c r="G17" s="62">
        <v>1</v>
      </c>
      <c r="H17" s="64"/>
      <c r="I17" s="62">
        <v>11</v>
      </c>
      <c r="J17" s="64"/>
      <c r="K17" s="77">
        <v>11</v>
      </c>
    </row>
    <row r="18" s="39" customFormat="1" ht="15" hidden="1" customHeight="1" spans="1:11">
      <c r="A18" s="68" t="s">
        <v>45</v>
      </c>
      <c r="B18" s="69" t="s">
        <v>64</v>
      </c>
      <c r="C18" s="70"/>
      <c r="D18" s="70"/>
      <c r="E18" s="71"/>
      <c r="F18" s="72"/>
      <c r="G18" s="69">
        <v>1</v>
      </c>
      <c r="H18" s="71"/>
      <c r="I18" s="69">
        <v>10</v>
      </c>
      <c r="J18" s="71"/>
      <c r="K18" s="78">
        <v>10</v>
      </c>
    </row>
    <row r="19" s="39" customFormat="1" ht="15" hidden="1" customHeight="1" spans="1:11">
      <c r="A19" s="68" t="s">
        <v>46</v>
      </c>
      <c r="B19" s="69" t="s">
        <v>64</v>
      </c>
      <c r="C19" s="70"/>
      <c r="D19" s="70"/>
      <c r="E19" s="71"/>
      <c r="F19" s="72"/>
      <c r="G19" s="69">
        <v>2</v>
      </c>
      <c r="H19" s="71"/>
      <c r="I19" s="69">
        <v>8</v>
      </c>
      <c r="J19" s="71"/>
      <c r="K19" s="78">
        <v>8</v>
      </c>
    </row>
    <row r="20" ht="75.75" customHeight="1" spans="1:1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</row>
    <row r="21" s="36" customFormat="1" spans="3:3">
      <c r="C21" s="46"/>
    </row>
    <row r="22" s="36" customFormat="1" spans="3:3">
      <c r="C22" s="46"/>
    </row>
  </sheetData>
  <mergeCells count="35">
    <mergeCell ref="A2:K2"/>
    <mergeCell ref="A3:K3"/>
    <mergeCell ref="A4:K4"/>
    <mergeCell ref="A5:K5"/>
    <mergeCell ref="C8:F8"/>
    <mergeCell ref="H8:J8"/>
    <mergeCell ref="C9:F9"/>
    <mergeCell ref="H9:J9"/>
    <mergeCell ref="H10:J10"/>
    <mergeCell ref="A11:K11"/>
    <mergeCell ref="B12:J12"/>
    <mergeCell ref="B13:E13"/>
    <mergeCell ref="G13:H13"/>
    <mergeCell ref="I13:J13"/>
    <mergeCell ref="B14:E14"/>
    <mergeCell ref="G14:H14"/>
    <mergeCell ref="I14:J14"/>
    <mergeCell ref="B15:E15"/>
    <mergeCell ref="G15:H15"/>
    <mergeCell ref="I15:J15"/>
    <mergeCell ref="B16:E16"/>
    <mergeCell ref="G16:H16"/>
    <mergeCell ref="I16:J16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A20:K20"/>
    <mergeCell ref="A12:A13"/>
    <mergeCell ref="K12:K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view="pageBreakPreview" zoomScaleNormal="100" workbookViewId="0">
      <selection activeCell="A19" sqref="A19"/>
    </sheetView>
  </sheetViews>
  <sheetFormatPr defaultColWidth="9" defaultRowHeight="14.4" outlineLevelCol="6"/>
  <cols>
    <col min="1" max="1" width="23.5740740740741" style="4" customWidth="1"/>
    <col min="2" max="2" width="18.8518518518519" style="4" customWidth="1"/>
    <col min="3" max="3" width="37.5740740740741" style="5" customWidth="1"/>
    <col min="4" max="4" width="11.712962962963" style="6" customWidth="1"/>
    <col min="5" max="5" width="11" style="4" customWidth="1"/>
    <col min="6" max="6" width="11.8518518518519" style="6" customWidth="1"/>
    <col min="7" max="7" width="22" style="4" customWidth="1"/>
    <col min="8" max="16384" width="9" style="4"/>
  </cols>
  <sheetData>
    <row r="1" s="1" customFormat="1" ht="52.5" customHeight="1" spans="5:5">
      <c r="E1" s="7"/>
    </row>
    <row r="2" s="1" customFormat="1" ht="10.5" customHeight="1" spans="1:7">
      <c r="A2" s="8" t="s">
        <v>0</v>
      </c>
      <c r="B2" s="8"/>
      <c r="C2" s="8"/>
      <c r="D2" s="8"/>
      <c r="E2" s="8"/>
      <c r="F2" s="8"/>
      <c r="G2" s="8"/>
    </row>
    <row r="3" s="1" customFormat="1" ht="15.95" customHeight="1" spans="1:7">
      <c r="A3" s="8" t="s">
        <v>1</v>
      </c>
      <c r="B3" s="8"/>
      <c r="C3" s="8"/>
      <c r="D3" s="8"/>
      <c r="E3" s="8"/>
      <c r="F3" s="8"/>
      <c r="G3" s="8"/>
    </row>
    <row r="4" s="1" customFormat="1" ht="15.95" customHeight="1" spans="1:7">
      <c r="A4" s="8" t="s">
        <v>2</v>
      </c>
      <c r="B4" s="8"/>
      <c r="C4" s="8"/>
      <c r="D4" s="8"/>
      <c r="E4" s="8"/>
      <c r="F4" s="8"/>
      <c r="G4" s="8"/>
    </row>
    <row r="5" s="1" customFormat="1" ht="15.95" customHeight="1" spans="1:7">
      <c r="A5" s="8" t="s">
        <v>3</v>
      </c>
      <c r="B5" s="8"/>
      <c r="C5" s="8"/>
      <c r="D5" s="8"/>
      <c r="E5" s="8"/>
      <c r="F5" s="8"/>
      <c r="G5" s="8"/>
    </row>
    <row r="6" s="1" customFormat="1" ht="8.25" customHeight="1" spans="5:5">
      <c r="E6" s="7"/>
    </row>
    <row r="7" s="1" customFormat="1" ht="8.25" customHeight="1" spans="5:5">
      <c r="E7" s="7"/>
    </row>
    <row r="8" s="1" customFormat="1" ht="17.25" customHeight="1" spans="1:7">
      <c r="A8" s="9" t="s">
        <v>68</v>
      </c>
      <c r="B8" s="9"/>
      <c r="C8" s="9" t="s">
        <v>69</v>
      </c>
      <c r="D8" s="10"/>
      <c r="E8" s="9" t="s">
        <v>70</v>
      </c>
      <c r="F8" s="10"/>
      <c r="G8" s="11"/>
    </row>
    <row r="9" s="1" customFormat="1" ht="12" customHeight="1" spans="1:7">
      <c r="A9" s="12"/>
      <c r="B9" s="12"/>
      <c r="C9" s="13"/>
      <c r="E9" s="9" t="s">
        <v>71</v>
      </c>
      <c r="F9" s="14"/>
      <c r="G9" s="13"/>
    </row>
    <row r="10" s="1" customFormat="1" ht="14.25" customHeight="1" spans="1:7">
      <c r="A10" s="9" t="s">
        <v>72</v>
      </c>
      <c r="B10" s="9"/>
      <c r="C10" s="9" t="s">
        <v>73</v>
      </c>
      <c r="D10" s="10"/>
      <c r="E10" s="9" t="s">
        <v>74</v>
      </c>
      <c r="F10" s="10"/>
      <c r="G10" s="11"/>
    </row>
    <row r="11" s="1" customFormat="1" ht="12" customHeight="1" spans="1:7">
      <c r="A11" s="11"/>
      <c r="B11" s="11"/>
      <c r="C11" s="11"/>
      <c r="F11" s="10"/>
      <c r="G11" s="11"/>
    </row>
    <row r="12" ht="23.25" customHeight="1" spans="1:7">
      <c r="A12" s="15" t="s">
        <v>75</v>
      </c>
      <c r="B12" s="16"/>
      <c r="C12" s="16"/>
      <c r="D12" s="16"/>
      <c r="E12" s="16"/>
      <c r="F12" s="16"/>
      <c r="G12" s="17"/>
    </row>
    <row r="13" s="2" customFormat="1" ht="37.5" customHeight="1" spans="1:7">
      <c r="A13" s="18" t="s">
        <v>12</v>
      </c>
      <c r="B13" s="19" t="s">
        <v>13</v>
      </c>
      <c r="C13" s="20" t="s">
        <v>76</v>
      </c>
      <c r="D13" s="20" t="s">
        <v>15</v>
      </c>
      <c r="E13" s="21" t="s">
        <v>16</v>
      </c>
      <c r="F13" s="21" t="s">
        <v>17</v>
      </c>
      <c r="G13" s="22" t="s">
        <v>18</v>
      </c>
    </row>
    <row r="14" s="2" customFormat="1" ht="15.75" customHeight="1" spans="1:7">
      <c r="A14" s="23" t="s">
        <v>77</v>
      </c>
      <c r="B14" s="24" t="s">
        <v>78</v>
      </c>
      <c r="C14" s="25" t="s">
        <v>79</v>
      </c>
      <c r="D14" s="26">
        <v>5</v>
      </c>
      <c r="E14" s="27">
        <v>0</v>
      </c>
      <c r="F14" s="27">
        <v>5</v>
      </c>
      <c r="G14" s="28">
        <v>5</v>
      </c>
    </row>
    <row r="15" s="2" customFormat="1" ht="15.75" customHeight="1" spans="1:7">
      <c r="A15" s="23" t="s">
        <v>80</v>
      </c>
      <c r="B15" s="24" t="s">
        <v>78</v>
      </c>
      <c r="C15" s="29" t="s">
        <v>81</v>
      </c>
      <c r="D15" s="26">
        <v>5</v>
      </c>
      <c r="E15" s="27">
        <v>0</v>
      </c>
      <c r="F15" s="27">
        <v>5</v>
      </c>
      <c r="G15" s="28">
        <v>5</v>
      </c>
    </row>
    <row r="16" s="2" customFormat="1" ht="15.75" customHeight="1" spans="1:7">
      <c r="A16" s="23" t="s">
        <v>82</v>
      </c>
      <c r="B16" s="24" t="s">
        <v>83</v>
      </c>
      <c r="C16" s="25" t="s">
        <v>84</v>
      </c>
      <c r="D16" s="26">
        <v>15</v>
      </c>
      <c r="E16" s="27">
        <v>4</v>
      </c>
      <c r="F16" s="27">
        <v>11</v>
      </c>
      <c r="G16" s="28">
        <v>11</v>
      </c>
    </row>
    <row r="17" s="3" customFormat="1" ht="15.6" spans="1:7">
      <c r="A17" s="23" t="s">
        <v>85</v>
      </c>
      <c r="B17" s="30" t="s">
        <v>86</v>
      </c>
      <c r="C17" s="25" t="s">
        <v>87</v>
      </c>
      <c r="D17" s="26">
        <v>5</v>
      </c>
      <c r="E17" s="27">
        <v>0</v>
      </c>
      <c r="F17" s="27">
        <v>5</v>
      </c>
      <c r="G17" s="28">
        <v>5</v>
      </c>
    </row>
    <row r="18" s="3" customFormat="1" ht="15.6" spans="1:7">
      <c r="A18" s="23" t="s">
        <v>88</v>
      </c>
      <c r="B18" s="30" t="s">
        <v>89</v>
      </c>
      <c r="C18" s="25" t="s">
        <v>90</v>
      </c>
      <c r="D18" s="26">
        <v>15</v>
      </c>
      <c r="E18" s="27">
        <v>0</v>
      </c>
      <c r="F18" s="27">
        <v>15</v>
      </c>
      <c r="G18" s="28">
        <v>15</v>
      </c>
    </row>
    <row r="19" s="3" customFormat="1" ht="15.6" spans="1:7">
      <c r="A19" s="23" t="s">
        <v>91</v>
      </c>
      <c r="B19" s="30" t="s">
        <v>92</v>
      </c>
      <c r="C19" s="25" t="s">
        <v>93</v>
      </c>
      <c r="D19" s="26">
        <v>11</v>
      </c>
      <c r="E19" s="27">
        <v>0</v>
      </c>
      <c r="F19" s="27">
        <v>11</v>
      </c>
      <c r="G19" s="28">
        <v>11</v>
      </c>
    </row>
    <row r="20" s="3" customFormat="1" ht="15.6" spans="1:7">
      <c r="A20" s="31" t="s">
        <v>18</v>
      </c>
      <c r="B20" s="32"/>
      <c r="C20" s="32"/>
      <c r="D20" s="32"/>
      <c r="E20" s="32"/>
      <c r="F20" s="33"/>
      <c r="G20" s="34" t="s">
        <v>94</v>
      </c>
    </row>
    <row r="21" s="1" customFormat="1" ht="75.75" customHeight="1" spans="1:7">
      <c r="A21" s="35"/>
      <c r="B21" s="35"/>
      <c r="G21" s="35"/>
    </row>
    <row r="22" s="1" customFormat="1"/>
    <row r="23" s="1" customFormat="1"/>
  </sheetData>
  <mergeCells count="6">
    <mergeCell ref="A2:G2"/>
    <mergeCell ref="A3:G3"/>
    <mergeCell ref="A4:G4"/>
    <mergeCell ref="A5:G5"/>
    <mergeCell ref="A12:G12"/>
    <mergeCell ref="A20:F20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VSC (2)</vt:lpstr>
      <vt:lpstr>Leave Card (NE) (2)</vt:lpstr>
      <vt:lpstr>VSC</vt:lpstr>
      <vt:lpstr>CONVERTED 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2025-09-05T03:02:00Z</cp:lastPrinted>
  <dcterms:modified xsi:type="dcterms:W3CDTF">2026-01-02T01:20:27Z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3CB4542DB5894A9B89607042C0B960A2_12</vt:lpwstr>
  </property>
  <property fmtid="{D5CDD505-2E9C-101B-9397-08002B2CF9AE}" pid="3" name="KSOProductBuildVer">
    <vt:lpwstr>1033-12.2.0.23196</vt:lpwstr>
  </property>
</Properties>
</file>