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54A9AFC1-C90B-4047-8C23-3C0CF19717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" sheetId="8" r:id="rId1"/>
  </sheets>
  <definedNames>
    <definedName name="_xlnm.Print_Area" localSheetId="0">'Leave Card'!$A$1:$J$48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8" l="1"/>
  <c r="J14" i="8" l="1"/>
  <c r="I15" i="8" l="1"/>
  <c r="I16" i="8" s="1"/>
  <c r="I17" i="8" s="1"/>
  <c r="I18" i="8" s="1"/>
  <c r="I19" i="8" s="1"/>
  <c r="I20" i="8" s="1"/>
  <c r="I21" i="8" s="1"/>
  <c r="I22" i="8" s="1"/>
  <c r="I23" i="8" s="1"/>
  <c r="I24" i="8" s="1"/>
  <c r="I25" i="8" s="1"/>
  <c r="I26" i="8" s="1"/>
  <c r="I27" i="8" s="1"/>
  <c r="I28" i="8" s="1"/>
  <c r="I29" i="8" s="1"/>
  <c r="I30" i="8" s="1"/>
  <c r="I31" i="8" s="1"/>
  <c r="I32" i="8" s="1"/>
  <c r="I33" i="8" s="1"/>
  <c r="I34" i="8" s="1"/>
  <c r="I35" i="8" s="1"/>
  <c r="H15" i="8"/>
  <c r="H16" i="8" l="1"/>
  <c r="J15" i="8"/>
  <c r="I36" i="8"/>
  <c r="I37" i="8" s="1"/>
  <c r="I38" i="8" s="1"/>
  <c r="I39" i="8" s="1"/>
  <c r="I40" i="8" s="1"/>
  <c r="I41" i="8" s="1"/>
  <c r="I42" i="8" s="1"/>
  <c r="H17" i="8" l="1"/>
  <c r="J16" i="8"/>
  <c r="J17" i="8" l="1"/>
  <c r="H18" i="8"/>
  <c r="H19" i="8" l="1"/>
  <c r="J18" i="8"/>
  <c r="J19" i="8" l="1"/>
  <c r="H20" i="8"/>
  <c r="H21" i="8" l="1"/>
  <c r="J20" i="8"/>
  <c r="J21" i="8" l="1"/>
  <c r="H22" i="8"/>
  <c r="J22" i="8" l="1"/>
  <c r="H23" i="8"/>
  <c r="H24" i="8" l="1"/>
  <c r="J23" i="8"/>
  <c r="H25" i="8" l="1"/>
  <c r="J24" i="8"/>
  <c r="H26" i="8" l="1"/>
  <c r="J25" i="8"/>
  <c r="H27" i="8" l="1"/>
  <c r="J26" i="8"/>
  <c r="J27" i="8" l="1"/>
  <c r="H28" i="8"/>
  <c r="J28" i="8" l="1"/>
  <c r="H29" i="8"/>
  <c r="H30" i="8" l="1"/>
  <c r="J29" i="8"/>
  <c r="H31" i="8" l="1"/>
  <c r="J30" i="8"/>
  <c r="J31" i="8" l="1"/>
  <c r="H32" i="8"/>
  <c r="J32" i="8" l="1"/>
  <c r="H33" i="8"/>
  <c r="J33" i="8" l="1"/>
  <c r="H34" i="8"/>
  <c r="J34" i="8" l="1"/>
  <c r="H35" i="8"/>
  <c r="H36" i="8" l="1"/>
  <c r="J35" i="8"/>
  <c r="J36" i="8" l="1"/>
  <c r="H37" i="8"/>
  <c r="H38" i="8" l="1"/>
  <c r="J37" i="8"/>
  <c r="H39" i="8" l="1"/>
  <c r="J38" i="8"/>
  <c r="H40" i="8" l="1"/>
  <c r="J39" i="8"/>
  <c r="H41" i="8" l="1"/>
  <c r="J40" i="8"/>
  <c r="J41" i="8" l="1"/>
  <c r="H42" i="8"/>
  <c r="J42" i="8" s="1"/>
</calcChain>
</file>

<file path=xl/sharedStrings.xml><?xml version="1.0" encoding="utf-8"?>
<sst xmlns="http://schemas.openxmlformats.org/spreadsheetml/2006/main" count="55" uniqueCount="51">
  <si>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</si>
  <si>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</si>
  <si>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</si>
  <si>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</si>
  <si>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</si>
  <si>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</si>
  <si>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</si>
  <si>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</si>
  <si>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SPECIAL PRIVILEGE</t>
  </si>
  <si>
    <t>Republic of the Philippines</t>
  </si>
  <si>
    <t>Department of Education</t>
  </si>
  <si>
    <t>SCHOOLS DIVISION OF SIPALAY CITY</t>
  </si>
  <si>
    <t>DATE OF APPOINTMENT: September 1, 2021</t>
  </si>
  <si>
    <t>Add    07/01/2022 - 08/31/2022</t>
  </si>
  <si>
    <t>LESS: MONETIZATION 2022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</si>
  <si>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</si>
  <si>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</si>
  <si>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</si>
  <si>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</si>
  <si>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</si>
  <si>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</si>
  <si>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</si>
  <si>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Add: 09/01/2021 - 12/31/2021</t>
  </si>
  <si>
    <t>Add: 01/01/2022 - 06/30/2022</t>
  </si>
  <si>
    <t>Add    09/01/2022 - 11/30/2022</t>
  </si>
  <si>
    <t>Add    12/01/2022 - 12/31/2022</t>
  </si>
  <si>
    <t>LESS: 12/28 &amp; 29/22</t>
  </si>
  <si>
    <t>LESS: FL 2022</t>
  </si>
  <si>
    <t>LESS: 01/18/2023</t>
  </si>
  <si>
    <t>Add    01/01/2023 - 03/31/2023</t>
  </si>
  <si>
    <t>LESS: 03/30/2023</t>
  </si>
  <si>
    <t>Add    04/01/2023 - 05/31/2023</t>
  </si>
  <si>
    <t>LESS: 06/23/2023</t>
  </si>
  <si>
    <t>Add    06/01/2023 - 08/31/2023</t>
  </si>
  <si>
    <t>LESS: MONETIZATION 2023</t>
  </si>
  <si>
    <t>LESS: 09/01/2023</t>
  </si>
  <si>
    <t>LESS: 09/18/2023</t>
  </si>
  <si>
    <t>LESS: 09/29/2023</t>
  </si>
  <si>
    <t>ADD: 09/01/2023-09/30/2023</t>
  </si>
  <si>
    <t>LESS: 10/17/2023</t>
  </si>
  <si>
    <t>LESS: 10/20/2023</t>
  </si>
  <si>
    <t>LESS: 10/26/2023</t>
  </si>
  <si>
    <t>ADD: 10/01/2023-12/31/2023</t>
  </si>
  <si>
    <t>LESS: 12/29/2023</t>
  </si>
  <si>
    <t>LESS: 01/18/2024</t>
  </si>
  <si>
    <t>ADD: 01/01-31/2024</t>
  </si>
  <si>
    <t>LESS: 02/15/2024</t>
  </si>
  <si>
    <t>LESS: 02/19/2024</t>
  </si>
  <si>
    <t>PROMOTED TO TEACHER I EFFECTIVE MARCH 1, 2024</t>
  </si>
  <si>
    <t>ADD: 02/1-29/2024</t>
  </si>
  <si>
    <t>NEGROS ISLAND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</si>
</sst>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5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0" fillId="7" borderId="0" xfId="0" applyFill="1"/>
    <xf numFmtId="0" fontId="0" fillId="8" borderId="0" xfId="0" applyFill="1"/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9" borderId="0" xfId="0" applyFill="1"/>
    <xf numFmtId="0" fontId="5" fillId="2" borderId="0" xfId="0" applyFont="1" applyFill="1"/>
    <xf numFmtId="0" fontId="4" fillId="2" borderId="0" xfId="0" applyFont="1" applyFill="1"/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6" fillId="2" borderId="9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 wrapText="1"/>
    </xf>
    <xf numFmtId="0" fontId="4" fillId="0" borderId="0" xfId="0" applyFont="1" applyFill="1"/>
    <xf numFmtId="164" fontId="0" fillId="0" borderId="1" xfId="0" applyNumberForma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164" fontId="3" fillId="1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352425</xdr:colOff>
      <xdr:row>44</xdr:row>
      <xdr:rowOff>15875</xdr:rowOff>
    </xdr:from>
    <xdr:to>
      <xdr:col>9</xdr:col>
      <xdr:colOff>485775</xdr:colOff>
      <xdr:row>47</xdr:row>
      <xdr:rowOff>447675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8941289-E8EA-4E8B-9F20-690B5EBC5854}"/>
            </a:ext>
          </a:extLst>
        </xdr:cNvPr>
        <xdr:cNvSpPr txBox="1"/>
      </xdr:nvSpPr>
      <xdr:spPr>
        <a:xfrm>
          <a:off x="5572125" y="8493125"/>
          <a:ext cx="3219450" cy="10128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 HRMO</a:t>
          </a:r>
          <a:endParaRPr lang="en-US" sz="1100"/>
        </a:p>
      </xdr:txBody>
    </xdr:sp>
    <xdr:clientData/>
  </xdr:twoCellAnchor>
  <xdr:twoCellAnchor editAs="oneCell">
    <xdr:from>
      <xdr:col>3</xdr:col>
      <xdr:colOff>558800</xdr:colOff>
      <xdr:row>0</xdr:row>
      <xdr:rowOff>12943</xdr:rowOff>
    </xdr:from>
    <xdr:to>
      <xdr:col>4</xdr:col>
      <xdr:colOff>459154</xdr:colOff>
      <xdr:row>1</xdr:row>
      <xdr:rowOff>12700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AFE0B0A-B172-407C-A024-FAF3695B4E1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0" y="12943"/>
          <a:ext cx="713154" cy="66650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B53ACC9-B391-4B83-BB99-C37F247032E6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ROSELYN H. BARCELO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BDB6F74-1288-455D-9965-0087AA268AE3}"/>
            </a:ext>
          </a:extLst>
        </xdr:cNvPr>
        <xdr:cNvSpPr txBox="1"/>
      </xdr:nvSpPr>
      <xdr:spPr>
        <a:xfrm>
          <a:off x="616683" y="1724757"/>
          <a:ext cx="19960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D79BA9E-2873-4D97-8D2F-CC261361D523}"/>
            </a:ext>
          </a:extLst>
        </xdr:cNvPr>
        <xdr:cNvSpPr txBox="1"/>
      </xdr:nvSpPr>
      <xdr:spPr>
        <a:xfrm>
          <a:off x="383784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NNHS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9"/>
  <sheetViews>
    <sheetView tabSelected="1" view="pageBreakPreview" topLeftCell="A20" zoomScaleNormal="100" zoomScaleSheetLayoutView="100" workbookViewId="0">
      <selection activeCell="G30" sqref="G30"/>
    </sheetView>
  </sheetViews>
  <sheetFormatPr defaultRowHeight="15" x14ac:dyDescent="0.25"/>
  <cols>
    <col min="1" max="1" width="32" customWidth="1"/>
    <col min="2" max="2" width="11.5703125" style="8" customWidth="1"/>
    <col min="3" max="3" width="11.5703125" style="9" customWidth="1"/>
    <col min="4" max="4" width="11.5703125" style="8" customWidth="1"/>
    <col min="5" max="5" width="11.5703125" style="9" customWidth="1"/>
    <col min="6" max="6" width="11.5703125" style="12" customWidth="1"/>
    <col min="7" max="7" width="11.5703125" customWidth="1"/>
    <col min="8" max="8" width="11.5703125" style="8" customWidth="1"/>
    <col min="9" max="9" width="11.5703125" style="9" customWidth="1"/>
    <col min="10" max="10" width="11.5703125" customWidth="1"/>
  </cols>
  <sheetData>
    <row r="1" spans="1:10" s="1" customFormat="1" ht="52.5" customHeight="1" x14ac:dyDescent="0.25"/>
    <row r="2" spans="1:10" s="1" customFormat="1" ht="10.5" customHeight="1" x14ac:dyDescent="0.25">
      <c r="A2" s="22" t="s">
        <v>9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s="1" customFormat="1" ht="15.95" customHeight="1" x14ac:dyDescent="0.25">
      <c r="A3" s="22" t="s">
        <v>10</v>
      </c>
      <c r="B3" s="22"/>
      <c r="C3" s="22"/>
      <c r="D3" s="22"/>
      <c r="E3" s="22"/>
      <c r="F3" s="22"/>
      <c r="G3" s="22"/>
      <c r="H3" s="22"/>
      <c r="I3" s="22"/>
      <c r="J3" s="22"/>
    </row>
    <row r="4" spans="1:10" s="1" customFormat="1" ht="15.95" customHeight="1" x14ac:dyDescent="0.25">
      <c r="A4" s="22" t="s">
        <v>50</v>
      </c>
      <c r="B4" s="22"/>
      <c r="C4" s="22"/>
      <c r="D4" s="22"/>
      <c r="E4" s="22"/>
      <c r="F4" s="22"/>
      <c r="G4" s="22"/>
      <c r="H4" s="22"/>
      <c r="I4" s="22"/>
      <c r="J4" s="22"/>
    </row>
    <row r="5" spans="1:10" s="1" customFormat="1" ht="15.95" customHeight="1" x14ac:dyDescent="0.25">
      <c r="A5" s="22" t="s">
        <v>11</v>
      </c>
      <c r="B5" s="22"/>
      <c r="C5" s="22"/>
      <c r="D5" s="22"/>
      <c r="E5" s="22"/>
      <c r="F5" s="22"/>
      <c r="G5" s="22"/>
      <c r="H5" s="22"/>
      <c r="I5" s="22"/>
      <c r="J5" s="22"/>
    </row>
    <row r="6" spans="1:10" s="1" customFormat="1" ht="8.25" customHeight="1" x14ac:dyDescent="0.25"/>
    <row r="7" spans="1:10" s="1" customFormat="1" ht="12" customHeight="1" x14ac:dyDescent="0.25">
      <c r="A7" s="1" t="s">
        <v>15</v>
      </c>
      <c r="B7" s="20" t="s">
        <v>16</v>
      </c>
      <c r="C7" s="20"/>
      <c r="D7" s="20"/>
      <c r="H7" s="3" t="s">
        <v>17</v>
      </c>
      <c r="I7" s="15"/>
      <c r="J7" s="3"/>
    </row>
    <row r="8" spans="1:10" s="1" customFormat="1" ht="12" customHeight="1" x14ac:dyDescent="0.25">
      <c r="B8" s="2"/>
      <c r="C8" s="2"/>
      <c r="H8" s="2"/>
      <c r="I8" s="2"/>
      <c r="J8" s="2"/>
    </row>
    <row r="9" spans="1:10" s="1" customFormat="1" ht="12" customHeight="1" x14ac:dyDescent="0.25">
      <c r="A9" s="1" t="s">
        <v>18</v>
      </c>
      <c r="B9" s="20" t="s">
        <v>19</v>
      </c>
      <c r="C9" s="20"/>
      <c r="D9" s="20"/>
      <c r="H9" s="3" t="s">
        <v>20</v>
      </c>
      <c r="I9" s="16"/>
      <c r="J9" s="3"/>
    </row>
    <row r="10" spans="1:10" ht="16.5" customHeight="1" thickBot="1" x14ac:dyDescent="0.3">
      <c r="A10" s="21" t="s">
        <v>21</v>
      </c>
      <c r="B10" s="21"/>
      <c r="C10" s="21"/>
      <c r="D10" s="21"/>
      <c r="E10" s="21"/>
      <c r="F10" s="21"/>
      <c r="G10" s="21"/>
      <c r="H10" s="21"/>
      <c r="I10" s="21"/>
      <c r="J10" s="21"/>
    </row>
    <row r="11" spans="1:10" s="4" customFormat="1" ht="18.75" customHeight="1" thickBot="1" x14ac:dyDescent="0.25">
      <c r="A11" s="23" t="s">
        <v>12</v>
      </c>
      <c r="B11" s="24"/>
      <c r="C11" s="24"/>
      <c r="D11" s="24"/>
      <c r="E11" s="24"/>
      <c r="F11" s="24"/>
      <c r="G11" s="24"/>
      <c r="H11" s="24"/>
      <c r="I11" s="24"/>
      <c r="J11" s="25"/>
    </row>
    <row r="12" spans="1:10" s="4" customFormat="1" ht="18.75" customHeight="1" x14ac:dyDescent="0.2">
      <c r="A12" s="26" t="s">
        <v>3</v>
      </c>
      <c r="B12" s="28" t="s">
        <v>4</v>
      </c>
      <c r="C12" s="29"/>
      <c r="D12" s="30" t="s">
        <v>5</v>
      </c>
      <c r="E12" s="31"/>
      <c r="F12" s="31"/>
      <c r="G12" s="31"/>
      <c r="H12" s="32" t="s">
        <v>6</v>
      </c>
      <c r="I12" s="33"/>
      <c r="J12" s="34" t="s">
        <v>7</v>
      </c>
    </row>
    <row r="13" spans="1:10" s="4" customFormat="1" ht="24.75" customHeight="1" x14ac:dyDescent="0.2">
      <c r="A13" s="27"/>
      <c r="B13" s="7" t="s">
        <v>0</v>
      </c>
      <c r="C13" s="10" t="s">
        <v>1</v>
      </c>
      <c r="D13" s="7" t="s">
        <v>0</v>
      </c>
      <c r="E13" s="10" t="s">
        <v>1</v>
      </c>
      <c r="F13" s="11" t="s">
        <v>2</v>
      </c>
      <c r="G13" s="5" t="s">
        <v>8</v>
      </c>
      <c r="H13" s="7" t="s">
        <v>0</v>
      </c>
      <c r="I13" s="10" t="s">
        <v>1</v>
      </c>
      <c r="J13" s="35"/>
    </row>
    <row r="14" spans="1:10" s="13" customFormat="1" ht="14.1" customHeight="1" x14ac:dyDescent="0.2">
      <c r="A14" s="17" t="s">
        <v>22</v>
      </c>
      <c r="B14" s="40">
        <v>5</v>
      </c>
      <c r="C14" s="40">
        <v>5</v>
      </c>
      <c r="D14" s="40"/>
      <c r="E14" s="40"/>
      <c r="F14" s="40"/>
      <c r="G14" s="41"/>
      <c r="H14" s="40">
        <v>5</v>
      </c>
      <c r="I14" s="40">
        <v>5</v>
      </c>
      <c r="J14" s="41">
        <f>H14+I14</f>
        <v>10</v>
      </c>
    </row>
    <row r="15" spans="1:10" s="14" customFormat="1" ht="14.1" customHeight="1" x14ac:dyDescent="0.2">
      <c r="A15" s="6" t="s">
        <v>23</v>
      </c>
      <c r="B15" s="40">
        <v>7.5</v>
      </c>
      <c r="C15" s="40">
        <v>7.5</v>
      </c>
      <c r="D15" s="40"/>
      <c r="E15" s="40"/>
      <c r="F15" s="40"/>
      <c r="G15" s="41"/>
      <c r="H15" s="40">
        <f>H14-F15-D15+B15</f>
        <v>12.5</v>
      </c>
      <c r="I15" s="40">
        <f>I14-E15+C15</f>
        <v>12.5</v>
      </c>
      <c r="J15" s="41">
        <f t="shared" ref="J15" si="0">H15+I15</f>
        <v>25</v>
      </c>
    </row>
    <row r="16" spans="1:10" s="14" customFormat="1" ht="14.1" customHeight="1" x14ac:dyDescent="0.2">
      <c r="A16" s="6" t="s">
        <v>13</v>
      </c>
      <c r="B16" s="40">
        <v>2.5</v>
      </c>
      <c r="C16" s="40">
        <v>2.5</v>
      </c>
      <c r="D16" s="40"/>
      <c r="E16" s="40"/>
      <c r="F16" s="40"/>
      <c r="G16" s="41"/>
      <c r="H16" s="40">
        <f t="shared" ref="H16:H34" si="1">H15-F16-D16+B16</f>
        <v>15</v>
      </c>
      <c r="I16" s="40">
        <f t="shared" ref="I16:I34" si="2">I15-E16+C16</f>
        <v>15</v>
      </c>
      <c r="J16" s="41">
        <f t="shared" ref="J16:J34" si="3">H16+I16</f>
        <v>30</v>
      </c>
    </row>
    <row r="17" spans="1:10" s="14" customFormat="1" ht="14.1" customHeight="1" x14ac:dyDescent="0.2">
      <c r="A17" s="6" t="s">
        <v>14</v>
      </c>
      <c r="B17" s="40"/>
      <c r="C17" s="40"/>
      <c r="D17" s="40">
        <v>10</v>
      </c>
      <c r="E17" s="40">
        <v>10</v>
      </c>
      <c r="F17" s="40"/>
      <c r="G17" s="41"/>
      <c r="H17" s="40">
        <f t="shared" si="1"/>
        <v>5</v>
      </c>
      <c r="I17" s="40">
        <f t="shared" si="2"/>
        <v>5</v>
      </c>
      <c r="J17" s="41">
        <f t="shared" si="3"/>
        <v>10</v>
      </c>
    </row>
    <row r="18" spans="1:10" s="14" customFormat="1" ht="14.1" customHeight="1" x14ac:dyDescent="0.2">
      <c r="A18" s="6" t="s">
        <v>24</v>
      </c>
      <c r="B18" s="40">
        <v>3.75</v>
      </c>
      <c r="C18" s="40">
        <v>3.75</v>
      </c>
      <c r="D18" s="40"/>
      <c r="E18" s="40"/>
      <c r="F18" s="40"/>
      <c r="G18" s="41"/>
      <c r="H18" s="40">
        <f t="shared" si="1"/>
        <v>8.75</v>
      </c>
      <c r="I18" s="40">
        <f t="shared" si="2"/>
        <v>8.75</v>
      </c>
      <c r="J18" s="41">
        <f t="shared" si="3"/>
        <v>17.5</v>
      </c>
    </row>
    <row r="19" spans="1:10" s="14" customFormat="1" ht="14.1" customHeight="1" x14ac:dyDescent="0.2">
      <c r="A19" s="6" t="s">
        <v>25</v>
      </c>
      <c r="B19" s="40">
        <v>1.25</v>
      </c>
      <c r="C19" s="40">
        <v>1.25</v>
      </c>
      <c r="D19" s="40"/>
      <c r="E19" s="40"/>
      <c r="F19" s="40"/>
      <c r="G19" s="41"/>
      <c r="H19" s="40">
        <f t="shared" si="1"/>
        <v>10</v>
      </c>
      <c r="I19" s="40">
        <f t="shared" si="2"/>
        <v>10</v>
      </c>
      <c r="J19" s="41">
        <f t="shared" si="3"/>
        <v>20</v>
      </c>
    </row>
    <row r="20" spans="1:10" s="14" customFormat="1" ht="14.1" customHeight="1" x14ac:dyDescent="0.2">
      <c r="A20" s="6" t="s">
        <v>26</v>
      </c>
      <c r="B20" s="40"/>
      <c r="C20" s="40"/>
      <c r="D20" s="40"/>
      <c r="E20" s="40"/>
      <c r="F20" s="40">
        <v>2</v>
      </c>
      <c r="G20" s="41"/>
      <c r="H20" s="40">
        <f t="shared" si="1"/>
        <v>8</v>
      </c>
      <c r="I20" s="40">
        <f t="shared" si="2"/>
        <v>10</v>
      </c>
      <c r="J20" s="41">
        <f t="shared" si="3"/>
        <v>18</v>
      </c>
    </row>
    <row r="21" spans="1:10" s="14" customFormat="1" ht="14.1" customHeight="1" x14ac:dyDescent="0.2">
      <c r="A21" s="6" t="s">
        <v>27</v>
      </c>
      <c r="B21" s="40"/>
      <c r="C21" s="40"/>
      <c r="D21" s="40"/>
      <c r="E21" s="40"/>
      <c r="F21" s="40">
        <v>3</v>
      </c>
      <c r="G21" s="41"/>
      <c r="H21" s="40">
        <f t="shared" si="1"/>
        <v>5</v>
      </c>
      <c r="I21" s="40">
        <f t="shared" si="2"/>
        <v>10</v>
      </c>
      <c r="J21" s="41">
        <f t="shared" si="3"/>
        <v>15</v>
      </c>
    </row>
    <row r="22" spans="1:10" s="14" customFormat="1" ht="14.1" customHeight="1" x14ac:dyDescent="0.2">
      <c r="A22" s="6" t="s">
        <v>28</v>
      </c>
      <c r="B22" s="40"/>
      <c r="C22" s="40"/>
      <c r="D22" s="40"/>
      <c r="E22" s="40"/>
      <c r="F22" s="40"/>
      <c r="G22" s="41">
        <v>1</v>
      </c>
      <c r="H22" s="40">
        <f t="shared" si="1"/>
        <v>5</v>
      </c>
      <c r="I22" s="40">
        <f t="shared" si="2"/>
        <v>10</v>
      </c>
      <c r="J22" s="41">
        <f t="shared" si="3"/>
        <v>15</v>
      </c>
    </row>
    <row r="23" spans="1:10" s="14" customFormat="1" ht="14.1" customHeight="1" x14ac:dyDescent="0.2">
      <c r="A23" s="6" t="s">
        <v>29</v>
      </c>
      <c r="B23" s="40">
        <v>3.75</v>
      </c>
      <c r="C23" s="40">
        <v>3.75</v>
      </c>
      <c r="D23" s="40"/>
      <c r="E23" s="40"/>
      <c r="F23" s="40"/>
      <c r="G23" s="41"/>
      <c r="H23" s="40">
        <f t="shared" si="1"/>
        <v>8.75</v>
      </c>
      <c r="I23" s="40">
        <f t="shared" si="2"/>
        <v>13.75</v>
      </c>
      <c r="J23" s="41">
        <f t="shared" si="3"/>
        <v>22.5</v>
      </c>
    </row>
    <row r="24" spans="1:10" s="14" customFormat="1" ht="14.1" customHeight="1" x14ac:dyDescent="0.2">
      <c r="A24" s="17" t="s">
        <v>30</v>
      </c>
      <c r="B24" s="40"/>
      <c r="C24" s="40"/>
      <c r="D24" s="40"/>
      <c r="E24" s="40"/>
      <c r="F24" s="40">
        <v>1</v>
      </c>
      <c r="G24" s="41"/>
      <c r="H24" s="40">
        <f t="shared" si="1"/>
        <v>7.75</v>
      </c>
      <c r="I24" s="40">
        <f t="shared" si="2"/>
        <v>13.75</v>
      </c>
      <c r="J24" s="41">
        <f t="shared" si="3"/>
        <v>21.5</v>
      </c>
    </row>
    <row r="25" spans="1:10" s="14" customFormat="1" ht="14.1" customHeight="1" x14ac:dyDescent="0.2">
      <c r="A25" s="6" t="s">
        <v>31</v>
      </c>
      <c r="B25" s="40">
        <v>2.5</v>
      </c>
      <c r="C25" s="40">
        <v>2.5</v>
      </c>
      <c r="D25" s="40"/>
      <c r="E25" s="40"/>
      <c r="F25" s="40"/>
      <c r="G25" s="41"/>
      <c r="H25" s="40">
        <f t="shared" si="1"/>
        <v>10.25</v>
      </c>
      <c r="I25" s="40">
        <f t="shared" si="2"/>
        <v>16.25</v>
      </c>
      <c r="J25" s="41">
        <f t="shared" si="3"/>
        <v>26.5</v>
      </c>
    </row>
    <row r="26" spans="1:10" s="14" customFormat="1" ht="14.1" customHeight="1" x14ac:dyDescent="0.2">
      <c r="A26" s="17" t="s">
        <v>32</v>
      </c>
      <c r="B26" s="40"/>
      <c r="C26" s="40"/>
      <c r="D26" s="40"/>
      <c r="E26" s="40"/>
      <c r="F26" s="40">
        <v>1</v>
      </c>
      <c r="G26" s="41"/>
      <c r="H26" s="40">
        <f t="shared" si="1"/>
        <v>9.25</v>
      </c>
      <c r="I26" s="40">
        <f t="shared" si="2"/>
        <v>16.25</v>
      </c>
      <c r="J26" s="41">
        <f t="shared" si="3"/>
        <v>25.5</v>
      </c>
    </row>
    <row r="27" spans="1:10" s="14" customFormat="1" ht="14.1" customHeight="1" x14ac:dyDescent="0.2">
      <c r="A27" s="6" t="s">
        <v>33</v>
      </c>
      <c r="B27" s="40">
        <v>3.75</v>
      </c>
      <c r="C27" s="40">
        <v>3.75</v>
      </c>
      <c r="D27" s="40"/>
      <c r="E27" s="40"/>
      <c r="F27" s="40"/>
      <c r="G27" s="41"/>
      <c r="H27" s="40">
        <f t="shared" si="1"/>
        <v>13</v>
      </c>
      <c r="I27" s="40">
        <f t="shared" si="2"/>
        <v>20</v>
      </c>
      <c r="J27" s="41">
        <f t="shared" si="3"/>
        <v>33</v>
      </c>
    </row>
    <row r="28" spans="1:10" s="14" customFormat="1" ht="14.1" customHeight="1" x14ac:dyDescent="0.2">
      <c r="A28" s="17" t="s">
        <v>34</v>
      </c>
      <c r="B28" s="40"/>
      <c r="C28" s="40"/>
      <c r="D28" s="40">
        <v>5</v>
      </c>
      <c r="E28" s="40">
        <v>15</v>
      </c>
      <c r="F28" s="40"/>
      <c r="G28" s="41"/>
      <c r="H28" s="40">
        <f t="shared" si="1"/>
        <v>8</v>
      </c>
      <c r="I28" s="40">
        <f t="shared" si="2"/>
        <v>5</v>
      </c>
      <c r="J28" s="41">
        <f t="shared" si="3"/>
        <v>13</v>
      </c>
    </row>
    <row r="29" spans="1:10" s="14" customFormat="1" ht="17.25" customHeight="1" x14ac:dyDescent="0.2">
      <c r="A29" s="17" t="s">
        <v>35</v>
      </c>
      <c r="B29" s="40"/>
      <c r="C29" s="40"/>
      <c r="D29" s="40"/>
      <c r="E29" s="40"/>
      <c r="F29" s="40">
        <v>1</v>
      </c>
      <c r="G29" s="41"/>
      <c r="H29" s="40">
        <f t="shared" si="1"/>
        <v>7</v>
      </c>
      <c r="I29" s="40">
        <f t="shared" si="2"/>
        <v>5</v>
      </c>
      <c r="J29" s="41">
        <f t="shared" si="3"/>
        <v>12</v>
      </c>
    </row>
    <row r="30" spans="1:10" s="14" customFormat="1" ht="20.25" customHeight="1" x14ac:dyDescent="0.2">
      <c r="A30" s="17" t="s">
        <v>36</v>
      </c>
      <c r="B30" s="40"/>
      <c r="C30" s="40"/>
      <c r="D30" s="40"/>
      <c r="E30" s="40"/>
      <c r="F30" s="40">
        <v>1</v>
      </c>
      <c r="G30" s="41"/>
      <c r="H30" s="40">
        <f t="shared" si="1"/>
        <v>6</v>
      </c>
      <c r="I30" s="40">
        <f t="shared" si="2"/>
        <v>5</v>
      </c>
      <c r="J30" s="41">
        <f t="shared" si="3"/>
        <v>11</v>
      </c>
    </row>
    <row r="31" spans="1:10" s="14" customFormat="1" ht="18.75" customHeight="1" x14ac:dyDescent="0.2">
      <c r="A31" s="17" t="s">
        <v>37</v>
      </c>
      <c r="B31" s="40"/>
      <c r="C31" s="40"/>
      <c r="D31" s="40"/>
      <c r="E31" s="40">
        <v>1</v>
      </c>
      <c r="F31" s="40"/>
      <c r="G31" s="41"/>
      <c r="H31" s="40">
        <f t="shared" si="1"/>
        <v>6</v>
      </c>
      <c r="I31" s="40">
        <f t="shared" si="2"/>
        <v>4</v>
      </c>
      <c r="J31" s="41">
        <f t="shared" si="3"/>
        <v>10</v>
      </c>
    </row>
    <row r="32" spans="1:10" s="14" customFormat="1" ht="14.1" customHeight="1" x14ac:dyDescent="0.2">
      <c r="A32" s="17" t="s">
        <v>38</v>
      </c>
      <c r="B32" s="40">
        <v>1.25</v>
      </c>
      <c r="C32" s="40">
        <v>1.25</v>
      </c>
      <c r="D32" s="40"/>
      <c r="E32" s="40"/>
      <c r="F32" s="40"/>
      <c r="G32" s="41"/>
      <c r="H32" s="40">
        <f t="shared" si="1"/>
        <v>7.25</v>
      </c>
      <c r="I32" s="40">
        <f t="shared" si="2"/>
        <v>5.25</v>
      </c>
      <c r="J32" s="41">
        <f t="shared" si="3"/>
        <v>12.5</v>
      </c>
    </row>
    <row r="33" spans="1:14" s="14" customFormat="1" ht="14.1" customHeight="1" x14ac:dyDescent="0.2">
      <c r="A33" s="17" t="s">
        <v>39</v>
      </c>
      <c r="B33" s="40"/>
      <c r="C33" s="40"/>
      <c r="D33" s="40"/>
      <c r="E33" s="40">
        <v>1</v>
      </c>
      <c r="F33" s="40"/>
      <c r="G33" s="41"/>
      <c r="H33" s="40">
        <f t="shared" si="1"/>
        <v>7.25</v>
      </c>
      <c r="I33" s="40">
        <f t="shared" si="2"/>
        <v>4.25</v>
      </c>
      <c r="J33" s="41">
        <f t="shared" si="3"/>
        <v>11.5</v>
      </c>
    </row>
    <row r="34" spans="1:14" s="14" customFormat="1" ht="14.1" customHeight="1" x14ac:dyDescent="0.2">
      <c r="A34" s="17" t="s">
        <v>40</v>
      </c>
      <c r="B34" s="40"/>
      <c r="C34" s="40"/>
      <c r="D34" s="40"/>
      <c r="E34" s="40"/>
      <c r="F34" s="40">
        <v>1</v>
      </c>
      <c r="G34" s="41"/>
      <c r="H34" s="40">
        <f t="shared" si="1"/>
        <v>6.25</v>
      </c>
      <c r="I34" s="40">
        <f t="shared" si="2"/>
        <v>4.25</v>
      </c>
      <c r="J34" s="41">
        <f t="shared" si="3"/>
        <v>10.5</v>
      </c>
    </row>
    <row r="35" spans="1:14" s="14" customFormat="1" ht="14.1" customHeight="1" x14ac:dyDescent="0.2">
      <c r="A35" s="17" t="s">
        <v>41</v>
      </c>
      <c r="B35" s="40"/>
      <c r="C35" s="40"/>
      <c r="D35" s="40"/>
      <c r="E35" s="40"/>
      <c r="F35" s="40"/>
      <c r="G35" s="41">
        <v>1</v>
      </c>
      <c r="H35" s="40">
        <f t="shared" ref="H35" si="4">H34-F35-D35+B35</f>
        <v>6.25</v>
      </c>
      <c r="I35" s="40">
        <f t="shared" ref="I35" si="5">I34-E35+C35</f>
        <v>4.25</v>
      </c>
      <c r="J35" s="41">
        <f t="shared" ref="J35" si="6">H35+I35</f>
        <v>10.5</v>
      </c>
    </row>
    <row r="36" spans="1:14" s="14" customFormat="1" ht="14.1" customHeight="1" x14ac:dyDescent="0.2">
      <c r="A36" s="17" t="s">
        <v>42</v>
      </c>
      <c r="B36" s="40">
        <f>3*1.25</f>
        <v>3.75</v>
      </c>
      <c r="C36" s="40">
        <v>3.75</v>
      </c>
      <c r="D36" s="40"/>
      <c r="E36" s="40"/>
      <c r="F36" s="40"/>
      <c r="G36" s="41"/>
      <c r="H36" s="40">
        <f t="shared" ref="H36:H37" si="7">H35-F36-D36+B36</f>
        <v>10</v>
      </c>
      <c r="I36" s="40">
        <f t="shared" ref="I36:I37" si="8">I35-E36+C36</f>
        <v>8</v>
      </c>
      <c r="J36" s="41">
        <f t="shared" ref="J36:J37" si="9">H36+I36</f>
        <v>18</v>
      </c>
    </row>
    <row r="37" spans="1:14" s="14" customFormat="1" ht="14.1" customHeight="1" x14ac:dyDescent="0.2">
      <c r="A37" s="17" t="s">
        <v>43</v>
      </c>
      <c r="B37" s="40"/>
      <c r="C37" s="40"/>
      <c r="D37" s="40">
        <v>1</v>
      </c>
      <c r="E37" s="40"/>
      <c r="F37" s="40"/>
      <c r="G37" s="41"/>
      <c r="H37" s="40">
        <f t="shared" si="7"/>
        <v>9</v>
      </c>
      <c r="I37" s="40">
        <f t="shared" si="8"/>
        <v>8</v>
      </c>
      <c r="J37" s="41">
        <f t="shared" si="9"/>
        <v>17</v>
      </c>
    </row>
    <row r="38" spans="1:14" s="14" customFormat="1" ht="14.1" customHeight="1" x14ac:dyDescent="0.2">
      <c r="A38" s="17" t="s">
        <v>44</v>
      </c>
      <c r="B38" s="40"/>
      <c r="C38" s="40"/>
      <c r="D38" s="40"/>
      <c r="E38" s="40"/>
      <c r="F38" s="40"/>
      <c r="G38" s="41">
        <v>1</v>
      </c>
      <c r="H38" s="40">
        <f t="shared" ref="H38:H42" si="10">H37-F38-D38+B38</f>
        <v>9</v>
      </c>
      <c r="I38" s="40">
        <f t="shared" ref="I38:I42" si="11">I37-E38+C38</f>
        <v>8</v>
      </c>
      <c r="J38" s="41">
        <f t="shared" ref="J38:J42" si="12">H38+I38</f>
        <v>17</v>
      </c>
    </row>
    <row r="39" spans="1:14" s="14" customFormat="1" ht="14.1" customHeight="1" x14ac:dyDescent="0.2">
      <c r="A39" s="17" t="s">
        <v>45</v>
      </c>
      <c r="B39" s="40">
        <v>1.25</v>
      </c>
      <c r="C39" s="40">
        <v>1.25</v>
      </c>
      <c r="D39" s="40"/>
      <c r="E39" s="40"/>
      <c r="F39" s="40"/>
      <c r="G39" s="41"/>
      <c r="H39" s="40">
        <f t="shared" si="10"/>
        <v>10.25</v>
      </c>
      <c r="I39" s="40">
        <f t="shared" si="11"/>
        <v>9.25</v>
      </c>
      <c r="J39" s="41">
        <f t="shared" si="12"/>
        <v>19.5</v>
      </c>
    </row>
    <row r="40" spans="1:14" s="14" customFormat="1" ht="14.1" customHeight="1" x14ac:dyDescent="0.2">
      <c r="A40" s="17" t="s">
        <v>46</v>
      </c>
      <c r="B40" s="40"/>
      <c r="C40" s="40"/>
      <c r="D40" s="40"/>
      <c r="E40" s="40"/>
      <c r="F40" s="40">
        <v>1</v>
      </c>
      <c r="G40" s="41"/>
      <c r="H40" s="40">
        <f t="shared" si="10"/>
        <v>9.25</v>
      </c>
      <c r="I40" s="40">
        <f t="shared" si="11"/>
        <v>9.25</v>
      </c>
      <c r="J40" s="41">
        <f t="shared" si="12"/>
        <v>18.5</v>
      </c>
    </row>
    <row r="41" spans="1:14" s="14" customFormat="1" ht="14.1" customHeight="1" x14ac:dyDescent="0.2">
      <c r="A41" s="17" t="s">
        <v>47</v>
      </c>
      <c r="B41" s="40"/>
      <c r="C41" s="40"/>
      <c r="D41" s="40"/>
      <c r="E41" s="40"/>
      <c r="F41" s="40">
        <v>1</v>
      </c>
      <c r="G41" s="41"/>
      <c r="H41" s="40">
        <f t="shared" si="10"/>
        <v>8.25</v>
      </c>
      <c r="I41" s="40">
        <f t="shared" si="11"/>
        <v>9.25</v>
      </c>
      <c r="J41" s="41">
        <f t="shared" si="12"/>
        <v>17.5</v>
      </c>
    </row>
    <row r="42" spans="1:14" s="14" customFormat="1" ht="14.1" customHeight="1" x14ac:dyDescent="0.2">
      <c r="A42" s="17" t="s">
        <v>49</v>
      </c>
      <c r="B42" s="40">
        <v>1.25</v>
      </c>
      <c r="C42" s="40">
        <v>1.25</v>
      </c>
      <c r="D42" s="40"/>
      <c r="E42" s="40"/>
      <c r="F42" s="40"/>
      <c r="G42" s="41"/>
      <c r="H42" s="40">
        <f t="shared" si="10"/>
        <v>9.5</v>
      </c>
      <c r="I42" s="40">
        <f t="shared" si="11"/>
        <v>10.5</v>
      </c>
      <c r="J42" s="45">
        <f t="shared" si="12"/>
        <v>20</v>
      </c>
      <c r="L42" s="17"/>
      <c r="M42" s="18"/>
      <c r="N42" s="19"/>
    </row>
    <row r="43" spans="1:14" s="39" customFormat="1" ht="14.1" customHeight="1" x14ac:dyDescent="0.2">
      <c r="A43" s="42" t="s">
        <v>48</v>
      </c>
      <c r="B43" s="43"/>
      <c r="C43" s="43"/>
      <c r="D43" s="43"/>
      <c r="E43" s="43"/>
      <c r="F43" s="43"/>
      <c r="G43" s="43"/>
      <c r="H43" s="43"/>
      <c r="I43" s="43"/>
      <c r="J43" s="44"/>
      <c r="L43" s="36"/>
      <c r="M43" s="37"/>
      <c r="N43" s="37"/>
    </row>
    <row r="44" spans="1:14" s="39" customFormat="1" ht="14.1" customHeight="1" x14ac:dyDescent="0.2">
      <c r="A44" s="36"/>
      <c r="B44" s="37"/>
      <c r="C44" s="37"/>
      <c r="D44" s="37"/>
      <c r="E44" s="37"/>
      <c r="F44" s="37"/>
      <c r="G44" s="38"/>
      <c r="H44" s="37"/>
      <c r="I44" s="37"/>
      <c r="J44" s="38"/>
      <c r="L44" s="36"/>
      <c r="M44" s="37"/>
      <c r="N44" s="37"/>
    </row>
    <row r="45" spans="1:14" s="39" customFormat="1" ht="14.1" customHeight="1" x14ac:dyDescent="0.2">
      <c r="A45" s="36"/>
      <c r="B45" s="37"/>
      <c r="C45" s="37"/>
      <c r="D45" s="37"/>
      <c r="E45" s="37"/>
      <c r="F45" s="37"/>
      <c r="G45" s="38"/>
      <c r="H45" s="37"/>
      <c r="I45" s="37"/>
      <c r="J45" s="38"/>
      <c r="L45" s="36"/>
      <c r="M45" s="37"/>
      <c r="N45" s="37"/>
    </row>
    <row r="46" spans="1:14" s="22" customFormat="1" ht="14.1" customHeight="1" x14ac:dyDescent="0.25"/>
    <row r="47" spans="1:14" s="22" customFormat="1" ht="18.75" customHeight="1" x14ac:dyDescent="0.25"/>
    <row r="48" spans="1:14" s="22" customFormat="1" ht="42.75" customHeight="1" x14ac:dyDescent="0.25"/>
    <row r="49" s="22" customFormat="1" ht="18.75" customHeight="1" x14ac:dyDescent="0.25"/>
  </sheetData>
  <mergeCells count="15">
    <mergeCell ref="A11:J11"/>
    <mergeCell ref="A46:XFD49"/>
    <mergeCell ref="A12:A13"/>
    <mergeCell ref="B12:C12"/>
    <mergeCell ref="D12:G12"/>
    <mergeCell ref="H12:I12"/>
    <mergeCell ref="J12:J13"/>
    <mergeCell ref="A43:J43"/>
    <mergeCell ref="B9:D9"/>
    <mergeCell ref="A10:J10"/>
    <mergeCell ref="A2:J2"/>
    <mergeCell ref="A3:J3"/>
    <mergeCell ref="A4:J4"/>
    <mergeCell ref="A5:J5"/>
    <mergeCell ref="B7:D7"/>
  </mergeCells>
  <printOptions horizontalCentered="1"/>
  <pageMargins left="0.39370078740157483" right="0.51181102362204722" top="0.51181102362204722" bottom="0.51181102362204722" header="0.31496062992125984" footer="0.31496062992125984"/>
  <pageSetup paperSize="9" scale="69" fitToHeight="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Leave Card</vt:lpstr>
      <vt:lpstr>'Leave Card'!Print_Area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2025-11-06T04:23:30Z</cp:lastPrinted>
  <dcterms:created xsi:type="dcterms:W3CDTF">2021-10-07T06:10:16Z</dcterms:created>
  <dcterms:modified xsi:type="dcterms:W3CDTF">2025-11-06T04:33:55Z</dcterms:modified>
</cp:coreProperties>
</file>